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ariana Velez\Documents\6 SEMESTRE\SAD\Excel\"/>
    </mc:Choice>
  </mc:AlternateContent>
  <xr:revisionPtr revIDLastSave="0" documentId="13_ncr:1_{1D44E29E-8A36-4993-B13B-63F65499619D}" xr6:coauthVersionLast="47" xr6:coauthVersionMax="47" xr10:uidLastSave="{00000000-0000-0000-0000-000000000000}"/>
  <bookViews>
    <workbookView xWindow="-120" yWindow="-120" windowWidth="20730" windowHeight="11760" xr2:uid="{3FA0C236-FD5F-483A-AB7D-10ED5A3C7DCF}"/>
  </bookViews>
  <sheets>
    <sheet name="Hoja1" sheetId="1" r:id="rId1"/>
  </sheets>
  <definedNames>
    <definedName name="solver_adj" localSheetId="0" hidden="1">Hoja1!$D$36:$D$39,Hoja1!$D$41:$D$44,Hoja1!$D$46:$D$49,Hoja1!$D$51:$D$54,Hoja1!$D$56:$D$59</definedName>
    <definedName name="solver_cvg" localSheetId="0" hidden="1">"""0,0001"""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Hoja1!$D$36:$D$39</definedName>
    <definedName name="solver_lhs2" localSheetId="0" hidden="1">Hoja1!$D$41:$D$44</definedName>
    <definedName name="solver_lhs3" localSheetId="0" hidden="1">Hoja1!$D$46:$D$49</definedName>
    <definedName name="solver_lhs4" localSheetId="0" hidden="1">Hoja1!$D$51:$D$54</definedName>
    <definedName name="solver_lhs5" localSheetId="0" hidden="1">Hoja1!$D$56:$D$59</definedName>
    <definedName name="solver_lhs6" localSheetId="0" hidden="1">Hoja1!$I$36:$I$39</definedName>
    <definedName name="solver_mip" localSheetId="0" hidden="1">2147483647</definedName>
    <definedName name="solver_mni" localSheetId="0" hidden="1">30</definedName>
    <definedName name="solver_mrt" localSheetId="0" hidden="1">"""0,075"""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Hoja1!$I$42</definedName>
    <definedName name="solver_pre" localSheetId="0" hidden="1">"""0,000001"""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el5" localSheetId="0" hidden="1">2</definedName>
    <definedName name="solver_rel6" localSheetId="0" hidden="1">1</definedName>
    <definedName name="solver_rhs1" localSheetId="0" hidden="1">Hoja1!$F$36:$F$39</definedName>
    <definedName name="solver_rhs2" localSheetId="0" hidden="1">Hoja1!$F$41:$F$44</definedName>
    <definedName name="solver_rhs3" localSheetId="0" hidden="1">Hoja1!$F$46:$F$49</definedName>
    <definedName name="solver_rhs4" localSheetId="0" hidden="1">Hoja1!$F$51:$F$54</definedName>
    <definedName name="solver_rhs5" localSheetId="0" hidden="1">Hoja1!$F$56:$F$59</definedName>
    <definedName name="solver_rhs6" localSheetId="0" hidden="1">Hoja1!$K$36:$K$39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38" i="1"/>
  <c r="I39" i="1"/>
  <c r="K37" i="1"/>
  <c r="K38" i="1"/>
  <c r="K39" i="1"/>
  <c r="K36" i="1"/>
  <c r="I36" i="1"/>
  <c r="I42" i="1"/>
  <c r="F57" i="1"/>
  <c r="F58" i="1"/>
  <c r="F59" i="1"/>
  <c r="F56" i="1"/>
  <c r="F52" i="1"/>
  <c r="F53" i="1"/>
  <c r="F54" i="1"/>
  <c r="F51" i="1"/>
  <c r="F47" i="1"/>
  <c r="F48" i="1"/>
  <c r="F49" i="1"/>
  <c r="F46" i="1"/>
  <c r="D16" i="1" l="1"/>
  <c r="G11" i="1" a="1"/>
  <c r="G11" i="1" s="1"/>
  <c r="D11" i="1" a="1"/>
  <c r="D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<sst xmlns="http://schemas.openxmlformats.org/spreadsheetml/2006/main" count="100" uniqueCount="44">
  <si>
    <t>Mario Laserna</t>
  </si>
  <si>
    <t>ML</t>
  </si>
  <si>
    <t>Santo Domingo</t>
  </si>
  <si>
    <t>SD</t>
  </si>
  <si>
    <t>Teodoro Xiomara</t>
  </si>
  <si>
    <t>TX</t>
  </si>
  <si>
    <t>Germán Pantoja</t>
  </si>
  <si>
    <t>PT</t>
  </si>
  <si>
    <t>GP</t>
  </si>
  <si>
    <t>Origen</t>
  </si>
  <si>
    <t>Destino</t>
  </si>
  <si>
    <t>ML-SD</t>
  </si>
  <si>
    <t>TX-ML</t>
  </si>
  <si>
    <t>GP-TX</t>
  </si>
  <si>
    <t>Máximo hay 2 edificiones</t>
  </si>
  <si>
    <t>ML-SD-GP</t>
  </si>
  <si>
    <t>TX-ML-GP</t>
  </si>
  <si>
    <t>GP-TX-SD</t>
  </si>
  <si>
    <t>Ejer. Solver</t>
  </si>
  <si>
    <t>Solo distribuyen six pack</t>
  </si>
  <si>
    <t>Pocker</t>
  </si>
  <si>
    <t>club colombia</t>
  </si>
  <si>
    <t>Corona</t>
  </si>
  <si>
    <t>Andina</t>
  </si>
  <si>
    <t>Bar1</t>
  </si>
  <si>
    <t>Bar2</t>
  </si>
  <si>
    <t>Bar3</t>
  </si>
  <si>
    <t>Bar4</t>
  </si>
  <si>
    <t>Bar5</t>
  </si>
  <si>
    <t>Costo six pack</t>
  </si>
  <si>
    <t>requerido</t>
  </si>
  <si>
    <t>Cumplir con toda la demanda del bar</t>
  </si>
  <si>
    <t>Max ganancias</t>
  </si>
  <si>
    <t>Disponibilidad max six pack</t>
  </si>
  <si>
    <t>Ganancia</t>
  </si>
  <si>
    <t>Mario Laserna- Santo Domingo</t>
  </si>
  <si>
    <t>=</t>
  </si>
  <si>
    <t>Bar 1 Restricciones</t>
  </si>
  <si>
    <t>Bar 2 Restricciones</t>
  </si>
  <si>
    <t>Bar 3 Restricciones</t>
  </si>
  <si>
    <t>Bar 4 Restricciones</t>
  </si>
  <si>
    <t>Bar 5 Restricciones</t>
  </si>
  <si>
    <t>Max Ganancias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</si>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</sst>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B888-C3C8-4B33-8892-A6CA247554AC}">
  <sheetPr codeName="Hoja1"/>
  <dimension ref="B1:K59"/>
  <sheetViews>
    <sheetView tabSelected="1" topLeftCell="B40" zoomScale="118" workbookViewId="0">
      <selection activeCell="I38" sqref="I38"/>
    </sheetView>
  </sheetViews>
  <sheetFormatPr baseColWidth="10" defaultRowHeight="15" x14ac:dyDescent="0.25"/>
  <cols>
    <col min="2" max="2" width="23.42578125" bestFit="1" customWidth="1"/>
    <col min="3" max="3" width="34.28515625" bestFit="1" customWidth="1"/>
    <col min="4" max="4" width="25.140625" customWidth="1"/>
    <col min="8" max="8" width="14.140625" customWidth="1"/>
  </cols>
  <sheetData>
    <row r="1" spans="2:10" x14ac:dyDescent="0.25">
      <c r="F1" s="1" t="s">
        <v>10</v>
      </c>
      <c r="G1" s="1"/>
      <c r="H1" s="1"/>
      <c r="I1" s="1"/>
      <c r="J1" s="1"/>
    </row>
    <row r="2" spans="2:10" x14ac:dyDescent="0.25">
      <c r="B2" t="s">
        <v>0</v>
      </c>
      <c r="C2" t="s">
        <v>1</v>
      </c>
      <c r="G2" t="s">
        <v>1</v>
      </c>
      <c r="H2" t="s">
        <v>3</v>
      </c>
      <c r="I2" t="s">
        <v>5</v>
      </c>
      <c r="J2" t="s">
        <v>8</v>
      </c>
    </row>
    <row r="3" spans="2:10" x14ac:dyDescent="0.25">
      <c r="B3" t="s">
        <v>2</v>
      </c>
      <c r="C3" t="s">
        <v>3</v>
      </c>
      <c r="E3" s="1" t="s">
        <v>9</v>
      </c>
      <c r="F3" t="s">
        <v>1</v>
      </c>
      <c r="G3">
        <v>0</v>
      </c>
      <c r="H3">
        <v>15</v>
      </c>
      <c r="I3">
        <v>14</v>
      </c>
      <c r="J3">
        <v>11</v>
      </c>
    </row>
    <row r="4" spans="2:10" x14ac:dyDescent="0.25">
      <c r="B4" t="s">
        <v>4</v>
      </c>
      <c r="C4" t="s">
        <v>5</v>
      </c>
      <c r="E4" s="1"/>
      <c r="F4" t="s">
        <v>3</v>
      </c>
      <c r="G4">
        <v>10</v>
      </c>
      <c r="H4">
        <v>0</v>
      </c>
      <c r="I4">
        <v>16</v>
      </c>
      <c r="J4">
        <v>16</v>
      </c>
    </row>
    <row r="5" spans="2:10" x14ac:dyDescent="0.25">
      <c r="B5" t="s">
        <v>6</v>
      </c>
      <c r="C5" t="s">
        <v>7</v>
      </c>
      <c r="E5" s="1"/>
      <c r="F5" t="s">
        <v>5</v>
      </c>
      <c r="G5">
        <v>20</v>
      </c>
      <c r="H5">
        <v>17</v>
      </c>
      <c r="I5">
        <v>0</v>
      </c>
      <c r="J5">
        <v>10</v>
      </c>
    </row>
    <row r="6" spans="2:10" x14ac:dyDescent="0.25">
      <c r="E6" s="1"/>
      <c r="F6" t="s">
        <v>8</v>
      </c>
      <c r="G6">
        <v>14</v>
      </c>
      <c r="H6">
        <v>15</v>
      </c>
      <c r="I6">
        <v>13</v>
      </c>
      <c r="J6">
        <v>0</v>
      </c>
    </row>
    <row r="9" spans="2:10" x14ac:dyDescent="0.25">
      <c r="B9" t="s">
        <v>14</v>
      </c>
    </row>
    <row r="11" spans="2:10" x14ac:dyDescent="0.25">
      <c r="C11" t="s">
        <v>11</v>
      </c>
      <c r="D11" cm="1">
        <f t="array" ref="D11:D13">INDEX($G$3:$J$6,MATCH(LEFT(C11:C13,2),F3:F6,0),MATCH(RIGHT(C11:C13,2),G2:J2,0))</f>
        <v>15</v>
      </c>
      <c r="F11" t="s">
        <v>15</v>
      </c>
      <c r="G11" cm="1">
        <f t="array" ref="G11:G13">INDEX(G3:J6,MATCH(LEFT(F11:F13,2),F3:F6,0),MATCH(MID(F11:F13,SEARCH("-",F11:F13)+1,2),G2:J2,0))+INDEX(G3:J6,MATCH(MID(F11:F13,SEARCH("-",F11:F13)+1,2),G2:J2,0),MATCH(RIGHT(F11:F13,2),F3:F6,0))</f>
        <v>31</v>
      </c>
    </row>
    <row r="12" spans="2:10" x14ac:dyDescent="0.25">
      <c r="C12" t="s">
        <v>12</v>
      </c>
      <c r="D12">
        <v>20</v>
      </c>
      <c r="F12" t="s">
        <v>16</v>
      </c>
      <c r="G12">
        <v>31</v>
      </c>
    </row>
    <row r="13" spans="2:10" x14ac:dyDescent="0.25">
      <c r="C13" t="s">
        <v>13</v>
      </c>
      <c r="D13">
        <v>13</v>
      </c>
      <c r="F13" t="s">
        <v>17</v>
      </c>
      <c r="G13">
        <v>30</v>
      </c>
    </row>
    <row r="16" spans="2:10" x14ac:dyDescent="0.25">
      <c r="C16" t="s">
        <v>35</v>
      </c>
      <c r="D16">
        <f>INDEX(G3:J6,MATCH(INDEX(C2:C5,MATCH(LEFT(C16,SEARCH("-",C16)-1),B2:B5,0)),F3:F6,0),MATCH(INDEX(C2:C5,MATCH(RIGHT(C16,LEN(C16)-SEARCH("-",C16)-1),B2:B5,0)),G2:J2,0))</f>
        <v>15</v>
      </c>
    </row>
    <row r="17" spans="3:10" x14ac:dyDescent="0.25">
      <c r="C17" t="s">
        <v>12</v>
      </c>
    </row>
    <row r="18" spans="3:10" x14ac:dyDescent="0.25">
      <c r="C18" t="s">
        <v>13</v>
      </c>
    </row>
    <row r="21" spans="3:10" x14ac:dyDescent="0.25">
      <c r="C21" t="s">
        <v>18</v>
      </c>
    </row>
    <row r="23" spans="3:10" x14ac:dyDescent="0.25">
      <c r="C23" t="s">
        <v>19</v>
      </c>
    </row>
    <row r="24" spans="3:10" x14ac:dyDescent="0.25">
      <c r="E24" s="1" t="s">
        <v>30</v>
      </c>
      <c r="F24" s="1"/>
      <c r="G24" s="1"/>
      <c r="H24" s="1"/>
      <c r="I24" s="1"/>
    </row>
    <row r="25" spans="3:10" x14ac:dyDescent="0.25">
      <c r="D25" t="s">
        <v>33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 t="s">
        <v>29</v>
      </c>
    </row>
    <row r="26" spans="3:10" x14ac:dyDescent="0.25">
      <c r="C26" t="s">
        <v>20</v>
      </c>
      <c r="D26">
        <v>20</v>
      </c>
      <c r="E26">
        <v>5</v>
      </c>
      <c r="F26">
        <v>6</v>
      </c>
      <c r="G26">
        <v>10</v>
      </c>
      <c r="H26">
        <v>15</v>
      </c>
      <c r="I26">
        <v>9</v>
      </c>
      <c r="J26">
        <v>12000</v>
      </c>
    </row>
    <row r="27" spans="3:10" x14ac:dyDescent="0.25">
      <c r="C27" t="s">
        <v>21</v>
      </c>
      <c r="D27">
        <v>24</v>
      </c>
      <c r="E27">
        <v>10</v>
      </c>
      <c r="F27">
        <v>12</v>
      </c>
      <c r="G27">
        <v>10</v>
      </c>
      <c r="H27">
        <v>30</v>
      </c>
      <c r="I27">
        <v>2</v>
      </c>
      <c r="J27">
        <v>15000</v>
      </c>
    </row>
    <row r="28" spans="3:10" x14ac:dyDescent="0.25">
      <c r="C28" t="s">
        <v>23</v>
      </c>
      <c r="D28">
        <v>30</v>
      </c>
      <c r="E28">
        <v>20</v>
      </c>
      <c r="F28">
        <v>11</v>
      </c>
      <c r="G28">
        <v>10</v>
      </c>
      <c r="H28">
        <v>10</v>
      </c>
      <c r="I28">
        <v>15</v>
      </c>
      <c r="J28">
        <v>12000</v>
      </c>
    </row>
    <row r="29" spans="3:10" x14ac:dyDescent="0.25">
      <c r="C29" t="s">
        <v>22</v>
      </c>
      <c r="D29">
        <v>15</v>
      </c>
      <c r="E29">
        <v>10</v>
      </c>
      <c r="F29">
        <v>5</v>
      </c>
      <c r="G29">
        <v>10</v>
      </c>
      <c r="H29">
        <v>5</v>
      </c>
      <c r="I29">
        <v>5</v>
      </c>
      <c r="J29">
        <v>17000</v>
      </c>
    </row>
    <row r="30" spans="3:10" x14ac:dyDescent="0.25">
      <c r="C30" t="s">
        <v>34</v>
      </c>
    </row>
    <row r="32" spans="3:10" x14ac:dyDescent="0.25">
      <c r="C32" t="s">
        <v>31</v>
      </c>
    </row>
    <row r="33" spans="3:11" x14ac:dyDescent="0.25">
      <c r="C33" t="s">
        <v>32</v>
      </c>
    </row>
    <row r="35" spans="3:11" x14ac:dyDescent="0.25">
      <c r="C35" s="2" t="s">
        <v>37</v>
      </c>
      <c r="D35" s="2"/>
      <c r="E35" s="2"/>
      <c r="F35" s="2"/>
      <c r="H35" s="2" t="s">
        <v>37</v>
      </c>
      <c r="I35" s="2"/>
      <c r="J35" s="2"/>
      <c r="K35" s="2"/>
    </row>
    <row r="36" spans="3:11" x14ac:dyDescent="0.25">
      <c r="C36" t="s">
        <v>20</v>
      </c>
      <c r="D36">
        <v>5</v>
      </c>
      <c r="E36" t="s">
        <v>36</v>
      </c>
      <c r="F36">
        <v>5</v>
      </c>
      <c r="H36" t="s">
        <v>20</v>
      </c>
      <c r="I36">
        <f>SUM(D36,D41,D46,D51,D56)</f>
        <v>45</v>
      </c>
      <c r="J36" t="s">
        <v>43</v>
      </c>
      <c r="K36">
        <f>D26</f>
        <v>20</v>
      </c>
    </row>
    <row r="37" spans="3:11" x14ac:dyDescent="0.25">
      <c r="C37" t="s">
        <v>21</v>
      </c>
      <c r="D37">
        <v>10</v>
      </c>
      <c r="E37" t="s">
        <v>36</v>
      </c>
      <c r="F37">
        <v>10</v>
      </c>
      <c r="H37" t="s">
        <v>21</v>
      </c>
      <c r="I37">
        <f>SUM(D37,D42,D47,D52,D57)</f>
        <v>64</v>
      </c>
      <c r="J37" t="s">
        <v>43</v>
      </c>
      <c r="K37">
        <f t="shared" ref="K37:K39" si="0">D27</f>
        <v>24</v>
      </c>
    </row>
    <row r="38" spans="3:11" x14ac:dyDescent="0.25">
      <c r="C38" t="s">
        <v>23</v>
      </c>
      <c r="D38">
        <v>20</v>
      </c>
      <c r="E38" t="s">
        <v>36</v>
      </c>
      <c r="F38">
        <v>20</v>
      </c>
      <c r="H38" t="s">
        <v>23</v>
      </c>
      <c r="I38">
        <f t="shared" ref="I37:I39" si="1">SUM(D38,D43,D48,D53,D58)</f>
        <v>66</v>
      </c>
      <c r="J38" t="s">
        <v>43</v>
      </c>
      <c r="K38">
        <f t="shared" si="0"/>
        <v>30</v>
      </c>
    </row>
    <row r="39" spans="3:11" x14ac:dyDescent="0.25">
      <c r="C39" t="s">
        <v>22</v>
      </c>
      <c r="D39">
        <v>10</v>
      </c>
      <c r="E39" t="s">
        <v>36</v>
      </c>
      <c r="F39">
        <v>10</v>
      </c>
      <c r="H39" t="s">
        <v>22</v>
      </c>
      <c r="I39">
        <f t="shared" si="1"/>
        <v>35</v>
      </c>
      <c r="J39" t="s">
        <v>43</v>
      </c>
      <c r="K39">
        <f t="shared" si="0"/>
        <v>15</v>
      </c>
    </row>
    <row r="40" spans="3:11" x14ac:dyDescent="0.25">
      <c r="C40" s="2" t="s">
        <v>38</v>
      </c>
      <c r="D40" s="2"/>
      <c r="E40" s="2"/>
      <c r="F40" s="2"/>
    </row>
    <row r="41" spans="3:11" x14ac:dyDescent="0.25">
      <c r="C41" t="s">
        <v>20</v>
      </c>
      <c r="D41">
        <v>6</v>
      </c>
      <c r="E41" t="s">
        <v>36</v>
      </c>
      <c r="F41">
        <v>6</v>
      </c>
    </row>
    <row r="42" spans="3:11" x14ac:dyDescent="0.25">
      <c r="C42" t="s">
        <v>21</v>
      </c>
      <c r="D42">
        <v>12</v>
      </c>
      <c r="E42" t="s">
        <v>36</v>
      </c>
      <c r="F42">
        <v>12</v>
      </c>
      <c r="H42" t="s">
        <v>42</v>
      </c>
      <c r="I42">
        <f>SUMPRODUCT(D36:D39,J26:J29)+SUMPRODUCT(D41:D44,J26:J29)+SUMPRODUCT(D46:D49,J26:J29)+SUMPRODUCT(D51:D54,J26:J29)+SUMPRODUCT(D56:D59,J26:J29)</f>
        <v>2887000</v>
      </c>
    </row>
    <row r="43" spans="3:11" x14ac:dyDescent="0.25">
      <c r="C43" t="s">
        <v>23</v>
      </c>
      <c r="D43">
        <v>11</v>
      </c>
      <c r="E43" t="s">
        <v>36</v>
      </c>
      <c r="F43">
        <v>11</v>
      </c>
    </row>
    <row r="44" spans="3:11" x14ac:dyDescent="0.25">
      <c r="C44" t="s">
        <v>22</v>
      </c>
      <c r="D44">
        <v>5</v>
      </c>
      <c r="E44" t="s">
        <v>36</v>
      </c>
      <c r="F44">
        <v>5</v>
      </c>
    </row>
    <row r="45" spans="3:11" x14ac:dyDescent="0.25">
      <c r="C45" s="2" t="s">
        <v>39</v>
      </c>
      <c r="D45" s="2"/>
      <c r="E45" s="2"/>
      <c r="F45" s="2"/>
    </row>
    <row r="46" spans="3:11" x14ac:dyDescent="0.25">
      <c r="C46" t="s">
        <v>20</v>
      </c>
      <c r="D46">
        <v>10</v>
      </c>
      <c r="E46" t="s">
        <v>36</v>
      </c>
      <c r="F46">
        <f>G26</f>
        <v>10</v>
      </c>
    </row>
    <row r="47" spans="3:11" x14ac:dyDescent="0.25">
      <c r="C47" t="s">
        <v>21</v>
      </c>
      <c r="D47">
        <v>10</v>
      </c>
      <c r="E47" t="s">
        <v>36</v>
      </c>
      <c r="F47">
        <f t="shared" ref="F47:F49" si="2">G27</f>
        <v>10</v>
      </c>
    </row>
    <row r="48" spans="3:11" x14ac:dyDescent="0.25">
      <c r="C48" t="s">
        <v>23</v>
      </c>
      <c r="D48">
        <v>10</v>
      </c>
      <c r="E48" t="s">
        <v>36</v>
      </c>
      <c r="F48">
        <f t="shared" si="2"/>
        <v>10</v>
      </c>
    </row>
    <row r="49" spans="3:6" x14ac:dyDescent="0.25">
      <c r="C49" t="s">
        <v>22</v>
      </c>
      <c r="D49">
        <v>10</v>
      </c>
      <c r="E49" t="s">
        <v>36</v>
      </c>
      <c r="F49">
        <f t="shared" si="2"/>
        <v>10</v>
      </c>
    </row>
    <row r="50" spans="3:6" x14ac:dyDescent="0.25">
      <c r="C50" s="2" t="s">
        <v>40</v>
      </c>
      <c r="D50" s="2"/>
      <c r="E50" s="2"/>
      <c r="F50" s="2"/>
    </row>
    <row r="51" spans="3:6" x14ac:dyDescent="0.25">
      <c r="C51" t="s">
        <v>20</v>
      </c>
      <c r="D51">
        <v>15</v>
      </c>
      <c r="E51" t="s">
        <v>36</v>
      </c>
      <c r="F51">
        <f>H26</f>
        <v>15</v>
      </c>
    </row>
    <row r="52" spans="3:6" x14ac:dyDescent="0.25">
      <c r="C52" t="s">
        <v>21</v>
      </c>
      <c r="D52">
        <v>30</v>
      </c>
      <c r="E52" t="s">
        <v>36</v>
      </c>
      <c r="F52">
        <f t="shared" ref="F52:F54" si="3">H27</f>
        <v>30</v>
      </c>
    </row>
    <row r="53" spans="3:6" x14ac:dyDescent="0.25">
      <c r="C53" t="s">
        <v>23</v>
      </c>
      <c r="D53">
        <v>10</v>
      </c>
      <c r="E53" t="s">
        <v>36</v>
      </c>
      <c r="F53">
        <f t="shared" si="3"/>
        <v>10</v>
      </c>
    </row>
    <row r="54" spans="3:6" x14ac:dyDescent="0.25">
      <c r="C54" t="s">
        <v>22</v>
      </c>
      <c r="D54">
        <v>5</v>
      </c>
      <c r="E54" t="s">
        <v>36</v>
      </c>
      <c r="F54">
        <f t="shared" si="3"/>
        <v>5</v>
      </c>
    </row>
    <row r="55" spans="3:6" x14ac:dyDescent="0.25">
      <c r="C55" s="2" t="s">
        <v>41</v>
      </c>
      <c r="D55" s="2"/>
      <c r="E55" s="2"/>
      <c r="F55" s="2"/>
    </row>
    <row r="56" spans="3:6" x14ac:dyDescent="0.25">
      <c r="C56" t="s">
        <v>20</v>
      </c>
      <c r="D56">
        <v>9</v>
      </c>
      <c r="E56" t="s">
        <v>36</v>
      </c>
      <c r="F56">
        <f>I26</f>
        <v>9</v>
      </c>
    </row>
    <row r="57" spans="3:6" x14ac:dyDescent="0.25">
      <c r="C57" t="s">
        <v>21</v>
      </c>
      <c r="D57">
        <v>2</v>
      </c>
      <c r="E57" t="s">
        <v>36</v>
      </c>
      <c r="F57">
        <f t="shared" ref="F57:F59" si="4">I27</f>
        <v>2</v>
      </c>
    </row>
    <row r="58" spans="3:6" x14ac:dyDescent="0.25">
      <c r="C58" t="s">
        <v>23</v>
      </c>
      <c r="D58">
        <v>15</v>
      </c>
      <c r="E58" t="s">
        <v>36</v>
      </c>
      <c r="F58">
        <f t="shared" si="4"/>
        <v>15</v>
      </c>
    </row>
    <row r="59" spans="3:6" x14ac:dyDescent="0.25">
      <c r="C59" t="s">
        <v>22</v>
      </c>
      <c r="D59">
        <v>5</v>
      </c>
      <c r="E59" t="s">
        <v>36</v>
      </c>
      <c r="F59">
        <f t="shared" si="4"/>
        <v>5</v>
      </c>
    </row>
  </sheetData>
  <mergeCells count="9">
    <mergeCell ref="C45:F45"/>
    <mergeCell ref="C50:F50"/>
    <mergeCell ref="C55:F55"/>
    <mergeCell ref="H35:K35"/>
    <mergeCell ref="E3:E6"/>
    <mergeCell ref="F1:J1"/>
    <mergeCell ref="E24:I24"/>
    <mergeCell ref="C35:F35"/>
    <mergeCell ref="C40:F4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Velez Rivera</dc:creator>
  <cp:lastModifiedBy>Mariana Velez Rivera</cp:lastModifiedBy>
  <dcterms:created xsi:type="dcterms:W3CDTF">2024-05-17T13:45:53Z</dcterms:created>
  <dcterms:modified xsi:type="dcterms:W3CDTF">2024-05-29T15:24:24Z</dcterms:modified>
</cp:coreProperties>
</file>