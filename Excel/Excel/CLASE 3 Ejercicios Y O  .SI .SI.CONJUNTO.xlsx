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m_velezr_uniandes_edu_co/Documents/Documentos/Universidad/Programación/Excel/SAD-20250923T212200Z-1-001/SAD/Excel/"/>
    </mc:Choice>
  </mc:AlternateContent>
  <xr:revisionPtr revIDLastSave="22" documentId="13_ncr:1_{FE29F1CA-DB7B-4F65-8DB9-F03EBDD172F5}" xr6:coauthVersionLast="47" xr6:coauthVersionMax="47" xr10:uidLastSave="{A7AE0E6B-6BF5-4A18-955B-34768683408B}"/>
  <bookViews>
    <workbookView xWindow="-108" yWindow="-108" windowWidth="23256" windowHeight="12456" activeTab="2" xr2:uid="{00000000-000D-0000-FFFF-FFFF00000000}"/>
  </bookViews>
  <sheets>
    <sheet name="SI" sheetId="7" r:id="rId1"/>
    <sheet name="Fun Condiciones" sheetId="4" r:id="rId2"/>
    <sheet name="Wildcard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" l="1"/>
  <c r="J9" i="6"/>
  <c r="J8" i="6"/>
  <c r="J7" i="6"/>
  <c r="C7" i="6"/>
  <c r="J6" i="6"/>
  <c r="C6" i="6"/>
  <c r="I23" i="4"/>
  <c r="I27" i="4"/>
  <c r="I19" i="4"/>
  <c r="F18" i="4"/>
  <c r="I32" i="4"/>
  <c r="D10" i="4"/>
  <c r="C16" i="6"/>
  <c r="C14" i="6"/>
  <c r="C13" i="6"/>
  <c r="I33" i="4"/>
  <c r="C12" i="6"/>
  <c r="C10" i="6"/>
  <c r="C9" i="6"/>
  <c r="C8" i="6"/>
  <c r="F19" i="4"/>
  <c r="F20" i="4"/>
  <c r="F21" i="4"/>
  <c r="F22" i="4"/>
  <c r="F23" i="4"/>
  <c r="F24" i="4"/>
  <c r="F25" i="4"/>
  <c r="F26" i="4"/>
  <c r="F27" i="4"/>
  <c r="I31" i="4"/>
  <c r="I29" i="4"/>
  <c r="I28" i="4"/>
  <c r="I25" i="4"/>
  <c r="I24" i="4"/>
  <c r="I21" i="4"/>
  <c r="I20" i="4"/>
  <c r="H3" i="4"/>
  <c r="H6" i="4"/>
  <c r="E21" i="7"/>
  <c r="E18" i="7"/>
  <c r="D12" i="7"/>
  <c r="D15" i="7"/>
  <c r="D9" i="7"/>
  <c r="D6" i="7"/>
  <c r="D3" i="7"/>
</calcChain>
</file>

<file path=xl/sharedStrings.xml><?xml version="1.0" encoding="utf-8"?>
<sst xmlns="http://schemas.openxmlformats.org/spreadsheetml/2006/main" count="176" uniqueCount="146">
  <si>
    <t>Respuesta</t>
  </si>
  <si>
    <t>Funciones</t>
  </si>
  <si>
    <t>"Normales"</t>
  </si>
  <si>
    <t>SUMA</t>
  </si>
  <si>
    <t>CONTAR</t>
  </si>
  <si>
    <t>PROMEDIO</t>
  </si>
  <si>
    <t>Estadística</t>
  </si>
  <si>
    <t>SUMA()</t>
  </si>
  <si>
    <t>PROMEDIO()</t>
  </si>
  <si>
    <t>DESVEST.M()</t>
  </si>
  <si>
    <t>MIN()</t>
  </si>
  <si>
    <t>MAX()</t>
  </si>
  <si>
    <t>VAR.S()</t>
  </si>
  <si>
    <t>MEDIANA()</t>
  </si>
  <si>
    <t>1 Condición</t>
  </si>
  <si>
    <t>SUMAR.SI</t>
  </si>
  <si>
    <t>PROMEDIO.SI</t>
  </si>
  <si>
    <t>CONTAR.SI</t>
  </si>
  <si>
    <t>2++ Condiciones</t>
  </si>
  <si>
    <t>SUMAR.SI.CONJUNTO</t>
  </si>
  <si>
    <t>PROMEDIO.SI.CONJUNTO</t>
  </si>
  <si>
    <t>CONTAR.SI.CONJUNTO</t>
  </si>
  <si>
    <t>?</t>
  </si>
  <si>
    <t>*</t>
  </si>
  <si>
    <t>1 solo carácter</t>
  </si>
  <si>
    <t>múltiples caracteres</t>
  </si>
  <si>
    <t>abeja</t>
  </si>
  <si>
    <t>águila</t>
  </si>
  <si>
    <t>araña</t>
  </si>
  <si>
    <t>avispa</t>
  </si>
  <si>
    <t>ballena</t>
  </si>
  <si>
    <t>bisonte</t>
  </si>
  <si>
    <t>burro</t>
  </si>
  <si>
    <t>caballo</t>
  </si>
  <si>
    <t>camello</t>
  </si>
  <si>
    <t>canario</t>
  </si>
  <si>
    <t>cangrejo</t>
  </si>
  <si>
    <t>canguro</t>
  </si>
  <si>
    <t>caracol</t>
  </si>
  <si>
    <t>cebra</t>
  </si>
  <si>
    <t>cerdo</t>
  </si>
  <si>
    <t>chimpancé</t>
  </si>
  <si>
    <t>ciervo</t>
  </si>
  <si>
    <t>cisne</t>
  </si>
  <si>
    <t>cocodrilo</t>
  </si>
  <si>
    <t>elefante</t>
  </si>
  <si>
    <t>escarabajo</t>
  </si>
  <si>
    <t>escorpión</t>
  </si>
  <si>
    <t>foca</t>
  </si>
  <si>
    <t>gallina</t>
  </si>
  <si>
    <t>gallo</t>
  </si>
  <si>
    <t>gato</t>
  </si>
  <si>
    <t>golondrina</t>
  </si>
  <si>
    <t>hipopótamo</t>
  </si>
  <si>
    <t>hormiga</t>
  </si>
  <si>
    <t>jabalí</t>
  </si>
  <si>
    <t>jirafa</t>
  </si>
  <si>
    <t>león</t>
  </si>
  <si>
    <t>loro</t>
  </si>
  <si>
    <t>mosca</t>
  </si>
  <si>
    <t>mosquito</t>
  </si>
  <si>
    <t>oso</t>
  </si>
  <si>
    <t>oveja</t>
  </si>
  <si>
    <t>perdiz</t>
  </si>
  <si>
    <t>perro</t>
  </si>
  <si>
    <t>pingüino</t>
  </si>
  <si>
    <t>pollo</t>
  </si>
  <si>
    <t>saltamontes</t>
  </si>
  <si>
    <t>serpiente</t>
  </si>
  <si>
    <t>tigre</t>
  </si>
  <si>
    <t>topo</t>
  </si>
  <si>
    <t>toro</t>
  </si>
  <si>
    <t>tortuga</t>
  </si>
  <si>
    <t>vaca</t>
  </si>
  <si>
    <t>zorro</t>
  </si>
  <si>
    <t>Animales</t>
  </si>
  <si>
    <t>¿Cuántos comienzan con a?</t>
  </si>
  <si>
    <t>¿Cuántos terminan en o?</t>
  </si>
  <si>
    <t>¿Cuántos animales tienen 4 caracteres, inician con "to" y terminan en "o"?</t>
  </si>
  <si>
    <t>ligre</t>
  </si>
  <si>
    <t>¿Cuántos animales tienen el carácter "g"?</t>
  </si>
  <si>
    <t>hola</t>
  </si>
  <si>
    <t>¿Cuántos animales con cinco caracteres terminan con "lo"?</t>
  </si>
  <si>
    <t>Las condiciones van directamente ligadas a los valores, no se necesita de una función intermedia</t>
  </si>
  <si>
    <t>Edad</t>
  </si>
  <si>
    <t>Negro</t>
  </si>
  <si>
    <t>Amarillo</t>
  </si>
  <si>
    <t>celdas con números</t>
  </si>
  <si>
    <t>celdas no vacías</t>
  </si>
  <si>
    <t>¿Cuántos animales tienen 5 caracteres y terminan en "gre"?</t>
  </si>
  <si>
    <t>¿Cuántos animales comienzan con "c" y tienen 5 caracteres?</t>
  </si>
  <si>
    <t>CONTAR()</t>
  </si>
  <si>
    <t>CONTARA()</t>
  </si>
  <si>
    <t>Su uso es limitado a pocas funciones, por el momento se han usado únicamente en XXX.SI y XXX.SI.CONJUNTO</t>
  </si>
  <si>
    <t>¿Cuántos animales tienen al emnos dos veces el carácter "a"?</t>
  </si>
  <si>
    <t>¿Cuántos animales tienen exactamente dos veces el carácter "a"?</t>
  </si>
  <si>
    <t>Prenda 1</t>
  </si>
  <si>
    <t>Prenda 2</t>
  </si>
  <si>
    <r>
      <t xml:space="preserve">Si el usuario selecciona jean </t>
    </r>
    <r>
      <rPr>
        <b/>
        <sz val="11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gafas la respuesta es "válido", de lo contrario es "no válido"</t>
    </r>
  </si>
  <si>
    <r>
      <t xml:space="preserve">Si el usuario selecciona chaqueta </t>
    </r>
    <r>
      <rPr>
        <b/>
        <sz val="11"/>
        <color rgb="FFC0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bufanda la respuesta es "válido", de lo contrario es "no válido"</t>
    </r>
  </si>
  <si>
    <t>Número 1</t>
  </si>
  <si>
    <t>Número 2</t>
  </si>
  <si>
    <t>Si el usuario selecciona dos números mayores que 10, la respuesta es "válido", de lo contrario es "no válido"</t>
  </si>
  <si>
    <t>Si el usuario seleciona el Número 1 (celda B11) menor o igual que el Número 2 (celda C11), la respuesta es "1 menor o igual que 2", de lo contrario, la celda no debe mostrar ninguna respuesta.</t>
  </si>
  <si>
    <t>La diferencia entre el Número 1 y el Número 2 (o entre el Número 2 y el Número 1) es de al menos 5. Si es así la respuesta es "Alta diferencia", de lo contrario, es "Baja diferencia"</t>
  </si>
  <si>
    <t>Número 3</t>
  </si>
  <si>
    <t>Si el Número 2 está entre el Número 1 y el Número 3 (o entre el Número 3 y el Número 1), mostrar "sandwich", de lo contrario, mostrar "no sandwich"</t>
  </si>
  <si>
    <t>Si el Número 3 es menor o igual al Número 1, mostrar "Bajo", si el Número 3 es mayor al Número 1 pero menor al Número 2, mostrar "Medio", de lo contrario, mostrar "Alto"</t>
  </si>
  <si>
    <t>Suponga que siempre el Número 2 es estrictamente mayor al Número 1</t>
  </si>
  <si>
    <t>Nombre</t>
  </si>
  <si>
    <t>Peso [kg]</t>
  </si>
  <si>
    <t>Color favorito</t>
  </si>
  <si>
    <t>Número favorito</t>
  </si>
  <si>
    <t>Pepe</t>
  </si>
  <si>
    <t>Juan</t>
  </si>
  <si>
    <t>Camila</t>
  </si>
  <si>
    <t>Cristina</t>
  </si>
  <si>
    <t>Laura</t>
  </si>
  <si>
    <t>Aura</t>
  </si>
  <si>
    <t>Daniel</t>
  </si>
  <si>
    <t>Carlos</t>
  </si>
  <si>
    <t>Julián</t>
  </si>
  <si>
    <t>Mario</t>
  </si>
  <si>
    <t>Verde</t>
  </si>
  <si>
    <t>Rojo</t>
  </si>
  <si>
    <t>Blanco</t>
  </si>
  <si>
    <t>Azul</t>
  </si>
  <si>
    <t>¿Cuál es la suma de los números favoritos?</t>
  </si>
  <si>
    <t>¿Cuál es el promedio de las edades?</t>
  </si>
  <si>
    <t>¿Cuántas personas hay?</t>
  </si>
  <si>
    <t>¿Cuál es la suma de las edades de las personas mayores de edad?</t>
  </si>
  <si>
    <t>¿Cuál es el promedio de los pesos de las personas menores de edad?</t>
  </si>
  <si>
    <t>¿Cuántas personas tienen el color Blanco como color favorito?</t>
  </si>
  <si>
    <t>¿Cuál es la suma de los números favoritos de los mayores de edad que les gusta el color Negro?</t>
  </si>
  <si>
    <t>¿Cuál es el promedio de las edades de las personas que pesan menos de 70kg y su número favorito es mayor a 30?</t>
  </si>
  <si>
    <t>¿Cuántas personas pesan menos que el promedio general y su color favorito es el Negro o el Blanco?</t>
  </si>
  <si>
    <t>¿Cuál es el promedio del peso de las personas que tienen una edad entre 18 y 22?</t>
  </si>
  <si>
    <t>¿Cuántas personas tienen un número par como número favorito?</t>
  </si>
  <si>
    <t>¿Cuántas personas tienen su nombre terminado en "a"?</t>
  </si>
  <si>
    <t>jean</t>
  </si>
  <si>
    <t>gafas</t>
  </si>
  <si>
    <t>chaqueta</t>
  </si>
  <si>
    <t>bufanda</t>
  </si>
  <si>
    <t>criterios -&gt; string cadena de txt "&lt;3"</t>
  </si>
  <si>
    <t>Par</t>
  </si>
  <si>
    <t>abúfil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</si>
</sst>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8" xfId="0" applyBorder="1"/>
    <xf numFmtId="0" fontId="0" fillId="4" borderId="1" xfId="0" applyFill="1" applyBorder="1"/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7" xfId="0" applyBorder="1" applyAlignment="1">
      <alignment horizontal="right"/>
    </xf>
    <xf numFmtId="0" fontId="3" fillId="0" borderId="0" xfId="0" applyFont="1" applyAlignment="1">
      <alignment horizontal="left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13</xdr:row>
      <xdr:rowOff>161924</xdr:rowOff>
    </xdr:from>
    <xdr:to>
      <xdr:col>12</xdr:col>
      <xdr:colOff>742950</xdr:colOff>
      <xdr:row>16</xdr:row>
      <xdr:rowOff>380999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E2E0222-3B50-7641-239D-FC5EE91F0649}"/>
            </a:ext>
          </a:extLst>
        </xdr:cNvPr>
        <xdr:cNvSpPr txBox="1"/>
      </xdr:nvSpPr>
      <xdr:spPr>
        <a:xfrm>
          <a:off x="7829550" y="2647949"/>
          <a:ext cx="2838450" cy="790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.SI o .Si.Conjunto</a:t>
          </a:r>
          <a:r>
            <a:rPr lang="es-CO" sz="1100" baseline="0"/>
            <a:t> -&gt; </a:t>
          </a:r>
          <a:r>
            <a:rPr lang="es-CO" sz="1100"/>
            <a:t>Comparación directa -&gt; No funciones, no operaciones, en valores del rango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C151-8273-4D36-A1F2-B5F48783A803}">
  <dimension ref="B2:G21"/>
  <sheetViews>
    <sheetView topLeftCell="A28" workbookViewId="0">
      <selection activeCell="D12" sqref="D12"/>
    </sheetView>
  </sheetViews>
  <sheetFormatPr baseColWidth="10" defaultRowHeight="14.4" x14ac:dyDescent="0.3"/>
  <cols>
    <col min="4" max="4" width="20" bestFit="1" customWidth="1"/>
    <col min="5" max="5" width="12.33203125" bestFit="1" customWidth="1"/>
  </cols>
  <sheetData>
    <row r="2" spans="2:6" x14ac:dyDescent="0.3">
      <c r="B2" s="14" t="s">
        <v>96</v>
      </c>
      <c r="C2" s="14" t="s">
        <v>97</v>
      </c>
      <c r="D2" s="14" t="s">
        <v>0</v>
      </c>
      <c r="F2" t="s">
        <v>98</v>
      </c>
    </row>
    <row r="3" spans="2:6" x14ac:dyDescent="0.3">
      <c r="B3" s="21" t="s">
        <v>139</v>
      </c>
      <c r="C3" s="21" t="s">
        <v>140</v>
      </c>
      <c r="D3" s="16" t="str">
        <f>IF(AND(B3="jean",C3="gafas"),"Válido","No válido")</f>
        <v>Válido</v>
      </c>
    </row>
    <row r="5" spans="2:6" x14ac:dyDescent="0.3">
      <c r="B5" s="14" t="s">
        <v>96</v>
      </c>
      <c r="C5" s="14" t="s">
        <v>97</v>
      </c>
      <c r="D5" s="14" t="s">
        <v>0</v>
      </c>
      <c r="F5" t="s">
        <v>99</v>
      </c>
    </row>
    <row r="6" spans="2:6" x14ac:dyDescent="0.3">
      <c r="B6" s="21" t="s">
        <v>141</v>
      </c>
      <c r="C6" s="21" t="s">
        <v>142</v>
      </c>
      <c r="D6" s="16" t="str">
        <f>IF(OR(B6="chaqueta",C6="bufanda"),"Válido","Falso")</f>
        <v>Válido</v>
      </c>
    </row>
    <row r="8" spans="2:6" x14ac:dyDescent="0.3">
      <c r="B8" s="14" t="s">
        <v>100</v>
      </c>
      <c r="C8" s="14" t="s">
        <v>101</v>
      </c>
      <c r="D8" s="14" t="s">
        <v>0</v>
      </c>
      <c r="F8" t="s">
        <v>102</v>
      </c>
    </row>
    <row r="9" spans="2:6" x14ac:dyDescent="0.3">
      <c r="B9" s="21">
        <v>6</v>
      </c>
      <c r="C9" s="21">
        <v>10</v>
      </c>
      <c r="D9" s="16" t="str">
        <f>IF(AND(B9&gt;10,C9&gt;10),"Válido","No válido")</f>
        <v>No válido</v>
      </c>
    </row>
    <row r="11" spans="2:6" x14ac:dyDescent="0.3">
      <c r="B11" s="14" t="s">
        <v>100</v>
      </c>
      <c r="C11" s="14" t="s">
        <v>101</v>
      </c>
      <c r="D11" s="14" t="s">
        <v>0</v>
      </c>
      <c r="F11" t="s">
        <v>103</v>
      </c>
    </row>
    <row r="12" spans="2:6" x14ac:dyDescent="0.3">
      <c r="B12" s="21">
        <v>4</v>
      </c>
      <c r="C12" s="21">
        <v>2</v>
      </c>
      <c r="D12" s="16" t="str">
        <f>IF(B12&lt;=C12,"1 menor o igual que 2"," ")</f>
        <v xml:space="preserve"> </v>
      </c>
    </row>
    <row r="14" spans="2:6" x14ac:dyDescent="0.3">
      <c r="B14" s="14" t="s">
        <v>100</v>
      </c>
      <c r="C14" s="14" t="s">
        <v>101</v>
      </c>
      <c r="D14" s="14" t="s">
        <v>0</v>
      </c>
      <c r="F14" t="s">
        <v>104</v>
      </c>
    </row>
    <row r="15" spans="2:6" x14ac:dyDescent="0.3">
      <c r="B15" s="21">
        <v>6</v>
      </c>
      <c r="C15" s="21">
        <v>12</v>
      </c>
      <c r="D15" s="16" t="str">
        <f>IF(ABS(B15-C15)&gt;=5,"Alta diferencia","Baja diferencia")</f>
        <v>Alta diferencia</v>
      </c>
    </row>
    <row r="17" spans="2:7" x14ac:dyDescent="0.3">
      <c r="B17" s="14" t="s">
        <v>100</v>
      </c>
      <c r="C17" s="14" t="s">
        <v>101</v>
      </c>
      <c r="D17" s="14" t="s">
        <v>105</v>
      </c>
      <c r="E17" s="14" t="s">
        <v>0</v>
      </c>
      <c r="G17" t="s">
        <v>106</v>
      </c>
    </row>
    <row r="18" spans="2:7" x14ac:dyDescent="0.3">
      <c r="B18" s="21">
        <v>10</v>
      </c>
      <c r="C18" s="21">
        <v>7</v>
      </c>
      <c r="D18" s="21">
        <v>5</v>
      </c>
      <c r="E18" s="16" t="str">
        <f>IF(OR(AND(B18&lt;C18, C18&lt;D18), AND(D18&lt;C18,C18&lt;B18)),"sandwich","No sandwich")</f>
        <v>sandwich</v>
      </c>
    </row>
    <row r="20" spans="2:7" x14ac:dyDescent="0.3">
      <c r="B20" s="14" t="s">
        <v>100</v>
      </c>
      <c r="C20" s="14" t="s">
        <v>101</v>
      </c>
      <c r="D20" s="14" t="s">
        <v>105</v>
      </c>
      <c r="E20" s="14" t="s">
        <v>0</v>
      </c>
      <c r="G20" t="s">
        <v>107</v>
      </c>
    </row>
    <row r="21" spans="2:7" x14ac:dyDescent="0.3">
      <c r="B21" s="21"/>
      <c r="C21" s="21"/>
      <c r="D21" s="21"/>
      <c r="E21" s="16" t="str">
        <f>IF(D21&lt;=B21,"Bajo",IF(AND(D21&gt;B21,D21&lt;C21),"Medio","Alto"))</f>
        <v>Bajo</v>
      </c>
      <c r="G21" t="s">
        <v>108</v>
      </c>
    </row>
  </sheetData>
  <phoneticPr fontId="5" type="noConversion"/>
  <dataValidations count="3">
    <dataValidation type="list" allowBlank="1" showInputMessage="1" showErrorMessage="1" sqref="B3 B6" xr:uid="{48DABFF7-2DC2-4879-9CD0-580A0EAA625C}">
      <formula1>"camiseta,chaqueta,jean,zapatos"</formula1>
    </dataValidation>
    <dataValidation type="list" allowBlank="1" showInputMessage="1" showErrorMessage="1" sqref="C3 C6" xr:uid="{B238D374-BBF8-4AAB-A357-40AB4693FF88}">
      <formula1>"bufanda,gafas,gorra"</formula1>
    </dataValidation>
    <dataValidation type="list" allowBlank="1" showInputMessage="1" showErrorMessage="1" sqref="B9:C9 B12:C12 B15:C15" xr:uid="{97333A23-972A-418C-A4E3-2CF1C4C6DB03}">
      <formula1>"2,4,6,8,10,12,14,16,18,20"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3"/>
  <sheetViews>
    <sheetView topLeftCell="A3" workbookViewId="0">
      <selection activeCell="I24" sqref="I24"/>
    </sheetView>
  </sheetViews>
  <sheetFormatPr baseColWidth="10" defaultColWidth="11.44140625" defaultRowHeight="14.4" x14ac:dyDescent="0.3"/>
  <cols>
    <col min="1" max="1" width="11.44140625" style="4"/>
    <col min="2" max="3" width="11.88671875" style="4" bestFit="1" customWidth="1"/>
    <col min="4" max="4" width="15" style="4" customWidth="1"/>
    <col min="5" max="5" width="12.88671875" style="4" bestFit="1" customWidth="1"/>
    <col min="6" max="6" width="11.88671875" style="4" bestFit="1" customWidth="1"/>
    <col min="7" max="7" width="15.33203125" style="4" bestFit="1" customWidth="1"/>
    <col min="8" max="8" width="12.44140625" style="4" customWidth="1"/>
    <col min="9" max="9" width="11.44140625" style="4"/>
    <col min="10" max="10" width="12" style="4" customWidth="1"/>
    <col min="11" max="16384" width="11.44140625" style="4"/>
  </cols>
  <sheetData>
    <row r="1" spans="1:11" s="8" customFormat="1" x14ac:dyDescent="0.3">
      <c r="A1" s="7" t="s">
        <v>1</v>
      </c>
    </row>
    <row r="2" spans="1:11" x14ac:dyDescent="0.3">
      <c r="A2" s="9"/>
    </row>
    <row r="3" spans="1:11" x14ac:dyDescent="0.3">
      <c r="A3" s="9" t="s">
        <v>6</v>
      </c>
      <c r="C3" s="5">
        <v>1</v>
      </c>
      <c r="D3" s="5">
        <v>2</v>
      </c>
      <c r="E3" s="5">
        <v>3</v>
      </c>
      <c r="G3" s="1" t="s">
        <v>7</v>
      </c>
      <c r="H3" s="6">
        <f>SUM(C3:E6)</f>
        <v>65</v>
      </c>
    </row>
    <row r="4" spans="1:11" x14ac:dyDescent="0.3">
      <c r="A4" s="9"/>
      <c r="C4" s="5">
        <v>4</v>
      </c>
      <c r="D4" s="12" t="s">
        <v>81</v>
      </c>
      <c r="E4" s="5">
        <v>6</v>
      </c>
      <c r="G4" s="1" t="s">
        <v>10</v>
      </c>
      <c r="H4" s="6"/>
    </row>
    <row r="5" spans="1:11" x14ac:dyDescent="0.3">
      <c r="A5" s="9"/>
      <c r="C5" s="5">
        <v>7</v>
      </c>
      <c r="D5" s="12"/>
      <c r="E5" s="5">
        <v>9</v>
      </c>
      <c r="G5" s="1" t="s">
        <v>11</v>
      </c>
      <c r="H5" s="6"/>
    </row>
    <row r="6" spans="1:11" x14ac:dyDescent="0.3">
      <c r="A6" s="9"/>
      <c r="C6" s="5">
        <v>10</v>
      </c>
      <c r="D6" s="5">
        <v>11</v>
      </c>
      <c r="E6" s="5">
        <v>12</v>
      </c>
      <c r="G6" s="1" t="s">
        <v>8</v>
      </c>
      <c r="H6" s="6">
        <f>AVERAGE(C3:E6)</f>
        <v>6.5</v>
      </c>
    </row>
    <row r="7" spans="1:11" x14ac:dyDescent="0.3">
      <c r="A7" s="9"/>
      <c r="G7" s="1" t="s">
        <v>9</v>
      </c>
      <c r="H7" s="6"/>
    </row>
    <row r="8" spans="1:11" x14ac:dyDescent="0.3">
      <c r="A8" s="9"/>
      <c r="C8" s="19" t="s">
        <v>87</v>
      </c>
      <c r="D8" s="18" t="s">
        <v>88</v>
      </c>
      <c r="G8" s="1" t="s">
        <v>12</v>
      </c>
      <c r="H8" s="6"/>
    </row>
    <row r="9" spans="1:11" x14ac:dyDescent="0.3">
      <c r="A9" s="9"/>
      <c r="C9" s="1" t="s">
        <v>91</v>
      </c>
      <c r="D9" s="1" t="s">
        <v>92</v>
      </c>
      <c r="G9" s="1" t="s">
        <v>13</v>
      </c>
      <c r="H9" s="6"/>
    </row>
    <row r="10" spans="1:11" x14ac:dyDescent="0.3">
      <c r="A10" s="9"/>
      <c r="C10" s="6"/>
      <c r="D10" s="6">
        <f>COUNTA(C3:E6)</f>
        <v>11</v>
      </c>
    </row>
    <row r="11" spans="1:11" s="11" customFormat="1" ht="15" thickBot="1" x14ac:dyDescent="0.35">
      <c r="A11" s="10"/>
    </row>
    <row r="13" spans="1:11" x14ac:dyDescent="0.3">
      <c r="A13" s="1" t="s">
        <v>2</v>
      </c>
      <c r="B13" s="1" t="s">
        <v>3</v>
      </c>
      <c r="D13" s="17" t="s">
        <v>14</v>
      </c>
      <c r="E13" s="1" t="s">
        <v>15</v>
      </c>
      <c r="G13" s="1" t="s">
        <v>18</v>
      </c>
      <c r="H13" s="22" t="s">
        <v>19</v>
      </c>
      <c r="I13" s="22"/>
      <c r="K13" s="20" t="s">
        <v>83</v>
      </c>
    </row>
    <row r="14" spans="1:11" x14ac:dyDescent="0.3">
      <c r="B14" s="1" t="s">
        <v>5</v>
      </c>
      <c r="E14" s="1" t="s">
        <v>16</v>
      </c>
      <c r="H14" s="22" t="s">
        <v>20</v>
      </c>
      <c r="I14" s="22"/>
    </row>
    <row r="15" spans="1:11" x14ac:dyDescent="0.3">
      <c r="B15" s="1" t="s">
        <v>4</v>
      </c>
      <c r="E15" s="1" t="s">
        <v>17</v>
      </c>
      <c r="H15" s="22" t="s">
        <v>21</v>
      </c>
      <c r="I15" s="22"/>
    </row>
    <row r="17" spans="1:19" ht="30" customHeight="1" x14ac:dyDescent="0.3">
      <c r="A17" s="2" t="s">
        <v>109</v>
      </c>
      <c r="B17" s="3" t="s">
        <v>84</v>
      </c>
      <c r="C17" s="3" t="s">
        <v>110</v>
      </c>
      <c r="D17" s="3" t="s">
        <v>111</v>
      </c>
      <c r="E17" s="3" t="s">
        <v>112</v>
      </c>
      <c r="F17" s="4" t="s">
        <v>144</v>
      </c>
      <c r="H17" s="23" t="s">
        <v>143</v>
      </c>
      <c r="I17" s="23"/>
      <c r="J17" s="23"/>
      <c r="K17" s="23"/>
      <c r="L17" s="23"/>
      <c r="M17" s="23"/>
    </row>
    <row r="18" spans="1:19" x14ac:dyDescent="0.3">
      <c r="A18" s="5" t="s">
        <v>113</v>
      </c>
      <c r="B18" s="5">
        <v>21</v>
      </c>
      <c r="C18" s="5">
        <v>86</v>
      </c>
      <c r="D18" s="5" t="s">
        <v>86</v>
      </c>
      <c r="E18" s="5">
        <v>13</v>
      </c>
      <c r="F18" s="4" t="b">
        <f>ISEVEN(E18)</f>
        <v>0</v>
      </c>
    </row>
    <row r="19" spans="1:19" x14ac:dyDescent="0.3">
      <c r="A19" s="5" t="s">
        <v>114</v>
      </c>
      <c r="B19" s="5">
        <v>19</v>
      </c>
      <c r="C19" s="5">
        <v>66</v>
      </c>
      <c r="D19" s="5" t="s">
        <v>123</v>
      </c>
      <c r="E19" s="5">
        <v>52</v>
      </c>
      <c r="F19" s="4" t="b">
        <f>ISEVEN(E19)</f>
        <v>1</v>
      </c>
      <c r="I19" s="6">
        <f>SUM(E18:E27)</f>
        <v>388</v>
      </c>
      <c r="J19" s="22" t="s">
        <v>3</v>
      </c>
      <c r="K19" s="22"/>
      <c r="L19" t="s">
        <v>127</v>
      </c>
      <c r="M19"/>
      <c r="N19"/>
      <c r="O19"/>
    </row>
    <row r="20" spans="1:19" x14ac:dyDescent="0.3">
      <c r="A20" s="5" t="s">
        <v>115</v>
      </c>
      <c r="B20" s="5">
        <v>17</v>
      </c>
      <c r="C20" s="5">
        <v>67</v>
      </c>
      <c r="D20" s="5" t="s">
        <v>124</v>
      </c>
      <c r="E20" s="5">
        <v>85</v>
      </c>
      <c r="F20" s="4" t="b">
        <f t="shared" ref="F20:F27" si="0">ISEVEN(E20)</f>
        <v>0</v>
      </c>
      <c r="I20" s="6">
        <f>AVERAGE(B18:B27)</f>
        <v>19.3</v>
      </c>
      <c r="J20" s="22" t="s">
        <v>5</v>
      </c>
      <c r="K20" s="22"/>
      <c r="L20" t="s">
        <v>128</v>
      </c>
      <c r="M20"/>
      <c r="N20"/>
      <c r="O20"/>
    </row>
    <row r="21" spans="1:19" x14ac:dyDescent="0.3">
      <c r="A21" s="5" t="s">
        <v>116</v>
      </c>
      <c r="B21" s="5">
        <v>22</v>
      </c>
      <c r="C21" s="5">
        <v>74</v>
      </c>
      <c r="D21" s="5" t="s">
        <v>85</v>
      </c>
      <c r="E21" s="5">
        <v>64</v>
      </c>
      <c r="F21" s="4" t="b">
        <f t="shared" si="0"/>
        <v>1</v>
      </c>
      <c r="I21" s="6">
        <f>COUNT(B18:B27)</f>
        <v>10</v>
      </c>
      <c r="J21" s="22" t="s">
        <v>4</v>
      </c>
      <c r="K21" s="22"/>
      <c r="L21" t="s">
        <v>129</v>
      </c>
      <c r="M21"/>
      <c r="N21"/>
      <c r="O21"/>
    </row>
    <row r="22" spans="1:19" x14ac:dyDescent="0.3">
      <c r="A22" s="5" t="s">
        <v>117</v>
      </c>
      <c r="B22" s="5">
        <v>16</v>
      </c>
      <c r="C22" s="5">
        <v>81</v>
      </c>
      <c r="D22" s="5" t="s">
        <v>125</v>
      </c>
      <c r="E22" s="5">
        <v>31</v>
      </c>
      <c r="F22" s="4" t="b">
        <f t="shared" si="0"/>
        <v>0</v>
      </c>
    </row>
    <row r="23" spans="1:19" x14ac:dyDescent="0.3">
      <c r="A23" s="5" t="s">
        <v>118</v>
      </c>
      <c r="B23" s="5">
        <v>17</v>
      </c>
      <c r="C23" s="5">
        <v>90</v>
      </c>
      <c r="D23" s="5" t="s">
        <v>85</v>
      </c>
      <c r="E23" s="5">
        <v>7</v>
      </c>
      <c r="F23" s="4" t="b">
        <f t="shared" si="0"/>
        <v>0</v>
      </c>
      <c r="I23" s="6">
        <f>SUMIF(E18:E27,"&gt;=18",B18:B27)</f>
        <v>138</v>
      </c>
      <c r="J23" s="22" t="s">
        <v>15</v>
      </c>
      <c r="K23" s="22"/>
      <c r="L23" t="s">
        <v>130</v>
      </c>
      <c r="M23"/>
      <c r="N23"/>
      <c r="O23"/>
    </row>
    <row r="24" spans="1:19" x14ac:dyDescent="0.3">
      <c r="A24" s="5" t="s">
        <v>119</v>
      </c>
      <c r="B24" s="5">
        <v>17</v>
      </c>
      <c r="C24" s="5">
        <v>71</v>
      </c>
      <c r="D24" s="5" t="s">
        <v>126</v>
      </c>
      <c r="E24" s="5">
        <v>6</v>
      </c>
      <c r="F24" s="4" t="b">
        <f t="shared" si="0"/>
        <v>1</v>
      </c>
      <c r="I24" s="6">
        <f>AVERAGEIF(B18:B27,"&lt;18",C18:C27)</f>
        <v>77.25</v>
      </c>
      <c r="J24" s="22" t="s">
        <v>16</v>
      </c>
      <c r="K24" s="22"/>
      <c r="L24" t="s">
        <v>131</v>
      </c>
      <c r="M24"/>
      <c r="N24"/>
      <c r="O24"/>
    </row>
    <row r="25" spans="1:19" x14ac:dyDescent="0.3">
      <c r="A25" s="5" t="s">
        <v>120</v>
      </c>
      <c r="B25" s="5">
        <v>23</v>
      </c>
      <c r="C25" s="5">
        <v>65</v>
      </c>
      <c r="D25" s="5" t="s">
        <v>125</v>
      </c>
      <c r="E25" s="5">
        <v>29</v>
      </c>
      <c r="F25" s="4" t="b">
        <f t="shared" si="0"/>
        <v>0</v>
      </c>
      <c r="I25" s="6">
        <f>+COUNTIF(D18:D27,"Blanco")</f>
        <v>2</v>
      </c>
      <c r="J25" s="22" t="s">
        <v>17</v>
      </c>
      <c r="K25" s="22"/>
      <c r="L25" t="s">
        <v>132</v>
      </c>
      <c r="M25"/>
      <c r="N25"/>
      <c r="O25"/>
    </row>
    <row r="26" spans="1:19" x14ac:dyDescent="0.3">
      <c r="A26" s="5" t="s">
        <v>121</v>
      </c>
      <c r="B26" s="5">
        <v>23</v>
      </c>
      <c r="C26" s="5">
        <v>63</v>
      </c>
      <c r="D26" s="5" t="s">
        <v>86</v>
      </c>
      <c r="E26" s="5">
        <v>39</v>
      </c>
      <c r="F26" s="4" t="b">
        <f t="shared" si="0"/>
        <v>0</v>
      </c>
    </row>
    <row r="27" spans="1:19" x14ac:dyDescent="0.3">
      <c r="A27" s="5" t="s">
        <v>122</v>
      </c>
      <c r="B27" s="5">
        <v>18</v>
      </c>
      <c r="C27" s="5">
        <v>57</v>
      </c>
      <c r="D27" s="5" t="s">
        <v>124</v>
      </c>
      <c r="E27" s="5">
        <v>62</v>
      </c>
      <c r="F27" s="4" t="b">
        <f t="shared" si="0"/>
        <v>1</v>
      </c>
      <c r="I27" s="6">
        <f>SUMIFS(E18:E27,B18:B27,"&gt;=18",D18:D27,"Negro")</f>
        <v>64</v>
      </c>
      <c r="J27" s="22" t="s">
        <v>19</v>
      </c>
      <c r="K27" s="22"/>
      <c r="L27" t="s">
        <v>133</v>
      </c>
      <c r="M27"/>
      <c r="N27"/>
      <c r="O27"/>
      <c r="P27"/>
      <c r="Q27"/>
      <c r="R27"/>
      <c r="S27"/>
    </row>
    <row r="28" spans="1:19" x14ac:dyDescent="0.3">
      <c r="I28" s="6">
        <f>AVERAGEIFS(B18:B27,C18:C27,"&lt;70",E18:E27,"&gt;30")</f>
        <v>19.25</v>
      </c>
      <c r="J28" s="22" t="s">
        <v>20</v>
      </c>
      <c r="K28" s="22"/>
      <c r="L28" t="s">
        <v>134</v>
      </c>
      <c r="M28"/>
      <c r="N28"/>
      <c r="O28"/>
      <c r="P28"/>
      <c r="Q28"/>
      <c r="R28"/>
      <c r="S28"/>
    </row>
    <row r="29" spans="1:19" x14ac:dyDescent="0.3">
      <c r="I29" s="6">
        <f>COUNTIFS(C18:C27,"&lt;"&amp;AVERAGE(C18:C27),D18:D27,"Negro")+COUNTIFS(C18:C27,"&lt;"&amp;AVERAGE(C18:C27),D18:D27,"Blanco")</f>
        <v>1</v>
      </c>
      <c r="J29" s="22" t="s">
        <v>21</v>
      </c>
      <c r="K29" s="22"/>
      <c r="L29" t="s">
        <v>135</v>
      </c>
      <c r="M29"/>
      <c r="N29"/>
      <c r="O29"/>
      <c r="P29"/>
      <c r="Q29"/>
      <c r="R29"/>
      <c r="S29"/>
    </row>
    <row r="31" spans="1:19" x14ac:dyDescent="0.3">
      <c r="I31" s="6">
        <f>AVERAGEIFS(C18:C27,B18:B27,"&gt;=18",B18:B27,"&lt;=22")</f>
        <v>70.75</v>
      </c>
      <c r="J31" s="18" t="s">
        <v>136</v>
      </c>
    </row>
    <row r="32" spans="1:19" x14ac:dyDescent="0.3">
      <c r="I32" s="12">
        <f>COUNTIF(F18:F27,"VERDADERO")</f>
        <v>4</v>
      </c>
      <c r="J32" s="18" t="s">
        <v>137</v>
      </c>
    </row>
    <row r="33" spans="9:10" x14ac:dyDescent="0.3">
      <c r="I33" s="12">
        <f>COUNTIF(A18:A27,"=*a")</f>
        <v>4</v>
      </c>
      <c r="J33" s="18" t="s">
        <v>138</v>
      </c>
    </row>
  </sheetData>
  <mergeCells count="13">
    <mergeCell ref="J28:K28"/>
    <mergeCell ref="J29:K29"/>
    <mergeCell ref="H13:I13"/>
    <mergeCell ref="H14:I14"/>
    <mergeCell ref="H15:I15"/>
    <mergeCell ref="H17:M17"/>
    <mergeCell ref="J27:K27"/>
    <mergeCell ref="J25:K25"/>
    <mergeCell ref="J19:K19"/>
    <mergeCell ref="J20:K20"/>
    <mergeCell ref="J21:K21"/>
    <mergeCell ref="J23:K23"/>
    <mergeCell ref="J24:K2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7"/>
  <sheetViews>
    <sheetView tabSelected="1" workbookViewId="0">
      <selection activeCell="C18" sqref="C18"/>
    </sheetView>
  </sheetViews>
  <sheetFormatPr baseColWidth="10" defaultRowHeight="14.4" x14ac:dyDescent="0.3"/>
  <cols>
    <col min="1" max="1" width="11.88671875" bestFit="1" customWidth="1"/>
    <col min="3" max="3" width="11.88671875" bestFit="1" customWidth="1"/>
  </cols>
  <sheetData>
    <row r="1" spans="1:10" x14ac:dyDescent="0.3">
      <c r="A1" t="s">
        <v>93</v>
      </c>
    </row>
    <row r="3" spans="1:10" x14ac:dyDescent="0.3">
      <c r="A3" s="17" t="s">
        <v>22</v>
      </c>
      <c r="B3" t="s">
        <v>24</v>
      </c>
    </row>
    <row r="4" spans="1:10" x14ac:dyDescent="0.3">
      <c r="A4" s="17" t="s">
        <v>23</v>
      </c>
      <c r="B4" t="s">
        <v>25</v>
      </c>
    </row>
    <row r="6" spans="1:10" ht="15" customHeight="1" x14ac:dyDescent="0.3">
      <c r="A6" s="13" t="s">
        <v>75</v>
      </c>
      <c r="C6" s="16">
        <f>COUNTIF(A7:A57,"=a*")</f>
        <v>4</v>
      </c>
      <c r="D6" t="s">
        <v>76</v>
      </c>
      <c r="J6">
        <f>COUNTIF(A7:A57,"=a*")</f>
        <v>4</v>
      </c>
    </row>
    <row r="7" spans="1:10" ht="15" customHeight="1" x14ac:dyDescent="0.3">
      <c r="A7" s="14" t="s">
        <v>26</v>
      </c>
      <c r="B7">
        <v>1</v>
      </c>
      <c r="C7" s="16">
        <f>COUNTIF(A7:A57,"=??gre")</f>
        <v>2</v>
      </c>
      <c r="D7" t="s">
        <v>89</v>
      </c>
      <c r="J7">
        <f>COUNTIFS(A7:A57,"=?????",A7:A57,"=*gre")</f>
        <v>2</v>
      </c>
    </row>
    <row r="8" spans="1:10" ht="15" customHeight="1" x14ac:dyDescent="0.3">
      <c r="A8" s="14" t="s">
        <v>27</v>
      </c>
      <c r="C8" s="16">
        <f>COUNTIF(A7:A57,"*o")</f>
        <v>22</v>
      </c>
      <c r="D8" t="s">
        <v>77</v>
      </c>
      <c r="J8">
        <f>COUNTIF(A7:A57,"=*o")</f>
        <v>22</v>
      </c>
    </row>
    <row r="9" spans="1:10" ht="15" customHeight="1" x14ac:dyDescent="0.3">
      <c r="A9" s="14" t="s">
        <v>28</v>
      </c>
      <c r="C9" s="16">
        <f>COUNTIFS(A7:A57,"=????",A7:A57,"=to*",A7:A57,"=*o")</f>
        <v>2</v>
      </c>
      <c r="D9" t="s">
        <v>78</v>
      </c>
      <c r="J9">
        <f>COUNTIF(A7:A57,"=to?o")</f>
        <v>2</v>
      </c>
    </row>
    <row r="10" spans="1:10" ht="15" customHeight="1" x14ac:dyDescent="0.3">
      <c r="A10" s="14" t="s">
        <v>29</v>
      </c>
      <c r="C10" s="16">
        <f>COUNTIF(A7:A57,"=*g*")</f>
        <v>12</v>
      </c>
      <c r="D10" t="s">
        <v>80</v>
      </c>
    </row>
    <row r="11" spans="1:10" ht="15" customHeight="1" x14ac:dyDescent="0.3">
      <c r="A11" s="14" t="s">
        <v>30</v>
      </c>
      <c r="C11" s="16">
        <f>COUNTIF(A7:A57,"*a*a*")</f>
        <v>13</v>
      </c>
      <c r="D11" t="s">
        <v>94</v>
      </c>
    </row>
    <row r="12" spans="1:10" ht="15" customHeight="1" x14ac:dyDescent="0.3">
      <c r="A12" s="14" t="s">
        <v>31</v>
      </c>
      <c r="C12" s="16">
        <f>COUNTIF(A7:A57,"=*a*a*")-COUNTIF(A7:A57,"=*a*a*a*")</f>
        <v>11</v>
      </c>
      <c r="D12" t="s">
        <v>95</v>
      </c>
    </row>
    <row r="13" spans="1:10" ht="15" customHeight="1" x14ac:dyDescent="0.3">
      <c r="A13" s="14" t="s">
        <v>145</v>
      </c>
      <c r="C13" s="16">
        <f>COUNTIF(A7:A57,"???lo")</f>
        <v>2</v>
      </c>
      <c r="D13" t="s">
        <v>82</v>
      </c>
    </row>
    <row r="14" spans="1:10" ht="15" customHeight="1" x14ac:dyDescent="0.3">
      <c r="A14" s="14" t="s">
        <v>32</v>
      </c>
      <c r="C14" s="16">
        <f>COUNTIFS(A7:A57,"c*",A7:A57,"?????")</f>
        <v>3</v>
      </c>
      <c r="D14" t="s">
        <v>90</v>
      </c>
    </row>
    <row r="15" spans="1:10" ht="15" customHeight="1" x14ac:dyDescent="0.3">
      <c r="A15" s="14" t="s">
        <v>33</v>
      </c>
    </row>
    <row r="16" spans="1:10" ht="15" customHeight="1" x14ac:dyDescent="0.3">
      <c r="A16" s="14" t="s">
        <v>34</v>
      </c>
      <c r="C16">
        <f>COUNTIF(A13,"*a*")</f>
        <v>1</v>
      </c>
    </row>
    <row r="17" spans="1:1" ht="15" customHeight="1" x14ac:dyDescent="0.3">
      <c r="A17" s="14" t="s">
        <v>35</v>
      </c>
    </row>
    <row r="18" spans="1:1" ht="15" customHeight="1" x14ac:dyDescent="0.3">
      <c r="A18" s="14" t="s">
        <v>36</v>
      </c>
    </row>
    <row r="19" spans="1:1" ht="15" customHeight="1" x14ac:dyDescent="0.3">
      <c r="A19" s="14" t="s">
        <v>37</v>
      </c>
    </row>
    <row r="20" spans="1:1" ht="15" customHeight="1" x14ac:dyDescent="0.3">
      <c r="A20" s="14" t="s">
        <v>38</v>
      </c>
    </row>
    <row r="21" spans="1:1" ht="15" customHeight="1" x14ac:dyDescent="0.3">
      <c r="A21" s="14" t="s">
        <v>39</v>
      </c>
    </row>
    <row r="22" spans="1:1" ht="15" customHeight="1" x14ac:dyDescent="0.3">
      <c r="A22" s="14" t="s">
        <v>40</v>
      </c>
    </row>
    <row r="23" spans="1:1" ht="15" customHeight="1" x14ac:dyDescent="0.3">
      <c r="A23" s="14" t="s">
        <v>41</v>
      </c>
    </row>
    <row r="24" spans="1:1" ht="15" customHeight="1" x14ac:dyDescent="0.3">
      <c r="A24" s="14" t="s">
        <v>42</v>
      </c>
    </row>
    <row r="25" spans="1:1" ht="15" customHeight="1" x14ac:dyDescent="0.3">
      <c r="A25" s="14" t="s">
        <v>43</v>
      </c>
    </row>
    <row r="26" spans="1:1" ht="15" customHeight="1" x14ac:dyDescent="0.3">
      <c r="A26" s="14" t="s">
        <v>44</v>
      </c>
    </row>
    <row r="27" spans="1:1" ht="15" customHeight="1" x14ac:dyDescent="0.3">
      <c r="A27" s="14" t="s">
        <v>45</v>
      </c>
    </row>
    <row r="28" spans="1:1" ht="15" customHeight="1" x14ac:dyDescent="0.3">
      <c r="A28" s="14" t="s">
        <v>46</v>
      </c>
    </row>
    <row r="29" spans="1:1" ht="15" customHeight="1" x14ac:dyDescent="0.3">
      <c r="A29" s="14" t="s">
        <v>47</v>
      </c>
    </row>
    <row r="30" spans="1:1" ht="15" customHeight="1" x14ac:dyDescent="0.3">
      <c r="A30" s="14" t="s">
        <v>48</v>
      </c>
    </row>
    <row r="31" spans="1:1" ht="15" customHeight="1" x14ac:dyDescent="0.3">
      <c r="A31" s="14" t="s">
        <v>49</v>
      </c>
    </row>
    <row r="32" spans="1:1" ht="15" customHeight="1" x14ac:dyDescent="0.3">
      <c r="A32" s="14" t="s">
        <v>50</v>
      </c>
    </row>
    <row r="33" spans="1:1" ht="15" customHeight="1" x14ac:dyDescent="0.3">
      <c r="A33" s="14" t="s">
        <v>51</v>
      </c>
    </row>
    <row r="34" spans="1:1" ht="15" customHeight="1" x14ac:dyDescent="0.3">
      <c r="A34" s="14" t="s">
        <v>52</v>
      </c>
    </row>
    <row r="35" spans="1:1" ht="15" customHeight="1" x14ac:dyDescent="0.3">
      <c r="A35" s="14" t="s">
        <v>53</v>
      </c>
    </row>
    <row r="36" spans="1:1" ht="15" customHeight="1" x14ac:dyDescent="0.3">
      <c r="A36" s="14" t="s">
        <v>54</v>
      </c>
    </row>
    <row r="37" spans="1:1" ht="15" customHeight="1" x14ac:dyDescent="0.3">
      <c r="A37" s="14" t="s">
        <v>55</v>
      </c>
    </row>
    <row r="38" spans="1:1" ht="15" customHeight="1" x14ac:dyDescent="0.3">
      <c r="A38" s="14" t="s">
        <v>56</v>
      </c>
    </row>
    <row r="39" spans="1:1" ht="15" customHeight="1" x14ac:dyDescent="0.3">
      <c r="A39" s="14" t="s">
        <v>57</v>
      </c>
    </row>
    <row r="40" spans="1:1" ht="15" customHeight="1" x14ac:dyDescent="0.3">
      <c r="A40" s="15" t="s">
        <v>79</v>
      </c>
    </row>
    <row r="41" spans="1:1" ht="15" customHeight="1" x14ac:dyDescent="0.3">
      <c r="A41" s="14" t="s">
        <v>58</v>
      </c>
    </row>
    <row r="42" spans="1:1" ht="15" customHeight="1" x14ac:dyDescent="0.3">
      <c r="A42" s="14" t="s">
        <v>59</v>
      </c>
    </row>
    <row r="43" spans="1:1" ht="15" customHeight="1" x14ac:dyDescent="0.3">
      <c r="A43" s="14" t="s">
        <v>60</v>
      </c>
    </row>
    <row r="44" spans="1:1" ht="15" customHeight="1" x14ac:dyDescent="0.3">
      <c r="A44" s="14" t="s">
        <v>61</v>
      </c>
    </row>
    <row r="45" spans="1:1" ht="15" customHeight="1" x14ac:dyDescent="0.3">
      <c r="A45" s="14" t="s">
        <v>62</v>
      </c>
    </row>
    <row r="46" spans="1:1" ht="15" customHeight="1" x14ac:dyDescent="0.3">
      <c r="A46" s="14" t="s">
        <v>63</v>
      </c>
    </row>
    <row r="47" spans="1:1" ht="15" customHeight="1" x14ac:dyDescent="0.3">
      <c r="A47" s="14" t="s">
        <v>64</v>
      </c>
    </row>
    <row r="48" spans="1:1" ht="15" customHeight="1" x14ac:dyDescent="0.3">
      <c r="A48" s="14" t="s">
        <v>65</v>
      </c>
    </row>
    <row r="49" spans="1:1" ht="15" customHeight="1" x14ac:dyDescent="0.3">
      <c r="A49" s="14" t="s">
        <v>66</v>
      </c>
    </row>
    <row r="50" spans="1:1" ht="15" customHeight="1" x14ac:dyDescent="0.3">
      <c r="A50" s="14" t="s">
        <v>67</v>
      </c>
    </row>
    <row r="51" spans="1:1" ht="15" customHeight="1" x14ac:dyDescent="0.3">
      <c r="A51" s="14" t="s">
        <v>68</v>
      </c>
    </row>
    <row r="52" spans="1:1" ht="15" customHeight="1" x14ac:dyDescent="0.3">
      <c r="A52" s="14" t="s">
        <v>69</v>
      </c>
    </row>
    <row r="53" spans="1:1" ht="15" customHeight="1" x14ac:dyDescent="0.3">
      <c r="A53" s="14" t="s">
        <v>70</v>
      </c>
    </row>
    <row r="54" spans="1:1" ht="15" customHeight="1" x14ac:dyDescent="0.3">
      <c r="A54" s="14" t="s">
        <v>71</v>
      </c>
    </row>
    <row r="55" spans="1:1" ht="15" customHeight="1" x14ac:dyDescent="0.3">
      <c r="A55" s="14" t="s">
        <v>72</v>
      </c>
    </row>
    <row r="56" spans="1:1" x14ac:dyDescent="0.3">
      <c r="A56" s="14" t="s">
        <v>73</v>
      </c>
    </row>
    <row r="57" spans="1:1" x14ac:dyDescent="0.3">
      <c r="A57" s="14" t="s">
        <v>74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</vt:lpstr>
      <vt:lpstr>Fun Condiciones</vt:lpstr>
      <vt:lpstr>Wildcards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</dc:creator>
  <cp:lastModifiedBy>Mariana Velez Rivera</cp:lastModifiedBy>
  <dcterms:created xsi:type="dcterms:W3CDTF">2020-01-22T21:30:35Z</dcterms:created>
  <dcterms:modified xsi:type="dcterms:W3CDTF">2025-10-04T14:46:38Z</dcterms:modified>
</cp:coreProperties>
</file>