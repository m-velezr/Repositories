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riana Velez\Documents\6 SEMESTRE\SAD\"/>
    </mc:Choice>
  </mc:AlternateContent>
  <xr:revisionPtr revIDLastSave="0" documentId="13_ncr:1_{4F031879-7EEB-4BDB-AE5D-45052DF10DE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sumen de lista de clase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8" i="2" l="1"/>
  <c r="L8" i="2"/>
  <c r="I8" i="2"/>
  <c r="H8" i="2"/>
  <c r="G2" i="2"/>
  <c r="H2" i="2"/>
  <c r="G8" i="2"/>
  <c r="G3" i="2"/>
  <c r="G4" i="2"/>
  <c r="G5" i="2"/>
  <c r="G6" i="2"/>
  <c r="G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</calcChain>
</file>

<file path=xl/sharedStrings.xml><?xml version="1.0" encoding="utf-8"?>
<sst xmlns="http://schemas.openxmlformats.org/spreadsheetml/2006/main" count="426" uniqueCount="194">
  <si>
    <t>Información de curso</t>
  </si>
  <si>
    <t>Título de curso</t>
  </si>
  <si>
    <t>CRÍMENES Y JUSTICIA AMBIENTAL - CBPC 1380 1</t>
  </si>
  <si>
    <t>Periodo</t>
  </si>
  <si>
    <t>PRIMER SEMESTRE 2024 - 202410</t>
  </si>
  <si>
    <t>NRC</t>
  </si>
  <si>
    <t>62964</t>
  </si>
  <si>
    <t>Duración</t>
  </si>
  <si>
    <t>22-Ene-2024 - 25-May-2024</t>
  </si>
  <si>
    <t>Status</t>
  </si>
  <si>
    <t>ACTIVA</t>
  </si>
  <si>
    <t>Conteos de ingreso</t>
  </si>
  <si>
    <t/>
  </si>
  <si>
    <t>Máximo</t>
  </si>
  <si>
    <t>Real</t>
  </si>
  <si>
    <t>Restante</t>
  </si>
  <si>
    <t>Ingreso</t>
  </si>
  <si>
    <t>51</t>
  </si>
  <si>
    <t>48</t>
  </si>
  <si>
    <t>3</t>
  </si>
  <si>
    <t>Lista de espera</t>
  </si>
  <si>
    <t>0</t>
  </si>
  <si>
    <t>Lista cruzada</t>
  </si>
  <si>
    <t>Resumen de lista de clase</t>
  </si>
  <si>
    <t>Nombre del alumno</t>
  </si>
  <si>
    <t>ID</t>
  </si>
  <si>
    <t>Status de inscripción</t>
  </si>
  <si>
    <t>Nivel</t>
  </si>
  <si>
    <t>Horas crédito</t>
  </si>
  <si>
    <t>Parcial</t>
  </si>
  <si>
    <t>Final</t>
  </si>
  <si>
    <t>Clase</t>
  </si>
  <si>
    <t>ARIZA OLARTE, ARLEY</t>
  </si>
  <si>
    <t>201911446</t>
  </si>
  <si>
    <t>**REGISTRADO POR WEB**</t>
  </si>
  <si>
    <t>PREGRADO</t>
  </si>
  <si>
    <t>Sin acceso</t>
  </si>
  <si>
    <t>INGRESA A QUINTO SEMESTRE</t>
  </si>
  <si>
    <t>BELTRAN PARIS, JUAN DIEGO</t>
  </si>
  <si>
    <t>202414569</t>
  </si>
  <si>
    <t>INGRESA A PRIMER SEMESTRE</t>
  </si>
  <si>
    <t>BENAVIDES CARTAGENA, HARRIN ALBERTO</t>
  </si>
  <si>
    <t>201618989</t>
  </si>
  <si>
    <t>**REGISTRADO**</t>
  </si>
  <si>
    <t>INGRESA A OCTAVO SEMESTRE</t>
  </si>
  <si>
    <t>BLANCO RAMIREZ, ISABELLA</t>
  </si>
  <si>
    <t>202220197</t>
  </si>
  <si>
    <t>CANCINO SUAREZ, EDGAR DAVID</t>
  </si>
  <si>
    <t>202210627</t>
  </si>
  <si>
    <t>CASTILLO MAHECHA, VALENTINA KATHERINE</t>
  </si>
  <si>
    <t>202011767</t>
  </si>
  <si>
    <t>CESPEDES RAMIREZ, LAURA GERALDINNE</t>
  </si>
  <si>
    <t>202214974</t>
  </si>
  <si>
    <t>CHAPARRO QUINTERO, CARLOS DANIEL</t>
  </si>
  <si>
    <t>202214985</t>
  </si>
  <si>
    <t>INGRESA A SEXTO SEMESTRE</t>
  </si>
  <si>
    <t>CHAVES OSORIO, LORENA</t>
  </si>
  <si>
    <t>202222104</t>
  </si>
  <si>
    <t>INGRESA A  TERCER SEMESTRE</t>
  </si>
  <si>
    <t>DELGADO RESTREPO, ANA</t>
  </si>
  <si>
    <t>202125123</t>
  </si>
  <si>
    <t>DUARTE CALDERON, GABRIEL ALEJANDRO</t>
  </si>
  <si>
    <t>202215067</t>
  </si>
  <si>
    <t>DUQUE BOLIVAR, JULIAN DAVID</t>
  </si>
  <si>
    <t>202225305</t>
  </si>
  <si>
    <t>DURAN LOPEZ, JULIANA</t>
  </si>
  <si>
    <t>202220671</t>
  </si>
  <si>
    <t>INGRESA A CUARTO SEMESTRE</t>
  </si>
  <si>
    <t>ESCOBAR PINEDA, SAMUEL ALEJANDRO</t>
  </si>
  <si>
    <t>202310474</t>
  </si>
  <si>
    <t>FLOREZ DOWSE, PABLO</t>
  </si>
  <si>
    <t>202021093</t>
  </si>
  <si>
    <t>INGRESA A SEPTIMO SEMESTRE</t>
  </si>
  <si>
    <t>GONZALEZ, SOFIA</t>
  </si>
  <si>
    <t>202222252</t>
  </si>
  <si>
    <t>GUZMAN CASTELLANOS, JUAN DAVID</t>
  </si>
  <si>
    <t>202310567</t>
  </si>
  <si>
    <t>HERNANDEZ PRIETO, PAULA DANIELA</t>
  </si>
  <si>
    <t>202313647</t>
  </si>
  <si>
    <t>HERRERA FAJARDO, PAULA DANIELA</t>
  </si>
  <si>
    <t>202113704</t>
  </si>
  <si>
    <t>JIMENEZ RUBIO, DANIEL ANTONIO</t>
  </si>
  <si>
    <t>202220934</t>
  </si>
  <si>
    <t>LAGUNA AMEZQUITA, NISSY JULIANA</t>
  </si>
  <si>
    <t>202226928</t>
  </si>
  <si>
    <t>INGRESA A SEGUNDO SEMESTRE</t>
  </si>
  <si>
    <t>LIMAS ZULUAGA, JULIAN DAVID</t>
  </si>
  <si>
    <t>202122819</t>
  </si>
  <si>
    <t>LONDOÑO CUELLAR, SARA MARIA</t>
  </si>
  <si>
    <t>202220982</t>
  </si>
  <si>
    <t>LOPEZ CADENA, ROSSY DANIELA</t>
  </si>
  <si>
    <t>202212532</t>
  </si>
  <si>
    <t>MAESTRE TORO, CATALINA</t>
  </si>
  <si>
    <t>202122897</t>
  </si>
  <si>
    <t>MALDONADO CORREDOR, ANDRES FELIPE</t>
  </si>
  <si>
    <t>202213826</t>
  </si>
  <si>
    <t>MANTILLA MEZA, PAULA DANIELA</t>
  </si>
  <si>
    <t>202223645</t>
  </si>
  <si>
    <t>MARTINEZ GONZALEZ, JUAN MANUEL</t>
  </si>
  <si>
    <t>202221908</t>
  </si>
  <si>
    <t>MONTAÑEZ ARELLANA, MARTIN</t>
  </si>
  <si>
    <t>202323554</t>
  </si>
  <si>
    <t>NASREDDINE TAHA CONCHA, SAID</t>
  </si>
  <si>
    <t>202123117</t>
  </si>
  <si>
    <t>NOVA PULIDO, DANIEL FELIPE</t>
  </si>
  <si>
    <t>202212669</t>
  </si>
  <si>
    <t>ORTIZ PINTO, FABIO ANDRES</t>
  </si>
  <si>
    <t>202112377</t>
  </si>
  <si>
    <t>PARDO PARRA, DANIELA</t>
  </si>
  <si>
    <t>202112451</t>
  </si>
  <si>
    <t>RESTREPO NUÑEZ, EMILIO</t>
  </si>
  <si>
    <t>202221386</t>
  </si>
  <si>
    <t>RESTREPO VALENCIA, SARA CATALINA</t>
  </si>
  <si>
    <t>202310845</t>
  </si>
  <si>
    <t>REYES PASQUALE, JORGE LUIS</t>
  </si>
  <si>
    <t>202323874</t>
  </si>
  <si>
    <t>RODRIGUEZ SANCHEZ, ANA MARIA</t>
  </si>
  <si>
    <t>201923423</t>
  </si>
  <si>
    <t>INGRESA A SEMESTRE 11</t>
  </si>
  <si>
    <t>RUIZ FORERO, MARIA ALEJANDRA</t>
  </si>
  <si>
    <t>202220105</t>
  </si>
  <si>
    <t>SAMBONI ARGOTE, JUAN FELIPE</t>
  </si>
  <si>
    <t>202211536</t>
  </si>
  <si>
    <t>SANCHEZ NOVOA, EDWARD CAMILO</t>
  </si>
  <si>
    <t>202113020</t>
  </si>
  <si>
    <t>SANDOVAL SANTANA, JESUS ERNESTO</t>
  </si>
  <si>
    <t>202215917</t>
  </si>
  <si>
    <t>SIERRA PEDRAZA, MARTIN</t>
  </si>
  <si>
    <t>202123720</t>
  </si>
  <si>
    <t>SUBH, CELINA</t>
  </si>
  <si>
    <t>202216525</t>
  </si>
  <si>
    <t>TORO NOVOA, NICOLAS</t>
  </si>
  <si>
    <t>202222690</t>
  </si>
  <si>
    <t>VARGAS VARGAS, FELIPE</t>
  </si>
  <si>
    <t>202123900</t>
  </si>
  <si>
    <t>VASQUEZ POLANIA, JUAN JOSE</t>
  </si>
  <si>
    <t>202216047</t>
  </si>
  <si>
    <t>VILLA CRUZ, ARIANGNA</t>
  </si>
  <si>
    <t>202020506</t>
  </si>
  <si>
    <t>ZAPATA OROZCO, DAVID LEONARDO</t>
  </si>
  <si>
    <t>202211714</t>
  </si>
  <si>
    <t>Comentario</t>
  </si>
  <si>
    <t>Puntaje obtenido</t>
  </si>
  <si>
    <t>Puntaje total</t>
  </si>
  <si>
    <t>Nota</t>
  </si>
  <si>
    <t>Ariza Olarte, Arley</t>
  </si>
  <si>
    <t>Beltran Paris, Juan Diego</t>
  </si>
  <si>
    <t>Blanco Ramirez, Isabella</t>
  </si>
  <si>
    <t>Cancino Suarez, Edgar David</t>
  </si>
  <si>
    <t>Castillo Mahecha, Valentina Katherine</t>
  </si>
  <si>
    <t>Cespedes Ramirez, Laura Geraldinne</t>
  </si>
  <si>
    <t xml:space="preserve">Chaparro Quintero, Carlos Daniel </t>
  </si>
  <si>
    <t>Chaves Osorio, Lorena</t>
  </si>
  <si>
    <t>Delgado, Ana</t>
  </si>
  <si>
    <t xml:space="preserve">Duarte Calderon, Gabriel Alejandro </t>
  </si>
  <si>
    <t xml:space="preserve">Duque Bolivar, Julian David </t>
  </si>
  <si>
    <t xml:space="preserve">Duran Lopez, Juliana </t>
  </si>
  <si>
    <t>Escobar Pineda, Samuel Alejandro</t>
  </si>
  <si>
    <t>Florez Dowse, Pablo</t>
  </si>
  <si>
    <t>Gonzalez, Sofia</t>
  </si>
  <si>
    <t xml:space="preserve">Guzman Castellanos, Juan David </t>
  </si>
  <si>
    <t>Hernandez Prieto, Paula Daniela</t>
  </si>
  <si>
    <t xml:space="preserve">Herrera Fajardo, Paula Daniela </t>
  </si>
  <si>
    <t>Jimenez Rubio, Daniel Antonio</t>
  </si>
  <si>
    <t>Laguna Amezquita, Nissy Juliana</t>
  </si>
  <si>
    <t>Limas Zuluaga, Julian David</t>
  </si>
  <si>
    <t>Londoño Cuellar, Sara Maria</t>
  </si>
  <si>
    <t>Lopez Cadena, Rossy Daniela</t>
  </si>
  <si>
    <t>Maestre Toro, Catalina</t>
  </si>
  <si>
    <t xml:space="preserve">Maldonado Corredor, Andres Felipe </t>
  </si>
  <si>
    <t>Mantilla Meza, Paula Daniela</t>
  </si>
  <si>
    <t>Martinez Gonzalez, Juan Manuel</t>
  </si>
  <si>
    <t>Montañez Arellana, Martin</t>
  </si>
  <si>
    <t>Nasreddine Taha Concha, Said</t>
  </si>
  <si>
    <t xml:space="preserve">Nova Pulido, Daniel Felipe </t>
  </si>
  <si>
    <t xml:space="preserve">Ortiz Pinto, Fabio Andres </t>
  </si>
  <si>
    <t>Pardo Parra, Daniela</t>
  </si>
  <si>
    <t xml:space="preserve">Restrepo Nuñez, Emilio </t>
  </si>
  <si>
    <t>Restrepo Valencia, Sara Catalina</t>
  </si>
  <si>
    <t>Jorge Luis Reyes</t>
  </si>
  <si>
    <t xml:space="preserve">Rodriguez Sanchez, Ana Maria </t>
  </si>
  <si>
    <t xml:space="preserve">Ruiz Forero, Maria Alejandra </t>
  </si>
  <si>
    <t>Samboni Argote, Juan Felipe</t>
  </si>
  <si>
    <t>Sanchez Novoa, Edward Camilo</t>
  </si>
  <si>
    <t xml:space="preserve">Sandoval Leon, Carolina </t>
  </si>
  <si>
    <t xml:space="preserve">Sandoval Santana, Jesus Ernesto </t>
  </si>
  <si>
    <t>Sierra Pedraza, Martin</t>
  </si>
  <si>
    <t xml:space="preserve">Subh, Celina </t>
  </si>
  <si>
    <t xml:space="preserve">Toro Novoa, Nicolas </t>
  </si>
  <si>
    <t xml:space="preserve">Vargas Vargas, Felipe </t>
  </si>
  <si>
    <t xml:space="preserve">Vasquez Polania, Juan Jose </t>
  </si>
  <si>
    <t>Villa Cruz, Ariangna</t>
  </si>
  <si>
    <t>Zapata Orozco, David Leonardo</t>
  </si>
  <si>
    <t>Cartagena Benavides, 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</si>
</sst>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opLeftCell="A11" workbookViewId="0">
      <selection activeCell="A23" sqref="A23"/>
    </sheetView>
  </sheetViews>
  <sheetFormatPr baseColWidth="10" defaultColWidth="20.85546875" defaultRowHeight="15" x14ac:dyDescent="0.25"/>
  <cols>
    <col min="1" max="1" width="49.7109375" customWidth="1"/>
  </cols>
  <sheetData>
    <row r="1" spans="1:8" x14ac:dyDescent="0.25">
      <c r="A1" s="1" t="s">
        <v>0</v>
      </c>
    </row>
    <row r="2" spans="1:8" x14ac:dyDescent="0.25">
      <c r="A2" s="1" t="s">
        <v>1</v>
      </c>
      <c r="B2" t="s">
        <v>2</v>
      </c>
    </row>
    <row r="3" spans="1:8" x14ac:dyDescent="0.25">
      <c r="A3" s="1" t="s">
        <v>3</v>
      </c>
      <c r="B3" t="s">
        <v>4</v>
      </c>
    </row>
    <row r="4" spans="1:8" x14ac:dyDescent="0.25">
      <c r="A4" s="1" t="s">
        <v>5</v>
      </c>
      <c r="B4" t="s">
        <v>6</v>
      </c>
    </row>
    <row r="5" spans="1:8" x14ac:dyDescent="0.25">
      <c r="A5" s="1" t="s">
        <v>7</v>
      </c>
      <c r="B5" t="s">
        <v>8</v>
      </c>
    </row>
    <row r="6" spans="1:8" x14ac:dyDescent="0.25">
      <c r="A6" s="1" t="s">
        <v>9</v>
      </c>
      <c r="B6" t="s">
        <v>10</v>
      </c>
    </row>
    <row r="8" spans="1:8" x14ac:dyDescent="0.25">
      <c r="A8" s="1" t="s">
        <v>11</v>
      </c>
    </row>
    <row r="9" spans="1:8" x14ac:dyDescent="0.25">
      <c r="A9" s="1" t="s">
        <v>12</v>
      </c>
      <c r="B9" s="1" t="s">
        <v>13</v>
      </c>
      <c r="C9" s="1" t="s">
        <v>14</v>
      </c>
      <c r="D9" s="1" t="s">
        <v>15</v>
      </c>
    </row>
    <row r="10" spans="1:8" x14ac:dyDescent="0.25">
      <c r="A10" t="s">
        <v>16</v>
      </c>
      <c r="B10" t="s">
        <v>17</v>
      </c>
      <c r="C10" t="s">
        <v>18</v>
      </c>
      <c r="D10" t="s">
        <v>19</v>
      </c>
    </row>
    <row r="11" spans="1:8" x14ac:dyDescent="0.25">
      <c r="A11" t="s">
        <v>20</v>
      </c>
      <c r="B11" t="s">
        <v>21</v>
      </c>
      <c r="C11" t="s">
        <v>21</v>
      </c>
      <c r="D11" t="s">
        <v>21</v>
      </c>
    </row>
    <row r="12" spans="1:8" x14ac:dyDescent="0.25">
      <c r="A12" t="s">
        <v>22</v>
      </c>
      <c r="B12" t="s">
        <v>21</v>
      </c>
      <c r="C12" t="s">
        <v>21</v>
      </c>
      <c r="D12" t="s">
        <v>21</v>
      </c>
    </row>
    <row r="14" spans="1:8" x14ac:dyDescent="0.25">
      <c r="A14" s="1" t="s">
        <v>23</v>
      </c>
    </row>
    <row r="15" spans="1:8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  <c r="H15" s="1" t="s">
        <v>31</v>
      </c>
    </row>
    <row r="16" spans="1:8" x14ac:dyDescent="0.25">
      <c r="A16" t="s">
        <v>32</v>
      </c>
      <c r="B16" t="s">
        <v>33</v>
      </c>
      <c r="C16" t="s">
        <v>34</v>
      </c>
      <c r="D16" t="s">
        <v>35</v>
      </c>
      <c r="E16">
        <v>2</v>
      </c>
      <c r="F16" t="s">
        <v>36</v>
      </c>
      <c r="G16" t="s">
        <v>36</v>
      </c>
      <c r="H16" t="s">
        <v>37</v>
      </c>
    </row>
    <row r="17" spans="1:8" x14ac:dyDescent="0.25">
      <c r="A17" t="s">
        <v>38</v>
      </c>
      <c r="B17" t="s">
        <v>39</v>
      </c>
      <c r="C17" t="s">
        <v>34</v>
      </c>
      <c r="D17" t="s">
        <v>35</v>
      </c>
      <c r="E17">
        <v>2</v>
      </c>
      <c r="F17" t="s">
        <v>36</v>
      </c>
      <c r="G17" t="s">
        <v>36</v>
      </c>
      <c r="H17" t="s">
        <v>40</v>
      </c>
    </row>
    <row r="18" spans="1:8" x14ac:dyDescent="0.25">
      <c r="A18" t="s">
        <v>41</v>
      </c>
      <c r="B18" t="s">
        <v>42</v>
      </c>
      <c r="C18" t="s">
        <v>43</v>
      </c>
      <c r="D18" t="s">
        <v>35</v>
      </c>
      <c r="E18">
        <v>2</v>
      </c>
      <c r="F18" t="s">
        <v>36</v>
      </c>
      <c r="G18" t="s">
        <v>36</v>
      </c>
      <c r="H18" t="s">
        <v>44</v>
      </c>
    </row>
    <row r="19" spans="1:8" x14ac:dyDescent="0.25">
      <c r="A19" t="s">
        <v>45</v>
      </c>
      <c r="B19" t="s">
        <v>46</v>
      </c>
      <c r="C19" t="s">
        <v>34</v>
      </c>
      <c r="D19" t="s">
        <v>35</v>
      </c>
      <c r="E19">
        <v>2</v>
      </c>
      <c r="F19" t="s">
        <v>36</v>
      </c>
      <c r="G19" t="s">
        <v>36</v>
      </c>
      <c r="H19" t="s">
        <v>37</v>
      </c>
    </row>
    <row r="20" spans="1:8" x14ac:dyDescent="0.25">
      <c r="A20" t="s">
        <v>47</v>
      </c>
      <c r="B20" t="s">
        <v>48</v>
      </c>
      <c r="C20" t="s">
        <v>34</v>
      </c>
      <c r="D20" t="s">
        <v>35</v>
      </c>
      <c r="E20">
        <v>2</v>
      </c>
      <c r="F20" t="s">
        <v>36</v>
      </c>
      <c r="G20" t="s">
        <v>36</v>
      </c>
      <c r="H20" t="s">
        <v>37</v>
      </c>
    </row>
    <row r="21" spans="1:8" x14ac:dyDescent="0.25">
      <c r="A21" t="s">
        <v>49</v>
      </c>
      <c r="B21" t="s">
        <v>50</v>
      </c>
      <c r="C21" t="s">
        <v>34</v>
      </c>
      <c r="D21" t="s">
        <v>35</v>
      </c>
      <c r="E21">
        <v>2</v>
      </c>
      <c r="F21" t="s">
        <v>36</v>
      </c>
      <c r="G21" t="s">
        <v>36</v>
      </c>
      <c r="H21" t="s">
        <v>37</v>
      </c>
    </row>
    <row r="22" spans="1:8" x14ac:dyDescent="0.25">
      <c r="A22" t="s">
        <v>51</v>
      </c>
      <c r="B22" t="s">
        <v>52</v>
      </c>
      <c r="C22" t="s">
        <v>34</v>
      </c>
      <c r="D22" t="s">
        <v>35</v>
      </c>
      <c r="E22">
        <v>2</v>
      </c>
      <c r="F22" t="s">
        <v>36</v>
      </c>
      <c r="G22" t="s">
        <v>36</v>
      </c>
      <c r="H22" t="s">
        <v>37</v>
      </c>
    </row>
    <row r="23" spans="1:8" x14ac:dyDescent="0.25">
      <c r="A23" t="s">
        <v>53</v>
      </c>
      <c r="B23" t="s">
        <v>54</v>
      </c>
      <c r="C23" t="s">
        <v>34</v>
      </c>
      <c r="D23" t="s">
        <v>35</v>
      </c>
      <c r="E23">
        <v>2</v>
      </c>
      <c r="F23" t="s">
        <v>36</v>
      </c>
      <c r="G23" t="s">
        <v>36</v>
      </c>
      <c r="H23" t="s">
        <v>55</v>
      </c>
    </row>
    <row r="24" spans="1:8" x14ac:dyDescent="0.25">
      <c r="A24" t="s">
        <v>56</v>
      </c>
      <c r="B24" t="s">
        <v>57</v>
      </c>
      <c r="C24" t="s">
        <v>34</v>
      </c>
      <c r="D24" t="s">
        <v>35</v>
      </c>
      <c r="E24">
        <v>2</v>
      </c>
      <c r="F24" t="s">
        <v>36</v>
      </c>
      <c r="G24" t="s">
        <v>36</v>
      </c>
      <c r="H24" t="s">
        <v>58</v>
      </c>
    </row>
    <row r="25" spans="1:8" x14ac:dyDescent="0.25">
      <c r="A25" t="s">
        <v>59</v>
      </c>
      <c r="B25" t="s">
        <v>60</v>
      </c>
      <c r="C25" t="s">
        <v>43</v>
      </c>
      <c r="D25" t="s">
        <v>35</v>
      </c>
      <c r="E25">
        <v>2</v>
      </c>
      <c r="F25" t="s">
        <v>36</v>
      </c>
      <c r="G25" t="s">
        <v>36</v>
      </c>
      <c r="H25" t="s">
        <v>37</v>
      </c>
    </row>
    <row r="26" spans="1:8" x14ac:dyDescent="0.25">
      <c r="A26" t="s">
        <v>61</v>
      </c>
      <c r="B26" t="s">
        <v>62</v>
      </c>
      <c r="C26" t="s">
        <v>34</v>
      </c>
      <c r="D26" t="s">
        <v>35</v>
      </c>
      <c r="E26">
        <v>2</v>
      </c>
      <c r="F26" t="s">
        <v>36</v>
      </c>
      <c r="G26" t="s">
        <v>36</v>
      </c>
      <c r="H26" t="s">
        <v>55</v>
      </c>
    </row>
    <row r="27" spans="1:8" x14ac:dyDescent="0.25">
      <c r="A27" t="s">
        <v>63</v>
      </c>
      <c r="B27" t="s">
        <v>64</v>
      </c>
      <c r="C27" t="s">
        <v>34</v>
      </c>
      <c r="D27" t="s">
        <v>35</v>
      </c>
      <c r="E27">
        <v>2</v>
      </c>
      <c r="F27" t="s">
        <v>36</v>
      </c>
      <c r="G27" t="s">
        <v>36</v>
      </c>
      <c r="H27" t="s">
        <v>58</v>
      </c>
    </row>
    <row r="28" spans="1:8" x14ac:dyDescent="0.25">
      <c r="A28" t="s">
        <v>65</v>
      </c>
      <c r="B28" t="s">
        <v>66</v>
      </c>
      <c r="C28" t="s">
        <v>34</v>
      </c>
      <c r="D28" t="s">
        <v>35</v>
      </c>
      <c r="E28">
        <v>2</v>
      </c>
      <c r="F28" t="s">
        <v>36</v>
      </c>
      <c r="G28" t="s">
        <v>36</v>
      </c>
      <c r="H28" t="s">
        <v>67</v>
      </c>
    </row>
    <row r="29" spans="1:8" x14ac:dyDescent="0.25">
      <c r="A29" t="s">
        <v>68</v>
      </c>
      <c r="B29" t="s">
        <v>69</v>
      </c>
      <c r="C29" t="s">
        <v>34</v>
      </c>
      <c r="D29" t="s">
        <v>35</v>
      </c>
      <c r="E29">
        <v>2</v>
      </c>
      <c r="F29" t="s">
        <v>36</v>
      </c>
      <c r="G29" t="s">
        <v>36</v>
      </c>
      <c r="H29" t="s">
        <v>67</v>
      </c>
    </row>
    <row r="30" spans="1:8" x14ac:dyDescent="0.25">
      <c r="A30" t="s">
        <v>70</v>
      </c>
      <c r="B30" t="s">
        <v>71</v>
      </c>
      <c r="C30" t="s">
        <v>34</v>
      </c>
      <c r="D30" t="s">
        <v>35</v>
      </c>
      <c r="E30">
        <v>2</v>
      </c>
      <c r="F30" t="s">
        <v>36</v>
      </c>
      <c r="G30" t="s">
        <v>36</v>
      </c>
      <c r="H30" t="s">
        <v>72</v>
      </c>
    </row>
    <row r="31" spans="1:8" x14ac:dyDescent="0.25">
      <c r="A31" t="s">
        <v>73</v>
      </c>
      <c r="B31" t="s">
        <v>74</v>
      </c>
      <c r="C31" t="s">
        <v>34</v>
      </c>
      <c r="D31" t="s">
        <v>35</v>
      </c>
      <c r="E31">
        <v>2</v>
      </c>
      <c r="F31" t="s">
        <v>36</v>
      </c>
      <c r="G31" t="s">
        <v>36</v>
      </c>
      <c r="H31" t="s">
        <v>37</v>
      </c>
    </row>
    <row r="32" spans="1:8" x14ac:dyDescent="0.25">
      <c r="A32" t="s">
        <v>75</v>
      </c>
      <c r="B32" t="s">
        <v>76</v>
      </c>
      <c r="C32" t="s">
        <v>34</v>
      </c>
      <c r="D32" t="s">
        <v>35</v>
      </c>
      <c r="E32">
        <v>2</v>
      </c>
      <c r="F32" t="s">
        <v>36</v>
      </c>
      <c r="G32" t="s">
        <v>36</v>
      </c>
      <c r="H32" t="s">
        <v>67</v>
      </c>
    </row>
    <row r="33" spans="1:8" x14ac:dyDescent="0.25">
      <c r="A33" t="s">
        <v>77</v>
      </c>
      <c r="B33" t="s">
        <v>78</v>
      </c>
      <c r="C33" t="s">
        <v>34</v>
      </c>
      <c r="D33" t="s">
        <v>35</v>
      </c>
      <c r="E33">
        <v>2</v>
      </c>
      <c r="F33" t="s">
        <v>36</v>
      </c>
      <c r="G33" t="s">
        <v>36</v>
      </c>
      <c r="H33" t="s">
        <v>58</v>
      </c>
    </row>
    <row r="34" spans="1:8" x14ac:dyDescent="0.25">
      <c r="A34" t="s">
        <v>79</v>
      </c>
      <c r="B34" t="s">
        <v>80</v>
      </c>
      <c r="C34" t="s">
        <v>34</v>
      </c>
      <c r="D34" t="s">
        <v>35</v>
      </c>
      <c r="E34">
        <v>2</v>
      </c>
      <c r="F34" t="s">
        <v>36</v>
      </c>
      <c r="G34" t="s">
        <v>36</v>
      </c>
      <c r="H34" t="s">
        <v>37</v>
      </c>
    </row>
    <row r="35" spans="1:8" x14ac:dyDescent="0.25">
      <c r="A35" t="s">
        <v>81</v>
      </c>
      <c r="B35" t="s">
        <v>82</v>
      </c>
      <c r="C35" t="s">
        <v>34</v>
      </c>
      <c r="D35" t="s">
        <v>35</v>
      </c>
      <c r="E35">
        <v>2</v>
      </c>
      <c r="F35" t="s">
        <v>36</v>
      </c>
      <c r="G35" t="s">
        <v>36</v>
      </c>
      <c r="H35" t="s">
        <v>67</v>
      </c>
    </row>
    <row r="36" spans="1:8" x14ac:dyDescent="0.25">
      <c r="A36" t="s">
        <v>83</v>
      </c>
      <c r="B36" t="s">
        <v>84</v>
      </c>
      <c r="C36" t="s">
        <v>43</v>
      </c>
      <c r="D36" t="s">
        <v>35</v>
      </c>
      <c r="E36">
        <v>2</v>
      </c>
      <c r="F36" t="s">
        <v>36</v>
      </c>
      <c r="G36" t="s">
        <v>36</v>
      </c>
      <c r="H36" t="s">
        <v>85</v>
      </c>
    </row>
    <row r="37" spans="1:8" x14ac:dyDescent="0.25">
      <c r="A37" t="s">
        <v>86</v>
      </c>
      <c r="B37" t="s">
        <v>87</v>
      </c>
      <c r="C37" t="s">
        <v>34</v>
      </c>
      <c r="D37" t="s">
        <v>35</v>
      </c>
      <c r="E37">
        <v>2</v>
      </c>
      <c r="F37" t="s">
        <v>36</v>
      </c>
      <c r="G37" t="s">
        <v>36</v>
      </c>
      <c r="H37" t="s">
        <v>55</v>
      </c>
    </row>
    <row r="38" spans="1:8" x14ac:dyDescent="0.25">
      <c r="A38" t="s">
        <v>88</v>
      </c>
      <c r="B38" t="s">
        <v>89</v>
      </c>
      <c r="C38" t="s">
        <v>34</v>
      </c>
      <c r="D38" t="s">
        <v>35</v>
      </c>
      <c r="E38">
        <v>2</v>
      </c>
      <c r="F38" t="s">
        <v>36</v>
      </c>
      <c r="G38" t="s">
        <v>36</v>
      </c>
      <c r="H38" t="s">
        <v>67</v>
      </c>
    </row>
    <row r="39" spans="1:8" x14ac:dyDescent="0.25">
      <c r="A39" t="s">
        <v>90</v>
      </c>
      <c r="B39" t="s">
        <v>91</v>
      </c>
      <c r="C39" t="s">
        <v>34</v>
      </c>
      <c r="D39" t="s">
        <v>35</v>
      </c>
      <c r="E39">
        <v>2</v>
      </c>
      <c r="F39" t="s">
        <v>36</v>
      </c>
      <c r="G39" t="s">
        <v>36</v>
      </c>
      <c r="H39" t="s">
        <v>37</v>
      </c>
    </row>
    <row r="40" spans="1:8" x14ac:dyDescent="0.25">
      <c r="A40" t="s">
        <v>92</v>
      </c>
      <c r="B40" t="s">
        <v>93</v>
      </c>
      <c r="C40" t="s">
        <v>34</v>
      </c>
      <c r="D40" t="s">
        <v>35</v>
      </c>
      <c r="E40">
        <v>2</v>
      </c>
      <c r="F40" t="s">
        <v>36</v>
      </c>
      <c r="G40" t="s">
        <v>36</v>
      </c>
      <c r="H40" t="s">
        <v>37</v>
      </c>
    </row>
    <row r="41" spans="1:8" x14ac:dyDescent="0.25">
      <c r="A41" t="s">
        <v>94</v>
      </c>
      <c r="B41" t="s">
        <v>95</v>
      </c>
      <c r="C41" t="s">
        <v>34</v>
      </c>
      <c r="D41" t="s">
        <v>35</v>
      </c>
      <c r="E41">
        <v>2</v>
      </c>
      <c r="F41" t="s">
        <v>36</v>
      </c>
      <c r="G41" t="s">
        <v>36</v>
      </c>
      <c r="H41" t="s">
        <v>37</v>
      </c>
    </row>
    <row r="42" spans="1:8" x14ac:dyDescent="0.25">
      <c r="A42" t="s">
        <v>96</v>
      </c>
      <c r="B42" t="s">
        <v>97</v>
      </c>
      <c r="C42" t="s">
        <v>34</v>
      </c>
      <c r="D42" t="s">
        <v>35</v>
      </c>
      <c r="E42">
        <v>2</v>
      </c>
      <c r="F42" t="s">
        <v>36</v>
      </c>
      <c r="G42" t="s">
        <v>36</v>
      </c>
      <c r="H42" t="s">
        <v>37</v>
      </c>
    </row>
    <row r="43" spans="1:8" x14ac:dyDescent="0.25">
      <c r="A43" t="s">
        <v>98</v>
      </c>
      <c r="B43" t="s">
        <v>99</v>
      </c>
      <c r="C43" t="s">
        <v>34</v>
      </c>
      <c r="D43" t="s">
        <v>35</v>
      </c>
      <c r="E43">
        <v>2</v>
      </c>
      <c r="F43" t="s">
        <v>36</v>
      </c>
      <c r="G43" t="s">
        <v>36</v>
      </c>
      <c r="H43" t="s">
        <v>37</v>
      </c>
    </row>
    <row r="44" spans="1:8" x14ac:dyDescent="0.25">
      <c r="A44" t="s">
        <v>100</v>
      </c>
      <c r="B44" t="s">
        <v>101</v>
      </c>
      <c r="C44" t="s">
        <v>34</v>
      </c>
      <c r="D44" t="s">
        <v>35</v>
      </c>
      <c r="E44">
        <v>2</v>
      </c>
      <c r="F44" t="s">
        <v>36</v>
      </c>
      <c r="G44" t="s">
        <v>36</v>
      </c>
      <c r="H44" t="s">
        <v>85</v>
      </c>
    </row>
    <row r="45" spans="1:8" x14ac:dyDescent="0.25">
      <c r="A45" t="s">
        <v>102</v>
      </c>
      <c r="B45" t="s">
        <v>103</v>
      </c>
      <c r="C45" t="s">
        <v>34</v>
      </c>
      <c r="D45" t="s">
        <v>35</v>
      </c>
      <c r="E45">
        <v>2</v>
      </c>
      <c r="F45" t="s">
        <v>36</v>
      </c>
      <c r="G45" t="s">
        <v>36</v>
      </c>
      <c r="H45" t="s">
        <v>37</v>
      </c>
    </row>
    <row r="46" spans="1:8" x14ac:dyDescent="0.25">
      <c r="A46" t="s">
        <v>104</v>
      </c>
      <c r="B46" t="s">
        <v>105</v>
      </c>
      <c r="C46" t="s">
        <v>34</v>
      </c>
      <c r="D46" t="s">
        <v>35</v>
      </c>
      <c r="E46">
        <v>2</v>
      </c>
      <c r="F46" t="s">
        <v>36</v>
      </c>
      <c r="G46" t="s">
        <v>36</v>
      </c>
      <c r="H46" t="s">
        <v>37</v>
      </c>
    </row>
    <row r="47" spans="1:8" x14ac:dyDescent="0.25">
      <c r="A47" t="s">
        <v>106</v>
      </c>
      <c r="B47" t="s">
        <v>107</v>
      </c>
      <c r="C47" t="s">
        <v>34</v>
      </c>
      <c r="D47" t="s">
        <v>35</v>
      </c>
      <c r="E47">
        <v>2</v>
      </c>
      <c r="F47" t="s">
        <v>36</v>
      </c>
      <c r="G47" t="s">
        <v>36</v>
      </c>
      <c r="H47" t="s">
        <v>55</v>
      </c>
    </row>
    <row r="48" spans="1:8" x14ac:dyDescent="0.25">
      <c r="A48" t="s">
        <v>108</v>
      </c>
      <c r="B48" t="s">
        <v>109</v>
      </c>
      <c r="C48" t="s">
        <v>34</v>
      </c>
      <c r="D48" t="s">
        <v>35</v>
      </c>
      <c r="E48">
        <v>2</v>
      </c>
      <c r="F48" t="s">
        <v>36</v>
      </c>
      <c r="G48" t="s">
        <v>36</v>
      </c>
      <c r="H48" t="s">
        <v>55</v>
      </c>
    </row>
    <row r="49" spans="1:8" x14ac:dyDescent="0.25">
      <c r="A49" t="s">
        <v>110</v>
      </c>
      <c r="B49" t="s">
        <v>111</v>
      </c>
      <c r="C49" t="s">
        <v>34</v>
      </c>
      <c r="D49" t="s">
        <v>35</v>
      </c>
      <c r="E49">
        <v>2</v>
      </c>
      <c r="F49" t="s">
        <v>36</v>
      </c>
      <c r="G49" t="s">
        <v>36</v>
      </c>
      <c r="H49" t="s">
        <v>67</v>
      </c>
    </row>
    <row r="50" spans="1:8" x14ac:dyDescent="0.25">
      <c r="A50" t="s">
        <v>112</v>
      </c>
      <c r="B50" t="s">
        <v>113</v>
      </c>
      <c r="C50" t="s">
        <v>34</v>
      </c>
      <c r="D50" t="s">
        <v>35</v>
      </c>
      <c r="E50">
        <v>2</v>
      </c>
      <c r="F50" t="s">
        <v>36</v>
      </c>
      <c r="G50" t="s">
        <v>36</v>
      </c>
      <c r="H50" t="s">
        <v>58</v>
      </c>
    </row>
    <row r="51" spans="1:8" x14ac:dyDescent="0.25">
      <c r="A51" t="s">
        <v>114</v>
      </c>
      <c r="B51" t="s">
        <v>115</v>
      </c>
      <c r="C51" t="s">
        <v>43</v>
      </c>
      <c r="D51" t="s">
        <v>35</v>
      </c>
      <c r="E51">
        <v>2</v>
      </c>
      <c r="F51" t="s">
        <v>36</v>
      </c>
      <c r="G51" t="s">
        <v>36</v>
      </c>
      <c r="H51" t="s">
        <v>85</v>
      </c>
    </row>
    <row r="52" spans="1:8" x14ac:dyDescent="0.25">
      <c r="A52" t="s">
        <v>116</v>
      </c>
      <c r="B52" t="s">
        <v>117</v>
      </c>
      <c r="C52" t="s">
        <v>34</v>
      </c>
      <c r="D52" t="s">
        <v>35</v>
      </c>
      <c r="E52">
        <v>2</v>
      </c>
      <c r="F52" t="s">
        <v>36</v>
      </c>
      <c r="G52" t="s">
        <v>36</v>
      </c>
      <c r="H52" t="s">
        <v>118</v>
      </c>
    </row>
    <row r="53" spans="1:8" x14ac:dyDescent="0.25">
      <c r="A53" t="s">
        <v>119</v>
      </c>
      <c r="B53" t="s">
        <v>120</v>
      </c>
      <c r="C53" t="s">
        <v>34</v>
      </c>
      <c r="D53" t="s">
        <v>35</v>
      </c>
      <c r="E53">
        <v>2</v>
      </c>
      <c r="F53" t="s">
        <v>36</v>
      </c>
      <c r="G53" t="s">
        <v>36</v>
      </c>
      <c r="H53" t="s">
        <v>67</v>
      </c>
    </row>
    <row r="54" spans="1:8" x14ac:dyDescent="0.25">
      <c r="A54" t="s">
        <v>121</v>
      </c>
      <c r="B54" t="s">
        <v>122</v>
      </c>
      <c r="C54" t="s">
        <v>34</v>
      </c>
      <c r="D54" t="s">
        <v>35</v>
      </c>
      <c r="E54">
        <v>2</v>
      </c>
      <c r="F54" t="s">
        <v>36</v>
      </c>
      <c r="G54" t="s">
        <v>36</v>
      </c>
      <c r="H54" t="s">
        <v>55</v>
      </c>
    </row>
    <row r="55" spans="1:8" x14ac:dyDescent="0.25">
      <c r="A55" t="s">
        <v>123</v>
      </c>
      <c r="B55" t="s">
        <v>124</v>
      </c>
      <c r="C55" t="s">
        <v>34</v>
      </c>
      <c r="D55" t="s">
        <v>35</v>
      </c>
      <c r="E55">
        <v>2</v>
      </c>
      <c r="F55" t="s">
        <v>36</v>
      </c>
      <c r="G55" t="s">
        <v>36</v>
      </c>
      <c r="H55" t="s">
        <v>37</v>
      </c>
    </row>
    <row r="56" spans="1:8" x14ac:dyDescent="0.25">
      <c r="A56" t="s">
        <v>125</v>
      </c>
      <c r="B56" t="s">
        <v>126</v>
      </c>
      <c r="C56" t="s">
        <v>34</v>
      </c>
      <c r="D56" t="s">
        <v>35</v>
      </c>
      <c r="E56">
        <v>2</v>
      </c>
      <c r="F56" t="s">
        <v>36</v>
      </c>
      <c r="G56" t="s">
        <v>36</v>
      </c>
      <c r="H56" t="s">
        <v>37</v>
      </c>
    </row>
    <row r="57" spans="1:8" x14ac:dyDescent="0.25">
      <c r="A57" t="s">
        <v>127</v>
      </c>
      <c r="B57" t="s">
        <v>128</v>
      </c>
      <c r="C57" t="s">
        <v>43</v>
      </c>
      <c r="D57" t="s">
        <v>35</v>
      </c>
      <c r="E57">
        <v>2</v>
      </c>
      <c r="F57" t="s">
        <v>36</v>
      </c>
      <c r="G57" t="s">
        <v>36</v>
      </c>
      <c r="H57" t="s">
        <v>55</v>
      </c>
    </row>
    <row r="58" spans="1:8" x14ac:dyDescent="0.25">
      <c r="A58" t="s">
        <v>129</v>
      </c>
      <c r="B58" t="s">
        <v>130</v>
      </c>
      <c r="C58" t="s">
        <v>34</v>
      </c>
      <c r="D58" t="s">
        <v>35</v>
      </c>
      <c r="E58">
        <v>2</v>
      </c>
      <c r="F58" t="s">
        <v>36</v>
      </c>
      <c r="G58" t="s">
        <v>36</v>
      </c>
      <c r="H58" t="s">
        <v>67</v>
      </c>
    </row>
    <row r="59" spans="1:8" x14ac:dyDescent="0.25">
      <c r="A59" t="s">
        <v>131</v>
      </c>
      <c r="B59" t="s">
        <v>132</v>
      </c>
      <c r="C59" t="s">
        <v>34</v>
      </c>
      <c r="D59" t="s">
        <v>35</v>
      </c>
      <c r="E59">
        <v>2</v>
      </c>
      <c r="F59" t="s">
        <v>36</v>
      </c>
      <c r="G59" t="s">
        <v>36</v>
      </c>
      <c r="H59" t="s">
        <v>37</v>
      </c>
    </row>
    <row r="60" spans="1:8" x14ac:dyDescent="0.25">
      <c r="A60" t="s">
        <v>133</v>
      </c>
      <c r="B60" t="s">
        <v>134</v>
      </c>
      <c r="C60" t="s">
        <v>34</v>
      </c>
      <c r="D60" t="s">
        <v>35</v>
      </c>
      <c r="E60">
        <v>2</v>
      </c>
      <c r="F60" t="s">
        <v>36</v>
      </c>
      <c r="G60" t="s">
        <v>36</v>
      </c>
      <c r="H60" t="s">
        <v>37</v>
      </c>
    </row>
    <row r="61" spans="1:8" x14ac:dyDescent="0.25">
      <c r="A61" t="s">
        <v>135</v>
      </c>
      <c r="B61" t="s">
        <v>136</v>
      </c>
      <c r="C61" t="s">
        <v>34</v>
      </c>
      <c r="D61" t="s">
        <v>35</v>
      </c>
      <c r="E61">
        <v>2</v>
      </c>
      <c r="F61" t="s">
        <v>36</v>
      </c>
      <c r="G61" t="s">
        <v>36</v>
      </c>
      <c r="H61" t="s">
        <v>67</v>
      </c>
    </row>
    <row r="62" spans="1:8" x14ac:dyDescent="0.25">
      <c r="A62" t="s">
        <v>137</v>
      </c>
      <c r="B62" t="s">
        <v>138</v>
      </c>
      <c r="C62" t="s">
        <v>34</v>
      </c>
      <c r="D62" t="s">
        <v>35</v>
      </c>
      <c r="E62">
        <v>2</v>
      </c>
      <c r="F62" t="s">
        <v>36</v>
      </c>
      <c r="G62" t="s">
        <v>36</v>
      </c>
      <c r="H62" t="s">
        <v>37</v>
      </c>
    </row>
    <row r="63" spans="1:8" x14ac:dyDescent="0.25">
      <c r="A63" t="s">
        <v>139</v>
      </c>
      <c r="B63" t="s">
        <v>140</v>
      </c>
      <c r="C63" t="s">
        <v>34</v>
      </c>
      <c r="D63" t="s">
        <v>35</v>
      </c>
      <c r="E63">
        <v>2</v>
      </c>
      <c r="F63" t="s">
        <v>36</v>
      </c>
      <c r="G63" t="s">
        <v>36</v>
      </c>
      <c r="H63" t="s">
        <v>37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EE91-96C4-4444-9BFD-E0A7143E5C4B}">
  <dimension ref="A1:M50"/>
  <sheetViews>
    <sheetView tabSelected="1" workbookViewId="0">
      <selection activeCell="L8" sqref="L8"/>
    </sheetView>
  </sheetViews>
  <sheetFormatPr baseColWidth="10" defaultRowHeight="15" x14ac:dyDescent="0.25"/>
  <cols>
    <col min="2" max="2" width="25.5703125" customWidth="1"/>
    <col min="8" max="8" width="11.85546875" bestFit="1" customWidth="1"/>
    <col min="13" max="13" width="11.85546875" bestFit="1" customWidth="1"/>
  </cols>
  <sheetData>
    <row r="1" spans="1:13" x14ac:dyDescent="0.25">
      <c r="A1" s="2" t="s">
        <v>141</v>
      </c>
      <c r="B1" s="3"/>
      <c r="C1" s="3"/>
      <c r="D1" s="3" t="s">
        <v>142</v>
      </c>
      <c r="E1" s="3" t="s">
        <v>143</v>
      </c>
      <c r="F1" s="4" t="s">
        <v>144</v>
      </c>
    </row>
    <row r="2" spans="1:13" x14ac:dyDescent="0.25">
      <c r="A2" s="5" t="s">
        <v>145</v>
      </c>
      <c r="B2" s="6"/>
      <c r="C2" s="6"/>
      <c r="D2" s="6">
        <v>68</v>
      </c>
      <c r="E2" s="6">
        <v>150</v>
      </c>
      <c r="F2" s="7">
        <v>2.266666667</v>
      </c>
      <c r="G2" t="str">
        <f>INDEX('Resumen de lista de clase'!$B$16:$B$63,MATCH(Hoja1!A2,'Resumen de lista de clase'!$A$16:$A$63,0))</f>
        <v>201911446</v>
      </c>
      <c r="H2" t="b">
        <f>A2='Resumen de lista de clase'!A16</f>
        <v>1</v>
      </c>
    </row>
    <row r="3" spans="1:13" x14ac:dyDescent="0.25">
      <c r="A3" s="5" t="s">
        <v>146</v>
      </c>
      <c r="B3" s="6"/>
      <c r="C3" s="6"/>
      <c r="D3" s="6">
        <v>99</v>
      </c>
      <c r="E3" s="6">
        <v>150</v>
      </c>
      <c r="F3" s="7">
        <v>3.3</v>
      </c>
      <c r="G3" t="str">
        <f>INDEX('Resumen de lista de clase'!$B$16:$B$63,MATCH(Hoja1!A3,'Resumen de lista de clase'!$A$16:$A$63,0))</f>
        <v>202414569</v>
      </c>
    </row>
    <row r="4" spans="1:13" x14ac:dyDescent="0.25">
      <c r="A4" s="5" t="s">
        <v>147</v>
      </c>
      <c r="B4" s="6"/>
      <c r="C4" s="6"/>
      <c r="D4" s="6">
        <v>110</v>
      </c>
      <c r="E4" s="6">
        <v>150</v>
      </c>
      <c r="F4" s="7">
        <v>3.6666666669999999</v>
      </c>
      <c r="G4" t="str">
        <f>INDEX('Resumen de lista de clase'!$B$16:$B$63,MATCH(Hoja1!A4,'Resumen de lista de clase'!$A$16:$A$63,0))</f>
        <v>202220197</v>
      </c>
    </row>
    <row r="5" spans="1:13" x14ac:dyDescent="0.25">
      <c r="A5" s="5" t="s">
        <v>148</v>
      </c>
      <c r="B5" s="6"/>
      <c r="C5" s="6"/>
      <c r="D5" s="6">
        <v>106</v>
      </c>
      <c r="E5" s="6">
        <v>150</v>
      </c>
      <c r="F5" s="7">
        <v>3.5333333329999999</v>
      </c>
      <c r="G5" t="str">
        <f>INDEX('Resumen de lista de clase'!$B$16:$B$63,MATCH(Hoja1!A5,'Resumen de lista de clase'!$A$16:$A$63,0))</f>
        <v>202210627</v>
      </c>
    </row>
    <row r="6" spans="1:13" x14ac:dyDescent="0.25">
      <c r="A6" s="5" t="s">
        <v>149</v>
      </c>
      <c r="B6" s="6"/>
      <c r="C6" s="6"/>
      <c r="D6" s="6">
        <v>0</v>
      </c>
      <c r="E6" s="6">
        <v>150</v>
      </c>
      <c r="F6" s="7">
        <v>0</v>
      </c>
      <c r="G6" t="str">
        <f>INDEX('Resumen de lista de clase'!$B$16:$B$63,MATCH(Hoja1!A6,'Resumen de lista de clase'!$A$16:$A$63,0))</f>
        <v>202011767</v>
      </c>
    </row>
    <row r="7" spans="1:13" x14ac:dyDescent="0.25">
      <c r="A7" s="5" t="s">
        <v>150</v>
      </c>
      <c r="B7" s="6"/>
      <c r="C7" s="6"/>
      <c r="D7" s="6">
        <v>132</v>
      </c>
      <c r="E7" s="6">
        <v>150</v>
      </c>
      <c r="F7" s="7">
        <v>4.4000000000000004</v>
      </c>
      <c r="G7" t="str">
        <f>INDEX('Resumen de lista de clase'!$B$16:$B$63,MATCH(Hoja1!A7,'Resumen de lista de clase'!$A$16:$A$63,0))</f>
        <v>202214974</v>
      </c>
    </row>
    <row r="8" spans="1:13" x14ac:dyDescent="0.25">
      <c r="A8" s="5" t="s">
        <v>151</v>
      </c>
      <c r="B8" s="6"/>
      <c r="C8" s="6"/>
      <c r="D8" s="6">
        <v>112</v>
      </c>
      <c r="E8" s="6">
        <v>150</v>
      </c>
      <c r="F8" s="7">
        <v>3.733333333</v>
      </c>
      <c r="G8" t="e">
        <f>INDEX('Resumen de lista de clase'!$B$16:$B$63,MATCH(Hoja1!A8,'Resumen de lista de clase'!$A$16:$A$63,0))</f>
        <v>#N/A</v>
      </c>
      <c r="H8" t="b">
        <f>UPPER(A8)='Resumen de lista de clase'!A23</f>
        <v>0</v>
      </c>
      <c r="I8" t="str">
        <f>UPPER(A8)</f>
        <v xml:space="preserve">CHAPARRO QUINTERO, CARLOS DANIEL </v>
      </c>
      <c r="L8" t="str">
        <f>TRIM(A8)</f>
        <v>Chaparro Quintero, Carlos Daniel</v>
      </c>
      <c r="M8" t="b">
        <f>L8='Resumen de lista de clase'!A23</f>
        <v>1</v>
      </c>
    </row>
    <row r="9" spans="1:13" x14ac:dyDescent="0.25">
      <c r="A9" s="5" t="s">
        <v>152</v>
      </c>
      <c r="B9" s="6"/>
      <c r="C9" s="6"/>
      <c r="D9" s="6">
        <v>84</v>
      </c>
      <c r="E9" s="6">
        <v>150</v>
      </c>
      <c r="F9" s="7">
        <v>2.8</v>
      </c>
      <c r="G9" t="str">
        <f>INDEX('Resumen de lista de clase'!$B$16:$B$63,MATCH(Hoja1!A9,'Resumen de lista de clase'!$A$16:$A$63,0))</f>
        <v>202222104</v>
      </c>
    </row>
    <row r="10" spans="1:13" x14ac:dyDescent="0.25">
      <c r="A10" s="5" t="s">
        <v>153</v>
      </c>
      <c r="B10" s="6"/>
      <c r="C10" s="6"/>
      <c r="D10" s="6">
        <v>98</v>
      </c>
      <c r="E10" s="6">
        <v>150</v>
      </c>
      <c r="F10" s="7">
        <v>3.266666667</v>
      </c>
      <c r="G10" t="e">
        <f>INDEX('Resumen de lista de clase'!$B$16:$B$63,MATCH(Hoja1!A10,'Resumen de lista de clase'!$A$16:$A$63,0))</f>
        <v>#N/A</v>
      </c>
    </row>
    <row r="11" spans="1:13" x14ac:dyDescent="0.25">
      <c r="A11" s="5" t="s">
        <v>154</v>
      </c>
      <c r="B11" s="6"/>
      <c r="C11" s="6"/>
      <c r="D11" s="6">
        <v>114</v>
      </c>
      <c r="E11" s="6">
        <v>150</v>
      </c>
      <c r="F11" s="7">
        <v>3.8</v>
      </c>
      <c r="G11" t="e">
        <f>INDEX('Resumen de lista de clase'!$B$16:$B$63,MATCH(Hoja1!A11,'Resumen de lista de clase'!$A$16:$A$63,0))</f>
        <v>#N/A</v>
      </c>
    </row>
    <row r="12" spans="1:13" x14ac:dyDescent="0.25">
      <c r="A12" s="5" t="s">
        <v>155</v>
      </c>
      <c r="B12" s="6"/>
      <c r="C12" s="6"/>
      <c r="D12" s="6">
        <v>114</v>
      </c>
      <c r="E12" s="6">
        <v>150</v>
      </c>
      <c r="F12" s="7">
        <v>3.8</v>
      </c>
      <c r="G12" t="e">
        <f>INDEX('Resumen de lista de clase'!$B$16:$B$63,MATCH(Hoja1!A12,'Resumen de lista de clase'!$A$16:$A$63,0))</f>
        <v>#N/A</v>
      </c>
    </row>
    <row r="13" spans="1:13" x14ac:dyDescent="0.25">
      <c r="A13" s="5" t="s">
        <v>156</v>
      </c>
      <c r="B13" s="6"/>
      <c r="C13" s="6"/>
      <c r="D13" s="6">
        <v>112</v>
      </c>
      <c r="E13" s="6">
        <v>150</v>
      </c>
      <c r="F13" s="7">
        <v>3.733333333</v>
      </c>
      <c r="G13" t="e">
        <f>INDEX('Resumen de lista de clase'!$B$16:$B$63,MATCH(Hoja1!A13,'Resumen de lista de clase'!$A$16:$A$63,0))</f>
        <v>#N/A</v>
      </c>
    </row>
    <row r="14" spans="1:13" x14ac:dyDescent="0.25">
      <c r="A14" s="5" t="s">
        <v>157</v>
      </c>
      <c r="B14" s="6"/>
      <c r="C14" s="6"/>
      <c r="D14" s="6">
        <v>94</v>
      </c>
      <c r="E14" s="6">
        <v>150</v>
      </c>
      <c r="F14" s="7">
        <v>3.1333333329999999</v>
      </c>
      <c r="G14" t="str">
        <f>INDEX('Resumen de lista de clase'!$B$16:$B$63,MATCH(Hoja1!A14,'Resumen de lista de clase'!$A$16:$A$63,0))</f>
        <v>202310474</v>
      </c>
    </row>
    <row r="15" spans="1:13" x14ac:dyDescent="0.25">
      <c r="A15" s="6" t="s">
        <v>158</v>
      </c>
      <c r="B15" s="6"/>
      <c r="C15" s="6"/>
      <c r="D15" s="6">
        <v>114</v>
      </c>
      <c r="E15" s="6">
        <v>150</v>
      </c>
      <c r="F15" s="7">
        <v>3.8</v>
      </c>
      <c r="G15" t="str">
        <f>INDEX('Resumen de lista de clase'!$B$16:$B$63,MATCH(Hoja1!A15,'Resumen de lista de clase'!$A$16:$A$63,0))</f>
        <v>202021093</v>
      </c>
    </row>
    <row r="16" spans="1:13" x14ac:dyDescent="0.25">
      <c r="A16" s="6" t="s">
        <v>159</v>
      </c>
      <c r="B16" s="6"/>
      <c r="C16" s="6"/>
      <c r="D16" s="6">
        <v>58</v>
      </c>
      <c r="E16" s="6">
        <v>150</v>
      </c>
      <c r="F16" s="7">
        <v>1.933333333</v>
      </c>
      <c r="G16" t="str">
        <f>INDEX('Resumen de lista de clase'!$B$16:$B$63,MATCH(Hoja1!A16,'Resumen de lista de clase'!$A$16:$A$63,0))</f>
        <v>202222252</v>
      </c>
    </row>
    <row r="17" spans="1:7" x14ac:dyDescent="0.25">
      <c r="A17" s="6" t="s">
        <v>160</v>
      </c>
      <c r="B17" s="6"/>
      <c r="C17" s="6"/>
      <c r="D17" s="6">
        <v>56</v>
      </c>
      <c r="E17" s="6">
        <v>150</v>
      </c>
      <c r="F17" s="7">
        <v>1.8666666670000001</v>
      </c>
      <c r="G17" t="e">
        <f>INDEX('Resumen de lista de clase'!$B$16:$B$63,MATCH(Hoja1!A17,'Resumen de lista de clase'!$A$16:$A$63,0))</f>
        <v>#N/A</v>
      </c>
    </row>
    <row r="18" spans="1:7" x14ac:dyDescent="0.25">
      <c r="A18" s="6" t="s">
        <v>161</v>
      </c>
      <c r="B18" s="6"/>
      <c r="C18" s="6"/>
      <c r="D18" s="6">
        <v>119</v>
      </c>
      <c r="E18" s="6">
        <v>150</v>
      </c>
      <c r="F18" s="7">
        <v>3.9666666670000001</v>
      </c>
      <c r="G18" t="str">
        <f>INDEX('Resumen de lista de clase'!$B$16:$B$63,MATCH(Hoja1!A18,'Resumen de lista de clase'!$A$16:$A$63,0))</f>
        <v>202313647</v>
      </c>
    </row>
    <row r="19" spans="1:7" x14ac:dyDescent="0.25">
      <c r="A19" s="6" t="s">
        <v>162</v>
      </c>
      <c r="B19" s="6"/>
      <c r="C19" s="6"/>
      <c r="D19" s="6">
        <v>124</v>
      </c>
      <c r="E19" s="6">
        <v>150</v>
      </c>
      <c r="F19" s="7">
        <v>4.1333333330000004</v>
      </c>
      <c r="G19" t="e">
        <f>INDEX('Resumen de lista de clase'!$B$16:$B$63,MATCH(Hoja1!A19,'Resumen de lista de clase'!$A$16:$A$63,0))</f>
        <v>#N/A</v>
      </c>
    </row>
    <row r="20" spans="1:7" x14ac:dyDescent="0.25">
      <c r="A20" s="6" t="s">
        <v>163</v>
      </c>
      <c r="B20" s="6"/>
      <c r="C20" s="6"/>
      <c r="D20" s="6">
        <v>90</v>
      </c>
      <c r="E20" s="6">
        <v>150</v>
      </c>
      <c r="F20" s="7">
        <v>3</v>
      </c>
      <c r="G20" t="str">
        <f>INDEX('Resumen de lista de clase'!$B$16:$B$63,MATCH(Hoja1!A20,'Resumen de lista de clase'!$A$16:$A$63,0))</f>
        <v>202220934</v>
      </c>
    </row>
    <row r="21" spans="1:7" x14ac:dyDescent="0.25">
      <c r="A21" s="6" t="s">
        <v>164</v>
      </c>
      <c r="B21" s="6"/>
      <c r="C21" s="6"/>
      <c r="D21" s="6">
        <v>116</v>
      </c>
      <c r="E21" s="6">
        <v>150</v>
      </c>
      <c r="F21" s="7">
        <v>3.8666666670000001</v>
      </c>
      <c r="G21" t="str">
        <f>INDEX('Resumen de lista de clase'!$B$16:$B$63,MATCH(Hoja1!A21,'Resumen de lista de clase'!$A$16:$A$63,0))</f>
        <v>202226928</v>
      </c>
    </row>
    <row r="22" spans="1:7" x14ac:dyDescent="0.25">
      <c r="A22" s="6" t="s">
        <v>165</v>
      </c>
      <c r="B22" s="6"/>
      <c r="C22" s="6"/>
      <c r="D22" s="6">
        <v>0</v>
      </c>
      <c r="E22" s="6">
        <v>150</v>
      </c>
      <c r="F22" s="7">
        <v>0</v>
      </c>
      <c r="G22" t="str">
        <f>INDEX('Resumen de lista de clase'!$B$16:$B$63,MATCH(Hoja1!A22,'Resumen de lista de clase'!$A$16:$A$63,0))</f>
        <v>202122819</v>
      </c>
    </row>
    <row r="23" spans="1:7" x14ac:dyDescent="0.25">
      <c r="A23" s="6" t="s">
        <v>166</v>
      </c>
      <c r="B23" s="6"/>
      <c r="C23" s="6"/>
      <c r="D23" s="6">
        <v>118</v>
      </c>
      <c r="E23" s="6">
        <v>150</v>
      </c>
      <c r="F23" s="7">
        <v>3.9333333330000002</v>
      </c>
      <c r="G23" t="str">
        <f>INDEX('Resumen de lista de clase'!$B$16:$B$63,MATCH(Hoja1!A23,'Resumen de lista de clase'!$A$16:$A$63,0))</f>
        <v>202220982</v>
      </c>
    </row>
    <row r="24" spans="1:7" x14ac:dyDescent="0.25">
      <c r="A24" s="6" t="s">
        <v>167</v>
      </c>
      <c r="B24" s="6"/>
      <c r="C24" s="6"/>
      <c r="D24" s="6">
        <v>82</v>
      </c>
      <c r="E24" s="6">
        <v>150</v>
      </c>
      <c r="F24" s="7">
        <v>2.733333333</v>
      </c>
      <c r="G24" t="str">
        <f>INDEX('Resumen de lista de clase'!$B$16:$B$63,MATCH(Hoja1!A24,'Resumen de lista de clase'!$A$16:$A$63,0))</f>
        <v>202212532</v>
      </c>
    </row>
    <row r="25" spans="1:7" x14ac:dyDescent="0.25">
      <c r="A25" s="6" t="s">
        <v>168</v>
      </c>
      <c r="B25" s="6"/>
      <c r="C25" s="6"/>
      <c r="D25" s="6">
        <v>107</v>
      </c>
      <c r="E25" s="6">
        <v>150</v>
      </c>
      <c r="F25" s="7">
        <v>3.5666666669999998</v>
      </c>
      <c r="G25" t="str">
        <f>INDEX('Resumen de lista de clase'!$B$16:$B$63,MATCH(Hoja1!A25,'Resumen de lista de clase'!$A$16:$A$63,0))</f>
        <v>202122897</v>
      </c>
    </row>
    <row r="26" spans="1:7" x14ac:dyDescent="0.25">
      <c r="A26" s="6" t="s">
        <v>169</v>
      </c>
      <c r="B26" s="6"/>
      <c r="C26" s="6"/>
      <c r="D26" s="6">
        <v>120</v>
      </c>
      <c r="E26" s="6">
        <v>150</v>
      </c>
      <c r="F26" s="7">
        <v>4</v>
      </c>
      <c r="G26" t="e">
        <f>INDEX('Resumen de lista de clase'!$B$16:$B$63,MATCH(Hoja1!A26,'Resumen de lista de clase'!$A$16:$A$63,0))</f>
        <v>#N/A</v>
      </c>
    </row>
    <row r="27" spans="1:7" x14ac:dyDescent="0.25">
      <c r="A27" s="6" t="s">
        <v>170</v>
      </c>
      <c r="B27" s="6"/>
      <c r="C27" s="6"/>
      <c r="D27" s="6">
        <v>94</v>
      </c>
      <c r="E27" s="6">
        <v>150</v>
      </c>
      <c r="F27" s="7">
        <v>3.1333333329999999</v>
      </c>
      <c r="G27" t="str">
        <f>INDEX('Resumen de lista de clase'!$B$16:$B$63,MATCH(Hoja1!A27,'Resumen de lista de clase'!$A$16:$A$63,0))</f>
        <v>202223645</v>
      </c>
    </row>
    <row r="28" spans="1:7" x14ac:dyDescent="0.25">
      <c r="A28" s="6" t="s">
        <v>171</v>
      </c>
      <c r="B28" s="6"/>
      <c r="C28" s="6"/>
      <c r="D28" s="6">
        <v>118</v>
      </c>
      <c r="E28" s="6">
        <v>150</v>
      </c>
      <c r="F28" s="7">
        <v>3.9333333330000002</v>
      </c>
      <c r="G28" t="str">
        <f>INDEX('Resumen de lista de clase'!$B$16:$B$63,MATCH(Hoja1!A28,'Resumen de lista de clase'!$A$16:$A$63,0))</f>
        <v>202221908</v>
      </c>
    </row>
    <row r="29" spans="1:7" x14ac:dyDescent="0.25">
      <c r="A29" s="6" t="s">
        <v>172</v>
      </c>
      <c r="B29" s="6"/>
      <c r="C29" s="6"/>
      <c r="D29" s="6">
        <v>142</v>
      </c>
      <c r="E29" s="6">
        <v>150</v>
      </c>
      <c r="F29" s="7">
        <v>4.733333333</v>
      </c>
      <c r="G29" t="str">
        <f>INDEX('Resumen de lista de clase'!$B$16:$B$63,MATCH(Hoja1!A29,'Resumen de lista de clase'!$A$16:$A$63,0))</f>
        <v>202323554</v>
      </c>
    </row>
    <row r="30" spans="1:7" x14ac:dyDescent="0.25">
      <c r="A30" s="6" t="s">
        <v>173</v>
      </c>
      <c r="B30" s="6"/>
      <c r="C30" s="6"/>
      <c r="D30" s="6">
        <v>137</v>
      </c>
      <c r="E30" s="6">
        <v>150</v>
      </c>
      <c r="F30" s="7">
        <v>4.5666666669999998</v>
      </c>
      <c r="G30" t="str">
        <f>INDEX('Resumen de lista de clase'!$B$16:$B$63,MATCH(Hoja1!A30,'Resumen de lista de clase'!$A$16:$A$63,0))</f>
        <v>202123117</v>
      </c>
    </row>
    <row r="31" spans="1:7" x14ac:dyDescent="0.25">
      <c r="A31" s="6" t="s">
        <v>174</v>
      </c>
      <c r="B31" s="6"/>
      <c r="C31" s="6"/>
      <c r="D31" s="6">
        <v>145</v>
      </c>
      <c r="E31" s="6">
        <v>150</v>
      </c>
      <c r="F31" s="7">
        <v>4.8333333329999997</v>
      </c>
      <c r="G31" t="e">
        <f>INDEX('Resumen de lista de clase'!$B$16:$B$63,MATCH(Hoja1!A31,'Resumen de lista de clase'!$A$16:$A$63,0))</f>
        <v>#N/A</v>
      </c>
    </row>
    <row r="32" spans="1:7" x14ac:dyDescent="0.25">
      <c r="A32" s="6" t="s">
        <v>175</v>
      </c>
      <c r="B32" s="6"/>
      <c r="C32" s="6"/>
      <c r="D32" s="6">
        <v>128</v>
      </c>
      <c r="E32" s="6">
        <v>150</v>
      </c>
      <c r="F32" s="7">
        <v>4.266666667</v>
      </c>
      <c r="G32" t="e">
        <f>INDEX('Resumen de lista de clase'!$B$16:$B$63,MATCH(Hoja1!A32,'Resumen de lista de clase'!$A$16:$A$63,0))</f>
        <v>#N/A</v>
      </c>
    </row>
    <row r="33" spans="1:7" x14ac:dyDescent="0.25">
      <c r="A33" s="6" t="s">
        <v>176</v>
      </c>
      <c r="B33" s="6"/>
      <c r="C33" s="6"/>
      <c r="D33" s="6">
        <v>129</v>
      </c>
      <c r="E33" s="6">
        <v>150</v>
      </c>
      <c r="F33" s="7">
        <v>4.3</v>
      </c>
      <c r="G33" t="str">
        <f>INDEX('Resumen de lista de clase'!$B$16:$B$63,MATCH(Hoja1!A33,'Resumen de lista de clase'!$A$16:$A$63,0))</f>
        <v>202112451</v>
      </c>
    </row>
    <row r="34" spans="1:7" x14ac:dyDescent="0.25">
      <c r="A34" s="6" t="s">
        <v>177</v>
      </c>
      <c r="B34" s="6"/>
      <c r="C34" s="6"/>
      <c r="D34" s="6">
        <v>114</v>
      </c>
      <c r="E34" s="6">
        <v>150</v>
      </c>
      <c r="F34" s="7">
        <v>3.8</v>
      </c>
      <c r="G34" t="e">
        <f>INDEX('Resumen de lista de clase'!$B$16:$B$63,MATCH(Hoja1!A34,'Resumen de lista de clase'!$A$16:$A$63,0))</f>
        <v>#N/A</v>
      </c>
    </row>
    <row r="35" spans="1:7" x14ac:dyDescent="0.25">
      <c r="A35" s="6" t="s">
        <v>178</v>
      </c>
      <c r="B35" s="6"/>
      <c r="C35" s="6"/>
      <c r="D35" s="6">
        <v>116</v>
      </c>
      <c r="E35" s="6">
        <v>150</v>
      </c>
      <c r="F35" s="7">
        <v>3.8666666670000001</v>
      </c>
      <c r="G35" t="str">
        <f>INDEX('Resumen de lista de clase'!$B$16:$B$63,MATCH(Hoja1!A35,'Resumen de lista de clase'!$A$16:$A$63,0))</f>
        <v>202310845</v>
      </c>
    </row>
    <row r="36" spans="1:7" x14ac:dyDescent="0.25">
      <c r="A36" s="6" t="s">
        <v>179</v>
      </c>
      <c r="B36" s="6"/>
      <c r="C36" s="6"/>
      <c r="D36" s="6">
        <v>110</v>
      </c>
      <c r="E36" s="6">
        <v>150</v>
      </c>
      <c r="F36" s="7">
        <v>3.6666666669999999</v>
      </c>
      <c r="G36" t="e">
        <f>INDEX('Resumen de lista de clase'!$B$16:$B$63,MATCH(Hoja1!A36,'Resumen de lista de clase'!$A$16:$A$63,0))</f>
        <v>#N/A</v>
      </c>
    </row>
    <row r="37" spans="1:7" x14ac:dyDescent="0.25">
      <c r="A37" s="6" t="s">
        <v>180</v>
      </c>
      <c r="B37" s="6"/>
      <c r="C37" s="6"/>
      <c r="D37" s="6">
        <v>105</v>
      </c>
      <c r="E37" s="6">
        <v>150</v>
      </c>
      <c r="F37" s="7">
        <v>3.5</v>
      </c>
      <c r="G37" t="e">
        <f>INDEX('Resumen de lista de clase'!$B$16:$B$63,MATCH(Hoja1!A37,'Resumen de lista de clase'!$A$16:$A$63,0))</f>
        <v>#N/A</v>
      </c>
    </row>
    <row r="38" spans="1:7" x14ac:dyDescent="0.25">
      <c r="A38" s="6" t="s">
        <v>181</v>
      </c>
      <c r="B38" s="6"/>
      <c r="C38" s="6"/>
      <c r="D38" s="6">
        <v>136</v>
      </c>
      <c r="E38" s="6">
        <v>150</v>
      </c>
      <c r="F38" s="7">
        <v>4.5333333329999999</v>
      </c>
      <c r="G38" t="e">
        <f>INDEX('Resumen de lista de clase'!$B$16:$B$63,MATCH(Hoja1!A38,'Resumen de lista de clase'!$A$16:$A$63,0))</f>
        <v>#N/A</v>
      </c>
    </row>
    <row r="39" spans="1:7" x14ac:dyDescent="0.25">
      <c r="A39" s="6" t="s">
        <v>182</v>
      </c>
      <c r="B39" s="6"/>
      <c r="C39" s="6"/>
      <c r="D39" s="6">
        <v>117</v>
      </c>
      <c r="E39" s="6">
        <v>150</v>
      </c>
      <c r="F39" s="7">
        <v>3.9</v>
      </c>
      <c r="G39" t="str">
        <f>INDEX('Resumen de lista de clase'!$B$16:$B$63,MATCH(Hoja1!A39,'Resumen de lista de clase'!$A$16:$A$63,0))</f>
        <v>202211536</v>
      </c>
    </row>
    <row r="40" spans="1:7" x14ac:dyDescent="0.25">
      <c r="A40" s="6" t="s">
        <v>183</v>
      </c>
      <c r="B40" s="6"/>
      <c r="C40" s="6"/>
      <c r="D40" s="6">
        <v>0</v>
      </c>
      <c r="E40" s="6">
        <v>150</v>
      </c>
      <c r="F40" s="7">
        <v>0</v>
      </c>
      <c r="G40" t="str">
        <f>INDEX('Resumen de lista de clase'!$B$16:$B$63,MATCH(Hoja1!A40,'Resumen de lista de clase'!$A$16:$A$63,0))</f>
        <v>202113020</v>
      </c>
    </row>
    <row r="41" spans="1:7" x14ac:dyDescent="0.25">
      <c r="A41" s="6" t="s">
        <v>184</v>
      </c>
      <c r="B41" s="6"/>
      <c r="C41" s="6"/>
      <c r="D41" s="6">
        <v>124</v>
      </c>
      <c r="E41" s="6">
        <v>150</v>
      </c>
      <c r="F41" s="7">
        <v>4.1333333330000004</v>
      </c>
      <c r="G41" t="e">
        <f>INDEX('Resumen de lista de clase'!$B$16:$B$63,MATCH(Hoja1!A41,'Resumen de lista de clase'!$A$16:$A$63,0))</f>
        <v>#N/A</v>
      </c>
    </row>
    <row r="42" spans="1:7" x14ac:dyDescent="0.25">
      <c r="A42" s="6" t="s">
        <v>185</v>
      </c>
      <c r="B42" s="6"/>
      <c r="C42" s="6"/>
      <c r="D42" s="6">
        <v>120</v>
      </c>
      <c r="E42" s="6">
        <v>150</v>
      </c>
      <c r="F42" s="7">
        <v>4</v>
      </c>
      <c r="G42" t="e">
        <f>INDEX('Resumen de lista de clase'!$B$16:$B$63,MATCH(Hoja1!A42,'Resumen de lista de clase'!$A$16:$A$63,0))</f>
        <v>#N/A</v>
      </c>
    </row>
    <row r="43" spans="1:7" x14ac:dyDescent="0.25">
      <c r="A43" s="6" t="s">
        <v>186</v>
      </c>
      <c r="B43" s="6"/>
      <c r="C43" s="6"/>
      <c r="D43" s="6">
        <v>102</v>
      </c>
      <c r="E43" s="6">
        <v>150</v>
      </c>
      <c r="F43" s="7">
        <v>3.4</v>
      </c>
      <c r="G43" t="str">
        <f>INDEX('Resumen de lista de clase'!$B$16:$B$63,MATCH(Hoja1!A43,'Resumen de lista de clase'!$A$16:$A$63,0))</f>
        <v>202123720</v>
      </c>
    </row>
    <row r="44" spans="1:7" x14ac:dyDescent="0.25">
      <c r="A44" s="6" t="s">
        <v>187</v>
      </c>
      <c r="B44" s="6"/>
      <c r="C44" s="6"/>
      <c r="D44" s="6">
        <v>78</v>
      </c>
      <c r="E44" s="6">
        <v>150</v>
      </c>
      <c r="F44" s="7">
        <v>2.6</v>
      </c>
      <c r="G44" t="e">
        <f>INDEX('Resumen de lista de clase'!$B$16:$B$63,MATCH(Hoja1!A44,'Resumen de lista de clase'!$A$16:$A$63,0))</f>
        <v>#N/A</v>
      </c>
    </row>
    <row r="45" spans="1:7" x14ac:dyDescent="0.25">
      <c r="A45" s="6" t="s">
        <v>188</v>
      </c>
      <c r="B45" s="6"/>
      <c r="C45" s="6"/>
      <c r="D45" s="6">
        <v>144</v>
      </c>
      <c r="E45" s="6">
        <v>150</v>
      </c>
      <c r="F45" s="7">
        <v>4.8</v>
      </c>
      <c r="G45" t="e">
        <f>INDEX('Resumen de lista de clase'!$B$16:$B$63,MATCH(Hoja1!A45,'Resumen de lista de clase'!$A$16:$A$63,0))</f>
        <v>#N/A</v>
      </c>
    </row>
    <row r="46" spans="1:7" x14ac:dyDescent="0.25">
      <c r="A46" s="6" t="s">
        <v>189</v>
      </c>
      <c r="B46" s="6"/>
      <c r="C46" s="6"/>
      <c r="D46" s="6">
        <v>108</v>
      </c>
      <c r="E46" s="6">
        <v>150</v>
      </c>
      <c r="F46" s="7">
        <v>3.6</v>
      </c>
      <c r="G46" t="e">
        <f>INDEX('Resumen de lista de clase'!$B$16:$B$63,MATCH(Hoja1!A46,'Resumen de lista de clase'!$A$16:$A$63,0))</f>
        <v>#N/A</v>
      </c>
    </row>
    <row r="47" spans="1:7" x14ac:dyDescent="0.25">
      <c r="A47" s="6" t="s">
        <v>190</v>
      </c>
      <c r="B47" s="6"/>
      <c r="C47" s="6"/>
      <c r="D47" s="6">
        <v>109</v>
      </c>
      <c r="E47" s="6">
        <v>150</v>
      </c>
      <c r="F47" s="7">
        <v>3.6333333329999999</v>
      </c>
      <c r="G47" t="e">
        <f>INDEX('Resumen de lista de clase'!$B$16:$B$63,MATCH(Hoja1!A47,'Resumen de lista de clase'!$A$16:$A$63,0))</f>
        <v>#N/A</v>
      </c>
    </row>
    <row r="48" spans="1:7" x14ac:dyDescent="0.25">
      <c r="A48" s="6" t="s">
        <v>191</v>
      </c>
      <c r="B48" s="6"/>
      <c r="C48" s="6"/>
      <c r="D48" s="6">
        <v>78</v>
      </c>
      <c r="E48" s="6">
        <v>150</v>
      </c>
      <c r="F48" s="7">
        <v>2.6</v>
      </c>
      <c r="G48" t="str">
        <f>INDEX('Resumen de lista de clase'!$B$16:$B$63,MATCH(Hoja1!A48,'Resumen de lista de clase'!$A$16:$A$63,0))</f>
        <v>202020506</v>
      </c>
    </row>
    <row r="49" spans="1:7" x14ac:dyDescent="0.25">
      <c r="A49" s="6" t="s">
        <v>192</v>
      </c>
      <c r="B49" s="6"/>
      <c r="C49" s="6"/>
      <c r="D49" s="6">
        <v>60</v>
      </c>
      <c r="E49" s="6">
        <v>150</v>
      </c>
      <c r="F49" s="7">
        <v>2</v>
      </c>
      <c r="G49" t="str">
        <f>INDEX('Resumen de lista de clase'!$B$16:$B$63,MATCH(Hoja1!A49,'Resumen de lista de clase'!$A$16:$A$63,0))</f>
        <v>202211714</v>
      </c>
    </row>
    <row r="50" spans="1:7" x14ac:dyDescent="0.25">
      <c r="A50" s="6" t="s">
        <v>193</v>
      </c>
      <c r="B50" s="7"/>
      <c r="C50" s="7"/>
      <c r="D50" s="6">
        <v>114</v>
      </c>
      <c r="E50" s="6">
        <v>150</v>
      </c>
      <c r="F50" s="7">
        <v>3.8</v>
      </c>
      <c r="G50" t="e">
        <f>INDEX('Resumen de lista de clase'!$B$16:$B$63,MATCH(Hoja1!A50,'Resumen de lista de clase'!$A$16:$A$63,0))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de lista de clase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Mariana Velez Rivera</cp:lastModifiedBy>
  <dcterms:created xsi:type="dcterms:W3CDTF">2024-02-21T22:13:55Z</dcterms:created>
  <dcterms:modified xsi:type="dcterms:W3CDTF">2024-02-23T14:20:29Z</dcterms:modified>
</cp:coreProperties>
</file>