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Mariana Velez\Documents\6 SEMESTRE\SAD\Excel\"/>
    </mc:Choice>
  </mc:AlternateContent>
  <xr:revisionPtr revIDLastSave="0" documentId="13_ncr:1_{A4C32DBF-4EED-4A23-A75E-4D2009971AD0}" xr6:coauthVersionLast="47" xr6:coauthVersionMax="47" xr10:uidLastSave="{00000000-0000-0000-0000-000000000000}"/>
  <bookViews>
    <workbookView xWindow="6885" yWindow="615" windowWidth="11805" windowHeight="10440" tabRatio="563" xr2:uid="{00000000-000D-0000-FFFF-FFFF00000000}"/>
  </bookViews>
  <sheets>
    <sheet name="EJERCICIOS" sheetId="11" r:id="rId1"/>
    <sheet name="18" sheetId="2" r:id="rId2"/>
    <sheet name="19" sheetId="3" r:id="rId3"/>
    <sheet name="20" sheetId="4" r:id="rId4"/>
    <sheet name="21" sheetId="5" r:id="rId5"/>
    <sheet name="22" sheetId="6" r:id="rId6"/>
    <sheet name="23" sheetId="7" r:id="rId7"/>
    <sheet name="24" sheetId="8" r:id="rId8"/>
    <sheet name="25" sheetId="9" r:id="rId9"/>
  </sheets>
  <definedNames>
    <definedName name="_xlnm._FilterDatabase" localSheetId="1" hidden="1">'18'!$B$2:$F$72</definedName>
    <definedName name="_xlnm._FilterDatabase" localSheetId="2" hidden="1">'19'!$B$2:$F$2</definedName>
    <definedName name="_xlnm._FilterDatabase" localSheetId="3" hidden="1">'20'!$B$2:$F$122</definedName>
    <definedName name="_xlnm._FilterDatabase" localSheetId="4" hidden="1">'21'!$B$2:$F$116</definedName>
    <definedName name="_xlnm._FilterDatabase" localSheetId="5" hidden="1">'22'!$B$2:$F$118</definedName>
    <definedName name="_xlnm._FilterDatabase" localSheetId="6" hidden="1">'23'!$B$2:$F$123</definedName>
    <definedName name="_xlnm._FilterDatabase" localSheetId="7" hidden="1">'24'!$B$2:$F$111</definedName>
    <definedName name="_xlnm._FilterDatabase" localSheetId="8" hidden="1">'25'!$B$2:$F$69</definedName>
    <definedName name="_xlnm._FilterDatabase" localSheetId="0" hidden="1">EJERCICIOS!#REF!</definedName>
    <definedName name="Materia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7" i="11" l="1"/>
  <c r="O72" i="11" l="1" a="1"/>
  <c r="O72" i="11" s="1"/>
  <c r="L72" i="11" a="1"/>
  <c r="L72" i="11" s="1"/>
  <c r="J3" i="9"/>
  <c r="I3" i="9"/>
  <c r="H3" i="9"/>
  <c r="F72" i="11"/>
  <c r="I4" i="9"/>
  <c r="I5" i="9"/>
  <c r="I6" i="9"/>
  <c r="H4" i="9"/>
  <c r="H5" i="9"/>
  <c r="H6" i="9"/>
  <c r="G3" i="9"/>
  <c r="I51" i="11"/>
  <c r="G105" i="11"/>
  <c r="G106" i="11"/>
  <c r="G104" i="11"/>
  <c r="G107" i="11"/>
  <c r="H51" i="11"/>
  <c r="E28" i="11"/>
  <c r="F28" i="11"/>
  <c r="J28" i="11" s="1" a="1"/>
  <c r="J28" i="11" s="1"/>
  <c r="E29" i="11"/>
  <c r="F29" i="11"/>
  <c r="E30" i="11"/>
  <c r="F30" i="11"/>
  <c r="E31" i="11"/>
  <c r="F31" i="11"/>
  <c r="E32" i="11"/>
  <c r="F32" i="11"/>
  <c r="E33" i="11"/>
  <c r="F33" i="11"/>
  <c r="E34" i="11"/>
  <c r="F34" i="11"/>
  <c r="E35" i="11"/>
  <c r="F35" i="11"/>
  <c r="E36" i="11"/>
  <c r="F36" i="11"/>
  <c r="E37" i="11"/>
  <c r="F37" i="11"/>
  <c r="E38" i="11"/>
  <c r="F38" i="11"/>
  <c r="E39" i="11"/>
  <c r="F39" i="11"/>
  <c r="E40" i="11"/>
  <c r="F40" i="11"/>
  <c r="E41" i="11"/>
  <c r="F41" i="11"/>
  <c r="E51" i="11"/>
  <c r="E52" i="11"/>
  <c r="E53" i="11"/>
  <c r="H52" i="11" s="1"/>
  <c r="E54" i="11"/>
  <c r="E55" i="11"/>
  <c r="E56" i="11"/>
  <c r="E57" i="11"/>
  <c r="E58" i="11"/>
  <c r="E59" i="11"/>
  <c r="E60" i="11"/>
  <c r="E61" i="11"/>
  <c r="H53" i="11" s="1"/>
  <c r="E62" i="11"/>
  <c r="E63" i="11"/>
  <c r="E50" i="11"/>
  <c r="F130" i="11" a="1"/>
  <c r="I130" i="11" a="1"/>
  <c r="G95" i="11"/>
  <c r="E93" i="11"/>
  <c r="H84" i="11"/>
  <c r="I89" i="11"/>
  <c r="F85" i="11"/>
  <c r="H93" i="11"/>
  <c r="E91" i="11"/>
  <c r="D86" i="11"/>
  <c r="J90" i="11"/>
  <c r="E83" i="11"/>
  <c r="F95" i="11"/>
  <c r="I90" i="11"/>
  <c r="D93" i="11"/>
  <c r="J88" i="11"/>
  <c r="G94" i="11"/>
  <c r="F82" i="11"/>
  <c r="J93" i="11"/>
  <c r="E92" i="11"/>
  <c r="I94" i="11"/>
  <c r="H87" i="11"/>
  <c r="F92" i="11"/>
  <c r="G86" i="11"/>
  <c r="H92" i="11"/>
  <c r="F84" i="11"/>
  <c r="I92" i="11"/>
  <c r="F87" i="11"/>
  <c r="J85" i="11"/>
  <c r="I91" i="11"/>
  <c r="E94" i="11"/>
  <c r="G85" i="11"/>
  <c r="G118" i="11"/>
  <c r="G130" i="11" a="1"/>
  <c r="D83" i="11"/>
  <c r="I88" i="11"/>
  <c r="J83" i="11"/>
  <c r="H95" i="11"/>
  <c r="I93" i="11"/>
  <c r="G90" i="11"/>
  <c r="E88" i="11"/>
  <c r="J87" i="11"/>
  <c r="H90" i="11"/>
  <c r="G83" i="11"/>
  <c r="F91" i="11"/>
  <c r="H130" i="11" a="1"/>
  <c r="K130" i="11" a="1"/>
  <c r="G84" i="11"/>
  <c r="J95" i="11"/>
  <c r="G91" i="11"/>
  <c r="H94" i="11"/>
  <c r="G88" i="11"/>
  <c r="G93" i="11"/>
  <c r="D90" i="11"/>
  <c r="E84" i="11"/>
  <c r="E85" i="11"/>
  <c r="E89" i="11"/>
  <c r="H91" i="11"/>
  <c r="H83" i="11"/>
  <c r="G89" i="11"/>
  <c r="E86" i="11"/>
  <c r="F86" i="11"/>
  <c r="D85" i="11"/>
  <c r="F93" i="11"/>
  <c r="F90" i="11"/>
  <c r="D91" i="11"/>
  <c r="E87" i="11"/>
  <c r="D87" i="11"/>
  <c r="H89" i="11"/>
  <c r="I85" i="11"/>
  <c r="E82" i="11"/>
  <c r="I95" i="11"/>
  <c r="J130" i="11" a="1"/>
  <c r="E130" i="11" a="1"/>
  <c r="J82" i="11"/>
  <c r="D82" i="11"/>
  <c r="J86" i="11"/>
  <c r="J94" i="11"/>
  <c r="D94" i="11"/>
  <c r="F89" i="11"/>
  <c r="I84" i="11"/>
  <c r="E95" i="11"/>
  <c r="D95" i="11"/>
  <c r="J92" i="11"/>
  <c r="I86" i="11"/>
  <c r="G92" i="11"/>
  <c r="H85" i="11"/>
  <c r="I82" i="11"/>
  <c r="F94" i="11"/>
  <c r="H86" i="11"/>
  <c r="E90" i="11"/>
  <c r="J84" i="11"/>
  <c r="G87" i="11"/>
  <c r="D88" i="11"/>
  <c r="J89" i="11"/>
  <c r="D89" i="11"/>
  <c r="D92" i="11"/>
  <c r="I83" i="11"/>
  <c r="J91" i="11"/>
  <c r="H88" i="11"/>
  <c r="I87" i="11"/>
  <c r="F83" i="11"/>
  <c r="F88" i="11"/>
  <c r="G82" i="11"/>
  <c r="H82" i="11"/>
  <c r="D84" i="11"/>
  <c r="K130" i="11" l="1"/>
  <c r="I130" i="11"/>
  <c r="G130" i="11"/>
  <c r="J130" i="11"/>
  <c r="H130" i="11"/>
  <c r="F130" i="11"/>
  <c r="E130" i="11"/>
  <c r="I52" i="11"/>
  <c r="I28" i="11"/>
  <c r="I41" i="11"/>
  <c r="I35" i="11"/>
  <c r="I29" i="11"/>
  <c r="I39" i="11"/>
  <c r="I33" i="11"/>
  <c r="I31" i="11"/>
  <c r="I37" i="11"/>
  <c r="I38" i="11"/>
  <c r="I34" i="11"/>
  <c r="I30" i="11"/>
  <c r="I40" i="11"/>
  <c r="I36" i="11"/>
  <c r="I32"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<sst xmlns="http://schemas.openxmlformats.org/spreadsheetml/2006/main" count="1894" uniqueCount="82">
  <si>
    <t>IIND 2109</t>
  </si>
  <si>
    <t>Complementaria 3: Formulación</t>
  </si>
  <si>
    <t>Usted es analista del centro control de operaciones (CCO) de una aerolínea Colombiana y como tal debe brindar apoyo sobre la información de los vuelos registrados durante los últimos años. Su jefe le ha solicitado crear una herramienta de apoyo que le permita analizar la información de vuelos de la época de navidad del año 2016 de forma rápida. En las pestañas 18, 19, ... , 25 encontrará la información del itinerario de vuelo (Id del vuelo, Origen, Destino, Hora de salida y Hora de llegada) para el mes de Diciembre de 2016. Tenga en cuenta que la duración de vuelo será la diferencia de la hora de salida y la hora de llegada.</t>
  </si>
  <si>
    <t>Punto 1</t>
  </si>
  <si>
    <r>
      <t xml:space="preserve">Teniendo en cuenta la información de los vuelos dada en la tabla 1. Realice el código, en la tabla 2, para cada uno de los vuelos que se presentan. El código estará estructurado de la siguiente forma: 
- La primera parte del código esta conformada por la letra de la mitad de la sigla de la ciudad de salida y la última letra del código de la ciudad de llegada. (Ejemplo: BAQ (salida) y BGA (llegada), la primera parte del código es "AA")
- La segunda parte del código es la información del tiempo de vuelo en </t>
    </r>
    <r>
      <rPr>
        <u/>
        <sz val="11"/>
        <color theme="1"/>
        <rFont val="Times New Roman"/>
        <family val="1"/>
      </rPr>
      <t>horas</t>
    </r>
    <r>
      <rPr>
        <sz val="11"/>
        <color theme="1"/>
        <rFont val="Times New Roman"/>
        <family val="1"/>
      </rPr>
      <t xml:space="preserve"> enteras.</t>
    </r>
    <r>
      <rPr>
        <u/>
        <sz val="11"/>
        <color theme="1"/>
        <rFont val="Times New Roman"/>
        <family val="1"/>
      </rPr>
      <t xml:space="preserve">
</t>
    </r>
    <r>
      <rPr>
        <sz val="11"/>
        <color theme="1"/>
        <rFont val="Times New Roman"/>
        <family val="1"/>
      </rPr>
      <t>- La tercera parte del código es el día, el mes y los dos últimos dígitos del año del vuelo. (Ejemplo: 12/09/2018, el código sería: "120918")</t>
    </r>
  </si>
  <si>
    <t xml:space="preserve"> </t>
  </si>
  <si>
    <t>Tabla 1. Inicial</t>
  </si>
  <si>
    <t>Tabla 2. Código</t>
  </si>
  <si>
    <t>Salida</t>
  </si>
  <si>
    <t>Llegada</t>
  </si>
  <si>
    <t>Tiempo (min)</t>
  </si>
  <si>
    <t>Fecha</t>
  </si>
  <si>
    <t>No de Vuelos</t>
  </si>
  <si>
    <t xml:space="preserve">Código </t>
  </si>
  <si>
    <t>BAQ</t>
  </si>
  <si>
    <t>BGA</t>
  </si>
  <si>
    <t>SMR</t>
  </si>
  <si>
    <t>ADZ</t>
  </si>
  <si>
    <t>VUP</t>
  </si>
  <si>
    <t>CTG</t>
  </si>
  <si>
    <t>MDE</t>
  </si>
  <si>
    <t>MTR</t>
  </si>
  <si>
    <t>LET</t>
  </si>
  <si>
    <t>PEI</t>
  </si>
  <si>
    <t>BOG</t>
  </si>
  <si>
    <t>CUC</t>
  </si>
  <si>
    <t>EYP</t>
  </si>
  <si>
    <t>CLO</t>
  </si>
  <si>
    <t>Punto 2</t>
  </si>
  <si>
    <t>Por medio de una única fórmula retorne el código de la ciudad que entra por parámetro.
Además, utilice otra fórmula que le permita retornar el número de vuelos que tiene asociada la ciudad.</t>
  </si>
  <si>
    <t>Código</t>
  </si>
  <si>
    <t>Ciudad Origen</t>
  </si>
  <si>
    <t># Vuelos</t>
  </si>
  <si>
    <t>Barranquilla</t>
  </si>
  <si>
    <t>Ciudad</t>
  </si>
  <si>
    <t>Santa Marta</t>
  </si>
  <si>
    <t>Bucaramanga</t>
  </si>
  <si>
    <t># vuelos</t>
  </si>
  <si>
    <t>San Andrés</t>
  </si>
  <si>
    <t>Valledupar</t>
  </si>
  <si>
    <t>Cartagena</t>
  </si>
  <si>
    <t>Medellín</t>
  </si>
  <si>
    <t>Montería</t>
  </si>
  <si>
    <t>Leticia</t>
  </si>
  <si>
    <t>Pereira</t>
  </si>
  <si>
    <t>Bogotá</t>
  </si>
  <si>
    <t>Cúcuta</t>
  </si>
  <si>
    <t>Yopal</t>
  </si>
  <si>
    <t>Cali</t>
  </si>
  <si>
    <t>Punto 3</t>
  </si>
  <si>
    <t>A partir de una formula, defina el tiempo total en minutos de un vuelo seleccionado para el 25 de Diciembre de 2016.</t>
  </si>
  <si>
    <t>Vuelo</t>
  </si>
  <si>
    <t>Tiempo de vuelo  (min)</t>
  </si>
  <si>
    <t>Punto 4</t>
  </si>
  <si>
    <t>Cree una única fórmula, que al ser arrastrada por toda la tabla, le permita saber cuantos vuelos fueron realizados dependiendo de la ciudad de origen para cada una de las fechas de Diciembre.</t>
  </si>
  <si>
    <t>No. de Vuelos realizados</t>
  </si>
  <si>
    <t>Punto 5</t>
  </si>
  <si>
    <t>Por medio de una única fórmula encuentre la posición de la última letra indicada como parámetro, para cada una de las siguientes palabras:</t>
  </si>
  <si>
    <t>Palabra</t>
  </si>
  <si>
    <t>Letra</t>
  </si>
  <si>
    <t>Posición</t>
  </si>
  <si>
    <t>intensamente</t>
  </si>
  <si>
    <t>e</t>
  </si>
  <si>
    <t>principito</t>
  </si>
  <si>
    <t>i</t>
  </si>
  <si>
    <t>abecedario</t>
  </si>
  <si>
    <t>a</t>
  </si>
  <si>
    <t>esternocleidomastoideo</t>
  </si>
  <si>
    <t>o</t>
  </si>
  <si>
    <t>Punto 6</t>
  </si>
  <si>
    <t>Retorne la cantidad de vuelos de una ciudad de inicio a una ciudad destino, dado el día de vuelo.</t>
  </si>
  <si>
    <t>Origen</t>
  </si>
  <si>
    <t>Destino</t>
  </si>
  <si>
    <t>Día</t>
  </si>
  <si>
    <t>Vuelos</t>
  </si>
  <si>
    <t>Flight</t>
  </si>
  <si>
    <t>Origin</t>
  </si>
  <si>
    <t>Destination</t>
  </si>
  <si>
    <t>Departure</t>
  </si>
  <si>
    <t>Arrival</t>
  </si>
  <si>
    <t>depature</t>
  </si>
  <si>
    <t>llegada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</si>
</sst>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8"/>
      <color theme="1"/>
      <name val="Calibri"/>
      <family val="2"/>
      <scheme val="minor"/>
    </font>
    <font>
      <b/>
      <sz val="8"/>
      <color rgb="FFFF0000"/>
      <name val="Calibri"/>
      <family val="2"/>
      <scheme val="minor"/>
    </font>
    <font>
      <sz val="11"/>
      <color theme="0"/>
      <name val="Times New Roman"/>
      <family val="1"/>
    </font>
    <font>
      <b/>
      <sz val="10"/>
      <color rgb="FFFF0000"/>
      <name val="Calibri"/>
      <family val="2"/>
      <scheme val="minor"/>
    </font>
    <font>
      <sz val="10"/>
      <color theme="1"/>
      <name val="Calibri"/>
      <family val="2"/>
      <scheme val="minor"/>
    </font>
    <font>
      <sz val="10"/>
      <color theme="0"/>
      <name val="Times New Roman"/>
      <family val="1"/>
    </font>
    <font>
      <sz val="10"/>
      <name val="Times New Roman"/>
      <family val="1"/>
    </font>
    <font>
      <sz val="11"/>
      <color theme="1"/>
      <name val="Times New Roman"/>
      <family val="1"/>
    </font>
    <font>
      <b/>
      <sz val="11"/>
      <color theme="1"/>
      <name val="Times New Roman"/>
      <family val="1"/>
    </font>
    <font>
      <b/>
      <sz val="11"/>
      <color theme="1"/>
      <name val="Calibri"/>
      <family val="2"/>
      <scheme val="minor"/>
    </font>
    <font>
      <b/>
      <sz val="14"/>
      <color theme="1"/>
      <name val="Calibri"/>
      <family val="2"/>
      <scheme val="minor"/>
    </font>
    <font>
      <b/>
      <sz val="20"/>
      <color theme="1"/>
      <name val="Calibri"/>
      <family val="2"/>
      <scheme val="minor"/>
    </font>
    <font>
      <sz val="12"/>
      <color theme="1"/>
      <name val="Calibri"/>
      <family val="2"/>
      <scheme val="minor"/>
    </font>
    <font>
      <u/>
      <sz val="11"/>
      <color theme="1"/>
      <name val="Times New Roman"/>
      <family val="1"/>
    </font>
  </fonts>
  <fills count="6">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FF0000"/>
        <bgColor indexed="64"/>
      </patternFill>
    </fill>
    <fill>
      <patternFill patternType="solid">
        <fgColor theme="9" tint="0.79998168889431442"/>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auto="1"/>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s>
  <cellStyleXfs count="1">
    <xf numFmtId="0" fontId="0" fillId="0" borderId="0"/>
  </cellStyleXfs>
  <cellXfs count="105">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5" fillId="0" borderId="0" xfId="0" applyFont="1"/>
    <xf numFmtId="0" fontId="7" fillId="0" borderId="1" xfId="0" applyFont="1" applyBorder="1" applyAlignment="1">
      <alignment horizontal="center" vertical="center"/>
    </xf>
    <xf numFmtId="22" fontId="7" fillId="0" borderId="1" xfId="0" applyNumberFormat="1" applyFont="1" applyBorder="1" applyAlignment="1">
      <alignment horizontal="center" vertical="center"/>
    </xf>
    <xf numFmtId="0" fontId="5" fillId="0" borderId="0" xfId="0" applyFont="1" applyAlignment="1">
      <alignment horizontal="center"/>
    </xf>
    <xf numFmtId="0" fontId="6" fillId="2" borderId="1" xfId="0" applyFont="1" applyFill="1" applyBorder="1" applyAlignment="1">
      <alignment horizontal="center" vertical="center"/>
    </xf>
    <xf numFmtId="0" fontId="8" fillId="0" borderId="0" xfId="0" applyFont="1" applyAlignment="1">
      <alignment horizontal="center"/>
    </xf>
    <xf numFmtId="0" fontId="8" fillId="3" borderId="1" xfId="0" applyFont="1" applyFill="1" applyBorder="1" applyAlignment="1">
      <alignment horizontal="center" vertical="center"/>
    </xf>
    <xf numFmtId="0" fontId="9" fillId="0" borderId="0" xfId="0" applyFont="1" applyAlignment="1">
      <alignment horizontal="center"/>
    </xf>
    <xf numFmtId="0" fontId="8" fillId="0" borderId="4" xfId="0" applyFont="1" applyBorder="1" applyAlignment="1">
      <alignment horizontal="center"/>
    </xf>
    <xf numFmtId="0" fontId="8" fillId="0" borderId="6" xfId="0" applyFont="1" applyBorder="1" applyAlignment="1">
      <alignment horizontal="center"/>
    </xf>
    <xf numFmtId="0" fontId="8" fillId="0" borderId="9" xfId="0" applyFont="1" applyBorder="1" applyAlignment="1">
      <alignment horizontal="center"/>
    </xf>
    <xf numFmtId="0" fontId="8" fillId="3" borderId="5"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4" xfId="0" applyFont="1" applyFill="1" applyBorder="1" applyAlignment="1">
      <alignment horizontal="center" vertical="center"/>
    </xf>
    <xf numFmtId="0" fontId="9" fillId="0" borderId="0" xfId="0" applyFont="1" applyAlignment="1">
      <alignment horizontal="left"/>
    </xf>
    <xf numFmtId="0" fontId="8" fillId="3" borderId="6" xfId="0" applyFont="1" applyFill="1" applyBorder="1" applyAlignment="1">
      <alignment horizontal="center" vertical="center"/>
    </xf>
    <xf numFmtId="0" fontId="8" fillId="3" borderId="9" xfId="0" applyFont="1" applyFill="1" applyBorder="1" applyAlignment="1">
      <alignment horizontal="center" vertical="center"/>
    </xf>
    <xf numFmtId="0" fontId="0" fillId="3" borderId="0" xfId="0" applyFill="1"/>
    <xf numFmtId="0" fontId="11" fillId="3" borderId="0" xfId="0" applyFont="1" applyFill="1" applyAlignment="1">
      <alignment horizontal="right"/>
    </xf>
    <xf numFmtId="0" fontId="10" fillId="3" borderId="0" xfId="0" applyFont="1" applyFill="1" applyAlignment="1">
      <alignment horizontal="left"/>
    </xf>
    <xf numFmtId="0" fontId="12" fillId="3" borderId="0" xfId="0" applyFont="1" applyFill="1"/>
    <xf numFmtId="0" fontId="0" fillId="3" borderId="21" xfId="0" applyFill="1" applyBorder="1"/>
    <xf numFmtId="0" fontId="13" fillId="3" borderId="21" xfId="0" applyFont="1" applyFill="1" applyBorder="1" applyAlignment="1">
      <alignment vertical="center"/>
    </xf>
    <xf numFmtId="0" fontId="0" fillId="3" borderId="21" xfId="0" applyFill="1" applyBorder="1" applyAlignment="1">
      <alignment vertical="center"/>
    </xf>
    <xf numFmtId="0" fontId="13" fillId="3" borderId="0" xfId="0" applyFont="1" applyFill="1" applyAlignment="1">
      <alignment vertical="center"/>
    </xf>
    <xf numFmtId="0" fontId="0" fillId="3" borderId="0" xfId="0" applyFill="1" applyAlignment="1">
      <alignment vertical="center"/>
    </xf>
    <xf numFmtId="0" fontId="0" fillId="0" borderId="0" xfId="0" applyAlignment="1">
      <alignment vertical="center"/>
    </xf>
    <xf numFmtId="0" fontId="8" fillId="3" borderId="23" xfId="0" applyFont="1" applyFill="1" applyBorder="1" applyAlignment="1">
      <alignment horizontal="center" vertical="center"/>
    </xf>
    <xf numFmtId="0" fontId="8" fillId="3" borderId="28" xfId="0" applyFont="1" applyFill="1" applyBorder="1" applyAlignment="1">
      <alignment horizontal="center" vertical="center"/>
    </xf>
    <xf numFmtId="0" fontId="8" fillId="3" borderId="24" xfId="0" applyFont="1" applyFill="1" applyBorder="1" applyAlignment="1">
      <alignment horizontal="center" vertical="center"/>
    </xf>
    <xf numFmtId="0" fontId="3" fillId="4" borderId="29" xfId="0" applyFont="1" applyFill="1" applyBorder="1" applyAlignment="1">
      <alignment horizontal="center" vertical="center"/>
    </xf>
    <xf numFmtId="0" fontId="8" fillId="3" borderId="30" xfId="0" applyFont="1" applyFill="1" applyBorder="1" applyAlignment="1">
      <alignment horizontal="center" vertical="center"/>
    </xf>
    <xf numFmtId="0" fontId="8" fillId="3" borderId="31" xfId="0" applyFont="1" applyFill="1" applyBorder="1" applyAlignment="1">
      <alignment horizontal="center" vertical="center"/>
    </xf>
    <xf numFmtId="14" fontId="8" fillId="3" borderId="30" xfId="0" applyNumberFormat="1" applyFont="1" applyFill="1" applyBorder="1" applyAlignment="1">
      <alignment horizontal="center" vertical="center"/>
    </xf>
    <xf numFmtId="14" fontId="8" fillId="3" borderId="31" xfId="0" applyNumberFormat="1" applyFont="1" applyFill="1" applyBorder="1" applyAlignment="1">
      <alignment horizontal="center" vertical="center"/>
    </xf>
    <xf numFmtId="0" fontId="3" fillId="4" borderId="32" xfId="0" applyFont="1" applyFill="1" applyBorder="1" applyAlignment="1">
      <alignment horizontal="center" vertical="center"/>
    </xf>
    <xf numFmtId="0" fontId="8" fillId="0" borderId="2" xfId="0" applyFont="1" applyBorder="1" applyAlignment="1">
      <alignment horizontal="center"/>
    </xf>
    <xf numFmtId="0" fontId="8" fillId="0" borderId="3" xfId="0" applyFont="1" applyBorder="1" applyAlignment="1">
      <alignment horizontal="center"/>
    </xf>
    <xf numFmtId="0" fontId="8" fillId="0" borderId="27" xfId="0" applyFont="1" applyBorder="1" applyAlignment="1">
      <alignment horizontal="center"/>
    </xf>
    <xf numFmtId="0" fontId="8" fillId="5" borderId="9" xfId="0" applyFont="1" applyFill="1" applyBorder="1" applyAlignment="1">
      <alignment horizontal="center"/>
    </xf>
    <xf numFmtId="0" fontId="8" fillId="5" borderId="24" xfId="0" applyFont="1" applyFill="1" applyBorder="1" applyAlignment="1">
      <alignment horizontal="center"/>
    </xf>
    <xf numFmtId="0" fontId="8" fillId="3" borderId="0" xfId="0" applyFont="1" applyFill="1" applyAlignment="1">
      <alignment horizontal="center" vertical="center"/>
    </xf>
    <xf numFmtId="0" fontId="8" fillId="0" borderId="2" xfId="0" applyFont="1" applyBorder="1" applyAlignment="1">
      <alignment horizontal="left" vertical="center" wrapText="1"/>
    </xf>
    <xf numFmtId="0" fontId="8" fillId="0" borderId="4" xfId="0" applyFont="1" applyBorder="1" applyAlignment="1">
      <alignment horizontal="left" vertical="center" wrapText="1"/>
    </xf>
    <xf numFmtId="0" fontId="8" fillId="0" borderId="7" xfId="0" applyFont="1" applyBorder="1" applyAlignment="1">
      <alignment horizontal="left" vertical="center" wrapText="1"/>
    </xf>
    <xf numFmtId="0" fontId="8" fillId="3" borderId="22"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27" xfId="0" applyFont="1" applyFill="1" applyBorder="1" applyAlignment="1">
      <alignment horizontal="center" vertical="center"/>
    </xf>
    <xf numFmtId="0" fontId="8" fillId="0" borderId="5" xfId="0" applyFont="1" applyBorder="1" applyAlignment="1">
      <alignment horizontal="left" vertical="center" wrapText="1"/>
    </xf>
    <xf numFmtId="0" fontId="8" fillId="5" borderId="6" xfId="0" applyFont="1" applyFill="1" applyBorder="1" applyAlignment="1">
      <alignment horizontal="left" vertical="center" wrapText="1"/>
    </xf>
    <xf numFmtId="0" fontId="8" fillId="5" borderId="9" xfId="0" applyFont="1" applyFill="1" applyBorder="1" applyAlignment="1">
      <alignment horizontal="left" vertical="center" wrapText="1"/>
    </xf>
    <xf numFmtId="0" fontId="9" fillId="0" borderId="16" xfId="0" applyFont="1" applyBorder="1" applyAlignment="1">
      <alignment horizontal="center"/>
    </xf>
    <xf numFmtId="0" fontId="8" fillId="0" borderId="0" xfId="0" applyFont="1" applyAlignment="1">
      <alignment horizontal="left" vertical="center" wrapText="1"/>
    </xf>
    <xf numFmtId="0" fontId="8" fillId="0" borderId="23" xfId="0" applyFont="1" applyBorder="1" applyAlignment="1">
      <alignment horizontal="center"/>
    </xf>
    <xf numFmtId="0" fontId="8" fillId="0" borderId="1"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26" xfId="0" applyFont="1" applyBorder="1" applyAlignment="1">
      <alignment horizontal="center"/>
    </xf>
    <xf numFmtId="0" fontId="8" fillId="0" borderId="0" xfId="0" quotePrefix="1" applyFont="1" applyAlignment="1">
      <alignment horizontal="center"/>
    </xf>
    <xf numFmtId="2" fontId="5" fillId="0" borderId="0" xfId="0" applyNumberFormat="1" applyFont="1" applyAlignment="1">
      <alignment horizontal="center"/>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0" fontId="8" fillId="0" borderId="13" xfId="0" applyFont="1" applyBorder="1" applyAlignment="1">
      <alignment horizontal="left" vertical="center" wrapText="1"/>
    </xf>
    <xf numFmtId="0" fontId="8" fillId="0" borderId="0" xfId="0" applyFont="1" applyAlignment="1">
      <alignment horizontal="left" vertical="center"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6" xfId="0" applyFont="1" applyBorder="1" applyAlignment="1">
      <alignment horizontal="left" vertical="center" wrapText="1"/>
    </xf>
    <xf numFmtId="0" fontId="8" fillId="0" borderId="17" xfId="0" applyFont="1" applyBorder="1" applyAlignment="1">
      <alignment horizontal="left" vertical="center" wrapText="1"/>
    </xf>
    <xf numFmtId="0" fontId="3" fillId="2" borderId="18" xfId="0" applyFont="1" applyFill="1" applyBorder="1" applyAlignment="1">
      <alignment horizontal="center"/>
    </xf>
    <xf numFmtId="0" fontId="3" fillId="2" borderId="19" xfId="0" applyFont="1" applyFill="1" applyBorder="1" applyAlignment="1">
      <alignment horizontal="center"/>
    </xf>
    <xf numFmtId="0" fontId="3" fillId="2" borderId="20" xfId="0" applyFont="1" applyFill="1" applyBorder="1" applyAlignment="1">
      <alignment horizontal="center"/>
    </xf>
    <xf numFmtId="0" fontId="9" fillId="0" borderId="16" xfId="0" applyFont="1" applyBorder="1" applyAlignment="1">
      <alignment horizontal="center"/>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0" xfId="0" applyFont="1" applyAlignment="1">
      <alignment horizontal="center"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36" xfId="0" applyFont="1" applyBorder="1" applyAlignment="1">
      <alignment horizontal="center"/>
    </xf>
    <xf numFmtId="0" fontId="8" fillId="0" borderId="29" xfId="0" applyFont="1" applyBorder="1" applyAlignment="1">
      <alignment horizontal="center"/>
    </xf>
    <xf numFmtId="0" fontId="8" fillId="0" borderId="35" xfId="0" applyFont="1" applyBorder="1" applyAlignment="1">
      <alignment horizontal="center"/>
    </xf>
    <xf numFmtId="0" fontId="8" fillId="0" borderId="30" xfId="0" applyFont="1" applyBorder="1" applyAlignment="1">
      <alignment horizontal="center"/>
    </xf>
    <xf numFmtId="0" fontId="8" fillId="0" borderId="34" xfId="0" applyFont="1" applyBorder="1" applyAlignment="1">
      <alignment horizontal="center"/>
    </xf>
    <xf numFmtId="0" fontId="8" fillId="0" borderId="31" xfId="0" applyFont="1" applyBorder="1" applyAlignment="1">
      <alignment horizontal="center"/>
    </xf>
    <xf numFmtId="0" fontId="8" fillId="0" borderId="18" xfId="0" applyFont="1" applyBorder="1" applyAlignment="1">
      <alignment horizontal="center"/>
    </xf>
    <xf numFmtId="0" fontId="8" fillId="0" borderId="33" xfId="0" applyFont="1" applyBorder="1" applyAlignment="1">
      <alignment horizontal="center"/>
    </xf>
    <xf numFmtId="0" fontId="8" fillId="0" borderId="2" xfId="0" applyFont="1" applyBorder="1" applyAlignment="1">
      <alignment horizontal="center"/>
    </xf>
    <xf numFmtId="0" fontId="8" fillId="0" borderId="3"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148589</xdr:colOff>
      <xdr:row>0</xdr:row>
      <xdr:rowOff>167639</xdr:rowOff>
    </xdr:from>
    <xdr:to>
      <xdr:col>3</xdr:col>
      <xdr:colOff>408065</xdr:colOff>
      <xdr:row>4</xdr:row>
      <xdr:rowOff>143351</xdr:rowOff>
    </xdr:to>
    <xdr:pic>
      <xdr:nvPicPr>
        <xdr:cNvPr id="2" name="Imagen 1">
          <a:extLst>
            <a:ext uri="{FF2B5EF4-FFF2-40B4-BE49-F238E27FC236}">
              <a16:creationId xmlns:a16="http://schemas.microsoft.com/office/drawing/2014/main" id="{00000000-0008-0000-00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58" t="16753" r="6388" b="16581"/>
        <a:stretch/>
      </xdr:blipFill>
      <xdr:spPr>
        <a:xfrm>
          <a:off x="148589" y="167639"/>
          <a:ext cx="2401730" cy="737712"/>
        </a:xfrm>
        <a:prstGeom prst="rect">
          <a:avLst/>
        </a:prstGeom>
      </xdr:spPr>
    </xdr:pic>
    <xdr:clientData/>
  </xdr:twoCellAnchor>
  <xdr:twoCellAnchor>
    <xdr:from>
      <xdr:col>3</xdr:col>
      <xdr:colOff>829309</xdr:colOff>
      <xdr:row>0</xdr:row>
      <xdr:rowOff>122132</xdr:rowOff>
    </xdr:from>
    <xdr:to>
      <xdr:col>15</xdr:col>
      <xdr:colOff>212725</xdr:colOff>
      <xdr:row>4</xdr:row>
      <xdr:rowOff>45932</xdr:rowOff>
    </xdr:to>
    <xdr:sp macro="" textlink="">
      <xdr:nvSpPr>
        <xdr:cNvPr id="3" name="CuadroTexto 2">
          <a:extLst>
            <a:ext uri="{FF2B5EF4-FFF2-40B4-BE49-F238E27FC236}">
              <a16:creationId xmlns:a16="http://schemas.microsoft.com/office/drawing/2014/main" id="{00000000-0008-0000-0000-000008000000}"/>
            </a:ext>
          </a:extLst>
        </xdr:cNvPr>
        <xdr:cNvSpPr txBox="1"/>
      </xdr:nvSpPr>
      <xdr:spPr>
        <a:xfrm>
          <a:off x="2953384" y="122132"/>
          <a:ext cx="8422641"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4400" b="1"/>
            <a:t>Sistemas de Apoyo a la Decisión</a:t>
          </a:r>
        </a:p>
      </xdr:txBody>
    </xdr: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AF144"/>
  <sheetViews>
    <sheetView showGridLines="0" tabSelected="1" topLeftCell="A102" zoomScale="113" zoomScaleNormal="100" workbookViewId="0">
      <selection activeCell="G118" sqref="G118"/>
    </sheetView>
  </sheetViews>
  <sheetFormatPr baseColWidth="10" defaultColWidth="11.42578125" defaultRowHeight="15" x14ac:dyDescent="0.25"/>
  <cols>
    <col min="1" max="1" width="4.7109375" style="13" customWidth="1"/>
    <col min="2" max="8" width="13.42578125" style="13" customWidth="1"/>
    <col min="9" max="9" width="15.42578125" style="13" customWidth="1"/>
    <col min="10" max="11" width="13.42578125" style="13" customWidth="1"/>
    <col min="12" max="12" width="23.7109375" style="13" bestFit="1" customWidth="1"/>
    <col min="13" max="14" width="6.42578125" style="13" customWidth="1"/>
    <col min="15" max="15" width="5.85546875" style="13" customWidth="1"/>
    <col min="16" max="16" width="8.140625" style="13" bestFit="1" customWidth="1"/>
    <col min="17" max="17" width="13.7109375" style="13" customWidth="1"/>
    <col min="18" max="18" width="9.7109375" style="13" customWidth="1"/>
    <col min="19" max="19" width="5.85546875" style="13" customWidth="1"/>
    <col min="20" max="20" width="12.7109375" style="13" customWidth="1"/>
    <col min="21" max="21" width="13.7109375" style="13" customWidth="1"/>
    <col min="22" max="16384" width="11.42578125" style="13"/>
  </cols>
  <sheetData>
    <row r="1" spans="1:32" customFormat="1" ht="14.45" customHeight="1" x14ac:dyDescent="0.25">
      <c r="A1" s="27"/>
      <c r="B1" s="27"/>
      <c r="C1" s="27"/>
      <c r="D1" s="27"/>
      <c r="E1" s="27"/>
      <c r="F1" s="27"/>
      <c r="G1" s="27"/>
      <c r="H1" s="27"/>
      <c r="I1" s="27"/>
      <c r="J1" s="27"/>
      <c r="K1" s="27"/>
      <c r="L1" s="27"/>
      <c r="M1" s="27"/>
      <c r="N1" s="27"/>
      <c r="O1" s="27"/>
      <c r="P1" s="27"/>
    </row>
    <row r="2" spans="1:32" customFormat="1" ht="14.45" customHeight="1" x14ac:dyDescent="0.3">
      <c r="A2" s="28"/>
      <c r="B2" s="27"/>
      <c r="C2" s="27"/>
      <c r="D2" s="27"/>
      <c r="E2" s="27"/>
      <c r="F2" s="27"/>
      <c r="H2" s="27"/>
      <c r="I2" s="27"/>
      <c r="J2" s="27"/>
      <c r="K2" s="27"/>
      <c r="L2" s="27"/>
      <c r="M2" s="27"/>
      <c r="N2" s="27"/>
      <c r="O2" s="27"/>
      <c r="P2" s="27"/>
    </row>
    <row r="3" spans="1:32" customFormat="1" ht="14.45" customHeight="1" x14ac:dyDescent="0.25">
      <c r="A3" s="27"/>
      <c r="B3" s="27"/>
      <c r="C3" s="27"/>
      <c r="D3" s="27"/>
      <c r="E3" s="27"/>
      <c r="F3" s="27"/>
      <c r="G3" s="27"/>
      <c r="H3" s="27"/>
      <c r="I3" s="27"/>
      <c r="J3" s="27"/>
      <c r="K3" s="27"/>
      <c r="L3" s="27"/>
      <c r="M3" s="27"/>
      <c r="N3" s="27"/>
      <c r="O3" s="27"/>
      <c r="P3" s="27"/>
    </row>
    <row r="4" spans="1:32" customFormat="1" ht="14.45" customHeight="1" x14ac:dyDescent="0.25">
      <c r="A4" s="27"/>
      <c r="B4" s="27"/>
      <c r="C4" s="27"/>
      <c r="D4" s="27"/>
      <c r="E4" s="27"/>
      <c r="F4" s="27"/>
      <c r="G4" s="27"/>
      <c r="H4" s="27"/>
      <c r="I4" s="27"/>
      <c r="J4" s="27"/>
      <c r="K4" s="27"/>
      <c r="L4" s="27"/>
      <c r="M4" s="27"/>
      <c r="N4" s="27"/>
      <c r="O4" s="27"/>
      <c r="P4" s="27"/>
    </row>
    <row r="5" spans="1:32" customFormat="1" ht="14.45" customHeight="1" x14ac:dyDescent="0.25">
      <c r="A5" s="27"/>
      <c r="B5" s="27"/>
      <c r="C5" s="27"/>
      <c r="D5" s="27"/>
      <c r="E5" s="27"/>
      <c r="F5" s="27"/>
      <c r="G5" s="27"/>
      <c r="H5" s="27"/>
      <c r="I5" s="27"/>
      <c r="J5" s="27"/>
      <c r="K5" s="27"/>
      <c r="L5" s="27"/>
      <c r="M5" s="27"/>
      <c r="N5" s="27"/>
      <c r="O5" s="27"/>
      <c r="P5" s="27"/>
    </row>
    <row r="6" spans="1:32" customFormat="1" x14ac:dyDescent="0.25">
      <c r="A6" s="27"/>
      <c r="B6" s="27"/>
      <c r="C6" s="27"/>
      <c r="D6" s="27"/>
      <c r="E6" s="29" t="s">
        <v>0</v>
      </c>
      <c r="F6" s="13"/>
      <c r="G6" s="13"/>
      <c r="H6" s="29"/>
      <c r="I6" s="27"/>
      <c r="J6" s="27"/>
      <c r="K6" s="27"/>
      <c r="L6" s="27"/>
      <c r="M6" s="27"/>
      <c r="N6" s="27"/>
      <c r="O6" s="27"/>
      <c r="P6" s="27"/>
    </row>
    <row r="7" spans="1:32" customFormat="1" ht="26.25" x14ac:dyDescent="0.4">
      <c r="A7" s="27"/>
      <c r="B7" s="27"/>
      <c r="C7" s="27"/>
      <c r="D7" s="27"/>
      <c r="E7" s="27"/>
      <c r="F7" s="30" t="s">
        <v>1</v>
      </c>
      <c r="G7" s="13"/>
      <c r="H7" s="13"/>
      <c r="I7" s="27"/>
      <c r="J7" s="27"/>
      <c r="K7" s="27"/>
      <c r="L7" s="27"/>
      <c r="M7" s="27"/>
      <c r="N7" s="27"/>
      <c r="O7" s="27"/>
      <c r="P7" s="27"/>
    </row>
    <row r="8" spans="1:32" customFormat="1" ht="14.45" customHeight="1" thickBot="1" x14ac:dyDescent="0.3">
      <c r="A8" s="31"/>
      <c r="B8" s="32"/>
      <c r="C8" s="32"/>
      <c r="D8" s="32"/>
      <c r="E8" s="32"/>
      <c r="F8" s="33"/>
      <c r="G8" s="33"/>
      <c r="H8" s="33"/>
      <c r="I8" s="33"/>
      <c r="J8" s="33"/>
      <c r="K8" s="33"/>
      <c r="L8" s="33"/>
      <c r="M8" s="33"/>
      <c r="N8" s="33"/>
      <c r="O8" s="33"/>
      <c r="P8" s="33"/>
      <c r="Q8" s="33"/>
      <c r="R8" s="33"/>
      <c r="S8" s="33"/>
      <c r="T8" s="33"/>
      <c r="U8" s="33"/>
      <c r="V8" s="33"/>
      <c r="W8" s="33"/>
      <c r="X8" s="33"/>
      <c r="Y8" s="33"/>
      <c r="Z8" s="33"/>
      <c r="AA8" s="33"/>
      <c r="AB8" s="33"/>
      <c r="AC8" s="33"/>
      <c r="AD8" s="33"/>
      <c r="AE8" s="33"/>
      <c r="AF8" s="33"/>
    </row>
    <row r="9" spans="1:32" customFormat="1" ht="14.45" customHeight="1" thickTop="1" thickBot="1" x14ac:dyDescent="0.3">
      <c r="A9" s="27"/>
      <c r="B9" s="34"/>
      <c r="C9" s="34"/>
      <c r="D9" s="34"/>
      <c r="E9" s="34"/>
      <c r="F9" s="35"/>
      <c r="G9" s="35"/>
      <c r="H9" s="35"/>
      <c r="I9" s="35"/>
      <c r="J9" s="35"/>
      <c r="K9" s="35"/>
      <c r="L9" s="35"/>
      <c r="M9" s="35"/>
      <c r="N9" s="35"/>
      <c r="O9" s="35"/>
      <c r="P9" s="35"/>
      <c r="Q9" s="36"/>
      <c r="R9" s="36"/>
    </row>
    <row r="10" spans="1:32" ht="15" customHeight="1" x14ac:dyDescent="0.25">
      <c r="B10" s="71" t="s">
        <v>2</v>
      </c>
      <c r="C10" s="72"/>
      <c r="D10" s="72"/>
      <c r="E10" s="72"/>
      <c r="F10" s="72"/>
      <c r="G10" s="72"/>
      <c r="H10" s="72"/>
      <c r="I10" s="72"/>
      <c r="J10" s="72"/>
      <c r="K10" s="73"/>
      <c r="L10"/>
      <c r="M10"/>
      <c r="N10"/>
      <c r="O10"/>
      <c r="P10"/>
      <c r="Q10"/>
      <c r="R10"/>
      <c r="S10"/>
      <c r="T10"/>
      <c r="U10"/>
      <c r="V10"/>
      <c r="W10"/>
      <c r="X10"/>
      <c r="Y10"/>
    </row>
    <row r="11" spans="1:32" ht="15" customHeight="1" x14ac:dyDescent="0.25">
      <c r="B11" s="74"/>
      <c r="C11" s="75"/>
      <c r="D11" s="75"/>
      <c r="E11" s="75"/>
      <c r="F11" s="75"/>
      <c r="G11" s="75"/>
      <c r="H11" s="75"/>
      <c r="I11" s="75"/>
      <c r="J11" s="75"/>
      <c r="K11" s="76"/>
      <c r="L11"/>
      <c r="M11"/>
      <c r="N11"/>
      <c r="O11"/>
      <c r="P11"/>
      <c r="Q11"/>
      <c r="R11"/>
      <c r="S11"/>
      <c r="T11"/>
      <c r="U11"/>
      <c r="V11"/>
      <c r="W11"/>
      <c r="X11"/>
      <c r="Y11"/>
    </row>
    <row r="12" spans="1:32" ht="15" customHeight="1" x14ac:dyDescent="0.25">
      <c r="B12" s="74"/>
      <c r="C12" s="75"/>
      <c r="D12" s="75"/>
      <c r="E12" s="75"/>
      <c r="F12" s="75"/>
      <c r="G12" s="75"/>
      <c r="H12" s="75"/>
      <c r="I12" s="75"/>
      <c r="J12" s="75"/>
      <c r="K12" s="76"/>
      <c r="L12"/>
      <c r="M12"/>
      <c r="N12"/>
      <c r="O12"/>
      <c r="P12"/>
      <c r="Q12"/>
      <c r="R12"/>
      <c r="S12"/>
      <c r="T12"/>
      <c r="U12"/>
      <c r="V12"/>
      <c r="W12"/>
      <c r="X12"/>
      <c r="Y12"/>
    </row>
    <row r="13" spans="1:32" x14ac:dyDescent="0.25">
      <c r="B13" s="74"/>
      <c r="C13" s="75"/>
      <c r="D13" s="75"/>
      <c r="E13" s="75"/>
      <c r="F13" s="75"/>
      <c r="G13" s="75"/>
      <c r="H13" s="75"/>
      <c r="I13" s="75"/>
      <c r="J13" s="75"/>
      <c r="K13" s="76"/>
      <c r="L13"/>
      <c r="M13"/>
      <c r="N13"/>
      <c r="O13"/>
      <c r="P13"/>
      <c r="Q13"/>
      <c r="R13"/>
      <c r="S13"/>
      <c r="T13"/>
      <c r="U13"/>
      <c r="V13"/>
      <c r="W13"/>
      <c r="X13"/>
      <c r="Y13"/>
    </row>
    <row r="14" spans="1:32" ht="15.75" thickBot="1" x14ac:dyDescent="0.3">
      <c r="B14" s="77"/>
      <c r="C14" s="78"/>
      <c r="D14" s="78"/>
      <c r="E14" s="78"/>
      <c r="F14" s="78"/>
      <c r="G14" s="78"/>
      <c r="H14" s="78"/>
      <c r="I14" s="78"/>
      <c r="J14" s="78"/>
      <c r="K14" s="79"/>
      <c r="L14"/>
      <c r="M14"/>
      <c r="N14"/>
      <c r="O14"/>
      <c r="P14"/>
      <c r="Q14"/>
      <c r="R14"/>
      <c r="S14"/>
      <c r="T14"/>
      <c r="U14"/>
      <c r="V14"/>
      <c r="W14"/>
      <c r="X14"/>
      <c r="Y14"/>
    </row>
    <row r="15" spans="1:32" x14ac:dyDescent="0.25">
      <c r="L15"/>
      <c r="M15"/>
      <c r="N15"/>
      <c r="O15"/>
      <c r="P15"/>
      <c r="Q15"/>
      <c r="R15"/>
      <c r="S15"/>
      <c r="T15"/>
      <c r="U15"/>
      <c r="V15"/>
      <c r="W15"/>
      <c r="X15"/>
      <c r="Y15"/>
    </row>
    <row r="16" spans="1:32" ht="15.75" thickBot="1" x14ac:dyDescent="0.3">
      <c r="B16" s="24" t="s">
        <v>3</v>
      </c>
      <c r="C16" s="24"/>
      <c r="D16" s="24"/>
      <c r="E16" s="24"/>
      <c r="I16"/>
      <c r="J16"/>
      <c r="K16"/>
      <c r="L16"/>
      <c r="M16"/>
      <c r="N16"/>
      <c r="O16"/>
      <c r="P16"/>
      <c r="Q16"/>
      <c r="R16"/>
      <c r="S16"/>
      <c r="T16"/>
      <c r="U16"/>
      <c r="V16"/>
      <c r="W16"/>
      <c r="X16"/>
      <c r="Y16"/>
    </row>
    <row r="17" spans="2:25" ht="15" customHeight="1" x14ac:dyDescent="0.25">
      <c r="B17" s="71" t="s">
        <v>4</v>
      </c>
      <c r="C17" s="72"/>
      <c r="D17" s="72"/>
      <c r="E17" s="72"/>
      <c r="F17" s="72"/>
      <c r="G17" s="72"/>
      <c r="H17" s="72"/>
      <c r="I17" s="72"/>
      <c r="J17" s="72"/>
      <c r="K17" s="73"/>
      <c r="L17"/>
      <c r="M17"/>
      <c r="N17"/>
      <c r="O17"/>
      <c r="P17"/>
      <c r="Q17"/>
      <c r="R17"/>
      <c r="S17"/>
      <c r="T17"/>
      <c r="U17"/>
      <c r="V17"/>
      <c r="W17"/>
      <c r="X17"/>
      <c r="Y17"/>
    </row>
    <row r="18" spans="2:25" ht="15" customHeight="1" x14ac:dyDescent="0.25">
      <c r="B18" s="74"/>
      <c r="C18" s="75"/>
      <c r="D18" s="75"/>
      <c r="E18" s="75"/>
      <c r="F18" s="75"/>
      <c r="G18" s="75"/>
      <c r="H18" s="75"/>
      <c r="I18" s="75"/>
      <c r="J18" s="75"/>
      <c r="K18" s="76"/>
      <c r="L18"/>
      <c r="M18"/>
      <c r="N18"/>
    </row>
    <row r="19" spans="2:25" ht="15" customHeight="1" x14ac:dyDescent="0.25">
      <c r="B19" s="74"/>
      <c r="C19" s="75"/>
      <c r="D19" s="75"/>
      <c r="E19" s="75"/>
      <c r="F19" s="75"/>
      <c r="G19" s="75"/>
      <c r="H19" s="75"/>
      <c r="I19" s="75"/>
      <c r="J19" s="75"/>
      <c r="K19" s="76"/>
      <c r="L19"/>
      <c r="M19"/>
      <c r="N19"/>
    </row>
    <row r="20" spans="2:25" ht="15" customHeight="1" x14ac:dyDescent="0.25">
      <c r="B20" s="74"/>
      <c r="C20" s="75"/>
      <c r="D20" s="75"/>
      <c r="E20" s="75"/>
      <c r="F20" s="75"/>
      <c r="G20" s="75"/>
      <c r="H20" s="75"/>
      <c r="I20" s="75"/>
      <c r="J20" s="75"/>
      <c r="K20" s="76"/>
      <c r="L20"/>
      <c r="M20"/>
      <c r="N20"/>
    </row>
    <row r="21" spans="2:25" ht="15" customHeight="1" x14ac:dyDescent="0.25">
      <c r="B21" s="74"/>
      <c r="C21" s="75"/>
      <c r="D21" s="75"/>
      <c r="E21" s="75"/>
      <c r="F21" s="75"/>
      <c r="G21" s="75"/>
      <c r="H21" s="75"/>
      <c r="I21" s="75"/>
      <c r="J21" s="75"/>
      <c r="K21" s="76"/>
      <c r="L21"/>
      <c r="M21"/>
      <c r="N21"/>
    </row>
    <row r="22" spans="2:25" ht="15" customHeight="1" x14ac:dyDescent="0.25">
      <c r="B22" s="74"/>
      <c r="C22" s="75"/>
      <c r="D22" s="75"/>
      <c r="E22" s="75"/>
      <c r="F22" s="75"/>
      <c r="G22" s="75"/>
      <c r="H22" s="75"/>
      <c r="I22" s="75"/>
      <c r="J22" s="75"/>
      <c r="K22" s="76"/>
      <c r="L22"/>
      <c r="M22"/>
      <c r="N22"/>
    </row>
    <row r="23" spans="2:25" ht="15" customHeight="1" x14ac:dyDescent="0.25">
      <c r="B23" s="74"/>
      <c r="C23" s="75"/>
      <c r="D23" s="75"/>
      <c r="E23" s="75"/>
      <c r="F23" s="75"/>
      <c r="G23" s="75"/>
      <c r="H23" s="75"/>
      <c r="I23" s="75"/>
      <c r="J23" s="75"/>
      <c r="K23" s="76"/>
      <c r="L23"/>
      <c r="M23"/>
      <c r="N23"/>
    </row>
    <row r="24" spans="2:25" ht="15.75" thickBot="1" x14ac:dyDescent="0.3">
      <c r="B24" s="77"/>
      <c r="C24" s="78"/>
      <c r="D24" s="78"/>
      <c r="E24" s="78"/>
      <c r="F24" s="78"/>
      <c r="G24" s="78"/>
      <c r="H24" s="78"/>
      <c r="I24" s="78"/>
      <c r="J24" s="78"/>
      <c r="K24" s="79"/>
      <c r="L24"/>
      <c r="M24"/>
      <c r="N24"/>
    </row>
    <row r="25" spans="2:25" x14ac:dyDescent="0.25">
      <c r="B25" s="13" t="s">
        <v>5</v>
      </c>
      <c r="I25"/>
      <c r="J25"/>
      <c r="K25"/>
      <c r="L25"/>
      <c r="M25"/>
      <c r="N25"/>
    </row>
    <row r="26" spans="2:25" ht="15.75" thickBot="1" x14ac:dyDescent="0.3">
      <c r="C26" s="83" t="s">
        <v>6</v>
      </c>
      <c r="D26" s="83"/>
      <c r="E26" s="83"/>
      <c r="F26" s="83"/>
      <c r="G26" s="83"/>
      <c r="I26" s="62" t="s">
        <v>7</v>
      </c>
      <c r="J26"/>
      <c r="K26"/>
      <c r="L26"/>
      <c r="M26"/>
      <c r="N26"/>
    </row>
    <row r="27" spans="2:25" x14ac:dyDescent="0.25">
      <c r="C27" s="22" t="s">
        <v>8</v>
      </c>
      <c r="D27" s="40" t="s">
        <v>9</v>
      </c>
      <c r="E27" s="40" t="s">
        <v>10</v>
      </c>
      <c r="F27" s="40" t="s">
        <v>11</v>
      </c>
      <c r="G27" s="23" t="s">
        <v>12</v>
      </c>
      <c r="I27" s="45" t="s">
        <v>13</v>
      </c>
      <c r="J27"/>
      <c r="K27"/>
      <c r="L27"/>
      <c r="M27"/>
      <c r="N27"/>
    </row>
    <row r="28" spans="2:25" x14ac:dyDescent="0.25">
      <c r="C28" s="19" t="s">
        <v>14</v>
      </c>
      <c r="D28" s="41" t="s">
        <v>15</v>
      </c>
      <c r="E28" s="41">
        <f ca="1">RANDBETWEEN(30,75)</f>
        <v>51</v>
      </c>
      <c r="F28" s="43">
        <f ca="1">RANDBETWEEN(43106,43861)</f>
        <v>43678</v>
      </c>
      <c r="G28" s="17">
        <v>3</v>
      </c>
      <c r="I28" s="38" t="str">
        <f ca="1">MID(C28,2,1)&amp;RIGHT(D28,1)&amp;ROUND(E28/60,0)&amp;DAY(F28)&amp;IF(MONTH(F28)&lt;10,0&amp;MONTH(F28),MONTH(F28))&amp;RIGHT(YEAR(F28),2)</f>
        <v>AA110819</v>
      </c>
      <c r="J28" t="str" cm="1">
        <f t="array" aca="1" ref="J28:J41" ca="1">MID(C28:C41,2,1)&amp;MID(D28:D41,3,1)&amp;MONTH(F28)&amp;"0"&amp;DAY(F28)&amp;YEAR(F28)</f>
        <v>AA8012019</v>
      </c>
      <c r="K28"/>
      <c r="L28"/>
      <c r="M28"/>
      <c r="N28"/>
    </row>
    <row r="29" spans="2:25" x14ac:dyDescent="0.25">
      <c r="C29" s="19" t="s">
        <v>15</v>
      </c>
      <c r="D29" s="41" t="s">
        <v>16</v>
      </c>
      <c r="E29" s="41">
        <f t="shared" ref="E29:E41" ca="1" si="0">RANDBETWEEN(30,75)</f>
        <v>55</v>
      </c>
      <c r="F29" s="43">
        <f t="shared" ref="F29:F41" ca="1" si="1">RANDBETWEEN(43106,43861)</f>
        <v>43765</v>
      </c>
      <c r="G29" s="17">
        <v>1</v>
      </c>
      <c r="I29" s="38" t="str">
        <f t="shared" ref="I29:I41" ca="1" si="2">MID(C29,2,1)&amp;RIGHT(D29,1)&amp;ROUND(E29/60,0)&amp;DAY(F29)&amp;IF(MONTH(F29)&lt;10,0&amp;MONTH(F29),MONTH(F29))&amp;RIGHT(YEAR(F29),2)</f>
        <v>GR1271019</v>
      </c>
      <c r="J29" t="str">
        <f ca="1"/>
        <v>GR8012019</v>
      </c>
      <c r="K29"/>
      <c r="L29"/>
      <c r="M29"/>
      <c r="N29"/>
    </row>
    <row r="30" spans="2:25" x14ac:dyDescent="0.25">
      <c r="C30" s="19" t="s">
        <v>16</v>
      </c>
      <c r="D30" s="41" t="s">
        <v>17</v>
      </c>
      <c r="E30" s="41">
        <f t="shared" ca="1" si="0"/>
        <v>67</v>
      </c>
      <c r="F30" s="43">
        <f t="shared" ca="1" si="1"/>
        <v>43321</v>
      </c>
      <c r="G30" s="17">
        <v>3</v>
      </c>
      <c r="I30" s="38" t="str">
        <f t="shared" ca="1" si="2"/>
        <v>MZ190818</v>
      </c>
      <c r="J30" t="str">
        <f ca="1"/>
        <v>MZ8012019</v>
      </c>
      <c r="K30"/>
      <c r="L30"/>
    </row>
    <row r="31" spans="2:25" x14ac:dyDescent="0.25">
      <c r="C31" s="19" t="s">
        <v>17</v>
      </c>
      <c r="D31" s="41" t="s">
        <v>18</v>
      </c>
      <c r="E31" s="41">
        <f t="shared" ca="1" si="0"/>
        <v>42</v>
      </c>
      <c r="F31" s="43">
        <f t="shared" ca="1" si="1"/>
        <v>43446</v>
      </c>
      <c r="G31" s="17">
        <v>6</v>
      </c>
      <c r="I31" s="38" t="str">
        <f t="shared" ca="1" si="2"/>
        <v>DP1121218</v>
      </c>
      <c r="J31" t="str">
        <f ca="1"/>
        <v>DP8012019</v>
      </c>
      <c r="K31"/>
      <c r="L31"/>
      <c r="M31"/>
      <c r="N31"/>
    </row>
    <row r="32" spans="2:25" x14ac:dyDescent="0.25">
      <c r="C32" s="19" t="s">
        <v>18</v>
      </c>
      <c r="D32" s="41" t="s">
        <v>19</v>
      </c>
      <c r="E32" s="41">
        <f t="shared" ca="1" si="0"/>
        <v>30</v>
      </c>
      <c r="F32" s="43">
        <f t="shared" ca="1" si="1"/>
        <v>43513</v>
      </c>
      <c r="G32" s="17">
        <v>1</v>
      </c>
      <c r="I32" s="38" t="str">
        <f t="shared" ca="1" si="2"/>
        <v>UG1170219</v>
      </c>
      <c r="J32" t="str">
        <f ca="1"/>
        <v>UG8012019</v>
      </c>
      <c r="K32"/>
      <c r="L32"/>
      <c r="M32"/>
      <c r="N32"/>
    </row>
    <row r="33" spans="2:14" x14ac:dyDescent="0.25">
      <c r="C33" s="19" t="s">
        <v>19</v>
      </c>
      <c r="D33" s="41" t="s">
        <v>20</v>
      </c>
      <c r="E33" s="41">
        <f t="shared" ca="1" si="0"/>
        <v>33</v>
      </c>
      <c r="F33" s="43">
        <f t="shared" ca="1" si="1"/>
        <v>43192</v>
      </c>
      <c r="G33" s="17">
        <v>7</v>
      </c>
      <c r="I33" s="38" t="str">
        <f t="shared" ca="1" si="2"/>
        <v>TE120418</v>
      </c>
      <c r="J33" t="str">
        <f ca="1"/>
        <v>TE8012019</v>
      </c>
      <c r="K33"/>
      <c r="L33"/>
      <c r="M33"/>
      <c r="N33"/>
    </row>
    <row r="34" spans="2:14" x14ac:dyDescent="0.25">
      <c r="C34" s="19" t="s">
        <v>20</v>
      </c>
      <c r="D34" s="41" t="s">
        <v>21</v>
      </c>
      <c r="E34" s="41">
        <f t="shared" ca="1" si="0"/>
        <v>35</v>
      </c>
      <c r="F34" s="43">
        <f t="shared" ca="1" si="1"/>
        <v>43807</v>
      </c>
      <c r="G34" s="17">
        <v>6</v>
      </c>
      <c r="I34" s="38" t="str">
        <f t="shared" ca="1" si="2"/>
        <v>DR181219</v>
      </c>
      <c r="J34" t="str">
        <f ca="1"/>
        <v>DR8012019</v>
      </c>
      <c r="K34"/>
      <c r="L34"/>
      <c r="M34"/>
      <c r="N34"/>
    </row>
    <row r="35" spans="2:14" x14ac:dyDescent="0.25">
      <c r="C35" s="19" t="s">
        <v>21</v>
      </c>
      <c r="D35" s="41" t="s">
        <v>22</v>
      </c>
      <c r="E35" s="41">
        <f t="shared" ca="1" si="0"/>
        <v>35</v>
      </c>
      <c r="F35" s="43">
        <f t="shared" ca="1" si="1"/>
        <v>43737</v>
      </c>
      <c r="G35" s="17">
        <v>2</v>
      </c>
      <c r="I35" s="38" t="str">
        <f t="shared" ca="1" si="2"/>
        <v>TT1290919</v>
      </c>
      <c r="J35" t="str">
        <f ca="1"/>
        <v>TT8012019</v>
      </c>
      <c r="K35"/>
      <c r="L35"/>
      <c r="M35"/>
      <c r="N35"/>
    </row>
    <row r="36" spans="2:14" x14ac:dyDescent="0.25">
      <c r="C36" s="19" t="s">
        <v>22</v>
      </c>
      <c r="D36" s="41" t="s">
        <v>23</v>
      </c>
      <c r="E36" s="41">
        <f t="shared" ca="1" si="0"/>
        <v>63</v>
      </c>
      <c r="F36" s="43">
        <f t="shared" ca="1" si="1"/>
        <v>43129</v>
      </c>
      <c r="G36" s="17">
        <v>2</v>
      </c>
      <c r="I36" s="38" t="str">
        <f t="shared" ca="1" si="2"/>
        <v>EI1290118</v>
      </c>
      <c r="J36" t="str">
        <f ca="1"/>
        <v>EI8012019</v>
      </c>
      <c r="K36"/>
      <c r="L36"/>
      <c r="M36"/>
      <c r="N36"/>
    </row>
    <row r="37" spans="2:14" x14ac:dyDescent="0.25">
      <c r="C37" s="19" t="s">
        <v>23</v>
      </c>
      <c r="D37" s="41" t="s">
        <v>24</v>
      </c>
      <c r="E37" s="41">
        <f t="shared" ca="1" si="0"/>
        <v>73</v>
      </c>
      <c r="F37" s="43">
        <f t="shared" ca="1" si="1"/>
        <v>43625</v>
      </c>
      <c r="G37" s="17">
        <v>1</v>
      </c>
      <c r="I37" s="38" t="str">
        <f t="shared" ca="1" si="2"/>
        <v>EG190619</v>
      </c>
      <c r="J37" t="str">
        <f ca="1"/>
        <v>EG8012019</v>
      </c>
      <c r="K37"/>
      <c r="L37"/>
      <c r="M37"/>
      <c r="N37"/>
    </row>
    <row r="38" spans="2:14" x14ac:dyDescent="0.25">
      <c r="C38" s="19" t="s">
        <v>24</v>
      </c>
      <c r="D38" s="41" t="s">
        <v>25</v>
      </c>
      <c r="E38" s="41">
        <f t="shared" ca="1" si="0"/>
        <v>72</v>
      </c>
      <c r="F38" s="43">
        <f t="shared" ca="1" si="1"/>
        <v>43606</v>
      </c>
      <c r="G38" s="17">
        <v>28</v>
      </c>
      <c r="I38" s="38" t="str">
        <f t="shared" ca="1" si="2"/>
        <v>OC1210519</v>
      </c>
      <c r="J38" t="str">
        <f ca="1"/>
        <v>OC8012019</v>
      </c>
      <c r="K38"/>
      <c r="L38"/>
      <c r="M38"/>
      <c r="N38"/>
    </row>
    <row r="39" spans="2:14" x14ac:dyDescent="0.25">
      <c r="C39" s="19" t="s">
        <v>25</v>
      </c>
      <c r="D39" s="41" t="s">
        <v>26</v>
      </c>
      <c r="E39" s="41">
        <f t="shared" ca="1" si="0"/>
        <v>30</v>
      </c>
      <c r="F39" s="43">
        <f t="shared" ca="1" si="1"/>
        <v>43631</v>
      </c>
      <c r="G39" s="17">
        <v>1</v>
      </c>
      <c r="I39" s="38" t="str">
        <f t="shared" ca="1" si="2"/>
        <v>UP1150619</v>
      </c>
      <c r="J39" t="str">
        <f ca="1"/>
        <v>UP8012019</v>
      </c>
      <c r="K39"/>
      <c r="L39"/>
      <c r="M39"/>
      <c r="N39"/>
    </row>
    <row r="40" spans="2:14" x14ac:dyDescent="0.25">
      <c r="C40" s="19" t="s">
        <v>26</v>
      </c>
      <c r="D40" s="41" t="s">
        <v>27</v>
      </c>
      <c r="E40" s="41">
        <f t="shared" ca="1" si="0"/>
        <v>50</v>
      </c>
      <c r="F40" s="43">
        <f t="shared" ca="1" si="1"/>
        <v>43573</v>
      </c>
      <c r="G40" s="17">
        <v>1</v>
      </c>
      <c r="I40" s="38" t="str">
        <f t="shared" ca="1" si="2"/>
        <v>YO1180419</v>
      </c>
      <c r="J40" t="str">
        <f ca="1"/>
        <v>YO8012019</v>
      </c>
      <c r="K40"/>
      <c r="L40"/>
      <c r="M40"/>
      <c r="N40"/>
    </row>
    <row r="41" spans="2:14" ht="15.75" thickBot="1" x14ac:dyDescent="0.3">
      <c r="C41" s="20" t="s">
        <v>27</v>
      </c>
      <c r="D41" s="42" t="s">
        <v>14</v>
      </c>
      <c r="E41" s="42">
        <f t="shared" ca="1" si="0"/>
        <v>39</v>
      </c>
      <c r="F41" s="44">
        <f t="shared" ca="1" si="1"/>
        <v>43159</v>
      </c>
      <c r="G41" s="18">
        <v>5</v>
      </c>
      <c r="I41" s="38" t="str">
        <f t="shared" ca="1" si="2"/>
        <v>LQ1280218</v>
      </c>
      <c r="J41" t="str">
        <f ca="1"/>
        <v>LQ8012019</v>
      </c>
      <c r="K41"/>
      <c r="L41"/>
      <c r="M41"/>
      <c r="N41"/>
    </row>
    <row r="42" spans="2:14" x14ac:dyDescent="0.25">
      <c r="I42" s="38"/>
    </row>
    <row r="44" spans="2:14" ht="15.75" thickBot="1" x14ac:dyDescent="0.3">
      <c r="B44" s="24" t="s">
        <v>28</v>
      </c>
      <c r="H44" s="15"/>
    </row>
    <row r="45" spans="2:14" ht="15" customHeight="1" x14ac:dyDescent="0.25">
      <c r="B45" s="71" t="s">
        <v>29</v>
      </c>
      <c r="C45" s="72"/>
      <c r="D45" s="72"/>
      <c r="E45" s="72"/>
      <c r="F45" s="72"/>
      <c r="G45" s="72"/>
      <c r="H45" s="72"/>
      <c r="I45" s="73"/>
      <c r="J45"/>
    </row>
    <row r="46" spans="2:14" ht="15" customHeight="1" x14ac:dyDescent="0.25">
      <c r="B46" s="74"/>
      <c r="C46" s="75"/>
      <c r="D46" s="75"/>
      <c r="E46" s="75"/>
      <c r="F46" s="75"/>
      <c r="G46" s="75"/>
      <c r="H46" s="75"/>
      <c r="I46" s="76"/>
      <c r="J46"/>
    </row>
    <row r="47" spans="2:14" ht="15.75" thickBot="1" x14ac:dyDescent="0.3">
      <c r="B47" s="77"/>
      <c r="C47" s="78"/>
      <c r="D47" s="78"/>
      <c r="E47" s="78"/>
      <c r="F47" s="78"/>
      <c r="G47" s="78"/>
      <c r="H47" s="78"/>
      <c r="I47" s="79"/>
      <c r="J47"/>
    </row>
    <row r="48" spans="2:14" ht="15.75" thickBot="1" x14ac:dyDescent="0.3">
      <c r="B48" s="63"/>
      <c r="C48" s="63"/>
      <c r="D48" s="63"/>
      <c r="E48" s="63"/>
      <c r="F48" s="63"/>
      <c r="G48" s="63"/>
      <c r="H48" s="63"/>
      <c r="I48" s="63"/>
      <c r="J48" s="63"/>
    </row>
    <row r="49" spans="2:10" ht="15.75" thickBot="1" x14ac:dyDescent="0.3">
      <c r="C49" s="56" t="s">
        <v>30</v>
      </c>
      <c r="D49" s="57" t="s">
        <v>31</v>
      </c>
      <c r="E49" s="58" t="s">
        <v>32</v>
      </c>
      <c r="F49" s="63"/>
      <c r="G49" s="63"/>
      <c r="H49" s="63"/>
      <c r="I49" s="63"/>
      <c r="J49" s="63"/>
    </row>
    <row r="50" spans="2:10" x14ac:dyDescent="0.25">
      <c r="C50" s="55" t="s">
        <v>14</v>
      </c>
      <c r="D50" s="37" t="s">
        <v>33</v>
      </c>
      <c r="E50" s="39">
        <f ca="1">RANDBETWEEN(1,10)</f>
        <v>8</v>
      </c>
      <c r="F50" s="63"/>
      <c r="G50" s="52" t="s">
        <v>34</v>
      </c>
      <c r="H50" s="53" t="s">
        <v>38</v>
      </c>
      <c r="I50" s="63"/>
      <c r="J50" s="63"/>
    </row>
    <row r="51" spans="2:10" x14ac:dyDescent="0.25">
      <c r="C51" s="19" t="s">
        <v>15</v>
      </c>
      <c r="D51" s="14" t="s">
        <v>36</v>
      </c>
      <c r="E51" s="25">
        <f t="shared" ref="E51:E63" ca="1" si="3">RANDBETWEEN(1,10)</f>
        <v>5</v>
      </c>
      <c r="F51" s="63"/>
      <c r="G51" s="59" t="s">
        <v>30</v>
      </c>
      <c r="H51" s="60" t="str">
        <f>INDEX(C50:E63,MATCH(H50,D50:D63,0),MATCH(C49,C49:E49,0))</f>
        <v>ADZ</v>
      </c>
      <c r="I51" s="63" t="str">
        <f>INDEX($C$50:$E$63,MATCH($H$50,$D$50:$D$63,0),MATCH($G51,$C$49:$E$49,0))</f>
        <v>ADZ</v>
      </c>
      <c r="J51" s="63"/>
    </row>
    <row r="52" spans="2:10" ht="15.75" thickBot="1" x14ac:dyDescent="0.3">
      <c r="C52" s="19" t="s">
        <v>16</v>
      </c>
      <c r="D52" s="14" t="s">
        <v>35</v>
      </c>
      <c r="E52" s="25">
        <f t="shared" ca="1" si="3"/>
        <v>7</v>
      </c>
      <c r="F52" s="63"/>
      <c r="G52" s="54" t="s">
        <v>37</v>
      </c>
      <c r="H52" s="61">
        <f ca="1">INDEX(C50:E63,MATCH(H50,D50:D63,0),MATCH(E49,C49:E49,0))</f>
        <v>9</v>
      </c>
      <c r="I52" s="63">
        <f ca="1">INDEX($C$50:$E$63,MATCH($H$50,$D$50:$D$63,0),MATCH($G52,$C$49:$E$49,0))</f>
        <v>9</v>
      </c>
      <c r="J52" s="63"/>
    </row>
    <row r="53" spans="2:10" x14ac:dyDescent="0.25">
      <c r="C53" s="19" t="s">
        <v>17</v>
      </c>
      <c r="D53" s="14" t="s">
        <v>38</v>
      </c>
      <c r="E53" s="25">
        <f t="shared" ca="1" si="3"/>
        <v>9</v>
      </c>
      <c r="F53" s="63"/>
      <c r="G53" s="63"/>
      <c r="H53" s="63">
        <f ca="1">VLOOKUP(H50,D50:E63,2)</f>
        <v>4</v>
      </c>
      <c r="I53" s="63"/>
      <c r="J53" s="63"/>
    </row>
    <row r="54" spans="2:10" x14ac:dyDescent="0.25">
      <c r="C54" s="19" t="s">
        <v>18</v>
      </c>
      <c r="D54" s="14" t="s">
        <v>39</v>
      </c>
      <c r="E54" s="25">
        <f t="shared" ca="1" si="3"/>
        <v>8</v>
      </c>
      <c r="F54" s="63"/>
      <c r="G54" s="63"/>
      <c r="H54" s="63"/>
      <c r="I54" s="63"/>
      <c r="J54" s="63"/>
    </row>
    <row r="55" spans="2:10" x14ac:dyDescent="0.25">
      <c r="C55" s="19" t="s">
        <v>19</v>
      </c>
      <c r="D55" s="14" t="s">
        <v>40</v>
      </c>
      <c r="E55" s="25">
        <f t="shared" ca="1" si="3"/>
        <v>6</v>
      </c>
      <c r="F55" s="63"/>
      <c r="G55" s="63"/>
      <c r="H55" s="63"/>
      <c r="I55" s="63"/>
      <c r="J55" s="63"/>
    </row>
    <row r="56" spans="2:10" x14ac:dyDescent="0.25">
      <c r="C56" s="19" t="s">
        <v>20</v>
      </c>
      <c r="D56" s="14" t="s">
        <v>41</v>
      </c>
      <c r="E56" s="25">
        <f t="shared" ca="1" si="3"/>
        <v>5</v>
      </c>
      <c r="F56" s="63"/>
      <c r="G56" s="63"/>
      <c r="H56" s="63"/>
      <c r="I56" s="63"/>
      <c r="J56" s="63"/>
    </row>
    <row r="57" spans="2:10" x14ac:dyDescent="0.25">
      <c r="C57" s="19" t="s">
        <v>21</v>
      </c>
      <c r="D57" s="14" t="s">
        <v>42</v>
      </c>
      <c r="E57" s="25">
        <f t="shared" ca="1" si="3"/>
        <v>10</v>
      </c>
      <c r="F57" s="63"/>
      <c r="G57" s="63"/>
      <c r="H57" s="63"/>
      <c r="I57" s="63"/>
      <c r="J57" s="63"/>
    </row>
    <row r="58" spans="2:10" x14ac:dyDescent="0.25">
      <c r="C58" s="19" t="s">
        <v>22</v>
      </c>
      <c r="D58" s="14" t="s">
        <v>43</v>
      </c>
      <c r="E58" s="25">
        <f t="shared" ca="1" si="3"/>
        <v>8</v>
      </c>
      <c r="F58" s="63"/>
      <c r="G58" s="63"/>
      <c r="H58" s="63"/>
      <c r="I58" s="63"/>
      <c r="J58" s="63"/>
    </row>
    <row r="59" spans="2:10" x14ac:dyDescent="0.25">
      <c r="C59" s="19" t="s">
        <v>23</v>
      </c>
      <c r="D59" s="14" t="s">
        <v>44</v>
      </c>
      <c r="E59" s="25">
        <f t="shared" ca="1" si="3"/>
        <v>2</v>
      </c>
      <c r="F59" s="63"/>
      <c r="G59" s="63"/>
      <c r="H59" s="63"/>
      <c r="I59" s="63"/>
      <c r="J59" s="63"/>
    </row>
    <row r="60" spans="2:10" x14ac:dyDescent="0.25">
      <c r="C60" s="19" t="s">
        <v>24</v>
      </c>
      <c r="D60" s="14" t="s">
        <v>45</v>
      </c>
      <c r="E60" s="25">
        <f t="shared" ca="1" si="3"/>
        <v>6</v>
      </c>
      <c r="F60" s="63"/>
      <c r="G60" s="63"/>
      <c r="H60" s="63"/>
      <c r="I60" s="63"/>
      <c r="J60" s="63"/>
    </row>
    <row r="61" spans="2:10" x14ac:dyDescent="0.25">
      <c r="C61" s="19" t="s">
        <v>25</v>
      </c>
      <c r="D61" s="14" t="s">
        <v>46</v>
      </c>
      <c r="E61" s="25">
        <f t="shared" ca="1" si="3"/>
        <v>4</v>
      </c>
      <c r="F61" s="63"/>
      <c r="G61" s="63"/>
      <c r="H61" s="63"/>
      <c r="I61" s="63"/>
      <c r="J61" s="63"/>
    </row>
    <row r="62" spans="2:10" x14ac:dyDescent="0.25">
      <c r="C62" s="19" t="s">
        <v>26</v>
      </c>
      <c r="D62" s="14" t="s">
        <v>47</v>
      </c>
      <c r="E62" s="25">
        <f t="shared" ca="1" si="3"/>
        <v>6</v>
      </c>
      <c r="F62" s="63"/>
      <c r="G62" s="63"/>
      <c r="H62" s="63"/>
      <c r="I62" s="63"/>
      <c r="J62" s="63"/>
    </row>
    <row r="63" spans="2:10" ht="15.75" thickBot="1" x14ac:dyDescent="0.3">
      <c r="C63" s="20" t="s">
        <v>27</v>
      </c>
      <c r="D63" s="21" t="s">
        <v>48</v>
      </c>
      <c r="E63" s="26">
        <f t="shared" ca="1" si="3"/>
        <v>8</v>
      </c>
      <c r="F63" s="63"/>
      <c r="G63" s="63"/>
      <c r="H63" s="63"/>
      <c r="I63" s="63"/>
      <c r="J63" s="63"/>
    </row>
    <row r="64" spans="2:10" x14ac:dyDescent="0.25">
      <c r="B64" s="63"/>
      <c r="C64" s="63"/>
      <c r="D64" s="63"/>
      <c r="E64" s="63"/>
      <c r="F64" s="63"/>
      <c r="G64" s="63"/>
      <c r="H64" s="63"/>
      <c r="I64" s="63"/>
      <c r="J64" s="63"/>
    </row>
    <row r="66" spans="2:15" customFormat="1" ht="15.75" thickBot="1" x14ac:dyDescent="0.3">
      <c r="B66" s="24" t="s">
        <v>49</v>
      </c>
      <c r="C66" s="13"/>
    </row>
    <row r="67" spans="2:15" customFormat="1" ht="15" customHeight="1" x14ac:dyDescent="0.25">
      <c r="B67" s="84" t="s">
        <v>50</v>
      </c>
      <c r="C67" s="85"/>
      <c r="D67" s="85"/>
      <c r="E67" s="85"/>
      <c r="F67" s="85"/>
      <c r="G67" s="85"/>
      <c r="H67" s="85"/>
      <c r="I67" s="86"/>
    </row>
    <row r="68" spans="2:15" customFormat="1" ht="15" customHeight="1" x14ac:dyDescent="0.25">
      <c r="B68" s="87"/>
      <c r="C68" s="88"/>
      <c r="D68" s="88"/>
      <c r="E68" s="88"/>
      <c r="F68" s="88"/>
      <c r="G68" s="88"/>
      <c r="H68" s="88"/>
      <c r="I68" s="89"/>
    </row>
    <row r="69" spans="2:15" customFormat="1" ht="15.75" thickBot="1" x14ac:dyDescent="0.3">
      <c r="B69" s="90"/>
      <c r="C69" s="91"/>
      <c r="D69" s="91"/>
      <c r="E69" s="91"/>
      <c r="F69" s="91"/>
      <c r="G69" s="91"/>
      <c r="H69" s="91"/>
      <c r="I69" s="92"/>
    </row>
    <row r="70" spans="2:15" customFormat="1" ht="15.75" thickBot="1" x14ac:dyDescent="0.3">
      <c r="B70" s="13"/>
      <c r="C70" s="13"/>
    </row>
    <row r="71" spans="2:15" customFormat="1" x14ac:dyDescent="0.25">
      <c r="B71" s="13"/>
      <c r="C71" s="13"/>
      <c r="D71" s="101" t="s">
        <v>51</v>
      </c>
      <c r="E71" s="102"/>
      <c r="F71" s="16">
        <v>3004</v>
      </c>
    </row>
    <row r="72" spans="2:15" ht="15.75" thickBot="1" x14ac:dyDescent="0.3">
      <c r="D72" s="103" t="s">
        <v>52</v>
      </c>
      <c r="E72" s="104"/>
      <c r="F72" s="49">
        <f>24*60*(INDEX('25'!B3:F69,MATCH(EJERCICIOS!F71,'25'!B3:B69,0),MATCH('25'!F2,'25'!B2:F2,0))-INDEX('25'!B3:F69,MATCH(EJERCICIOS!F71,'25'!B3:B69,0),MATCH('25'!E2,'25'!B2:F2,0)))</f>
        <v>59.00000000372529</v>
      </c>
      <c r="L72" s="13" cm="1">
        <f t="array" ref="L72:L138">('25'!F3:F69-'25'!E3:E69)</f>
        <v>4.0972222224809229E-2</v>
      </c>
      <c r="O72" s="13" cm="1">
        <f t="array" ref="O72">SUM(IF($F$71='25'!$B$3:$B$69,('25'!F3:F69-'25'!E3:E69),0))*24*60</f>
        <v>59.00000000372529</v>
      </c>
    </row>
    <row r="73" spans="2:15" customFormat="1" x14ac:dyDescent="0.25">
      <c r="L73">
        <v>3.8194444445252884E-2</v>
      </c>
    </row>
    <row r="74" spans="2:15" x14ac:dyDescent="0.25">
      <c r="L74" s="13">
        <v>4.0972222224809229E-2</v>
      </c>
    </row>
    <row r="75" spans="2:15" ht="15.75" thickBot="1" x14ac:dyDescent="0.3">
      <c r="B75" s="24" t="s">
        <v>53</v>
      </c>
      <c r="H75" s="15"/>
      <c r="L75" s="13">
        <v>4.0972222224809229E-2</v>
      </c>
    </row>
    <row r="76" spans="2:15" x14ac:dyDescent="0.25">
      <c r="B76" s="71" t="s">
        <v>54</v>
      </c>
      <c r="C76" s="72"/>
      <c r="D76" s="72"/>
      <c r="E76" s="72"/>
      <c r="F76" s="72"/>
      <c r="G76" s="72"/>
      <c r="H76" s="72"/>
      <c r="I76" s="72"/>
      <c r="J76" s="73"/>
      <c r="L76" s="13">
        <v>3.8194444445252884E-2</v>
      </c>
    </row>
    <row r="77" spans="2:15" x14ac:dyDescent="0.25">
      <c r="B77" s="74"/>
      <c r="C77" s="75"/>
      <c r="D77" s="75"/>
      <c r="E77" s="75"/>
      <c r="F77" s="75"/>
      <c r="G77" s="75"/>
      <c r="H77" s="75"/>
      <c r="I77" s="75"/>
      <c r="J77" s="76"/>
      <c r="L77" s="13">
        <v>4.0972222224809229E-2</v>
      </c>
    </row>
    <row r="78" spans="2:15" ht="15.75" thickBot="1" x14ac:dyDescent="0.3">
      <c r="B78" s="77"/>
      <c r="C78" s="78"/>
      <c r="D78" s="78"/>
      <c r="E78" s="78"/>
      <c r="F78" s="78"/>
      <c r="G78" s="78"/>
      <c r="H78" s="78"/>
      <c r="I78" s="78"/>
      <c r="J78" s="79"/>
      <c r="L78" s="13">
        <v>3.8194444445252884E-2</v>
      </c>
    </row>
    <row r="79" spans="2:15" ht="15.75" thickBot="1" x14ac:dyDescent="0.3">
      <c r="L79" s="13">
        <v>9.375E-2</v>
      </c>
    </row>
    <row r="80" spans="2:15" ht="15.75" thickBot="1" x14ac:dyDescent="0.3">
      <c r="D80" s="80" t="s">
        <v>55</v>
      </c>
      <c r="E80" s="81"/>
      <c r="F80" s="81"/>
      <c r="G80" s="81"/>
      <c r="H80" s="81"/>
      <c r="I80" s="81"/>
      <c r="J80" s="82"/>
      <c r="L80" s="69">
        <v>8.6805555554747116E-2</v>
      </c>
    </row>
    <row r="81" spans="2:12" x14ac:dyDescent="0.25">
      <c r="B81" s="3" t="s">
        <v>30</v>
      </c>
      <c r="C81" s="4" t="s">
        <v>31</v>
      </c>
      <c r="D81" s="4">
        <v>18</v>
      </c>
      <c r="E81" s="4">
        <v>19</v>
      </c>
      <c r="F81" s="4">
        <v>20</v>
      </c>
      <c r="G81" s="4">
        <v>21</v>
      </c>
      <c r="H81" s="4">
        <v>22</v>
      </c>
      <c r="I81" s="4">
        <v>23</v>
      </c>
      <c r="J81" s="5">
        <v>24</v>
      </c>
      <c r="L81" s="13">
        <v>9.375E-2</v>
      </c>
    </row>
    <row r="82" spans="2:12" x14ac:dyDescent="0.25">
      <c r="B82" s="19" t="s">
        <v>14</v>
      </c>
      <c r="C82" s="14" t="s">
        <v>33</v>
      </c>
      <c r="D82" s="14">
        <f ca="1">COUNTIF(INDIRECT("'"&amp;D$81&amp;"'!C3:C1000"),$B82)</f>
        <v>2</v>
      </c>
      <c r="E82" s="14">
        <f t="shared" ref="E82:J95" ca="1" si="4">COUNTIF(INDIRECT("'"&amp;E$81&amp;"'!C3:C1000"),$B82)</f>
        <v>5</v>
      </c>
      <c r="F82" s="14">
        <f t="shared" ca="1" si="4"/>
        <v>5</v>
      </c>
      <c r="G82" s="14">
        <f t="shared" ca="1" si="4"/>
        <v>5</v>
      </c>
      <c r="H82" s="14">
        <f t="shared" ca="1" si="4"/>
        <v>5</v>
      </c>
      <c r="I82" s="14">
        <f t="shared" ca="1" si="4"/>
        <v>5</v>
      </c>
      <c r="J82" s="14">
        <f t="shared" ca="1" si="4"/>
        <v>5</v>
      </c>
      <c r="L82" s="13">
        <v>8.6805555554747116E-2</v>
      </c>
    </row>
    <row r="83" spans="2:12" x14ac:dyDescent="0.25">
      <c r="B83" s="19" t="s">
        <v>15</v>
      </c>
      <c r="C83" s="14" t="s">
        <v>36</v>
      </c>
      <c r="D83" s="14">
        <f ca="1">COUNTIF(INDIRECT("'"&amp;D$81&amp;"'!C3:C1000"),$B83)</f>
        <v>1</v>
      </c>
      <c r="E83" s="14">
        <f t="shared" ca="1" si="4"/>
        <v>4</v>
      </c>
      <c r="F83" s="14">
        <f t="shared" ca="1" si="4"/>
        <v>5</v>
      </c>
      <c r="G83" s="14">
        <f t="shared" ca="1" si="4"/>
        <v>4</v>
      </c>
      <c r="H83" s="14">
        <f t="shared" ca="1" si="4"/>
        <v>5</v>
      </c>
      <c r="I83" s="14">
        <f t="shared" ca="1" si="4"/>
        <v>4</v>
      </c>
      <c r="J83" s="14">
        <f t="shared" ca="1" si="4"/>
        <v>4</v>
      </c>
      <c r="L83" s="13">
        <v>8.6805555554747116E-2</v>
      </c>
    </row>
    <row r="84" spans="2:12" x14ac:dyDescent="0.25">
      <c r="B84" s="19" t="s">
        <v>16</v>
      </c>
      <c r="C84" s="14" t="s">
        <v>35</v>
      </c>
      <c r="D84" s="14">
        <f t="shared" ref="D84:D95" ca="1" si="5">COUNTIF(INDIRECT("'"&amp;D$81&amp;"'!C3:C1000"),$B84)</f>
        <v>3</v>
      </c>
      <c r="E84" s="14">
        <f t="shared" ca="1" si="4"/>
        <v>5</v>
      </c>
      <c r="F84" s="14">
        <f t="shared" ca="1" si="4"/>
        <v>4</v>
      </c>
      <c r="G84" s="14">
        <f t="shared" ca="1" si="4"/>
        <v>4</v>
      </c>
      <c r="H84" s="14">
        <f t="shared" ca="1" si="4"/>
        <v>4</v>
      </c>
      <c r="I84" s="14">
        <f t="shared" ca="1" si="4"/>
        <v>4</v>
      </c>
      <c r="J84" s="14">
        <f t="shared" ca="1" si="4"/>
        <v>4</v>
      </c>
      <c r="L84" s="13">
        <v>4.5833333329937886E-2</v>
      </c>
    </row>
    <row r="85" spans="2:12" x14ac:dyDescent="0.25">
      <c r="B85" s="19" t="s">
        <v>17</v>
      </c>
      <c r="C85" s="14" t="s">
        <v>38</v>
      </c>
      <c r="D85" s="14">
        <f t="shared" ca="1" si="5"/>
        <v>6</v>
      </c>
      <c r="E85" s="14">
        <f t="shared" ca="1" si="4"/>
        <v>8</v>
      </c>
      <c r="F85" s="14">
        <f t="shared" ca="1" si="4"/>
        <v>7</v>
      </c>
      <c r="G85" s="14">
        <f t="shared" ca="1" si="4"/>
        <v>7</v>
      </c>
      <c r="H85" s="14">
        <f t="shared" ca="1" si="4"/>
        <v>7</v>
      </c>
      <c r="I85" s="14">
        <f t="shared" ca="1" si="4"/>
        <v>7</v>
      </c>
      <c r="J85" s="14">
        <f t="shared" ca="1" si="4"/>
        <v>7</v>
      </c>
      <c r="L85" s="13">
        <v>4.1666666671517305E-2</v>
      </c>
    </row>
    <row r="86" spans="2:12" x14ac:dyDescent="0.25">
      <c r="B86" s="19" t="s">
        <v>18</v>
      </c>
      <c r="C86" s="14" t="s">
        <v>39</v>
      </c>
      <c r="D86" s="14">
        <f t="shared" ca="1" si="5"/>
        <v>1</v>
      </c>
      <c r="E86" s="14">
        <f t="shared" ca="1" si="4"/>
        <v>2</v>
      </c>
      <c r="F86" s="14">
        <f t="shared" ca="1" si="4"/>
        <v>2</v>
      </c>
      <c r="G86" s="14">
        <f t="shared" ca="1" si="4"/>
        <v>1</v>
      </c>
      <c r="H86" s="14">
        <f t="shared" ca="1" si="4"/>
        <v>2</v>
      </c>
      <c r="I86" s="14">
        <f t="shared" ca="1" si="4"/>
        <v>2</v>
      </c>
      <c r="J86" s="14">
        <f t="shared" ca="1" si="4"/>
        <v>1</v>
      </c>
      <c r="L86" s="13">
        <v>4.5833333329937886E-2</v>
      </c>
    </row>
    <row r="87" spans="2:12" x14ac:dyDescent="0.25">
      <c r="B87" s="19" t="s">
        <v>19</v>
      </c>
      <c r="C87" s="14" t="s">
        <v>40</v>
      </c>
      <c r="D87" s="14">
        <f t="shared" ca="1" si="5"/>
        <v>7</v>
      </c>
      <c r="E87" s="14">
        <f t="shared" ca="1" si="4"/>
        <v>11</v>
      </c>
      <c r="F87" s="14">
        <f t="shared" ca="1" si="4"/>
        <v>10</v>
      </c>
      <c r="G87" s="14">
        <f t="shared" ca="1" si="4"/>
        <v>9</v>
      </c>
      <c r="H87" s="14">
        <f t="shared" ca="1" si="4"/>
        <v>9</v>
      </c>
      <c r="I87" s="14">
        <f t="shared" ca="1" si="4"/>
        <v>10</v>
      </c>
      <c r="J87" s="14">
        <f t="shared" ca="1" si="4"/>
        <v>10</v>
      </c>
      <c r="L87" s="13">
        <v>4.1666666664241347E-2</v>
      </c>
    </row>
    <row r="88" spans="2:12" x14ac:dyDescent="0.25">
      <c r="B88" s="19" t="s">
        <v>20</v>
      </c>
      <c r="C88" s="14" t="s">
        <v>41</v>
      </c>
      <c r="D88" s="14">
        <f t="shared" ca="1" si="5"/>
        <v>6</v>
      </c>
      <c r="E88" s="14">
        <f t="shared" ca="1" si="4"/>
        <v>11</v>
      </c>
      <c r="F88" s="14">
        <f t="shared" ca="1" si="4"/>
        <v>13</v>
      </c>
      <c r="G88" s="14">
        <f t="shared" ca="1" si="4"/>
        <v>12</v>
      </c>
      <c r="H88" s="14">
        <f t="shared" ca="1" si="4"/>
        <v>11</v>
      </c>
      <c r="I88" s="14">
        <f t="shared" ca="1" si="4"/>
        <v>12</v>
      </c>
      <c r="J88" s="14">
        <f t="shared" ca="1" si="4"/>
        <v>12</v>
      </c>
      <c r="L88" s="13">
        <v>4.1666666664241347E-2</v>
      </c>
    </row>
    <row r="89" spans="2:12" x14ac:dyDescent="0.25">
      <c r="B89" s="19" t="s">
        <v>21</v>
      </c>
      <c r="C89" s="14" t="s">
        <v>42</v>
      </c>
      <c r="D89" s="14">
        <f t="shared" ca="1" si="5"/>
        <v>1</v>
      </c>
      <c r="E89" s="14">
        <f t="shared" ca="1" si="4"/>
        <v>4</v>
      </c>
      <c r="F89" s="14">
        <f t="shared" ca="1" si="4"/>
        <v>3</v>
      </c>
      <c r="G89" s="14">
        <f t="shared" ca="1" si="4"/>
        <v>3</v>
      </c>
      <c r="H89" s="14">
        <f t="shared" ca="1" si="4"/>
        <v>3</v>
      </c>
      <c r="I89" s="14">
        <f t="shared" ca="1" si="4"/>
        <v>2</v>
      </c>
      <c r="J89" s="14">
        <f t="shared" ca="1" si="4"/>
        <v>2</v>
      </c>
      <c r="L89" s="13">
        <v>4.5833333329937886E-2</v>
      </c>
    </row>
    <row r="90" spans="2:12" x14ac:dyDescent="0.25">
      <c r="B90" s="19" t="s">
        <v>22</v>
      </c>
      <c r="C90" s="14" t="s">
        <v>43</v>
      </c>
      <c r="D90" s="14">
        <f t="shared" ca="1" si="5"/>
        <v>2</v>
      </c>
      <c r="E90" s="14">
        <f t="shared" ca="1" si="4"/>
        <v>2</v>
      </c>
      <c r="F90" s="14">
        <f t="shared" ca="1" si="4"/>
        <v>2</v>
      </c>
      <c r="G90" s="14">
        <f t="shared" ca="1" si="4"/>
        <v>2</v>
      </c>
      <c r="H90" s="14">
        <f t="shared" ca="1" si="4"/>
        <v>2</v>
      </c>
      <c r="I90" s="14">
        <f t="shared" ca="1" si="4"/>
        <v>2</v>
      </c>
      <c r="J90" s="14">
        <f t="shared" ca="1" si="4"/>
        <v>1</v>
      </c>
      <c r="L90" s="13">
        <v>6.0416666667151731E-2</v>
      </c>
    </row>
    <row r="91" spans="2:12" x14ac:dyDescent="0.25">
      <c r="B91" s="19" t="s">
        <v>23</v>
      </c>
      <c r="C91" s="14" t="s">
        <v>44</v>
      </c>
      <c r="D91" s="14">
        <f t="shared" ca="1" si="5"/>
        <v>1</v>
      </c>
      <c r="E91" s="14">
        <f t="shared" ca="1" si="4"/>
        <v>2</v>
      </c>
      <c r="F91" s="14">
        <f t="shared" ca="1" si="4"/>
        <v>2</v>
      </c>
      <c r="G91" s="14">
        <f t="shared" ca="1" si="4"/>
        <v>2</v>
      </c>
      <c r="H91" s="14">
        <f t="shared" ca="1" si="4"/>
        <v>2</v>
      </c>
      <c r="I91" s="14">
        <f t="shared" ca="1" si="4"/>
        <v>2</v>
      </c>
      <c r="J91" s="14">
        <f t="shared" ca="1" si="4"/>
        <v>3</v>
      </c>
      <c r="L91" s="13">
        <v>6.0416666667151731E-2</v>
      </c>
    </row>
    <row r="92" spans="2:12" x14ac:dyDescent="0.25">
      <c r="B92" s="19" t="s">
        <v>24</v>
      </c>
      <c r="C92" s="14" t="s">
        <v>45</v>
      </c>
      <c r="D92" s="14">
        <f t="shared" ca="1" si="5"/>
        <v>32</v>
      </c>
      <c r="E92" s="14">
        <f t="shared" ca="1" si="4"/>
        <v>59</v>
      </c>
      <c r="F92" s="14">
        <f t="shared" ca="1" si="4"/>
        <v>55</v>
      </c>
      <c r="G92" s="14">
        <f t="shared" ca="1" si="4"/>
        <v>53</v>
      </c>
      <c r="H92" s="14">
        <f t="shared" ca="1" si="4"/>
        <v>54</v>
      </c>
      <c r="I92" s="14">
        <f t="shared" ca="1" si="4"/>
        <v>57</v>
      </c>
      <c r="J92" s="14">
        <f t="shared" ca="1" si="4"/>
        <v>48</v>
      </c>
      <c r="L92" s="13">
        <v>6.0416666667151731E-2</v>
      </c>
    </row>
    <row r="93" spans="2:12" x14ac:dyDescent="0.25">
      <c r="B93" s="19" t="s">
        <v>25</v>
      </c>
      <c r="C93" s="14" t="s">
        <v>46</v>
      </c>
      <c r="D93" s="14">
        <f t="shared" ca="1" si="5"/>
        <v>1</v>
      </c>
      <c r="E93" s="14">
        <f t="shared" ca="1" si="4"/>
        <v>1</v>
      </c>
      <c r="F93" s="14">
        <f t="shared" ca="1" si="4"/>
        <v>2</v>
      </c>
      <c r="G93" s="14">
        <f t="shared" ca="1" si="4"/>
        <v>2</v>
      </c>
      <c r="H93" s="14">
        <f t="shared" ca="1" si="4"/>
        <v>2</v>
      </c>
      <c r="I93" s="14">
        <f t="shared" ca="1" si="4"/>
        <v>2</v>
      </c>
      <c r="J93" s="14">
        <f t="shared" ca="1" si="4"/>
        <v>2</v>
      </c>
      <c r="L93" s="13">
        <v>6.0416666667151731E-2</v>
      </c>
    </row>
    <row r="94" spans="2:12" x14ac:dyDescent="0.25">
      <c r="B94" s="19" t="s">
        <v>26</v>
      </c>
      <c r="C94" s="14" t="s">
        <v>47</v>
      </c>
      <c r="D94" s="14">
        <f t="shared" ca="1" si="5"/>
        <v>1</v>
      </c>
      <c r="E94" s="14">
        <f t="shared" ca="1" si="4"/>
        <v>2</v>
      </c>
      <c r="F94" s="14">
        <f t="shared" ca="1" si="4"/>
        <v>2</v>
      </c>
      <c r="G94" s="14">
        <f t="shared" ca="1" si="4"/>
        <v>2</v>
      </c>
      <c r="H94" s="14">
        <f t="shared" ca="1" si="4"/>
        <v>1</v>
      </c>
      <c r="I94" s="14">
        <f t="shared" ca="1" si="4"/>
        <v>3</v>
      </c>
      <c r="J94" s="14">
        <f t="shared" ca="1" si="4"/>
        <v>1</v>
      </c>
      <c r="L94" s="13">
        <v>6.0416666659875773E-2</v>
      </c>
    </row>
    <row r="95" spans="2:12" ht="15.75" thickBot="1" x14ac:dyDescent="0.3">
      <c r="B95" s="20" t="s">
        <v>27</v>
      </c>
      <c r="C95" s="21" t="s">
        <v>48</v>
      </c>
      <c r="D95" s="14">
        <f t="shared" ca="1" si="5"/>
        <v>6</v>
      </c>
      <c r="E95" s="14">
        <f t="shared" ca="1" si="4"/>
        <v>8</v>
      </c>
      <c r="F95" s="14">
        <f t="shared" ca="1" si="4"/>
        <v>8</v>
      </c>
      <c r="G95" s="14">
        <f t="shared" ca="1" si="4"/>
        <v>8</v>
      </c>
      <c r="H95" s="14">
        <f t="shared" ca="1" si="4"/>
        <v>9</v>
      </c>
      <c r="I95" s="14">
        <f t="shared" ca="1" si="4"/>
        <v>9</v>
      </c>
      <c r="J95" s="14">
        <f t="shared" ca="1" si="4"/>
        <v>9</v>
      </c>
      <c r="L95" s="13">
        <v>6.0416666667151731E-2</v>
      </c>
    </row>
    <row r="96" spans="2:12" x14ac:dyDescent="0.25">
      <c r="B96" s="51"/>
      <c r="C96" s="51"/>
      <c r="D96" s="51"/>
      <c r="E96" s="51"/>
      <c r="F96" s="51"/>
      <c r="G96" s="51"/>
      <c r="H96" s="51"/>
      <c r="I96" s="51"/>
      <c r="L96" s="13">
        <v>6.0416666667151731E-2</v>
      </c>
    </row>
    <row r="97" spans="2:12" x14ac:dyDescent="0.25">
      <c r="L97" s="13">
        <v>6.0416666667151731E-2</v>
      </c>
    </row>
    <row r="98" spans="2:12" ht="15.75" thickBot="1" x14ac:dyDescent="0.3">
      <c r="B98" s="24" t="s">
        <v>56</v>
      </c>
      <c r="H98" s="15"/>
      <c r="L98" s="13">
        <v>6.0416666659875773E-2</v>
      </c>
    </row>
    <row r="99" spans="2:12" x14ac:dyDescent="0.25">
      <c r="B99" s="71" t="s">
        <v>57</v>
      </c>
      <c r="C99" s="72"/>
      <c r="D99" s="72"/>
      <c r="E99" s="72"/>
      <c r="F99" s="72"/>
      <c r="G99" s="72"/>
      <c r="H99" s="72"/>
      <c r="I99" s="72"/>
      <c r="J99" s="73"/>
      <c r="L99" s="13">
        <v>6.0416666667151731E-2</v>
      </c>
    </row>
    <row r="100" spans="2:12" x14ac:dyDescent="0.25">
      <c r="B100" s="74"/>
      <c r="C100" s="75"/>
      <c r="D100" s="75"/>
      <c r="E100" s="75"/>
      <c r="F100" s="75"/>
      <c r="G100" s="75"/>
      <c r="H100" s="75"/>
      <c r="I100" s="75"/>
      <c r="J100" s="76"/>
      <c r="L100" s="13">
        <v>6.0416666667151731E-2</v>
      </c>
    </row>
    <row r="101" spans="2:12" ht="15.75" thickBot="1" x14ac:dyDescent="0.3">
      <c r="B101" s="77"/>
      <c r="C101" s="78"/>
      <c r="D101" s="78"/>
      <c r="E101" s="78"/>
      <c r="F101" s="78"/>
      <c r="G101" s="78"/>
      <c r="H101" s="78"/>
      <c r="I101" s="78"/>
      <c r="J101" s="79"/>
      <c r="L101" s="13">
        <v>9.0972222220443655E-2</v>
      </c>
    </row>
    <row r="102" spans="2:12" ht="15.75" thickBot="1" x14ac:dyDescent="0.3">
      <c r="L102" s="13">
        <v>8.6805555554747116E-2</v>
      </c>
    </row>
    <row r="103" spans="2:12" ht="15.75" thickBot="1" x14ac:dyDescent="0.3">
      <c r="D103" s="99" t="s">
        <v>58</v>
      </c>
      <c r="E103" s="100"/>
      <c r="F103" s="68" t="s">
        <v>59</v>
      </c>
      <c r="G103" s="48" t="s">
        <v>60</v>
      </c>
      <c r="L103" s="13">
        <v>9.0972222220443655E-2</v>
      </c>
    </row>
    <row r="104" spans="2:12" x14ac:dyDescent="0.25">
      <c r="D104" s="93" t="s">
        <v>61</v>
      </c>
      <c r="E104" s="94"/>
      <c r="F104" s="64" t="s">
        <v>62</v>
      </c>
      <c r="G104" s="50">
        <f t="shared" ref="G104:G107" si="6">SEARCH("#",SUBSTITUTE(D104,F104,"#",(LEN(D104)-LEN(SUBSTITUTE(D104,F104,"")))))</f>
        <v>12</v>
      </c>
      <c r="L104" s="13">
        <v>8.6805555554747116E-2</v>
      </c>
    </row>
    <row r="105" spans="2:12" x14ac:dyDescent="0.25">
      <c r="D105" s="95" t="s">
        <v>63</v>
      </c>
      <c r="E105" s="96"/>
      <c r="F105" s="65" t="s">
        <v>64</v>
      </c>
      <c r="G105" s="50">
        <f t="shared" si="6"/>
        <v>8</v>
      </c>
      <c r="L105" s="13">
        <v>6.1805555553291924E-2</v>
      </c>
    </row>
    <row r="106" spans="2:12" x14ac:dyDescent="0.25">
      <c r="D106" s="95" t="s">
        <v>65</v>
      </c>
      <c r="E106" s="96"/>
      <c r="F106" s="65" t="s">
        <v>66</v>
      </c>
      <c r="G106" s="50">
        <f t="shared" si="6"/>
        <v>7</v>
      </c>
      <c r="L106" s="13">
        <v>6.3194444439432118E-2</v>
      </c>
    </row>
    <row r="107" spans="2:12" ht="15.75" thickBot="1" x14ac:dyDescent="0.3">
      <c r="D107" s="97" t="s">
        <v>67</v>
      </c>
      <c r="E107" s="98"/>
      <c r="F107" s="67" t="s">
        <v>68</v>
      </c>
      <c r="G107" s="50">
        <f t="shared" si="6"/>
        <v>22</v>
      </c>
      <c r="L107" s="13">
        <v>6.1805555553291924E-2</v>
      </c>
    </row>
    <row r="108" spans="2:12" x14ac:dyDescent="0.25">
      <c r="L108" s="13">
        <v>6.3194444446708076E-2</v>
      </c>
    </row>
    <row r="109" spans="2:12" x14ac:dyDescent="0.25">
      <c r="L109" s="13">
        <v>6.1805555553291924E-2</v>
      </c>
    </row>
    <row r="110" spans="2:12" ht="15.75" thickBot="1" x14ac:dyDescent="0.3">
      <c r="B110" s="24" t="s">
        <v>69</v>
      </c>
      <c r="H110" s="15"/>
      <c r="L110" s="13">
        <v>6.3194444446708076E-2</v>
      </c>
    </row>
    <row r="111" spans="2:12" x14ac:dyDescent="0.25">
      <c r="B111" s="71" t="s">
        <v>70</v>
      </c>
      <c r="C111" s="72"/>
      <c r="D111" s="72"/>
      <c r="E111" s="72"/>
      <c r="F111" s="72"/>
      <c r="G111" s="72"/>
      <c r="H111" s="72"/>
      <c r="I111" s="72"/>
      <c r="J111" s="73"/>
      <c r="L111" s="13">
        <v>6.3888888886140194E-2</v>
      </c>
    </row>
    <row r="112" spans="2:12" x14ac:dyDescent="0.25">
      <c r="B112" s="74"/>
      <c r="C112" s="75"/>
      <c r="D112" s="75"/>
      <c r="E112" s="75"/>
      <c r="F112" s="75"/>
      <c r="G112" s="75"/>
      <c r="H112" s="75"/>
      <c r="I112" s="75"/>
      <c r="J112" s="76"/>
      <c r="L112" s="13">
        <v>6.3194444439432118E-2</v>
      </c>
    </row>
    <row r="113" spans="2:12" ht="15.75" thickBot="1" x14ac:dyDescent="0.3">
      <c r="B113" s="77"/>
      <c r="C113" s="78"/>
      <c r="D113" s="78"/>
      <c r="E113" s="78"/>
      <c r="F113" s="78"/>
      <c r="G113" s="78"/>
      <c r="H113" s="78"/>
      <c r="I113" s="78"/>
      <c r="J113" s="79"/>
      <c r="L113" s="13">
        <v>6.3888888886140194E-2</v>
      </c>
    </row>
    <row r="114" spans="2:12" x14ac:dyDescent="0.25">
      <c r="L114" s="13">
        <v>6.3194444439432118E-2</v>
      </c>
    </row>
    <row r="115" spans="2:12" ht="15.75" thickBot="1" x14ac:dyDescent="0.3">
      <c r="L115" s="13">
        <v>6.3888888886140194E-2</v>
      </c>
    </row>
    <row r="116" spans="2:12" x14ac:dyDescent="0.25">
      <c r="D116" s="46" t="s">
        <v>71</v>
      </c>
      <c r="E116" s="47" t="s">
        <v>72</v>
      </c>
      <c r="F116" s="47" t="s">
        <v>73</v>
      </c>
      <c r="G116" s="16" t="s">
        <v>74</v>
      </c>
      <c r="L116" s="13">
        <v>4.3749999997089617E-2</v>
      </c>
    </row>
    <row r="117" spans="2:12" ht="15.75" thickBot="1" x14ac:dyDescent="0.3">
      <c r="D117" s="66" t="s">
        <v>24</v>
      </c>
      <c r="E117" s="67" t="s">
        <v>15</v>
      </c>
      <c r="F117" s="67">
        <v>20</v>
      </c>
      <c r="G117" s="49">
        <f ca="1">COUNTIFS(INDIRECT("'"&amp;F117&amp;"'!C3:C1000"),D117,INDIRECT("'"&amp;F117&amp;"'!D3:D1000"),E117)</f>
        <v>5</v>
      </c>
      <c r="L117" s="13">
        <v>4.3055555550381541E-2</v>
      </c>
    </row>
    <row r="118" spans="2:12" x14ac:dyDescent="0.25">
      <c r="G118" s="13">
        <f ca="1">COUNTIFS(INDIRECT("'"&amp;F117&amp;"'!C3:C1000"),D117,INDIRECT("'"&amp;F117&amp;"'!D3:D1000"),E117)</f>
        <v>5</v>
      </c>
      <c r="L118" s="13">
        <v>4.9999999995634425E-2</v>
      </c>
    </row>
    <row r="119" spans="2:12" x14ac:dyDescent="0.25">
      <c r="L119" s="13">
        <v>5.0000000002910383E-2</v>
      </c>
    </row>
    <row r="120" spans="2:12" x14ac:dyDescent="0.25">
      <c r="L120" s="13">
        <v>5.7638888887595385E-2</v>
      </c>
    </row>
    <row r="121" spans="2:12" x14ac:dyDescent="0.25">
      <c r="L121" s="13">
        <v>5.2777777782466728E-2</v>
      </c>
    </row>
    <row r="122" spans="2:12" x14ac:dyDescent="0.25">
      <c r="L122" s="13">
        <v>5.7638888887595385E-2</v>
      </c>
    </row>
    <row r="123" spans="2:12" ht="15.75" thickBot="1" x14ac:dyDescent="0.3">
      <c r="C123" s="24" t="s">
        <v>53</v>
      </c>
      <c r="I123" s="15"/>
      <c r="L123" s="13">
        <v>4.0277777778101154E-2</v>
      </c>
    </row>
    <row r="124" spans="2:12" x14ac:dyDescent="0.25">
      <c r="C124" s="71" t="s">
        <v>54</v>
      </c>
      <c r="D124" s="72"/>
      <c r="E124" s="72"/>
      <c r="F124" s="72"/>
      <c r="G124" s="72"/>
      <c r="H124" s="72"/>
      <c r="I124" s="72"/>
      <c r="J124" s="72"/>
      <c r="K124" s="73"/>
      <c r="L124" s="13">
        <v>3.8888888884685002E-2</v>
      </c>
    </row>
    <row r="125" spans="2:12" x14ac:dyDescent="0.25">
      <c r="C125" s="74"/>
      <c r="D125" s="75"/>
      <c r="E125" s="75"/>
      <c r="F125" s="75"/>
      <c r="G125" s="75"/>
      <c r="H125" s="75"/>
      <c r="I125" s="75"/>
      <c r="J125" s="75"/>
      <c r="K125" s="76"/>
      <c r="L125" s="13">
        <v>4.1666666664241347E-2</v>
      </c>
    </row>
    <row r="126" spans="2:12" ht="15.75" thickBot="1" x14ac:dyDescent="0.3">
      <c r="C126" s="77"/>
      <c r="D126" s="78"/>
      <c r="E126" s="78"/>
      <c r="F126" s="78"/>
      <c r="G126" s="78"/>
      <c r="H126" s="78"/>
      <c r="I126" s="78"/>
      <c r="J126" s="78"/>
      <c r="K126" s="79"/>
      <c r="L126" s="13">
        <v>3.8194444445252884E-2</v>
      </c>
    </row>
    <row r="127" spans="2:12" ht="15.75" thickBot="1" x14ac:dyDescent="0.3">
      <c r="L127" s="13">
        <v>5.9722222227719612E-2</v>
      </c>
    </row>
    <row r="128" spans="2:12" ht="15.75" thickBot="1" x14ac:dyDescent="0.3">
      <c r="E128" s="80" t="s">
        <v>55</v>
      </c>
      <c r="F128" s="81"/>
      <c r="G128" s="81"/>
      <c r="H128" s="81"/>
      <c r="I128" s="81"/>
      <c r="J128" s="81"/>
      <c r="K128" s="82"/>
      <c r="L128" s="13">
        <v>5.9027777781011537E-2</v>
      </c>
    </row>
    <row r="129" spans="3:12" x14ac:dyDescent="0.25">
      <c r="C129" s="3" t="s">
        <v>30</v>
      </c>
      <c r="D129" s="4" t="s">
        <v>31</v>
      </c>
      <c r="E129" s="4">
        <v>18</v>
      </c>
      <c r="F129" s="4">
        <v>19</v>
      </c>
      <c r="G129" s="4">
        <v>20</v>
      </c>
      <c r="H129" s="4">
        <v>21</v>
      </c>
      <c r="I129" s="4">
        <v>22</v>
      </c>
      <c r="J129" s="4">
        <v>23</v>
      </c>
      <c r="K129" s="5">
        <v>24</v>
      </c>
      <c r="L129" s="13">
        <v>9.375E-2</v>
      </c>
    </row>
    <row r="130" spans="3:12" x14ac:dyDescent="0.25">
      <c r="C130" s="19" t="s">
        <v>14</v>
      </c>
      <c r="D130" s="14" t="s">
        <v>33</v>
      </c>
      <c r="E130" s="14" cm="1">
        <f t="array" aca="1" ref="E130:E143" ca="1">COUNTIF(INDIRECT("'"&amp;E$129&amp;"'!C3:C1000"),EJERCICIOS!$C$130:$C$143)</f>
        <v>2</v>
      </c>
      <c r="F130" s="14" cm="1">
        <f t="array" aca="1" ref="F130:F143" ca="1">COUNTIF(INDIRECT("'"&amp;F$129&amp;"'!C3:C1000"),EJERCICIOS!$C$130:$C$143)</f>
        <v>5</v>
      </c>
      <c r="G130" s="14" cm="1">
        <f t="array" aca="1" ref="G130:G143" ca="1">COUNTIF(INDIRECT("'"&amp;G$129&amp;"'!C3:C1000"),EJERCICIOS!$C$130:$C$143)</f>
        <v>5</v>
      </c>
      <c r="H130" s="14" cm="1">
        <f t="array" aca="1" ref="H130:H143" ca="1">COUNTIF(INDIRECT("'"&amp;H$129&amp;"'!C3:C1000"),EJERCICIOS!$C$130:$C$143)</f>
        <v>5</v>
      </c>
      <c r="I130" s="14" cm="1">
        <f t="array" aca="1" ref="I130:I143" ca="1">COUNTIF(INDIRECT("'"&amp;I$129&amp;"'!C3:C1000"),EJERCICIOS!$C$130:$C$143)</f>
        <v>5</v>
      </c>
      <c r="J130" s="14" cm="1">
        <f t="array" aca="1" ref="J130:J143" ca="1">COUNTIF(INDIRECT("'"&amp;J$129&amp;"'!C3:C1000"),EJERCICIOS!$C$130:$C$143)</f>
        <v>5</v>
      </c>
      <c r="K130" s="14" cm="1">
        <f t="array" aca="1" ref="K130:K143" ca="1">COUNTIF(INDIRECT("'"&amp;K$129&amp;"'!C3:C1000"),EJERCICIOS!$C$130:$C$143)</f>
        <v>5</v>
      </c>
      <c r="L130" s="13">
        <v>7.9861111109494232E-2</v>
      </c>
    </row>
    <row r="131" spans="3:12" x14ac:dyDescent="0.25">
      <c r="C131" s="19" t="s">
        <v>15</v>
      </c>
      <c r="D131" s="14" t="s">
        <v>36</v>
      </c>
      <c r="E131" s="14">
        <f ca="1"/>
        <v>1</v>
      </c>
      <c r="F131" s="14">
        <f ca="1"/>
        <v>4</v>
      </c>
      <c r="G131" s="14">
        <f ca="1"/>
        <v>5</v>
      </c>
      <c r="H131" s="14">
        <f ca="1"/>
        <v>4</v>
      </c>
      <c r="I131" s="14">
        <f ca="1"/>
        <v>5</v>
      </c>
      <c r="J131" s="14">
        <f ca="1"/>
        <v>4</v>
      </c>
      <c r="K131" s="14">
        <f ca="1"/>
        <v>4</v>
      </c>
      <c r="L131" s="13">
        <v>8.5416666661330964E-2</v>
      </c>
    </row>
    <row r="132" spans="3:12" x14ac:dyDescent="0.25">
      <c r="C132" s="19" t="s">
        <v>16</v>
      </c>
      <c r="D132" s="14" t="s">
        <v>35</v>
      </c>
      <c r="E132" s="14">
        <f ca="1"/>
        <v>3</v>
      </c>
      <c r="F132" s="14">
        <f ca="1"/>
        <v>5</v>
      </c>
      <c r="G132" s="14">
        <f ca="1"/>
        <v>4</v>
      </c>
      <c r="H132" s="14">
        <f ca="1"/>
        <v>4</v>
      </c>
      <c r="I132" s="14">
        <f ca="1"/>
        <v>4</v>
      </c>
      <c r="J132" s="14">
        <f ca="1"/>
        <v>4</v>
      </c>
      <c r="K132" s="14">
        <f ca="1"/>
        <v>4</v>
      </c>
      <c r="L132" s="13">
        <v>7.9861111109494232E-2</v>
      </c>
    </row>
    <row r="133" spans="3:12" x14ac:dyDescent="0.25">
      <c r="C133" s="19" t="s">
        <v>17</v>
      </c>
      <c r="D133" s="14" t="s">
        <v>38</v>
      </c>
      <c r="E133" s="14">
        <f ca="1"/>
        <v>6</v>
      </c>
      <c r="F133" s="14">
        <f ca="1"/>
        <v>8</v>
      </c>
      <c r="G133" s="14">
        <f ca="1"/>
        <v>7</v>
      </c>
      <c r="H133" s="14">
        <f ca="1"/>
        <v>7</v>
      </c>
      <c r="I133" s="14">
        <f ca="1"/>
        <v>7</v>
      </c>
      <c r="J133" s="14">
        <f ca="1"/>
        <v>7</v>
      </c>
      <c r="K133" s="14">
        <f ca="1"/>
        <v>7</v>
      </c>
      <c r="L133" s="13">
        <v>8.5416666661330964E-2</v>
      </c>
    </row>
    <row r="134" spans="3:12" x14ac:dyDescent="0.25">
      <c r="C134" s="19" t="s">
        <v>18</v>
      </c>
      <c r="D134" s="14" t="s">
        <v>39</v>
      </c>
      <c r="E134" s="14">
        <f ca="1"/>
        <v>1</v>
      </c>
      <c r="F134" s="14">
        <f ca="1"/>
        <v>2</v>
      </c>
      <c r="G134" s="14">
        <f ca="1"/>
        <v>2</v>
      </c>
      <c r="H134" s="14">
        <f ca="1"/>
        <v>1</v>
      </c>
      <c r="I134" s="14">
        <f ca="1"/>
        <v>2</v>
      </c>
      <c r="J134" s="14">
        <f ca="1"/>
        <v>2</v>
      </c>
      <c r="K134" s="14">
        <f ca="1"/>
        <v>1</v>
      </c>
      <c r="L134" s="13">
        <v>6.0416666667151731E-2</v>
      </c>
    </row>
    <row r="135" spans="3:12" x14ac:dyDescent="0.25">
      <c r="C135" s="19" t="s">
        <v>19</v>
      </c>
      <c r="D135" s="14" t="s">
        <v>40</v>
      </c>
      <c r="E135" s="14">
        <f ca="1"/>
        <v>7</v>
      </c>
      <c r="F135" s="14">
        <f ca="1"/>
        <v>11</v>
      </c>
      <c r="G135" s="14">
        <f ca="1"/>
        <v>10</v>
      </c>
      <c r="H135" s="14">
        <f ca="1"/>
        <v>9</v>
      </c>
      <c r="I135" s="14">
        <f ca="1"/>
        <v>9</v>
      </c>
      <c r="J135" s="14">
        <f ca="1"/>
        <v>10</v>
      </c>
      <c r="K135" s="14">
        <f ca="1"/>
        <v>10</v>
      </c>
      <c r="L135" s="13">
        <v>7.4999999997089617E-2</v>
      </c>
    </row>
    <row r="136" spans="3:12" x14ac:dyDescent="0.25">
      <c r="C136" s="19" t="s">
        <v>20</v>
      </c>
      <c r="D136" s="14" t="s">
        <v>41</v>
      </c>
      <c r="E136" s="14">
        <f ca="1"/>
        <v>6</v>
      </c>
      <c r="F136" s="14">
        <f ca="1"/>
        <v>11</v>
      </c>
      <c r="G136" s="14">
        <f ca="1"/>
        <v>13</v>
      </c>
      <c r="H136" s="14">
        <f ca="1"/>
        <v>12</v>
      </c>
      <c r="I136" s="14">
        <f ca="1"/>
        <v>11</v>
      </c>
      <c r="J136" s="14">
        <f ca="1"/>
        <v>12</v>
      </c>
      <c r="K136" s="14">
        <f ca="1"/>
        <v>12</v>
      </c>
      <c r="L136" s="13">
        <v>8.3333333335758653E-2</v>
      </c>
    </row>
    <row r="137" spans="3:12" x14ac:dyDescent="0.25">
      <c r="C137" s="19" t="s">
        <v>21</v>
      </c>
      <c r="D137" s="14" t="s">
        <v>42</v>
      </c>
      <c r="E137" s="14">
        <f ca="1"/>
        <v>1</v>
      </c>
      <c r="F137" s="14">
        <f ca="1"/>
        <v>4</v>
      </c>
      <c r="G137" s="14">
        <f ca="1"/>
        <v>3</v>
      </c>
      <c r="H137" s="14">
        <f ca="1"/>
        <v>3</v>
      </c>
      <c r="I137" s="14">
        <f ca="1"/>
        <v>3</v>
      </c>
      <c r="J137" s="14">
        <f ca="1"/>
        <v>2</v>
      </c>
      <c r="K137" s="14">
        <f ca="1"/>
        <v>2</v>
      </c>
      <c r="L137" s="13">
        <v>4.4444444443797693E-2</v>
      </c>
    </row>
    <row r="138" spans="3:12" x14ac:dyDescent="0.25">
      <c r="C138" s="19" t="s">
        <v>22</v>
      </c>
      <c r="D138" s="14" t="s">
        <v>43</v>
      </c>
      <c r="E138" s="14">
        <f ca="1"/>
        <v>2</v>
      </c>
      <c r="F138" s="14">
        <f ca="1"/>
        <v>2</v>
      </c>
      <c r="G138" s="14">
        <f ca="1"/>
        <v>2</v>
      </c>
      <c r="H138" s="14">
        <f ca="1"/>
        <v>2</v>
      </c>
      <c r="I138" s="14">
        <f ca="1"/>
        <v>2</v>
      </c>
      <c r="J138" s="14">
        <f ca="1"/>
        <v>2</v>
      </c>
      <c r="K138" s="14">
        <f ca="1"/>
        <v>1</v>
      </c>
      <c r="L138" s="13">
        <v>4.8611111109494232E-2</v>
      </c>
    </row>
    <row r="139" spans="3:12" x14ac:dyDescent="0.25">
      <c r="C139" s="19" t="s">
        <v>23</v>
      </c>
      <c r="D139" s="14" t="s">
        <v>44</v>
      </c>
      <c r="E139" s="14">
        <f ca="1"/>
        <v>1</v>
      </c>
      <c r="F139" s="14">
        <f ca="1"/>
        <v>2</v>
      </c>
      <c r="G139" s="14">
        <f ca="1"/>
        <v>2</v>
      </c>
      <c r="H139" s="14">
        <f ca="1"/>
        <v>2</v>
      </c>
      <c r="I139" s="14">
        <f ca="1"/>
        <v>2</v>
      </c>
      <c r="J139" s="14">
        <f ca="1"/>
        <v>2</v>
      </c>
      <c r="K139" s="14">
        <f ca="1"/>
        <v>3</v>
      </c>
    </row>
    <row r="140" spans="3:12" x14ac:dyDescent="0.25">
      <c r="C140" s="19" t="s">
        <v>24</v>
      </c>
      <c r="D140" s="14" t="s">
        <v>45</v>
      </c>
      <c r="E140" s="14">
        <f ca="1"/>
        <v>32</v>
      </c>
      <c r="F140" s="14">
        <f ca="1"/>
        <v>59</v>
      </c>
      <c r="G140" s="14">
        <f ca="1"/>
        <v>55</v>
      </c>
      <c r="H140" s="14">
        <f ca="1"/>
        <v>53</v>
      </c>
      <c r="I140" s="14">
        <f ca="1"/>
        <v>54</v>
      </c>
      <c r="J140" s="14">
        <f ca="1"/>
        <v>57</v>
      </c>
      <c r="K140" s="14">
        <f ca="1"/>
        <v>48</v>
      </c>
    </row>
    <row r="141" spans="3:12" x14ac:dyDescent="0.25">
      <c r="C141" s="19" t="s">
        <v>25</v>
      </c>
      <c r="D141" s="14" t="s">
        <v>46</v>
      </c>
      <c r="E141" s="14">
        <f ca="1"/>
        <v>1</v>
      </c>
      <c r="F141" s="14">
        <f ca="1"/>
        <v>1</v>
      </c>
      <c r="G141" s="14">
        <f ca="1"/>
        <v>2</v>
      </c>
      <c r="H141" s="14">
        <f ca="1"/>
        <v>2</v>
      </c>
      <c r="I141" s="14">
        <f ca="1"/>
        <v>2</v>
      </c>
      <c r="J141" s="14">
        <f ca="1"/>
        <v>2</v>
      </c>
      <c r="K141" s="14">
        <f ca="1"/>
        <v>2</v>
      </c>
    </row>
    <row r="142" spans="3:12" x14ac:dyDescent="0.25">
      <c r="C142" s="19" t="s">
        <v>26</v>
      </c>
      <c r="D142" s="14" t="s">
        <v>47</v>
      </c>
      <c r="E142" s="14">
        <f ca="1"/>
        <v>1</v>
      </c>
      <c r="F142" s="14">
        <f ca="1"/>
        <v>2</v>
      </c>
      <c r="G142" s="14">
        <f ca="1"/>
        <v>2</v>
      </c>
      <c r="H142" s="14">
        <f ca="1"/>
        <v>2</v>
      </c>
      <c r="I142" s="14">
        <f ca="1"/>
        <v>1</v>
      </c>
      <c r="J142" s="14">
        <f ca="1"/>
        <v>3</v>
      </c>
      <c r="K142" s="14">
        <f ca="1"/>
        <v>1</v>
      </c>
    </row>
    <row r="143" spans="3:12" ht="15.75" thickBot="1" x14ac:dyDescent="0.3">
      <c r="C143" s="20" t="s">
        <v>27</v>
      </c>
      <c r="D143" s="21" t="s">
        <v>48</v>
      </c>
      <c r="E143" s="14">
        <f ca="1"/>
        <v>6</v>
      </c>
      <c r="F143" s="14">
        <f ca="1"/>
        <v>8</v>
      </c>
      <c r="G143" s="14">
        <f ca="1"/>
        <v>8</v>
      </c>
      <c r="H143" s="14">
        <f ca="1"/>
        <v>8</v>
      </c>
      <c r="I143" s="14">
        <f ca="1"/>
        <v>9</v>
      </c>
      <c r="J143" s="14">
        <f ca="1"/>
        <v>9</v>
      </c>
      <c r="K143" s="14">
        <f ca="1"/>
        <v>9</v>
      </c>
    </row>
    <row r="144" spans="3:12" x14ac:dyDescent="0.25">
      <c r="C144" s="51"/>
      <c r="D144" s="51"/>
      <c r="E144" s="51"/>
      <c r="F144" s="51"/>
      <c r="G144" s="51"/>
      <c r="H144" s="51"/>
      <c r="I144" s="51"/>
      <c r="J144" s="51"/>
    </row>
  </sheetData>
  <mergeCells count="18">
    <mergeCell ref="B76:J78"/>
    <mergeCell ref="D80:J80"/>
    <mergeCell ref="C124:K126"/>
    <mergeCell ref="E128:K128"/>
    <mergeCell ref="C26:G26"/>
    <mergeCell ref="B10:K14"/>
    <mergeCell ref="B17:K24"/>
    <mergeCell ref="B111:J113"/>
    <mergeCell ref="B45:I47"/>
    <mergeCell ref="B67:I69"/>
    <mergeCell ref="B99:J101"/>
    <mergeCell ref="D104:E104"/>
    <mergeCell ref="D105:E105"/>
    <mergeCell ref="D106:E106"/>
    <mergeCell ref="D107:E107"/>
    <mergeCell ref="D103:E103"/>
    <mergeCell ref="D71:E71"/>
    <mergeCell ref="D72:E72"/>
  </mergeCells>
  <dataValidations count="3">
    <dataValidation type="list" allowBlank="1" showInputMessage="1" showErrorMessage="1" sqref="D117:E117" xr:uid="{00000000-0002-0000-0000-000000000000}">
      <formula1>$B$82:$B$95</formula1>
    </dataValidation>
    <dataValidation type="list" allowBlank="1" showInputMessage="1" showErrorMessage="1" sqref="F117" xr:uid="{00000000-0002-0000-0000-000001000000}">
      <formula1>"18,19,20,21,22,23,24,25"</formula1>
    </dataValidation>
    <dataValidation type="list" allowBlank="1" showInputMessage="1" showErrorMessage="1" sqref="H50" xr:uid="{00000000-0002-0000-0000-000002000000}">
      <formula1>$D$50:$D$63</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3000000}">
          <x14:formula1>
            <xm:f>'25'!$B$3:$B$69</xm:f>
          </x14:formula1>
          <xm:sqref>F71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2:F72"/>
  <sheetViews>
    <sheetView showGridLines="0" workbookViewId="0">
      <selection activeCell="I14" sqref="I14"/>
    </sheetView>
  </sheetViews>
  <sheetFormatPr baseColWidth="10" defaultColWidth="11.42578125" defaultRowHeight="12.75" customHeight="1" x14ac:dyDescent="0.25"/>
  <cols>
    <col min="2" max="6" width="14.28515625" customWidth="1"/>
    <col min="7" max="7" width="15.7109375" bestFit="1" customWidth="1"/>
    <col min="8" max="8" width="14.7109375" bestFit="1" customWidth="1"/>
  </cols>
  <sheetData>
    <row r="2" spans="2:6" ht="12.75" customHeight="1" x14ac:dyDescent="0.25">
      <c r="B2" s="12" t="s">
        <v>75</v>
      </c>
      <c r="C2" s="12" t="s">
        <v>76</v>
      </c>
      <c r="D2" s="12" t="s">
        <v>77</v>
      </c>
      <c r="E2" s="12" t="s">
        <v>78</v>
      </c>
      <c r="F2" s="12" t="s">
        <v>79</v>
      </c>
    </row>
    <row r="3" spans="2:6" ht="12.75" customHeight="1" x14ac:dyDescent="0.25">
      <c r="B3" s="9">
        <v>3003</v>
      </c>
      <c r="C3" s="9" t="s">
        <v>20</v>
      </c>
      <c r="D3" s="9" t="s">
        <v>24</v>
      </c>
      <c r="E3" s="10">
        <v>42722.372916666667</v>
      </c>
      <c r="F3" s="10">
        <v>42722.411111111112</v>
      </c>
    </row>
    <row r="4" spans="2:6" ht="12.75" customHeight="1" x14ac:dyDescent="0.25">
      <c r="B4" s="9">
        <v>3004</v>
      </c>
      <c r="C4" s="9" t="s">
        <v>24</v>
      </c>
      <c r="D4" s="9" t="s">
        <v>20</v>
      </c>
      <c r="E4" s="10">
        <v>42722.363888888889</v>
      </c>
      <c r="F4" s="10">
        <v>42722.404861111114</v>
      </c>
    </row>
    <row r="5" spans="2:6" ht="12.75" customHeight="1" x14ac:dyDescent="0.25">
      <c r="B5" s="9">
        <v>3005</v>
      </c>
      <c r="C5" s="9" t="s">
        <v>20</v>
      </c>
      <c r="D5" s="9" t="s">
        <v>24</v>
      </c>
      <c r="E5" s="10">
        <v>42722.425694444442</v>
      </c>
      <c r="F5" s="10">
        <v>42722.463888888888</v>
      </c>
    </row>
    <row r="6" spans="2:6" ht="12.75" customHeight="1" x14ac:dyDescent="0.25">
      <c r="B6" s="9">
        <v>3010</v>
      </c>
      <c r="C6" s="9" t="s">
        <v>24</v>
      </c>
      <c r="D6" s="9" t="s">
        <v>20</v>
      </c>
      <c r="E6" s="10">
        <v>42722.426388888889</v>
      </c>
      <c r="F6" s="10">
        <v>42722.467361111114</v>
      </c>
    </row>
    <row r="7" spans="2:6" ht="12.75" customHeight="1" x14ac:dyDescent="0.25">
      <c r="B7" s="9">
        <v>3016</v>
      </c>
      <c r="C7" s="9" t="s">
        <v>24</v>
      </c>
      <c r="D7" s="9" t="s">
        <v>20</v>
      </c>
      <c r="E7" s="10">
        <v>42722.520138888889</v>
      </c>
      <c r="F7" s="10">
        <v>42722.561111111114</v>
      </c>
    </row>
    <row r="8" spans="2:6" ht="12.75" customHeight="1" x14ac:dyDescent="0.25">
      <c r="B8" s="9">
        <v>3017</v>
      </c>
      <c r="C8" s="9" t="s">
        <v>20</v>
      </c>
      <c r="D8" s="9" t="s">
        <v>24</v>
      </c>
      <c r="E8" s="10">
        <v>42722.581944444442</v>
      </c>
      <c r="F8" s="10">
        <v>42722.620138888888</v>
      </c>
    </row>
    <row r="9" spans="2:6" ht="12.75" customHeight="1" x14ac:dyDescent="0.25">
      <c r="B9" s="9">
        <v>3018</v>
      </c>
      <c r="C9" s="9" t="s">
        <v>24</v>
      </c>
      <c r="D9" s="9" t="s">
        <v>20</v>
      </c>
      <c r="E9" s="10">
        <v>42722.638194444444</v>
      </c>
      <c r="F9" s="10">
        <v>42722.679166666669</v>
      </c>
    </row>
    <row r="10" spans="2:6" ht="12.75" customHeight="1" x14ac:dyDescent="0.25">
      <c r="B10" s="9">
        <v>3025</v>
      </c>
      <c r="C10" s="9" t="s">
        <v>20</v>
      </c>
      <c r="D10" s="9" t="s">
        <v>24</v>
      </c>
      <c r="E10" s="10">
        <v>42722.730555555558</v>
      </c>
      <c r="F10" s="10">
        <v>42722.768750000003</v>
      </c>
    </row>
    <row r="11" spans="2:6" ht="12.75" customHeight="1" x14ac:dyDescent="0.25">
      <c r="B11" s="9">
        <v>3044</v>
      </c>
      <c r="C11" s="9" t="s">
        <v>24</v>
      </c>
      <c r="D11" s="9" t="s">
        <v>17</v>
      </c>
      <c r="E11" s="10">
        <v>42722.368055555555</v>
      </c>
      <c r="F11" s="10">
        <v>42722.461805555555</v>
      </c>
    </row>
    <row r="12" spans="2:6" ht="12.75" customHeight="1" x14ac:dyDescent="0.25">
      <c r="B12" s="9">
        <v>3045</v>
      </c>
      <c r="C12" s="9" t="s">
        <v>17</v>
      </c>
      <c r="D12" s="9" t="s">
        <v>24</v>
      </c>
      <c r="E12" s="10">
        <v>42722.517361111109</v>
      </c>
      <c r="F12" s="10">
        <v>42722.604166666664</v>
      </c>
    </row>
    <row r="13" spans="2:6" ht="12.75" customHeight="1" x14ac:dyDescent="0.25">
      <c r="B13" s="9">
        <v>3046</v>
      </c>
      <c r="C13" s="9" t="s">
        <v>24</v>
      </c>
      <c r="D13" s="9" t="s">
        <v>17</v>
      </c>
      <c r="E13" s="10">
        <v>42722.645138888889</v>
      </c>
      <c r="F13" s="10">
        <v>42722.738888888889</v>
      </c>
    </row>
    <row r="14" spans="2:6" ht="12.75" customHeight="1" x14ac:dyDescent="0.25">
      <c r="B14" s="9">
        <v>3047</v>
      </c>
      <c r="C14" s="9" t="s">
        <v>17</v>
      </c>
      <c r="D14" s="9" t="s">
        <v>24</v>
      </c>
      <c r="E14" s="10">
        <v>42722.767361111109</v>
      </c>
      <c r="F14" s="10">
        <v>42722.854166666664</v>
      </c>
    </row>
    <row r="15" spans="2:6" ht="12.75" customHeight="1" x14ac:dyDescent="0.25">
      <c r="B15" s="9">
        <v>3049</v>
      </c>
      <c r="C15" s="9" t="s">
        <v>17</v>
      </c>
      <c r="D15" s="9" t="s">
        <v>24</v>
      </c>
      <c r="E15" s="10">
        <v>42722.811111111114</v>
      </c>
      <c r="F15" s="10">
        <v>42722.897916666669</v>
      </c>
    </row>
    <row r="16" spans="2:6" ht="12.75" customHeight="1" x14ac:dyDescent="0.25">
      <c r="B16" s="9">
        <v>3050</v>
      </c>
      <c r="C16" s="9" t="s">
        <v>27</v>
      </c>
      <c r="D16" s="9" t="s">
        <v>24</v>
      </c>
      <c r="E16" s="10">
        <v>42722.382638888892</v>
      </c>
      <c r="F16" s="10">
        <v>42722.424305555556</v>
      </c>
    </row>
    <row r="17" spans="2:6" ht="12.75" customHeight="1" x14ac:dyDescent="0.25">
      <c r="B17" s="9">
        <v>3053</v>
      </c>
      <c r="C17" s="9" t="s">
        <v>24</v>
      </c>
      <c r="D17" s="9" t="s">
        <v>27</v>
      </c>
      <c r="E17" s="10">
        <v>42722.322222222225</v>
      </c>
      <c r="F17" s="10">
        <v>42722.368055555555</v>
      </c>
    </row>
    <row r="18" spans="2:6" ht="12.75" customHeight="1" x14ac:dyDescent="0.25">
      <c r="B18" s="9">
        <v>3054</v>
      </c>
      <c r="C18" s="9" t="s">
        <v>27</v>
      </c>
      <c r="D18" s="9" t="s">
        <v>24</v>
      </c>
      <c r="E18" s="10">
        <v>42722.704861111109</v>
      </c>
      <c r="F18" s="10">
        <v>42722.746527777781</v>
      </c>
    </row>
    <row r="19" spans="2:6" ht="12.75" customHeight="1" x14ac:dyDescent="0.25">
      <c r="B19" s="9">
        <v>3055</v>
      </c>
      <c r="C19" s="9" t="s">
        <v>24</v>
      </c>
      <c r="D19" s="9" t="s">
        <v>27</v>
      </c>
      <c r="E19" s="10">
        <v>42722.40625</v>
      </c>
      <c r="F19" s="10">
        <v>42722.45208333333</v>
      </c>
    </row>
    <row r="20" spans="2:6" ht="12.75" customHeight="1" x14ac:dyDescent="0.25">
      <c r="B20" s="9">
        <v>3062</v>
      </c>
      <c r="C20" s="9" t="s">
        <v>27</v>
      </c>
      <c r="D20" s="9" t="s">
        <v>24</v>
      </c>
      <c r="E20" s="10">
        <v>42722.599305555559</v>
      </c>
      <c r="F20" s="10">
        <v>42722.640972222223</v>
      </c>
    </row>
    <row r="21" spans="2:6" ht="12.75" customHeight="1" x14ac:dyDescent="0.25">
      <c r="B21" s="9">
        <v>3064</v>
      </c>
      <c r="C21" s="9" t="s">
        <v>27</v>
      </c>
      <c r="D21" s="9" t="s">
        <v>24</v>
      </c>
      <c r="E21" s="10">
        <v>42722.75277777778</v>
      </c>
      <c r="F21" s="10">
        <v>42722.794444444444</v>
      </c>
    </row>
    <row r="22" spans="2:6" ht="12.75" customHeight="1" x14ac:dyDescent="0.25">
      <c r="B22" s="9">
        <v>3065</v>
      </c>
      <c r="C22" s="9" t="s">
        <v>24</v>
      </c>
      <c r="D22" s="9" t="s">
        <v>27</v>
      </c>
      <c r="E22" s="10">
        <v>42722.686111111114</v>
      </c>
      <c r="F22" s="10">
        <v>42722.731944444444</v>
      </c>
    </row>
    <row r="23" spans="2:6" ht="12.75" customHeight="1" x14ac:dyDescent="0.25">
      <c r="B23" s="9">
        <v>3079</v>
      </c>
      <c r="C23" s="9" t="s">
        <v>24</v>
      </c>
      <c r="D23" s="9" t="s">
        <v>27</v>
      </c>
      <c r="E23" s="10">
        <v>42722.291666666664</v>
      </c>
      <c r="F23" s="10">
        <v>42722.337500000001</v>
      </c>
    </row>
    <row r="24" spans="2:6" ht="12.75" customHeight="1" x14ac:dyDescent="0.25">
      <c r="B24" s="9">
        <v>3090</v>
      </c>
      <c r="C24" s="9" t="s">
        <v>24</v>
      </c>
      <c r="D24" s="9" t="s">
        <v>19</v>
      </c>
      <c r="E24" s="10">
        <v>42722.326388888891</v>
      </c>
      <c r="F24" s="10">
        <v>42722.386805555558</v>
      </c>
    </row>
    <row r="25" spans="2:6" ht="12.75" customHeight="1" x14ac:dyDescent="0.25">
      <c r="B25" s="9">
        <v>3091</v>
      </c>
      <c r="C25" s="9" t="s">
        <v>19</v>
      </c>
      <c r="D25" s="9" t="s">
        <v>24</v>
      </c>
      <c r="E25" s="10">
        <v>42722.407638888886</v>
      </c>
      <c r="F25" s="10">
        <v>42722.468055555553</v>
      </c>
    </row>
    <row r="26" spans="2:6" ht="12.75" customHeight="1" x14ac:dyDescent="0.25">
      <c r="B26" s="9">
        <v>3092</v>
      </c>
      <c r="C26" s="9" t="s">
        <v>24</v>
      </c>
      <c r="D26" s="9" t="s">
        <v>19</v>
      </c>
      <c r="E26" s="10">
        <v>42722.396527777775</v>
      </c>
      <c r="F26" s="10">
        <v>42722.456944444442</v>
      </c>
    </row>
    <row r="27" spans="2:6" ht="12.75" customHeight="1" x14ac:dyDescent="0.25">
      <c r="B27" s="9">
        <v>3093</v>
      </c>
      <c r="C27" s="9" t="s">
        <v>19</v>
      </c>
      <c r="D27" s="9" t="s">
        <v>24</v>
      </c>
      <c r="E27" s="10">
        <v>42722.477777777778</v>
      </c>
      <c r="F27" s="10">
        <v>42722.538194444445</v>
      </c>
    </row>
    <row r="28" spans="2:6" ht="12.75" customHeight="1" x14ac:dyDescent="0.25">
      <c r="B28" s="9">
        <v>3096</v>
      </c>
      <c r="C28" s="9" t="s">
        <v>24</v>
      </c>
      <c r="D28" s="9" t="s">
        <v>19</v>
      </c>
      <c r="E28" s="10">
        <v>42722.51666666667</v>
      </c>
      <c r="F28" s="10">
        <v>42722.57708333333</v>
      </c>
    </row>
    <row r="29" spans="2:6" ht="12.75" customHeight="1" x14ac:dyDescent="0.25">
      <c r="B29" s="9">
        <v>3097</v>
      </c>
      <c r="C29" s="9" t="s">
        <v>19</v>
      </c>
      <c r="D29" s="9" t="s">
        <v>24</v>
      </c>
      <c r="E29" s="10">
        <v>42722.606249999997</v>
      </c>
      <c r="F29" s="10">
        <v>42722.666666666664</v>
      </c>
    </row>
    <row r="30" spans="2:6" ht="12.75" customHeight="1" x14ac:dyDescent="0.25">
      <c r="B30" s="9">
        <v>3098</v>
      </c>
      <c r="C30" s="9" t="s">
        <v>24</v>
      </c>
      <c r="D30" s="9" t="s">
        <v>19</v>
      </c>
      <c r="E30" s="10">
        <v>42722.59375</v>
      </c>
      <c r="F30" s="10">
        <v>42722.654166666667</v>
      </c>
    </row>
    <row r="31" spans="2:6" ht="12.75" customHeight="1" x14ac:dyDescent="0.25">
      <c r="B31" s="9">
        <v>3099</v>
      </c>
      <c r="C31" s="9" t="s">
        <v>19</v>
      </c>
      <c r="D31" s="9" t="s">
        <v>24</v>
      </c>
      <c r="E31" s="10">
        <v>42722.675000000003</v>
      </c>
      <c r="F31" s="10">
        <v>42722.73541666667</v>
      </c>
    </row>
    <row r="32" spans="2:6" ht="12.75" customHeight="1" x14ac:dyDescent="0.25">
      <c r="B32" s="9">
        <v>3100</v>
      </c>
      <c r="C32" s="9" t="s">
        <v>24</v>
      </c>
      <c r="D32" s="9" t="s">
        <v>19</v>
      </c>
      <c r="E32" s="10">
        <v>42722.64166666667</v>
      </c>
      <c r="F32" s="10">
        <v>42722.70208333333</v>
      </c>
    </row>
    <row r="33" spans="2:6" ht="12.75" customHeight="1" x14ac:dyDescent="0.25">
      <c r="B33" s="9">
        <v>3102</v>
      </c>
      <c r="C33" s="9" t="s">
        <v>24</v>
      </c>
      <c r="D33" s="9" t="s">
        <v>19</v>
      </c>
      <c r="E33" s="10">
        <v>42722.719444444447</v>
      </c>
      <c r="F33" s="10">
        <v>42722.779861111114</v>
      </c>
    </row>
    <row r="34" spans="2:6" ht="12.75" customHeight="1" x14ac:dyDescent="0.25">
      <c r="B34" s="9">
        <v>3105</v>
      </c>
      <c r="C34" s="9" t="s">
        <v>19</v>
      </c>
      <c r="D34" s="9" t="s">
        <v>24</v>
      </c>
      <c r="E34" s="10">
        <v>42722.796527777777</v>
      </c>
      <c r="F34" s="10">
        <v>42722.856944444444</v>
      </c>
    </row>
    <row r="35" spans="2:6" ht="12.75" customHeight="1" x14ac:dyDescent="0.25">
      <c r="B35" s="9">
        <v>3114</v>
      </c>
      <c r="C35" s="9" t="s">
        <v>24</v>
      </c>
      <c r="D35" s="9" t="s">
        <v>22</v>
      </c>
      <c r="E35" s="10">
        <v>42722.34375</v>
      </c>
      <c r="F35" s="10">
        <v>42722.43472222222</v>
      </c>
    </row>
    <row r="36" spans="2:6" ht="12.75" customHeight="1" x14ac:dyDescent="0.25">
      <c r="B36" s="9">
        <v>3115</v>
      </c>
      <c r="C36" s="9" t="s">
        <v>22</v>
      </c>
      <c r="D36" s="9" t="s">
        <v>24</v>
      </c>
      <c r="E36" s="10">
        <v>42722.462500000001</v>
      </c>
      <c r="F36" s="10">
        <v>42722.549305555556</v>
      </c>
    </row>
    <row r="37" spans="2:6" ht="12.75" customHeight="1" x14ac:dyDescent="0.25">
      <c r="B37" s="9">
        <v>3116</v>
      </c>
      <c r="C37" s="9" t="s">
        <v>24</v>
      </c>
      <c r="D37" s="9" t="s">
        <v>22</v>
      </c>
      <c r="E37" s="10">
        <v>42722.475694444445</v>
      </c>
      <c r="F37" s="10">
        <v>42722.566666666666</v>
      </c>
    </row>
    <row r="38" spans="2:6" ht="12.75" customHeight="1" x14ac:dyDescent="0.25">
      <c r="B38" s="9">
        <v>3117</v>
      </c>
      <c r="C38" s="9" t="s">
        <v>22</v>
      </c>
      <c r="D38" s="9" t="s">
        <v>24</v>
      </c>
      <c r="E38" s="10">
        <v>42722.595138888886</v>
      </c>
      <c r="F38" s="10">
        <v>42722.681944444441</v>
      </c>
    </row>
    <row r="39" spans="2:6" ht="12.75" customHeight="1" x14ac:dyDescent="0.25">
      <c r="B39" s="9">
        <v>3130</v>
      </c>
      <c r="C39" s="9" t="s">
        <v>24</v>
      </c>
      <c r="D39" s="9" t="s">
        <v>14</v>
      </c>
      <c r="E39" s="10">
        <v>42722.353472222225</v>
      </c>
      <c r="F39" s="10">
        <v>42722.415277777778</v>
      </c>
    </row>
    <row r="40" spans="2:6" ht="12.75" customHeight="1" x14ac:dyDescent="0.25">
      <c r="B40" s="9">
        <v>3131</v>
      </c>
      <c r="C40" s="9" t="s">
        <v>14</v>
      </c>
      <c r="D40" s="9" t="s">
        <v>24</v>
      </c>
      <c r="E40" s="10">
        <v>42722.447222222225</v>
      </c>
      <c r="F40" s="10">
        <v>42722.510416666664</v>
      </c>
    </row>
    <row r="41" spans="2:6" ht="12.75" customHeight="1" x14ac:dyDescent="0.25">
      <c r="B41" s="9">
        <v>3132</v>
      </c>
      <c r="C41" s="9" t="s">
        <v>24</v>
      </c>
      <c r="D41" s="9" t="s">
        <v>14</v>
      </c>
      <c r="E41" s="10">
        <v>42722.55</v>
      </c>
      <c r="F41" s="10">
        <v>42722.611805555556</v>
      </c>
    </row>
    <row r="42" spans="2:6" ht="12.75" customHeight="1" x14ac:dyDescent="0.25">
      <c r="B42" s="9">
        <v>3133</v>
      </c>
      <c r="C42" s="9" t="s">
        <v>14</v>
      </c>
      <c r="D42" s="9" t="s">
        <v>24</v>
      </c>
      <c r="E42" s="10">
        <v>42722.63958333333</v>
      </c>
      <c r="F42" s="10">
        <v>42722.702777777777</v>
      </c>
    </row>
    <row r="43" spans="2:6" ht="12.75" customHeight="1" x14ac:dyDescent="0.25">
      <c r="B43" s="9">
        <v>3136</v>
      </c>
      <c r="C43" s="9" t="s">
        <v>24</v>
      </c>
      <c r="D43" s="9" t="s">
        <v>14</v>
      </c>
      <c r="E43" s="10">
        <v>42722.788194444445</v>
      </c>
      <c r="F43" s="10">
        <v>42722.85</v>
      </c>
    </row>
    <row r="44" spans="2:6" ht="12.75" customHeight="1" x14ac:dyDescent="0.25">
      <c r="B44" s="9">
        <v>3140</v>
      </c>
      <c r="C44" s="9" t="s">
        <v>24</v>
      </c>
      <c r="D44" s="9" t="s">
        <v>16</v>
      </c>
      <c r="E44" s="10">
        <v>42722.3</v>
      </c>
      <c r="F44" s="10">
        <v>42722.363194444442</v>
      </c>
    </row>
    <row r="45" spans="2:6" ht="12.75" customHeight="1" x14ac:dyDescent="0.25">
      <c r="B45" s="9">
        <v>3141</v>
      </c>
      <c r="C45" s="9" t="s">
        <v>16</v>
      </c>
      <c r="D45" s="9" t="s">
        <v>24</v>
      </c>
      <c r="E45" s="10">
        <v>42722.384722222225</v>
      </c>
      <c r="F45" s="10">
        <v>42722.448611111111</v>
      </c>
    </row>
    <row r="46" spans="2:6" ht="12.75" customHeight="1" x14ac:dyDescent="0.25">
      <c r="B46" s="9">
        <v>3142</v>
      </c>
      <c r="C46" s="9" t="s">
        <v>24</v>
      </c>
      <c r="D46" s="9" t="s">
        <v>16</v>
      </c>
      <c r="E46" s="10">
        <v>42722.456250000003</v>
      </c>
      <c r="F46" s="10">
        <v>42722.519444444442</v>
      </c>
    </row>
    <row r="47" spans="2:6" ht="12.75" customHeight="1" x14ac:dyDescent="0.25">
      <c r="B47" s="9">
        <v>3143</v>
      </c>
      <c r="C47" s="9" t="s">
        <v>16</v>
      </c>
      <c r="D47" s="9" t="s">
        <v>24</v>
      </c>
      <c r="E47" s="10">
        <v>42722.540277777778</v>
      </c>
      <c r="F47" s="10">
        <v>42722.604166666664</v>
      </c>
    </row>
    <row r="48" spans="2:6" ht="12.75" customHeight="1" x14ac:dyDescent="0.25">
      <c r="B48" s="9">
        <v>3148</v>
      </c>
      <c r="C48" s="9" t="s">
        <v>24</v>
      </c>
      <c r="D48" s="9" t="s">
        <v>16</v>
      </c>
      <c r="E48" s="10">
        <v>42722.722916666666</v>
      </c>
      <c r="F48" s="10">
        <v>42722.786111111112</v>
      </c>
    </row>
    <row r="49" spans="2:6" ht="12.75" customHeight="1" x14ac:dyDescent="0.25">
      <c r="B49" s="9">
        <v>3151</v>
      </c>
      <c r="C49" s="9" t="s">
        <v>16</v>
      </c>
      <c r="D49" s="9" t="s">
        <v>24</v>
      </c>
      <c r="E49" s="10">
        <v>42722.830555555556</v>
      </c>
      <c r="F49" s="10">
        <v>42722.894444444442</v>
      </c>
    </row>
    <row r="50" spans="2:6" ht="12.75" customHeight="1" x14ac:dyDescent="0.25">
      <c r="B50" s="9">
        <v>3164</v>
      </c>
      <c r="C50" s="9" t="s">
        <v>24</v>
      </c>
      <c r="D50" s="9" t="s">
        <v>15</v>
      </c>
      <c r="E50" s="10">
        <v>42722.489583333336</v>
      </c>
      <c r="F50" s="10">
        <v>42722.533333333333</v>
      </c>
    </row>
    <row r="51" spans="2:6" ht="12.75" customHeight="1" x14ac:dyDescent="0.25">
      <c r="B51" s="9">
        <v>3165</v>
      </c>
      <c r="C51" s="9" t="s">
        <v>15</v>
      </c>
      <c r="D51" s="9" t="s">
        <v>24</v>
      </c>
      <c r="E51" s="10">
        <v>42722.554166666669</v>
      </c>
      <c r="F51" s="10">
        <v>42722.597222222219</v>
      </c>
    </row>
    <row r="52" spans="2:6" ht="12.75" customHeight="1" x14ac:dyDescent="0.25">
      <c r="B52" s="9">
        <v>3188</v>
      </c>
      <c r="C52" s="9" t="s">
        <v>24</v>
      </c>
      <c r="D52" s="9" t="s">
        <v>25</v>
      </c>
      <c r="E52" s="10">
        <v>42722.65</v>
      </c>
      <c r="F52" s="10">
        <v>42722.7</v>
      </c>
    </row>
    <row r="53" spans="2:6" ht="12.75" customHeight="1" x14ac:dyDescent="0.25">
      <c r="B53" s="9">
        <v>3189</v>
      </c>
      <c r="C53" s="9" t="s">
        <v>25</v>
      </c>
      <c r="D53" s="9" t="s">
        <v>24</v>
      </c>
      <c r="E53" s="10">
        <v>42722.720833333333</v>
      </c>
      <c r="F53" s="10">
        <v>42722.770833333336</v>
      </c>
    </row>
    <row r="54" spans="2:6" ht="12.75" customHeight="1" x14ac:dyDescent="0.25">
      <c r="B54" s="9">
        <v>3192</v>
      </c>
      <c r="C54" s="9" t="s">
        <v>24</v>
      </c>
      <c r="D54" s="9" t="s">
        <v>21</v>
      </c>
      <c r="E54" s="10">
        <v>42722.340277777781</v>
      </c>
      <c r="F54" s="10">
        <v>42722.397916666669</v>
      </c>
    </row>
    <row r="55" spans="2:6" ht="12.75" customHeight="1" x14ac:dyDescent="0.25">
      <c r="B55" s="9">
        <v>3193</v>
      </c>
      <c r="C55" s="9" t="s">
        <v>21</v>
      </c>
      <c r="D55" s="9" t="s">
        <v>24</v>
      </c>
      <c r="E55" s="10">
        <v>42722.418749999997</v>
      </c>
      <c r="F55" s="10">
        <v>42722.47152777778</v>
      </c>
    </row>
    <row r="56" spans="2:6" ht="12.75" customHeight="1" x14ac:dyDescent="0.25">
      <c r="B56" s="9">
        <v>3198</v>
      </c>
      <c r="C56" s="9" t="s">
        <v>24</v>
      </c>
      <c r="D56" s="9" t="s">
        <v>21</v>
      </c>
      <c r="E56" s="10">
        <v>42722.726388888892</v>
      </c>
      <c r="F56" s="10">
        <v>42722.78402777778</v>
      </c>
    </row>
    <row r="57" spans="2:6" ht="12.75" customHeight="1" x14ac:dyDescent="0.25">
      <c r="B57" s="9">
        <v>3208</v>
      </c>
      <c r="C57" s="9" t="s">
        <v>24</v>
      </c>
      <c r="D57" s="9" t="s">
        <v>26</v>
      </c>
      <c r="E57" s="10">
        <v>42722.555555555555</v>
      </c>
      <c r="F57" s="10">
        <v>42722.595833333333</v>
      </c>
    </row>
    <row r="58" spans="2:6" ht="12.75" customHeight="1" x14ac:dyDescent="0.25">
      <c r="B58" s="9">
        <v>3209</v>
      </c>
      <c r="C58" s="9" t="s">
        <v>26</v>
      </c>
      <c r="D58" s="9" t="s">
        <v>24</v>
      </c>
      <c r="E58" s="10">
        <v>42722.616666666669</v>
      </c>
      <c r="F58" s="10">
        <v>42722.655555555553</v>
      </c>
    </row>
    <row r="59" spans="2:6" ht="12.75" customHeight="1" x14ac:dyDescent="0.25">
      <c r="B59" s="9">
        <v>3216</v>
      </c>
      <c r="C59" s="9" t="s">
        <v>24</v>
      </c>
      <c r="D59" s="9" t="s">
        <v>23</v>
      </c>
      <c r="E59" s="10">
        <v>42722.689583333333</v>
      </c>
      <c r="F59" s="10">
        <v>42722.731249999997</v>
      </c>
    </row>
    <row r="60" spans="2:6" ht="12.75" customHeight="1" x14ac:dyDescent="0.25">
      <c r="B60" s="9">
        <v>3217</v>
      </c>
      <c r="C60" s="9" t="s">
        <v>23</v>
      </c>
      <c r="D60" s="9" t="s">
        <v>24</v>
      </c>
      <c r="E60" s="10">
        <v>42722.752083333333</v>
      </c>
      <c r="F60" s="10">
        <v>42722.790277777778</v>
      </c>
    </row>
    <row r="61" spans="2:6" ht="12.75" customHeight="1" x14ac:dyDescent="0.25">
      <c r="B61" s="9">
        <v>3240</v>
      </c>
      <c r="C61" s="9" t="s">
        <v>24</v>
      </c>
      <c r="D61" s="9" t="s">
        <v>18</v>
      </c>
      <c r="E61" s="10">
        <v>42722.604166666664</v>
      </c>
      <c r="F61" s="10">
        <v>42722.663888888892</v>
      </c>
    </row>
    <row r="62" spans="2:6" ht="12.75" customHeight="1" x14ac:dyDescent="0.25">
      <c r="B62" s="9">
        <v>3241</v>
      </c>
      <c r="C62" s="9" t="s">
        <v>18</v>
      </c>
      <c r="D62" s="9" t="s">
        <v>24</v>
      </c>
      <c r="E62" s="10">
        <v>42722.68472222222</v>
      </c>
      <c r="F62" s="10">
        <v>42722.743750000001</v>
      </c>
    </row>
    <row r="63" spans="2:6" ht="12.75" customHeight="1" x14ac:dyDescent="0.25">
      <c r="B63" s="9">
        <v>3268</v>
      </c>
      <c r="C63" s="9" t="s">
        <v>24</v>
      </c>
      <c r="D63" s="9" t="s">
        <v>17</v>
      </c>
      <c r="E63" s="10">
        <v>42722.694444444445</v>
      </c>
      <c r="F63" s="10">
        <v>42722.788194444445</v>
      </c>
    </row>
    <row r="64" spans="2:6" ht="12.75" customHeight="1" x14ac:dyDescent="0.25">
      <c r="B64" s="9">
        <v>3272</v>
      </c>
      <c r="C64" s="9" t="s">
        <v>27</v>
      </c>
      <c r="D64" s="9" t="s">
        <v>17</v>
      </c>
      <c r="E64" s="10">
        <v>42722.406944444447</v>
      </c>
      <c r="F64" s="10">
        <v>42722.486805555556</v>
      </c>
    </row>
    <row r="65" spans="2:6" ht="12.75" customHeight="1" x14ac:dyDescent="0.25">
      <c r="B65" s="9">
        <v>3273</v>
      </c>
      <c r="C65" s="9" t="s">
        <v>17</v>
      </c>
      <c r="D65" s="9" t="s">
        <v>27</v>
      </c>
      <c r="E65" s="10">
        <v>42722.489583333336</v>
      </c>
      <c r="F65" s="10">
        <v>42722.574999999997</v>
      </c>
    </row>
    <row r="66" spans="2:6" ht="12.75" customHeight="1" x14ac:dyDescent="0.25">
      <c r="B66" s="9">
        <v>3274</v>
      </c>
      <c r="C66" s="9" t="s">
        <v>27</v>
      </c>
      <c r="D66" s="9" t="s">
        <v>17</v>
      </c>
      <c r="E66" s="10">
        <v>42722.486805555556</v>
      </c>
      <c r="F66" s="10">
        <v>42722.566666666666</v>
      </c>
    </row>
    <row r="67" spans="2:6" ht="12.75" customHeight="1" x14ac:dyDescent="0.25">
      <c r="B67" s="9">
        <v>3275</v>
      </c>
      <c r="C67" s="9" t="s">
        <v>17</v>
      </c>
      <c r="D67" s="9" t="s">
        <v>27</v>
      </c>
      <c r="E67" s="10">
        <v>42722.594444444447</v>
      </c>
      <c r="F67" s="10">
        <v>42722.679861111108</v>
      </c>
    </row>
    <row r="68" spans="2:6" ht="12.75" customHeight="1" x14ac:dyDescent="0.25">
      <c r="B68" s="9">
        <v>3285</v>
      </c>
      <c r="C68" s="9" t="s">
        <v>19</v>
      </c>
      <c r="D68" s="9" t="s">
        <v>24</v>
      </c>
      <c r="E68" s="10">
        <v>42722.772916666669</v>
      </c>
      <c r="F68" s="10">
        <v>42722.833333333336</v>
      </c>
    </row>
    <row r="69" spans="2:6" ht="12.75" customHeight="1" x14ac:dyDescent="0.25">
      <c r="B69" s="9">
        <v>3304</v>
      </c>
      <c r="C69" s="9" t="s">
        <v>20</v>
      </c>
      <c r="D69" s="9" t="s">
        <v>17</v>
      </c>
      <c r="E69" s="10">
        <v>42722.51666666667</v>
      </c>
      <c r="F69" s="10">
        <v>42722.591666666667</v>
      </c>
    </row>
    <row r="70" spans="2:6" ht="12.75" customHeight="1" x14ac:dyDescent="0.25">
      <c r="B70" s="9">
        <v>3305</v>
      </c>
      <c r="C70" s="9" t="s">
        <v>17</v>
      </c>
      <c r="D70" s="9" t="s">
        <v>20</v>
      </c>
      <c r="E70" s="10">
        <v>42722.62222222222</v>
      </c>
      <c r="F70" s="10">
        <v>42722.705555555556</v>
      </c>
    </row>
    <row r="71" spans="2:6" ht="12.75" customHeight="1" x14ac:dyDescent="0.25">
      <c r="B71" s="9">
        <v>3312</v>
      </c>
      <c r="C71" s="9" t="s">
        <v>20</v>
      </c>
      <c r="D71" s="9" t="s">
        <v>19</v>
      </c>
      <c r="E71" s="10">
        <v>42722.707638888889</v>
      </c>
      <c r="F71" s="10">
        <v>42722.752083333333</v>
      </c>
    </row>
    <row r="72" spans="2:6" ht="12.75" customHeight="1" x14ac:dyDescent="0.25">
      <c r="B72" s="9">
        <v>3313</v>
      </c>
      <c r="C72" s="9" t="s">
        <v>19</v>
      </c>
      <c r="D72" s="9" t="s">
        <v>20</v>
      </c>
      <c r="E72" s="10">
        <v>42722.726388888892</v>
      </c>
      <c r="F72" s="10">
        <v>42722.775000000001</v>
      </c>
    </row>
  </sheetData>
  <autoFilter ref="B2:F7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F126"/>
  <sheetViews>
    <sheetView showGridLines="0" workbookViewId="0"/>
  </sheetViews>
  <sheetFormatPr baseColWidth="10" defaultColWidth="11.42578125" defaultRowHeight="12.75" customHeight="1" x14ac:dyDescent="0.25"/>
  <cols>
    <col min="2" max="6" width="14.28515625" customWidth="1"/>
  </cols>
  <sheetData>
    <row r="2" spans="2:6" ht="12.75" customHeight="1" x14ac:dyDescent="0.25">
      <c r="B2" s="12" t="s">
        <v>75</v>
      </c>
      <c r="C2" s="12" t="s">
        <v>76</v>
      </c>
      <c r="D2" s="12" t="s">
        <v>77</v>
      </c>
      <c r="E2" s="12" t="s">
        <v>78</v>
      </c>
      <c r="F2" s="12" t="s">
        <v>79</v>
      </c>
    </row>
    <row r="3" spans="2:6" ht="12.75" customHeight="1" x14ac:dyDescent="0.25">
      <c r="B3" s="9">
        <v>3000</v>
      </c>
      <c r="C3" s="9" t="s">
        <v>24</v>
      </c>
      <c r="D3" s="9" t="s">
        <v>20</v>
      </c>
      <c r="E3" s="10">
        <v>42723.238888888889</v>
      </c>
      <c r="F3" s="10">
        <v>42723.279861111114</v>
      </c>
    </row>
    <row r="4" spans="2:6" ht="12.75" customHeight="1" x14ac:dyDescent="0.25">
      <c r="B4" s="9">
        <v>3001</v>
      </c>
      <c r="C4" s="9" t="s">
        <v>20</v>
      </c>
      <c r="D4" s="9" t="s">
        <v>24</v>
      </c>
      <c r="E4" s="10">
        <v>42723.300694444442</v>
      </c>
      <c r="F4" s="10">
        <v>42723.338888888888</v>
      </c>
    </row>
    <row r="5" spans="2:6" ht="12.75" customHeight="1" x14ac:dyDescent="0.25">
      <c r="B5" s="9">
        <v>3002</v>
      </c>
      <c r="C5" s="9" t="s">
        <v>24</v>
      </c>
      <c r="D5" s="9" t="s">
        <v>20</v>
      </c>
      <c r="E5" s="10">
        <v>42723.26666666667</v>
      </c>
      <c r="F5" s="10">
        <v>42723.307638888888</v>
      </c>
    </row>
    <row r="6" spans="2:6" ht="12.75" customHeight="1" x14ac:dyDescent="0.25">
      <c r="B6" s="9">
        <v>3003</v>
      </c>
      <c r="C6" s="9" t="s">
        <v>20</v>
      </c>
      <c r="D6" s="9" t="s">
        <v>24</v>
      </c>
      <c r="E6" s="10">
        <v>42723.263888888891</v>
      </c>
      <c r="F6" s="10">
        <v>42723.302083333336</v>
      </c>
    </row>
    <row r="7" spans="2:6" ht="12.75" customHeight="1" x14ac:dyDescent="0.25">
      <c r="B7" s="9">
        <v>3004</v>
      </c>
      <c r="C7" s="9" t="s">
        <v>24</v>
      </c>
      <c r="D7" s="9" t="s">
        <v>20</v>
      </c>
      <c r="E7" s="10">
        <v>42723.316666666666</v>
      </c>
      <c r="F7" s="10">
        <v>42723.357638888891</v>
      </c>
    </row>
    <row r="8" spans="2:6" ht="12.75" customHeight="1" x14ac:dyDescent="0.25">
      <c r="B8" s="9">
        <v>3005</v>
      </c>
      <c r="C8" s="9" t="s">
        <v>20</v>
      </c>
      <c r="D8" s="9" t="s">
        <v>24</v>
      </c>
      <c r="E8" s="10">
        <v>42723.378472222219</v>
      </c>
      <c r="F8" s="10">
        <v>42723.416666666664</v>
      </c>
    </row>
    <row r="9" spans="2:6" ht="12.75" customHeight="1" x14ac:dyDescent="0.25">
      <c r="B9" s="9">
        <v>3006</v>
      </c>
      <c r="C9" s="9" t="s">
        <v>24</v>
      </c>
      <c r="D9" s="9" t="s">
        <v>20</v>
      </c>
      <c r="E9" s="10">
        <v>42723.392361111109</v>
      </c>
      <c r="F9" s="10">
        <v>42723.433333333334</v>
      </c>
    </row>
    <row r="10" spans="2:6" ht="12.75" customHeight="1" x14ac:dyDescent="0.25">
      <c r="B10" s="9">
        <v>3010</v>
      </c>
      <c r="C10" s="9" t="s">
        <v>24</v>
      </c>
      <c r="D10" s="9" t="s">
        <v>20</v>
      </c>
      <c r="E10" s="10">
        <v>42723.455555555556</v>
      </c>
      <c r="F10" s="10">
        <v>42723.496527777781</v>
      </c>
    </row>
    <row r="11" spans="2:6" ht="12.75" customHeight="1" x14ac:dyDescent="0.25">
      <c r="B11" s="9">
        <v>3011</v>
      </c>
      <c r="C11" s="9" t="s">
        <v>20</v>
      </c>
      <c r="D11" s="9" t="s">
        <v>24</v>
      </c>
      <c r="E11" s="10">
        <v>42723.524305555555</v>
      </c>
      <c r="F11" s="10">
        <v>42723.5625</v>
      </c>
    </row>
    <row r="12" spans="2:6" ht="12.75" customHeight="1" x14ac:dyDescent="0.25">
      <c r="B12" s="9">
        <v>3013</v>
      </c>
      <c r="C12" s="9" t="s">
        <v>20</v>
      </c>
      <c r="D12" s="9" t="s">
        <v>24</v>
      </c>
      <c r="E12" s="10">
        <v>42723.680555555555</v>
      </c>
      <c r="F12" s="10">
        <v>42723.71875</v>
      </c>
    </row>
    <row r="13" spans="2:6" ht="12.75" customHeight="1" x14ac:dyDescent="0.25">
      <c r="B13" s="9">
        <v>3014</v>
      </c>
      <c r="C13" s="9" t="s">
        <v>24</v>
      </c>
      <c r="D13" s="9" t="s">
        <v>20</v>
      </c>
      <c r="E13" s="10">
        <v>42723.670138888891</v>
      </c>
      <c r="F13" s="10">
        <v>42723.711111111108</v>
      </c>
    </row>
    <row r="14" spans="2:6" ht="12.75" customHeight="1" x14ac:dyDescent="0.25">
      <c r="B14" s="9">
        <v>3015</v>
      </c>
      <c r="C14" s="9" t="s">
        <v>20</v>
      </c>
      <c r="D14" s="9" t="s">
        <v>24</v>
      </c>
      <c r="E14" s="10">
        <v>42723.732638888891</v>
      </c>
      <c r="F14" s="10">
        <v>42723.770833333336</v>
      </c>
    </row>
    <row r="15" spans="2:6" ht="12.75" customHeight="1" x14ac:dyDescent="0.25">
      <c r="B15" s="9">
        <v>3027</v>
      </c>
      <c r="C15" s="9" t="s">
        <v>20</v>
      </c>
      <c r="D15" s="9" t="s">
        <v>24</v>
      </c>
      <c r="E15" s="10">
        <v>42723.79583333333</v>
      </c>
      <c r="F15" s="10">
        <v>42723.834027777775</v>
      </c>
    </row>
    <row r="16" spans="2:6" ht="12.75" customHeight="1" x14ac:dyDescent="0.25">
      <c r="B16" s="9">
        <v>3028</v>
      </c>
      <c r="C16" s="9" t="s">
        <v>24</v>
      </c>
      <c r="D16" s="9" t="s">
        <v>20</v>
      </c>
      <c r="E16" s="10">
        <v>42723.791666666664</v>
      </c>
      <c r="F16" s="10">
        <v>42723.832638888889</v>
      </c>
    </row>
    <row r="17" spans="2:6" ht="12.75" customHeight="1" x14ac:dyDescent="0.25">
      <c r="B17" s="9">
        <v>3029</v>
      </c>
      <c r="C17" s="9" t="s">
        <v>20</v>
      </c>
      <c r="D17" s="9" t="s">
        <v>24</v>
      </c>
      <c r="E17" s="10">
        <v>42723.857638888891</v>
      </c>
      <c r="F17" s="10">
        <v>42723.895833333336</v>
      </c>
    </row>
    <row r="18" spans="2:6" ht="12.75" customHeight="1" x14ac:dyDescent="0.25">
      <c r="B18" s="9">
        <v>3040</v>
      </c>
      <c r="C18" s="9" t="s">
        <v>24</v>
      </c>
      <c r="D18" s="9" t="s">
        <v>20</v>
      </c>
      <c r="E18" s="10">
        <v>42723.836805555555</v>
      </c>
      <c r="F18" s="10">
        <v>42723.87777777778</v>
      </c>
    </row>
    <row r="19" spans="2:6" ht="12.75" customHeight="1" x14ac:dyDescent="0.25">
      <c r="B19" s="9">
        <v>3042</v>
      </c>
      <c r="C19" s="9" t="s">
        <v>24</v>
      </c>
      <c r="D19" s="9" t="s">
        <v>20</v>
      </c>
      <c r="E19" s="10">
        <v>42723.882638888892</v>
      </c>
      <c r="F19" s="10">
        <v>42723.923611111109</v>
      </c>
    </row>
    <row r="20" spans="2:6" ht="12.75" customHeight="1" x14ac:dyDescent="0.25">
      <c r="B20" s="9">
        <v>3043</v>
      </c>
      <c r="C20" s="9" t="s">
        <v>20</v>
      </c>
      <c r="D20" s="9" t="s">
        <v>24</v>
      </c>
      <c r="E20" s="10">
        <v>42723.243055555555</v>
      </c>
      <c r="F20" s="10">
        <v>42723.28125</v>
      </c>
    </row>
    <row r="21" spans="2:6" ht="12.75" customHeight="1" x14ac:dyDescent="0.25">
      <c r="B21" s="9">
        <v>3044</v>
      </c>
      <c r="C21" s="9" t="s">
        <v>24</v>
      </c>
      <c r="D21" s="9" t="s">
        <v>17</v>
      </c>
      <c r="E21" s="10">
        <v>42723.368055555555</v>
      </c>
      <c r="F21" s="10">
        <v>42723.461805555555</v>
      </c>
    </row>
    <row r="22" spans="2:6" ht="12.75" customHeight="1" x14ac:dyDescent="0.25">
      <c r="B22" s="9">
        <v>3045</v>
      </c>
      <c r="C22" s="9" t="s">
        <v>17</v>
      </c>
      <c r="D22" s="9" t="s">
        <v>24</v>
      </c>
      <c r="E22" s="10">
        <v>42723.51666666667</v>
      </c>
      <c r="F22" s="10">
        <v>42723.603472222225</v>
      </c>
    </row>
    <row r="23" spans="2:6" ht="12.75" customHeight="1" x14ac:dyDescent="0.25">
      <c r="B23" s="9">
        <v>3050</v>
      </c>
      <c r="C23" s="9" t="s">
        <v>27</v>
      </c>
      <c r="D23" s="9" t="s">
        <v>24</v>
      </c>
      <c r="E23" s="10">
        <v>42723.309027777781</v>
      </c>
      <c r="F23" s="10">
        <v>42723.350694444445</v>
      </c>
    </row>
    <row r="24" spans="2:6" ht="12.75" customHeight="1" x14ac:dyDescent="0.25">
      <c r="B24" s="9">
        <v>3051</v>
      </c>
      <c r="C24" s="9" t="s">
        <v>24</v>
      </c>
      <c r="D24" s="9" t="s">
        <v>27</v>
      </c>
      <c r="E24" s="10">
        <v>42723.242361111108</v>
      </c>
      <c r="F24" s="10">
        <v>42723.288194444445</v>
      </c>
    </row>
    <row r="25" spans="2:6" ht="12.75" customHeight="1" x14ac:dyDescent="0.25">
      <c r="B25" s="9">
        <v>3053</v>
      </c>
      <c r="C25" s="9" t="s">
        <v>24</v>
      </c>
      <c r="D25" s="9" t="s">
        <v>27</v>
      </c>
      <c r="E25" s="10">
        <v>42723.328472222223</v>
      </c>
      <c r="F25" s="10">
        <v>42723.374305555553</v>
      </c>
    </row>
    <row r="26" spans="2:6" ht="12.75" customHeight="1" x14ac:dyDescent="0.25">
      <c r="B26" s="9">
        <v>3055</v>
      </c>
      <c r="C26" s="9" t="s">
        <v>24</v>
      </c>
      <c r="D26" s="9" t="s">
        <v>27</v>
      </c>
      <c r="E26" s="10">
        <v>42723.436805555553</v>
      </c>
      <c r="F26" s="10">
        <v>42723.482638888891</v>
      </c>
    </row>
    <row r="27" spans="2:6" ht="12.75" customHeight="1" x14ac:dyDescent="0.25">
      <c r="B27" s="9">
        <v>3060</v>
      </c>
      <c r="C27" s="9" t="s">
        <v>27</v>
      </c>
      <c r="D27" s="9" t="s">
        <v>24</v>
      </c>
      <c r="E27" s="10">
        <v>42723.599305555559</v>
      </c>
      <c r="F27" s="10">
        <v>42723.640972222223</v>
      </c>
    </row>
    <row r="28" spans="2:6" ht="12.75" customHeight="1" x14ac:dyDescent="0.25">
      <c r="B28" s="9">
        <v>3062</v>
      </c>
      <c r="C28" s="9" t="s">
        <v>27</v>
      </c>
      <c r="D28" s="9" t="s">
        <v>24</v>
      </c>
      <c r="E28" s="10">
        <v>42723.722222222219</v>
      </c>
      <c r="F28" s="10">
        <v>42723.763888888891</v>
      </c>
    </row>
    <row r="29" spans="2:6" ht="12.75" customHeight="1" x14ac:dyDescent="0.25">
      <c r="B29" s="9">
        <v>3063</v>
      </c>
      <c r="C29" s="9" t="s">
        <v>24</v>
      </c>
      <c r="D29" s="9" t="s">
        <v>27</v>
      </c>
      <c r="E29" s="10">
        <v>42723.655555555553</v>
      </c>
      <c r="F29" s="10">
        <v>42723.701388888891</v>
      </c>
    </row>
    <row r="30" spans="2:6" ht="12.75" customHeight="1" x14ac:dyDescent="0.25">
      <c r="B30" s="9">
        <v>3064</v>
      </c>
      <c r="C30" s="9" t="s">
        <v>27</v>
      </c>
      <c r="D30" s="9" t="s">
        <v>24</v>
      </c>
      <c r="E30" s="10">
        <v>42723.756944444445</v>
      </c>
      <c r="F30" s="10">
        <v>42723.798611111109</v>
      </c>
    </row>
    <row r="31" spans="2:6" ht="12.75" customHeight="1" x14ac:dyDescent="0.25">
      <c r="B31" s="9">
        <v>3067</v>
      </c>
      <c r="C31" s="9" t="s">
        <v>24</v>
      </c>
      <c r="D31" s="9" t="s">
        <v>27</v>
      </c>
      <c r="E31" s="10">
        <v>42723.761111111111</v>
      </c>
      <c r="F31" s="10">
        <v>42723.806944444441</v>
      </c>
    </row>
    <row r="32" spans="2:6" ht="12.75" customHeight="1" x14ac:dyDescent="0.25">
      <c r="B32" s="9">
        <v>3068</v>
      </c>
      <c r="C32" s="9" t="s">
        <v>27</v>
      </c>
      <c r="D32" s="9" t="s">
        <v>24</v>
      </c>
      <c r="E32" s="10">
        <v>42723.885416666664</v>
      </c>
      <c r="F32" s="10">
        <v>42723.927083333336</v>
      </c>
    </row>
    <row r="33" spans="2:6" ht="12.75" customHeight="1" x14ac:dyDescent="0.25">
      <c r="B33" s="9">
        <v>3069</v>
      </c>
      <c r="C33" s="9" t="s">
        <v>24</v>
      </c>
      <c r="D33" s="9" t="s">
        <v>27</v>
      </c>
      <c r="E33" s="10">
        <v>42723.818749999999</v>
      </c>
      <c r="F33" s="10">
        <v>42723.864583333336</v>
      </c>
    </row>
    <row r="34" spans="2:6" ht="12.75" customHeight="1" x14ac:dyDescent="0.25">
      <c r="B34" s="9">
        <v>3088</v>
      </c>
      <c r="C34" s="9" t="s">
        <v>27</v>
      </c>
      <c r="D34" s="9" t="s">
        <v>24</v>
      </c>
      <c r="E34" s="10">
        <v>42723.228472222225</v>
      </c>
      <c r="F34" s="10">
        <v>42723.270138888889</v>
      </c>
    </row>
    <row r="35" spans="2:6" ht="12.75" customHeight="1" x14ac:dyDescent="0.25">
      <c r="B35" s="9">
        <v>3089</v>
      </c>
      <c r="C35" s="9" t="s">
        <v>24</v>
      </c>
      <c r="D35" s="9" t="s">
        <v>27</v>
      </c>
      <c r="E35" s="10">
        <v>42723.895833333336</v>
      </c>
      <c r="F35" s="10">
        <v>42723.941666666666</v>
      </c>
    </row>
    <row r="36" spans="2:6" ht="12.75" customHeight="1" x14ac:dyDescent="0.25">
      <c r="B36" s="9">
        <v>3090</v>
      </c>
      <c r="C36" s="9" t="s">
        <v>24</v>
      </c>
      <c r="D36" s="9" t="s">
        <v>19</v>
      </c>
      <c r="E36" s="10">
        <v>42723.289583333331</v>
      </c>
      <c r="F36" s="10">
        <v>42723.35</v>
      </c>
    </row>
    <row r="37" spans="2:6" ht="12.75" customHeight="1" x14ac:dyDescent="0.25">
      <c r="B37" s="9">
        <v>3091</v>
      </c>
      <c r="C37" s="9" t="s">
        <v>19</v>
      </c>
      <c r="D37" s="9" t="s">
        <v>24</v>
      </c>
      <c r="E37" s="10">
        <v>42723.370833333334</v>
      </c>
      <c r="F37" s="10">
        <v>42723.431250000001</v>
      </c>
    </row>
    <row r="38" spans="2:6" ht="12.75" customHeight="1" x14ac:dyDescent="0.25">
      <c r="B38" s="9">
        <v>3093</v>
      </c>
      <c r="C38" s="9" t="s">
        <v>19</v>
      </c>
      <c r="D38" s="9" t="s">
        <v>24</v>
      </c>
      <c r="E38" s="10">
        <v>42723.428472222222</v>
      </c>
      <c r="F38" s="10">
        <v>42723.488888888889</v>
      </c>
    </row>
    <row r="39" spans="2:6" ht="12.75" customHeight="1" x14ac:dyDescent="0.25">
      <c r="B39" s="9">
        <v>3094</v>
      </c>
      <c r="C39" s="9" t="s">
        <v>24</v>
      </c>
      <c r="D39" s="9" t="s">
        <v>19</v>
      </c>
      <c r="E39" s="10">
        <v>42723.388888888891</v>
      </c>
      <c r="F39" s="10">
        <v>42723.449305555558</v>
      </c>
    </row>
    <row r="40" spans="2:6" ht="12.75" customHeight="1" x14ac:dyDescent="0.25">
      <c r="B40" s="9">
        <v>3095</v>
      </c>
      <c r="C40" s="9" t="s">
        <v>19</v>
      </c>
      <c r="D40" s="9" t="s">
        <v>24</v>
      </c>
      <c r="E40" s="10">
        <v>42723.470833333333</v>
      </c>
      <c r="F40" s="10">
        <v>42723.53125</v>
      </c>
    </row>
    <row r="41" spans="2:6" ht="12.75" customHeight="1" x14ac:dyDescent="0.25">
      <c r="B41" s="9">
        <v>3096</v>
      </c>
      <c r="C41" s="9" t="s">
        <v>24</v>
      </c>
      <c r="D41" s="9" t="s">
        <v>19</v>
      </c>
      <c r="E41" s="10">
        <v>42723.498611111114</v>
      </c>
      <c r="F41" s="10">
        <v>42723.559027777781</v>
      </c>
    </row>
    <row r="42" spans="2:6" ht="12.75" customHeight="1" x14ac:dyDescent="0.25">
      <c r="B42" s="9">
        <v>3097</v>
      </c>
      <c r="C42" s="9" t="s">
        <v>19</v>
      </c>
      <c r="D42" s="9" t="s">
        <v>24</v>
      </c>
      <c r="E42" s="10">
        <v>42723.579861111109</v>
      </c>
      <c r="F42" s="10">
        <v>42723.640277777777</v>
      </c>
    </row>
    <row r="43" spans="2:6" ht="12.75" customHeight="1" x14ac:dyDescent="0.25">
      <c r="B43" s="9">
        <v>3098</v>
      </c>
      <c r="C43" s="9" t="s">
        <v>24</v>
      </c>
      <c r="D43" s="9" t="s">
        <v>19</v>
      </c>
      <c r="E43" s="10">
        <v>42723.582638888889</v>
      </c>
      <c r="F43" s="10">
        <v>42723.643055555556</v>
      </c>
    </row>
    <row r="44" spans="2:6" ht="12.75" customHeight="1" x14ac:dyDescent="0.25">
      <c r="B44" s="9">
        <v>3099</v>
      </c>
      <c r="C44" s="9" t="s">
        <v>19</v>
      </c>
      <c r="D44" s="9" t="s">
        <v>24</v>
      </c>
      <c r="E44" s="10">
        <v>42723.668749999997</v>
      </c>
      <c r="F44" s="10">
        <v>42723.729166666664</v>
      </c>
    </row>
    <row r="45" spans="2:6" ht="12.75" customHeight="1" x14ac:dyDescent="0.25">
      <c r="B45" s="9">
        <v>3100</v>
      </c>
      <c r="C45" s="9" t="s">
        <v>24</v>
      </c>
      <c r="D45" s="9" t="s">
        <v>19</v>
      </c>
      <c r="E45" s="10">
        <v>42723.645138888889</v>
      </c>
      <c r="F45" s="10">
        <v>42723.705555555556</v>
      </c>
    </row>
    <row r="46" spans="2:6" ht="12.75" customHeight="1" x14ac:dyDescent="0.25">
      <c r="B46" s="9">
        <v>3102</v>
      </c>
      <c r="C46" s="9" t="s">
        <v>24</v>
      </c>
      <c r="D46" s="9" t="s">
        <v>19</v>
      </c>
      <c r="E46" s="10">
        <v>42723.757638888892</v>
      </c>
      <c r="F46" s="10">
        <v>42723.818055555559</v>
      </c>
    </row>
    <row r="47" spans="2:6" ht="12.75" customHeight="1" x14ac:dyDescent="0.25">
      <c r="B47" s="9">
        <v>3103</v>
      </c>
      <c r="C47" s="9" t="s">
        <v>19</v>
      </c>
      <c r="D47" s="9" t="s">
        <v>24</v>
      </c>
      <c r="E47" s="10">
        <v>42723.80972222222</v>
      </c>
      <c r="F47" s="10">
        <v>42723.870138888888</v>
      </c>
    </row>
    <row r="48" spans="2:6" ht="12.75" customHeight="1" x14ac:dyDescent="0.25">
      <c r="B48" s="9">
        <v>3104</v>
      </c>
      <c r="C48" s="9" t="s">
        <v>24</v>
      </c>
      <c r="D48" s="9" t="s">
        <v>19</v>
      </c>
      <c r="E48" s="10">
        <v>42723.916666666664</v>
      </c>
      <c r="F48" s="10">
        <v>42723.977083333331</v>
      </c>
    </row>
    <row r="49" spans="2:6" ht="12.75" customHeight="1" x14ac:dyDescent="0.25">
      <c r="B49" s="9">
        <v>3105</v>
      </c>
      <c r="C49" s="9" t="s">
        <v>19</v>
      </c>
      <c r="D49" s="9" t="s">
        <v>24</v>
      </c>
      <c r="E49" s="10">
        <v>42723.997916666667</v>
      </c>
      <c r="F49" s="10">
        <v>42724.058333333334</v>
      </c>
    </row>
    <row r="50" spans="2:6" ht="12.75" customHeight="1" x14ac:dyDescent="0.25">
      <c r="B50" s="9">
        <v>3106</v>
      </c>
      <c r="C50" s="9" t="s">
        <v>24</v>
      </c>
      <c r="D50" s="9" t="s">
        <v>19</v>
      </c>
      <c r="E50" s="10">
        <v>42723.795138888891</v>
      </c>
      <c r="F50" s="10">
        <v>42723.855555555558</v>
      </c>
    </row>
    <row r="51" spans="2:6" ht="12.75" customHeight="1" x14ac:dyDescent="0.25">
      <c r="B51" s="9">
        <v>3107</v>
      </c>
      <c r="C51" s="9" t="s">
        <v>19</v>
      </c>
      <c r="D51" s="9" t="s">
        <v>24</v>
      </c>
      <c r="E51" s="10">
        <v>42723.876388888886</v>
      </c>
      <c r="F51" s="10">
        <v>42723.936805555553</v>
      </c>
    </row>
    <row r="52" spans="2:6" ht="12.75" customHeight="1" x14ac:dyDescent="0.25">
      <c r="B52" s="9">
        <v>3108</v>
      </c>
      <c r="C52" s="9" t="s">
        <v>24</v>
      </c>
      <c r="D52" s="9" t="s">
        <v>19</v>
      </c>
      <c r="E52" s="10">
        <v>42723.85833333333</v>
      </c>
      <c r="F52" s="10">
        <v>42723.918749999997</v>
      </c>
    </row>
    <row r="53" spans="2:6" ht="12.75" customHeight="1" x14ac:dyDescent="0.25">
      <c r="B53" s="9">
        <v>3109</v>
      </c>
      <c r="C53" s="9" t="s">
        <v>19</v>
      </c>
      <c r="D53" s="9" t="s">
        <v>24</v>
      </c>
      <c r="E53" s="10">
        <v>42723.939583333333</v>
      </c>
      <c r="F53" s="10">
        <v>42724</v>
      </c>
    </row>
    <row r="54" spans="2:6" ht="12.75" customHeight="1" x14ac:dyDescent="0.25">
      <c r="B54" s="9">
        <v>3110</v>
      </c>
      <c r="C54" s="9" t="s">
        <v>24</v>
      </c>
      <c r="D54" s="9" t="s">
        <v>19</v>
      </c>
      <c r="E54" s="10">
        <v>42723.207638888889</v>
      </c>
      <c r="F54" s="10">
        <v>42723.268055555556</v>
      </c>
    </row>
    <row r="55" spans="2:6" ht="12.75" customHeight="1" x14ac:dyDescent="0.25">
      <c r="B55" s="9">
        <v>3111</v>
      </c>
      <c r="C55" s="9" t="s">
        <v>19</v>
      </c>
      <c r="D55" s="9" t="s">
        <v>24</v>
      </c>
      <c r="E55" s="10">
        <v>42723.288888888892</v>
      </c>
      <c r="F55" s="10">
        <v>42723.349305555559</v>
      </c>
    </row>
    <row r="56" spans="2:6" ht="12.75" customHeight="1" x14ac:dyDescent="0.25">
      <c r="B56" s="9">
        <v>3114</v>
      </c>
      <c r="C56" s="9" t="s">
        <v>24</v>
      </c>
      <c r="D56" s="9" t="s">
        <v>22</v>
      </c>
      <c r="E56" s="10">
        <v>42723.399305555555</v>
      </c>
      <c r="F56" s="10">
        <v>42723.490277777775</v>
      </c>
    </row>
    <row r="57" spans="2:6" ht="12.75" customHeight="1" x14ac:dyDescent="0.25">
      <c r="B57" s="9">
        <v>3115</v>
      </c>
      <c r="C57" s="9" t="s">
        <v>22</v>
      </c>
      <c r="D57" s="9" t="s">
        <v>24</v>
      </c>
      <c r="E57" s="10">
        <v>42723.518055555556</v>
      </c>
      <c r="F57" s="10">
        <v>42723.604861111111</v>
      </c>
    </row>
    <row r="58" spans="2:6" ht="12.75" customHeight="1" x14ac:dyDescent="0.25">
      <c r="B58" s="9">
        <v>3118</v>
      </c>
      <c r="C58" s="9" t="s">
        <v>24</v>
      </c>
      <c r="D58" s="9" t="s">
        <v>22</v>
      </c>
      <c r="E58" s="10">
        <v>42723.53125</v>
      </c>
      <c r="F58" s="10">
        <v>42723.62222222222</v>
      </c>
    </row>
    <row r="59" spans="2:6" ht="12.75" customHeight="1" x14ac:dyDescent="0.25">
      <c r="B59" s="9">
        <v>3119</v>
      </c>
      <c r="C59" s="9" t="s">
        <v>22</v>
      </c>
      <c r="D59" s="9" t="s">
        <v>24</v>
      </c>
      <c r="E59" s="10">
        <v>42723.65</v>
      </c>
      <c r="F59" s="10">
        <v>42723.736805555556</v>
      </c>
    </row>
    <row r="60" spans="2:6" ht="12.75" customHeight="1" x14ac:dyDescent="0.25">
      <c r="B60" s="9">
        <v>3120</v>
      </c>
      <c r="C60" s="9" t="s">
        <v>24</v>
      </c>
      <c r="D60" s="9" t="s">
        <v>14</v>
      </c>
      <c r="E60" s="10">
        <v>42723.249305555553</v>
      </c>
      <c r="F60" s="10">
        <v>42723.311111111114</v>
      </c>
    </row>
    <row r="61" spans="2:6" ht="12.75" customHeight="1" x14ac:dyDescent="0.25">
      <c r="B61" s="9">
        <v>3121</v>
      </c>
      <c r="C61" s="9" t="s">
        <v>14</v>
      </c>
      <c r="D61" s="9" t="s">
        <v>24</v>
      </c>
      <c r="E61" s="10">
        <v>42723.331944444442</v>
      </c>
      <c r="F61" s="10">
        <v>42723.395138888889</v>
      </c>
    </row>
    <row r="62" spans="2:6" ht="12.75" customHeight="1" x14ac:dyDescent="0.25">
      <c r="B62" s="9">
        <v>3130</v>
      </c>
      <c r="C62" s="9" t="s">
        <v>24</v>
      </c>
      <c r="D62" s="9" t="s">
        <v>14</v>
      </c>
      <c r="E62" s="10">
        <v>42723.363888888889</v>
      </c>
      <c r="F62" s="10">
        <v>42723.425694444442</v>
      </c>
    </row>
    <row r="63" spans="2:6" ht="12.75" customHeight="1" x14ac:dyDescent="0.25">
      <c r="B63" s="9">
        <v>3131</v>
      </c>
      <c r="C63" s="9" t="s">
        <v>14</v>
      </c>
      <c r="D63" s="9" t="s">
        <v>24</v>
      </c>
      <c r="E63" s="10">
        <v>42723.446527777778</v>
      </c>
      <c r="F63" s="10">
        <v>42723.509722222225</v>
      </c>
    </row>
    <row r="64" spans="2:6" ht="12.75" customHeight="1" x14ac:dyDescent="0.25">
      <c r="B64" s="9">
        <v>3134</v>
      </c>
      <c r="C64" s="9" t="s">
        <v>24</v>
      </c>
      <c r="D64" s="9" t="s">
        <v>14</v>
      </c>
      <c r="E64" s="10">
        <v>42723.604166666664</v>
      </c>
      <c r="F64" s="10">
        <v>42723.665972222225</v>
      </c>
    </row>
    <row r="65" spans="2:6" ht="12.75" customHeight="1" x14ac:dyDescent="0.25">
      <c r="B65" s="9">
        <v>3135</v>
      </c>
      <c r="C65" s="9" t="s">
        <v>14</v>
      </c>
      <c r="D65" s="9" t="s">
        <v>24</v>
      </c>
      <c r="E65" s="10">
        <v>42723.693749999999</v>
      </c>
      <c r="F65" s="10">
        <v>42723.756944444445</v>
      </c>
    </row>
    <row r="66" spans="2:6" ht="12.75" customHeight="1" x14ac:dyDescent="0.25">
      <c r="B66" s="9">
        <v>3136</v>
      </c>
      <c r="C66" s="9" t="s">
        <v>24</v>
      </c>
      <c r="D66" s="9" t="s">
        <v>14</v>
      </c>
      <c r="E66" s="10">
        <v>42723.774305555555</v>
      </c>
      <c r="F66" s="10">
        <v>42723.836111111108</v>
      </c>
    </row>
    <row r="67" spans="2:6" ht="12.75" customHeight="1" x14ac:dyDescent="0.25">
      <c r="B67" s="9">
        <v>3137</v>
      </c>
      <c r="C67" s="9" t="s">
        <v>14</v>
      </c>
      <c r="D67" s="9" t="s">
        <v>24</v>
      </c>
      <c r="E67" s="10">
        <v>42723.870833333334</v>
      </c>
      <c r="F67" s="10">
        <v>42723.934027777781</v>
      </c>
    </row>
    <row r="68" spans="2:6" ht="12.75" customHeight="1" x14ac:dyDescent="0.25">
      <c r="B68" s="9">
        <v>3138</v>
      </c>
      <c r="C68" s="9" t="s">
        <v>24</v>
      </c>
      <c r="D68" s="9" t="s">
        <v>14</v>
      </c>
      <c r="E68" s="10">
        <v>42723.892361111109</v>
      </c>
      <c r="F68" s="10">
        <v>42723.95416666667</v>
      </c>
    </row>
    <row r="69" spans="2:6" ht="12.75" customHeight="1" x14ac:dyDescent="0.25">
      <c r="B69" s="9">
        <v>3139</v>
      </c>
      <c r="C69" s="9" t="s">
        <v>14</v>
      </c>
      <c r="D69" s="9" t="s">
        <v>24</v>
      </c>
      <c r="E69" s="10">
        <v>42723.249305555553</v>
      </c>
      <c r="F69" s="10">
        <v>42723.3125</v>
      </c>
    </row>
    <row r="70" spans="2:6" ht="12.75" customHeight="1" x14ac:dyDescent="0.25">
      <c r="B70" s="9">
        <v>3142</v>
      </c>
      <c r="C70" s="9" t="s">
        <v>24</v>
      </c>
      <c r="D70" s="9" t="s">
        <v>16</v>
      </c>
      <c r="E70" s="10">
        <v>42723.326388888891</v>
      </c>
      <c r="F70" s="10">
        <v>42723.38958333333</v>
      </c>
    </row>
    <row r="71" spans="2:6" ht="12.75" customHeight="1" x14ac:dyDescent="0.25">
      <c r="B71" s="9">
        <v>3143</v>
      </c>
      <c r="C71" s="9" t="s">
        <v>16</v>
      </c>
      <c r="D71" s="9" t="s">
        <v>24</v>
      </c>
      <c r="E71" s="10">
        <v>42723.410416666666</v>
      </c>
      <c r="F71" s="10">
        <v>42723.474305555559</v>
      </c>
    </row>
    <row r="72" spans="2:6" ht="12.75" customHeight="1" x14ac:dyDescent="0.25">
      <c r="B72" s="9">
        <v>3144</v>
      </c>
      <c r="C72" s="9" t="s">
        <v>24</v>
      </c>
      <c r="D72" s="9" t="s">
        <v>16</v>
      </c>
      <c r="E72" s="10">
        <v>42723.416666666664</v>
      </c>
      <c r="F72" s="10">
        <v>42723.479861111111</v>
      </c>
    </row>
    <row r="73" spans="2:6" ht="12.75" customHeight="1" x14ac:dyDescent="0.25">
      <c r="B73" s="9">
        <v>3145</v>
      </c>
      <c r="C73" s="9" t="s">
        <v>16</v>
      </c>
      <c r="D73" s="9" t="s">
        <v>24</v>
      </c>
      <c r="E73" s="10">
        <v>42723.500694444447</v>
      </c>
      <c r="F73" s="10">
        <v>42723.564583333333</v>
      </c>
    </row>
    <row r="74" spans="2:6" ht="12.75" customHeight="1" x14ac:dyDescent="0.25">
      <c r="B74" s="9">
        <v>3146</v>
      </c>
      <c r="C74" s="9" t="s">
        <v>24</v>
      </c>
      <c r="D74" s="9" t="s">
        <v>16</v>
      </c>
      <c r="E74" s="10">
        <v>42723.572222222225</v>
      </c>
      <c r="F74" s="10">
        <v>42723.635416666664</v>
      </c>
    </row>
    <row r="75" spans="2:6" ht="12.75" customHeight="1" x14ac:dyDescent="0.25">
      <c r="B75" s="9">
        <v>3147</v>
      </c>
      <c r="C75" s="9" t="s">
        <v>16</v>
      </c>
      <c r="D75" s="9" t="s">
        <v>24</v>
      </c>
      <c r="E75" s="10">
        <v>42723.665277777778</v>
      </c>
      <c r="F75" s="10">
        <v>42723.729166666664</v>
      </c>
    </row>
    <row r="76" spans="2:6" ht="12.75" customHeight="1" x14ac:dyDescent="0.25">
      <c r="B76" s="9">
        <v>3148</v>
      </c>
      <c r="C76" s="9" t="s">
        <v>24</v>
      </c>
      <c r="D76" s="9" t="s">
        <v>16</v>
      </c>
      <c r="E76" s="10">
        <v>42723.76458333333</v>
      </c>
      <c r="F76" s="10">
        <v>42723.827777777777</v>
      </c>
    </row>
    <row r="77" spans="2:6" ht="12.75" customHeight="1" x14ac:dyDescent="0.25">
      <c r="B77" s="9">
        <v>3149</v>
      </c>
      <c r="C77" s="9" t="s">
        <v>16</v>
      </c>
      <c r="D77" s="9" t="s">
        <v>24</v>
      </c>
      <c r="E77" s="10">
        <v>42723.8125</v>
      </c>
      <c r="F77" s="10">
        <v>42723.876388888886</v>
      </c>
    </row>
    <row r="78" spans="2:6" ht="12.75" customHeight="1" x14ac:dyDescent="0.25">
      <c r="B78" s="9">
        <v>3150</v>
      </c>
      <c r="C78" s="9" t="s">
        <v>24</v>
      </c>
      <c r="D78" s="9" t="s">
        <v>16</v>
      </c>
      <c r="E78" s="10">
        <v>42723.813888888886</v>
      </c>
      <c r="F78" s="10">
        <v>42723.877083333333</v>
      </c>
    </row>
    <row r="79" spans="2:6" ht="12.75" customHeight="1" x14ac:dyDescent="0.25">
      <c r="B79" s="9">
        <v>3151</v>
      </c>
      <c r="C79" s="9" t="s">
        <v>16</v>
      </c>
      <c r="D79" s="9" t="s">
        <v>24</v>
      </c>
      <c r="E79" s="10">
        <v>42723.897916666669</v>
      </c>
      <c r="F79" s="10">
        <v>42723.961805555555</v>
      </c>
    </row>
    <row r="80" spans="2:6" ht="12.75" customHeight="1" x14ac:dyDescent="0.25">
      <c r="B80" s="9">
        <v>3160</v>
      </c>
      <c r="C80" s="9" t="s">
        <v>24</v>
      </c>
      <c r="D80" s="9" t="s">
        <v>15</v>
      </c>
      <c r="E80" s="10">
        <v>42723.245833333334</v>
      </c>
      <c r="F80" s="10">
        <v>42723.289583333331</v>
      </c>
    </row>
    <row r="81" spans="2:6" ht="12.75" customHeight="1" x14ac:dyDescent="0.25">
      <c r="B81" s="9">
        <v>3161</v>
      </c>
      <c r="C81" s="9" t="s">
        <v>15</v>
      </c>
      <c r="D81" s="9" t="s">
        <v>24</v>
      </c>
      <c r="E81" s="10">
        <v>42723.310416666667</v>
      </c>
      <c r="F81" s="10">
        <v>42723.353472222225</v>
      </c>
    </row>
    <row r="82" spans="2:6" ht="12.75" customHeight="1" x14ac:dyDescent="0.25">
      <c r="B82" s="9">
        <v>3162</v>
      </c>
      <c r="C82" s="9" t="s">
        <v>24</v>
      </c>
      <c r="D82" s="9" t="s">
        <v>15</v>
      </c>
      <c r="E82" s="10">
        <v>42723.336805555555</v>
      </c>
      <c r="F82" s="10">
        <v>42723.380555555559</v>
      </c>
    </row>
    <row r="83" spans="2:6" ht="12.75" customHeight="1" x14ac:dyDescent="0.25">
      <c r="B83" s="9">
        <v>3163</v>
      </c>
      <c r="C83" s="9" t="s">
        <v>15</v>
      </c>
      <c r="D83" s="9" t="s">
        <v>24</v>
      </c>
      <c r="E83" s="10">
        <v>42723.401388888888</v>
      </c>
      <c r="F83" s="10">
        <v>42723.444444444445</v>
      </c>
    </row>
    <row r="84" spans="2:6" ht="12.75" customHeight="1" x14ac:dyDescent="0.25">
      <c r="B84" s="9">
        <v>3166</v>
      </c>
      <c r="C84" s="9" t="s">
        <v>24</v>
      </c>
      <c r="D84" s="9" t="s">
        <v>15</v>
      </c>
      <c r="E84" s="10">
        <v>42723.806250000001</v>
      </c>
      <c r="F84" s="10">
        <v>42723.85</v>
      </c>
    </row>
    <row r="85" spans="2:6" ht="12.75" customHeight="1" x14ac:dyDescent="0.25">
      <c r="B85" s="9">
        <v>3167</v>
      </c>
      <c r="C85" s="9" t="s">
        <v>15</v>
      </c>
      <c r="D85" s="9" t="s">
        <v>24</v>
      </c>
      <c r="E85" s="10">
        <v>42723.870833333334</v>
      </c>
      <c r="F85" s="10">
        <v>42723.913888888892</v>
      </c>
    </row>
    <row r="86" spans="2:6" ht="12.75" customHeight="1" x14ac:dyDescent="0.25">
      <c r="B86" s="9">
        <v>3168</v>
      </c>
      <c r="C86" s="9" t="s">
        <v>24</v>
      </c>
      <c r="D86" s="9" t="s">
        <v>15</v>
      </c>
      <c r="E86" s="10">
        <v>42723.788194444445</v>
      </c>
      <c r="F86" s="10">
        <v>42723.831944444442</v>
      </c>
    </row>
    <row r="87" spans="2:6" ht="12.75" customHeight="1" x14ac:dyDescent="0.25">
      <c r="B87" s="9">
        <v>3170</v>
      </c>
      <c r="C87" s="9" t="s">
        <v>24</v>
      </c>
      <c r="D87" s="9" t="s">
        <v>15</v>
      </c>
      <c r="E87" s="10">
        <v>42723.902777777781</v>
      </c>
      <c r="F87" s="10">
        <v>42723.946527777778</v>
      </c>
    </row>
    <row r="88" spans="2:6" ht="12.75" customHeight="1" x14ac:dyDescent="0.25">
      <c r="B88" s="9">
        <v>3171</v>
      </c>
      <c r="C88" s="9" t="s">
        <v>15</v>
      </c>
      <c r="D88" s="9" t="s">
        <v>24</v>
      </c>
      <c r="E88" s="10">
        <v>42723.240972222222</v>
      </c>
      <c r="F88" s="10">
        <v>42723.28402777778</v>
      </c>
    </row>
    <row r="89" spans="2:6" ht="12.75" customHeight="1" x14ac:dyDescent="0.25">
      <c r="B89" s="9">
        <v>3180</v>
      </c>
      <c r="C89" s="9" t="s">
        <v>24</v>
      </c>
      <c r="D89" s="9" t="s">
        <v>25</v>
      </c>
      <c r="E89" s="10">
        <v>42723.253472222219</v>
      </c>
      <c r="F89" s="10">
        <v>42723.303472222222</v>
      </c>
    </row>
    <row r="90" spans="2:6" ht="12.75" customHeight="1" x14ac:dyDescent="0.25">
      <c r="B90" s="9">
        <v>3181</v>
      </c>
      <c r="C90" s="9" t="s">
        <v>25</v>
      </c>
      <c r="D90" s="9" t="s">
        <v>24</v>
      </c>
      <c r="E90" s="10">
        <v>42723.324305555558</v>
      </c>
      <c r="F90" s="10">
        <v>42723.374305555553</v>
      </c>
    </row>
    <row r="91" spans="2:6" ht="12.75" customHeight="1" x14ac:dyDescent="0.25">
      <c r="B91" s="9">
        <v>3192</v>
      </c>
      <c r="C91" s="9" t="s">
        <v>24</v>
      </c>
      <c r="D91" s="9" t="s">
        <v>21</v>
      </c>
      <c r="E91" s="10">
        <v>42723.28125</v>
      </c>
      <c r="F91" s="10">
        <v>42723.338888888888</v>
      </c>
    </row>
    <row r="92" spans="2:6" ht="12.75" customHeight="1" x14ac:dyDescent="0.25">
      <c r="B92" s="9">
        <v>3193</v>
      </c>
      <c r="C92" s="9" t="s">
        <v>21</v>
      </c>
      <c r="D92" s="9" t="s">
        <v>24</v>
      </c>
      <c r="E92" s="10">
        <v>42723.359722222223</v>
      </c>
      <c r="F92" s="10">
        <v>42723.412499999999</v>
      </c>
    </row>
    <row r="93" spans="2:6" ht="12.75" customHeight="1" x14ac:dyDescent="0.25">
      <c r="B93" s="9">
        <v>3194</v>
      </c>
      <c r="C93" s="9" t="s">
        <v>24</v>
      </c>
      <c r="D93" s="9" t="s">
        <v>21</v>
      </c>
      <c r="E93" s="10">
        <v>42723.506944444445</v>
      </c>
      <c r="F93" s="10">
        <v>42723.564583333333</v>
      </c>
    </row>
    <row r="94" spans="2:6" ht="12.75" customHeight="1" x14ac:dyDescent="0.25">
      <c r="B94" s="9">
        <v>3195</v>
      </c>
      <c r="C94" s="9" t="s">
        <v>21</v>
      </c>
      <c r="D94" s="9" t="s">
        <v>24</v>
      </c>
      <c r="E94" s="10">
        <v>42723.593055555553</v>
      </c>
      <c r="F94" s="10">
        <v>42723.645833333336</v>
      </c>
    </row>
    <row r="95" spans="2:6" ht="12.75" customHeight="1" x14ac:dyDescent="0.25">
      <c r="B95" s="9">
        <v>3196</v>
      </c>
      <c r="C95" s="9" t="s">
        <v>24</v>
      </c>
      <c r="D95" s="9" t="s">
        <v>21</v>
      </c>
      <c r="E95" s="10">
        <v>42723.685416666667</v>
      </c>
      <c r="F95" s="10">
        <v>42723.743055555555</v>
      </c>
    </row>
    <row r="96" spans="2:6" ht="12.75" customHeight="1" x14ac:dyDescent="0.25">
      <c r="B96" s="9">
        <v>3197</v>
      </c>
      <c r="C96" s="9" t="s">
        <v>21</v>
      </c>
      <c r="D96" s="9" t="s">
        <v>24</v>
      </c>
      <c r="E96" s="10">
        <v>42723.761805555558</v>
      </c>
      <c r="F96" s="10">
        <v>42723.814583333333</v>
      </c>
    </row>
    <row r="97" spans="2:6" ht="12.75" customHeight="1" x14ac:dyDescent="0.25">
      <c r="B97" s="9">
        <v>3199</v>
      </c>
      <c r="C97" s="9" t="s">
        <v>21</v>
      </c>
      <c r="D97" s="9" t="s">
        <v>24</v>
      </c>
      <c r="E97" s="10">
        <v>42723.803472222222</v>
      </c>
      <c r="F97" s="10">
        <v>42723.856249999997</v>
      </c>
    </row>
    <row r="98" spans="2:6" ht="12.75" customHeight="1" x14ac:dyDescent="0.25">
      <c r="B98" s="9">
        <v>3200</v>
      </c>
      <c r="C98" s="9" t="s">
        <v>24</v>
      </c>
      <c r="D98" s="9" t="s">
        <v>26</v>
      </c>
      <c r="E98" s="10">
        <v>42723.23541666667</v>
      </c>
      <c r="F98" s="10">
        <v>42723.275694444441</v>
      </c>
    </row>
    <row r="99" spans="2:6" ht="12.75" customHeight="1" x14ac:dyDescent="0.25">
      <c r="B99" s="9">
        <v>3201</v>
      </c>
      <c r="C99" s="9" t="s">
        <v>26</v>
      </c>
      <c r="D99" s="9" t="s">
        <v>24</v>
      </c>
      <c r="E99" s="10">
        <v>42723.3</v>
      </c>
      <c r="F99" s="10">
        <v>42723.338888888888</v>
      </c>
    </row>
    <row r="100" spans="2:6" ht="12.75" customHeight="1" x14ac:dyDescent="0.25">
      <c r="B100" s="9">
        <v>3208</v>
      </c>
      <c r="C100" s="9" t="s">
        <v>24</v>
      </c>
      <c r="D100" s="9" t="s">
        <v>26</v>
      </c>
      <c r="E100" s="10">
        <v>42723.713194444441</v>
      </c>
      <c r="F100" s="10">
        <v>42723.753472222219</v>
      </c>
    </row>
    <row r="101" spans="2:6" ht="12.75" customHeight="1" x14ac:dyDescent="0.25">
      <c r="B101" s="9">
        <v>3209</v>
      </c>
      <c r="C101" s="9" t="s">
        <v>26</v>
      </c>
      <c r="D101" s="9" t="s">
        <v>24</v>
      </c>
      <c r="E101" s="10">
        <v>42723.774305555555</v>
      </c>
      <c r="F101" s="10">
        <v>42723.813194444447</v>
      </c>
    </row>
    <row r="102" spans="2:6" ht="12.75" customHeight="1" x14ac:dyDescent="0.25">
      <c r="B102" s="9">
        <v>3210</v>
      </c>
      <c r="C102" s="9" t="s">
        <v>24</v>
      </c>
      <c r="D102" s="9" t="s">
        <v>23</v>
      </c>
      <c r="E102" s="10">
        <v>42723.260416666664</v>
      </c>
      <c r="F102" s="10">
        <v>42723.302083333336</v>
      </c>
    </row>
    <row r="103" spans="2:6" ht="12.75" customHeight="1" x14ac:dyDescent="0.25">
      <c r="B103" s="9">
        <v>3211</v>
      </c>
      <c r="C103" s="9" t="s">
        <v>23</v>
      </c>
      <c r="D103" s="9" t="s">
        <v>24</v>
      </c>
      <c r="E103" s="10">
        <v>42723.326388888891</v>
      </c>
      <c r="F103" s="10">
        <v>42723.364583333336</v>
      </c>
    </row>
    <row r="104" spans="2:6" ht="12.75" customHeight="1" x14ac:dyDescent="0.25">
      <c r="B104" s="9">
        <v>3216</v>
      </c>
      <c r="C104" s="9" t="s">
        <v>24</v>
      </c>
      <c r="D104" s="9" t="s">
        <v>23</v>
      </c>
      <c r="E104" s="10">
        <v>42723.78125</v>
      </c>
      <c r="F104" s="10">
        <v>42723.822916666664</v>
      </c>
    </row>
    <row r="105" spans="2:6" ht="12.75" customHeight="1" x14ac:dyDescent="0.25">
      <c r="B105" s="9">
        <v>3218</v>
      </c>
      <c r="C105" s="9" t="s">
        <v>24</v>
      </c>
      <c r="D105" s="9" t="s">
        <v>23</v>
      </c>
      <c r="E105" s="10">
        <v>42723.878472222219</v>
      </c>
      <c r="F105" s="10">
        <v>42723.920138888891</v>
      </c>
    </row>
    <row r="106" spans="2:6" ht="12.75" customHeight="1" x14ac:dyDescent="0.25">
      <c r="B106" s="9">
        <v>3219</v>
      </c>
      <c r="C106" s="9" t="s">
        <v>23</v>
      </c>
      <c r="D106" s="9" t="s">
        <v>24</v>
      </c>
      <c r="E106" s="10">
        <v>42723.940972222219</v>
      </c>
      <c r="F106" s="10">
        <v>42723.979166666664</v>
      </c>
    </row>
    <row r="107" spans="2:6" ht="12.75" customHeight="1" x14ac:dyDescent="0.25">
      <c r="B107" s="9">
        <v>3242</v>
      </c>
      <c r="C107" s="9" t="s">
        <v>24</v>
      </c>
      <c r="D107" s="9" t="s">
        <v>18</v>
      </c>
      <c r="E107" s="10">
        <v>42723.384722222225</v>
      </c>
      <c r="F107" s="10">
        <v>42723.444444444445</v>
      </c>
    </row>
    <row r="108" spans="2:6" ht="12.75" customHeight="1" x14ac:dyDescent="0.25">
      <c r="B108" s="9">
        <v>3243</v>
      </c>
      <c r="C108" s="9" t="s">
        <v>18</v>
      </c>
      <c r="D108" s="9" t="s">
        <v>24</v>
      </c>
      <c r="E108" s="10">
        <v>42723.465277777781</v>
      </c>
      <c r="F108" s="10">
        <v>42723.524305555555</v>
      </c>
    </row>
    <row r="109" spans="2:6" ht="12.75" customHeight="1" x14ac:dyDescent="0.25">
      <c r="B109" s="9">
        <v>3244</v>
      </c>
      <c r="C109" s="9" t="s">
        <v>24</v>
      </c>
      <c r="D109" s="9" t="s">
        <v>18</v>
      </c>
      <c r="E109" s="10">
        <v>42723.609722222223</v>
      </c>
      <c r="F109" s="10">
        <v>42723.669444444444</v>
      </c>
    </row>
    <row r="110" spans="2:6" ht="12.75" customHeight="1" x14ac:dyDescent="0.25">
      <c r="B110" s="9">
        <v>3245</v>
      </c>
      <c r="C110" s="9" t="s">
        <v>18</v>
      </c>
      <c r="D110" s="9" t="s">
        <v>24</v>
      </c>
      <c r="E110" s="10">
        <v>42723.69027777778</v>
      </c>
      <c r="F110" s="10">
        <v>42723.749305555553</v>
      </c>
    </row>
    <row r="111" spans="2:6" ht="12.75" customHeight="1" x14ac:dyDescent="0.25">
      <c r="B111" s="9">
        <v>3260</v>
      </c>
      <c r="C111" s="9" t="s">
        <v>24</v>
      </c>
      <c r="D111" s="9" t="s">
        <v>17</v>
      </c>
      <c r="E111" s="10">
        <v>42723.951388888891</v>
      </c>
      <c r="F111" s="10">
        <v>42724.045138888891</v>
      </c>
    </row>
    <row r="112" spans="2:6" ht="12.75" customHeight="1" x14ac:dyDescent="0.25">
      <c r="B112" s="9">
        <v>3261</v>
      </c>
      <c r="C112" s="9" t="s">
        <v>17</v>
      </c>
      <c r="D112" s="9" t="s">
        <v>24</v>
      </c>
      <c r="E112" s="10">
        <v>42723.072916666664</v>
      </c>
      <c r="F112" s="10">
        <v>42723.159722222219</v>
      </c>
    </row>
    <row r="113" spans="2:6" ht="12.75" customHeight="1" x14ac:dyDescent="0.25">
      <c r="B113" s="9">
        <v>3262</v>
      </c>
      <c r="C113" s="9" t="s">
        <v>24</v>
      </c>
      <c r="D113" s="9" t="s">
        <v>17</v>
      </c>
      <c r="E113" s="10">
        <v>42723.477083333331</v>
      </c>
      <c r="F113" s="10">
        <v>42723.570833333331</v>
      </c>
    </row>
    <row r="114" spans="2:6" ht="12.75" customHeight="1" x14ac:dyDescent="0.25">
      <c r="B114" s="9">
        <v>3263</v>
      </c>
      <c r="C114" s="9" t="s">
        <v>17</v>
      </c>
      <c r="D114" s="9" t="s">
        <v>24</v>
      </c>
      <c r="E114" s="10">
        <v>42723.598611111112</v>
      </c>
      <c r="F114" s="10">
        <v>42723.685416666667</v>
      </c>
    </row>
    <row r="115" spans="2:6" ht="12.75" customHeight="1" x14ac:dyDescent="0.25">
      <c r="B115" s="9">
        <v>3266</v>
      </c>
      <c r="C115" s="9" t="s">
        <v>24</v>
      </c>
      <c r="D115" s="9" t="s">
        <v>17</v>
      </c>
      <c r="E115" s="10">
        <v>42723.558333333334</v>
      </c>
      <c r="F115" s="10">
        <v>42723.652083333334</v>
      </c>
    </row>
    <row r="116" spans="2:6" ht="12.75" customHeight="1" x14ac:dyDescent="0.25">
      <c r="B116" s="9">
        <v>3267</v>
      </c>
      <c r="C116" s="9" t="s">
        <v>17</v>
      </c>
      <c r="D116" s="9" t="s">
        <v>24</v>
      </c>
      <c r="E116" s="10">
        <v>42723.679861111108</v>
      </c>
      <c r="F116" s="10">
        <v>42723.76666666667</v>
      </c>
    </row>
    <row r="117" spans="2:6" ht="12.75" customHeight="1" x14ac:dyDescent="0.25">
      <c r="B117" s="9">
        <v>3268</v>
      </c>
      <c r="C117" s="9" t="s">
        <v>24</v>
      </c>
      <c r="D117" s="9" t="s">
        <v>17</v>
      </c>
      <c r="E117" s="10">
        <v>42723.690972222219</v>
      </c>
      <c r="F117" s="10">
        <v>42723.784722222219</v>
      </c>
    </row>
    <row r="118" spans="2:6" ht="12.75" customHeight="1" x14ac:dyDescent="0.25">
      <c r="B118" s="9">
        <v>3269</v>
      </c>
      <c r="C118" s="9" t="s">
        <v>17</v>
      </c>
      <c r="D118" s="9" t="s">
        <v>24</v>
      </c>
      <c r="E118" s="10">
        <v>42723.815972222219</v>
      </c>
      <c r="F118" s="10">
        <v>42723.902777777781</v>
      </c>
    </row>
    <row r="119" spans="2:6" ht="12.75" customHeight="1" x14ac:dyDescent="0.25">
      <c r="B119" s="9">
        <v>3272</v>
      </c>
      <c r="C119" s="9" t="s">
        <v>27</v>
      </c>
      <c r="D119" s="9" t="s">
        <v>17</v>
      </c>
      <c r="E119" s="10">
        <v>42723.40902777778</v>
      </c>
      <c r="F119" s="10">
        <v>42723.488888888889</v>
      </c>
    </row>
    <row r="120" spans="2:6" ht="12.75" customHeight="1" x14ac:dyDescent="0.25">
      <c r="B120" s="9">
        <v>3273</v>
      </c>
      <c r="C120" s="9" t="s">
        <v>17</v>
      </c>
      <c r="D120" s="9" t="s">
        <v>27</v>
      </c>
      <c r="E120" s="10">
        <v>42723.489583333336</v>
      </c>
      <c r="F120" s="10">
        <v>42723.574999999997</v>
      </c>
    </row>
    <row r="121" spans="2:6" ht="12.75" customHeight="1" x14ac:dyDescent="0.25">
      <c r="B121" s="9">
        <v>3274</v>
      </c>
      <c r="C121" s="9" t="s">
        <v>27</v>
      </c>
      <c r="D121" s="9" t="s">
        <v>17</v>
      </c>
      <c r="E121" s="10">
        <v>42723.529861111114</v>
      </c>
      <c r="F121" s="10">
        <v>42723.609722222223</v>
      </c>
    </row>
    <row r="122" spans="2:6" ht="12.75" customHeight="1" x14ac:dyDescent="0.25">
      <c r="B122" s="9">
        <v>3275</v>
      </c>
      <c r="C122" s="9" t="s">
        <v>17</v>
      </c>
      <c r="D122" s="9" t="s">
        <v>27</v>
      </c>
      <c r="E122" s="10">
        <v>42723.637499999997</v>
      </c>
      <c r="F122" s="10">
        <v>42723.722916666666</v>
      </c>
    </row>
    <row r="123" spans="2:6" ht="12.75" customHeight="1" x14ac:dyDescent="0.25">
      <c r="B123" s="9">
        <v>3304</v>
      </c>
      <c r="C123" s="9" t="s">
        <v>20</v>
      </c>
      <c r="D123" s="9" t="s">
        <v>17</v>
      </c>
      <c r="E123" s="10">
        <v>42723.468055555553</v>
      </c>
      <c r="F123" s="10">
        <v>42723.543055555558</v>
      </c>
    </row>
    <row r="124" spans="2:6" ht="12.75" customHeight="1" x14ac:dyDescent="0.25">
      <c r="B124" s="9">
        <v>3305</v>
      </c>
      <c r="C124" s="9" t="s">
        <v>17</v>
      </c>
      <c r="D124" s="9" t="s">
        <v>20</v>
      </c>
      <c r="E124" s="10">
        <v>42723.570833333331</v>
      </c>
      <c r="F124" s="10">
        <v>42723.654166666667</v>
      </c>
    </row>
    <row r="125" spans="2:6" ht="12.75" customHeight="1" x14ac:dyDescent="0.25">
      <c r="B125" s="9">
        <v>3310</v>
      </c>
      <c r="C125" s="9" t="s">
        <v>20</v>
      </c>
      <c r="D125" s="9" t="s">
        <v>19</v>
      </c>
      <c r="E125" s="10">
        <v>42723.363194444442</v>
      </c>
      <c r="F125" s="10">
        <v>42723.407638888886</v>
      </c>
    </row>
    <row r="126" spans="2:6" ht="12.75" customHeight="1" x14ac:dyDescent="0.25">
      <c r="B126" s="9">
        <v>3311</v>
      </c>
      <c r="C126" s="9" t="s">
        <v>19</v>
      </c>
      <c r="D126" s="9" t="s">
        <v>20</v>
      </c>
      <c r="E126" s="10">
        <v>42723.738194444442</v>
      </c>
      <c r="F126" s="10">
        <v>42723.786805555559</v>
      </c>
    </row>
  </sheetData>
  <autoFilter ref="B2:F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B2:F122"/>
  <sheetViews>
    <sheetView showGridLines="0" zoomScaleNormal="100" workbookViewId="0"/>
  </sheetViews>
  <sheetFormatPr baseColWidth="10" defaultColWidth="11.42578125" defaultRowHeight="12.75" customHeight="1" x14ac:dyDescent="0.25"/>
  <cols>
    <col min="2" max="2" width="14.28515625" style="2" customWidth="1"/>
    <col min="3" max="4" width="14.28515625" style="1" customWidth="1"/>
    <col min="5" max="6" width="14.28515625" customWidth="1"/>
  </cols>
  <sheetData>
    <row r="2" spans="2:6" ht="12.75" customHeight="1" x14ac:dyDescent="0.25">
      <c r="B2" s="12" t="s">
        <v>75</v>
      </c>
      <c r="C2" s="12" t="s">
        <v>76</v>
      </c>
      <c r="D2" s="12" t="s">
        <v>77</v>
      </c>
      <c r="E2" s="12" t="s">
        <v>78</v>
      </c>
      <c r="F2" s="12" t="s">
        <v>79</v>
      </c>
    </row>
    <row r="3" spans="2:6" ht="12.75" customHeight="1" x14ac:dyDescent="0.25">
      <c r="B3" s="9">
        <v>3000</v>
      </c>
      <c r="C3" s="9" t="s">
        <v>24</v>
      </c>
      <c r="D3" s="9" t="s">
        <v>20</v>
      </c>
      <c r="E3" s="10">
        <v>42724.239583333336</v>
      </c>
      <c r="F3" s="10">
        <v>42724.280555555553</v>
      </c>
    </row>
    <row r="4" spans="2:6" ht="12.75" customHeight="1" x14ac:dyDescent="0.25">
      <c r="B4" s="9">
        <v>3001</v>
      </c>
      <c r="C4" s="9" t="s">
        <v>20</v>
      </c>
      <c r="D4" s="9" t="s">
        <v>24</v>
      </c>
      <c r="E4" s="10">
        <v>42724.305555555555</v>
      </c>
      <c r="F4" s="10">
        <v>42724.34375</v>
      </c>
    </row>
    <row r="5" spans="2:6" ht="12.75" customHeight="1" x14ac:dyDescent="0.25">
      <c r="B5" s="9">
        <v>3002</v>
      </c>
      <c r="C5" s="9" t="s">
        <v>24</v>
      </c>
      <c r="D5" s="9" t="s">
        <v>20</v>
      </c>
      <c r="E5" s="10">
        <v>42724.26666666667</v>
      </c>
      <c r="F5" s="10">
        <v>42724.307638888888</v>
      </c>
    </row>
    <row r="6" spans="2:6" ht="12.75" customHeight="1" x14ac:dyDescent="0.25">
      <c r="B6" s="9">
        <v>3003</v>
      </c>
      <c r="C6" s="9" t="s">
        <v>20</v>
      </c>
      <c r="D6" s="9" t="s">
        <v>24</v>
      </c>
      <c r="E6" s="10">
        <v>42724.284722222219</v>
      </c>
      <c r="F6" s="10">
        <v>42724.322916666664</v>
      </c>
    </row>
    <row r="7" spans="2:6" ht="12.75" customHeight="1" x14ac:dyDescent="0.25">
      <c r="B7" s="9">
        <v>3004</v>
      </c>
      <c r="C7" s="9" t="s">
        <v>24</v>
      </c>
      <c r="D7" s="9" t="s">
        <v>20</v>
      </c>
      <c r="E7" s="10">
        <v>42724.316666666666</v>
      </c>
      <c r="F7" s="10">
        <v>42724.357638888891</v>
      </c>
    </row>
    <row r="8" spans="2:6" ht="12.75" customHeight="1" x14ac:dyDescent="0.25">
      <c r="B8" s="9">
        <v>3005</v>
      </c>
      <c r="C8" s="9" t="s">
        <v>20</v>
      </c>
      <c r="D8" s="9" t="s">
        <v>24</v>
      </c>
      <c r="E8" s="10">
        <v>42724.378472222219</v>
      </c>
      <c r="F8" s="10">
        <v>42724.416666666664</v>
      </c>
    </row>
    <row r="9" spans="2:6" ht="12.75" customHeight="1" x14ac:dyDescent="0.25">
      <c r="B9" s="9">
        <v>3006</v>
      </c>
      <c r="C9" s="9" t="s">
        <v>24</v>
      </c>
      <c r="D9" s="9" t="s">
        <v>20</v>
      </c>
      <c r="E9" s="10">
        <v>42724.392361111109</v>
      </c>
      <c r="F9" s="10">
        <v>42724.433333333334</v>
      </c>
    </row>
    <row r="10" spans="2:6" ht="12.75" customHeight="1" x14ac:dyDescent="0.25">
      <c r="B10" s="9">
        <v>3010</v>
      </c>
      <c r="C10" s="9" t="s">
        <v>24</v>
      </c>
      <c r="D10" s="9" t="s">
        <v>20</v>
      </c>
      <c r="E10" s="10">
        <v>42724.538888888892</v>
      </c>
      <c r="F10" s="10">
        <v>42724.579861111109</v>
      </c>
    </row>
    <row r="11" spans="2:6" ht="12.75" customHeight="1" x14ac:dyDescent="0.25">
      <c r="B11" s="9">
        <v>3011</v>
      </c>
      <c r="C11" s="9" t="s">
        <v>20</v>
      </c>
      <c r="D11" s="9" t="s">
        <v>24</v>
      </c>
      <c r="E11" s="10">
        <v>42724.607638888891</v>
      </c>
      <c r="F11" s="10">
        <v>42724.645833333336</v>
      </c>
    </row>
    <row r="12" spans="2:6" ht="12.75" customHeight="1" x14ac:dyDescent="0.25">
      <c r="B12" s="9">
        <v>3013</v>
      </c>
      <c r="C12" s="9" t="s">
        <v>20</v>
      </c>
      <c r="D12" s="9" t="s">
        <v>24</v>
      </c>
      <c r="E12" s="10">
        <v>42724.679861111108</v>
      </c>
      <c r="F12" s="10">
        <v>42724.718055555553</v>
      </c>
    </row>
    <row r="13" spans="2:6" ht="12.75" customHeight="1" x14ac:dyDescent="0.25">
      <c r="B13" s="9">
        <v>3014</v>
      </c>
      <c r="C13" s="9" t="s">
        <v>24</v>
      </c>
      <c r="D13" s="9" t="s">
        <v>20</v>
      </c>
      <c r="E13" s="10">
        <v>42724.666666666664</v>
      </c>
      <c r="F13" s="10">
        <v>42724.707638888889</v>
      </c>
    </row>
    <row r="14" spans="2:6" ht="12.75" customHeight="1" x14ac:dyDescent="0.25">
      <c r="B14" s="9">
        <v>3015</v>
      </c>
      <c r="C14" s="9" t="s">
        <v>20</v>
      </c>
      <c r="D14" s="9" t="s">
        <v>24</v>
      </c>
      <c r="E14" s="10">
        <v>42724.728472222225</v>
      </c>
      <c r="F14" s="10">
        <v>42724.76666666667</v>
      </c>
    </row>
    <row r="15" spans="2:6" ht="12.75" customHeight="1" x14ac:dyDescent="0.25">
      <c r="B15" s="9">
        <v>3018</v>
      </c>
      <c r="C15" s="9" t="s">
        <v>24</v>
      </c>
      <c r="D15" s="9" t="s">
        <v>20</v>
      </c>
      <c r="E15" s="10">
        <v>42724.829861111109</v>
      </c>
      <c r="F15" s="10">
        <v>42724.870833333334</v>
      </c>
    </row>
    <row r="16" spans="2:6" ht="12.75" customHeight="1" x14ac:dyDescent="0.25">
      <c r="B16" s="9">
        <v>3019</v>
      </c>
      <c r="C16" s="9" t="s">
        <v>20</v>
      </c>
      <c r="D16" s="9" t="s">
        <v>24</v>
      </c>
      <c r="E16" s="10">
        <v>42724.899305555555</v>
      </c>
      <c r="F16" s="10">
        <v>42724.9375</v>
      </c>
    </row>
    <row r="17" spans="2:6" ht="12.75" customHeight="1" x14ac:dyDescent="0.25">
      <c r="B17" s="9">
        <v>3020</v>
      </c>
      <c r="C17" s="9" t="s">
        <v>24</v>
      </c>
      <c r="D17" s="9" t="s">
        <v>20</v>
      </c>
      <c r="E17" s="10">
        <v>42724.875</v>
      </c>
      <c r="F17" s="10">
        <v>42724.915972222225</v>
      </c>
    </row>
    <row r="18" spans="2:6" ht="12.75" customHeight="1" x14ac:dyDescent="0.25">
      <c r="B18" s="9">
        <v>3023</v>
      </c>
      <c r="C18" s="9" t="s">
        <v>20</v>
      </c>
      <c r="D18" s="9" t="s">
        <v>24</v>
      </c>
      <c r="E18" s="10">
        <v>42724.815972222219</v>
      </c>
      <c r="F18" s="10">
        <v>42724.854166666664</v>
      </c>
    </row>
    <row r="19" spans="2:6" ht="12.75" customHeight="1" x14ac:dyDescent="0.25">
      <c r="B19" s="9">
        <v>3024</v>
      </c>
      <c r="C19" s="9" t="s">
        <v>24</v>
      </c>
      <c r="D19" s="9" t="s">
        <v>20</v>
      </c>
      <c r="E19" s="10">
        <v>42724.791666666664</v>
      </c>
      <c r="F19" s="10">
        <v>42724.832638888889</v>
      </c>
    </row>
    <row r="20" spans="2:6" ht="12.75" customHeight="1" x14ac:dyDescent="0.25">
      <c r="B20" s="9">
        <v>3025</v>
      </c>
      <c r="C20" s="9" t="s">
        <v>20</v>
      </c>
      <c r="D20" s="9" t="s">
        <v>24</v>
      </c>
      <c r="E20" s="10">
        <v>42724.853472222225</v>
      </c>
      <c r="F20" s="10">
        <v>42724.89166666667</v>
      </c>
    </row>
    <row r="21" spans="2:6" ht="12.75" customHeight="1" x14ac:dyDescent="0.25">
      <c r="B21" s="9">
        <v>3042</v>
      </c>
      <c r="C21" s="9" t="s">
        <v>24</v>
      </c>
      <c r="D21" s="9" t="s">
        <v>20</v>
      </c>
      <c r="E21" s="10">
        <v>42724.915972222225</v>
      </c>
      <c r="F21" s="10">
        <v>42724.956944444442</v>
      </c>
    </row>
    <row r="22" spans="2:6" ht="12.75" customHeight="1" x14ac:dyDescent="0.25">
      <c r="B22" s="9">
        <v>3043</v>
      </c>
      <c r="C22" s="9" t="s">
        <v>20</v>
      </c>
      <c r="D22" s="9" t="s">
        <v>24</v>
      </c>
      <c r="E22" s="10">
        <v>42724.243055555555</v>
      </c>
      <c r="F22" s="10">
        <v>42724.28125</v>
      </c>
    </row>
    <row r="23" spans="2:6" ht="12.75" customHeight="1" x14ac:dyDescent="0.25">
      <c r="B23" s="9">
        <v>3044</v>
      </c>
      <c r="C23" s="9" t="s">
        <v>24</v>
      </c>
      <c r="D23" s="9" t="s">
        <v>17</v>
      </c>
      <c r="E23" s="10">
        <v>42724.368055555555</v>
      </c>
      <c r="F23" s="10">
        <v>42724.461805555555</v>
      </c>
    </row>
    <row r="24" spans="2:6" ht="12.75" customHeight="1" x14ac:dyDescent="0.25">
      <c r="B24" s="9">
        <v>3045</v>
      </c>
      <c r="C24" s="9" t="s">
        <v>17</v>
      </c>
      <c r="D24" s="9" t="s">
        <v>24</v>
      </c>
      <c r="E24" s="10">
        <v>42724.51666666667</v>
      </c>
      <c r="F24" s="10">
        <v>42724.603472222225</v>
      </c>
    </row>
    <row r="25" spans="2:6" ht="12.75" customHeight="1" x14ac:dyDescent="0.25">
      <c r="B25" s="9">
        <v>3050</v>
      </c>
      <c r="C25" s="9" t="s">
        <v>27</v>
      </c>
      <c r="D25" s="9" t="s">
        <v>24</v>
      </c>
      <c r="E25" s="10">
        <v>42724.30972222222</v>
      </c>
      <c r="F25" s="10">
        <v>42724.351388888892</v>
      </c>
    </row>
    <row r="26" spans="2:6" ht="12.75" customHeight="1" x14ac:dyDescent="0.25">
      <c r="B26" s="9">
        <v>3051</v>
      </c>
      <c r="C26" s="9" t="s">
        <v>24</v>
      </c>
      <c r="D26" s="9" t="s">
        <v>27</v>
      </c>
      <c r="E26" s="10">
        <v>42724.243055555555</v>
      </c>
      <c r="F26" s="10">
        <v>42724.288888888892</v>
      </c>
    </row>
    <row r="27" spans="2:6" ht="12.75" customHeight="1" x14ac:dyDescent="0.25">
      <c r="B27" s="9">
        <v>3053</v>
      </c>
      <c r="C27" s="9" t="s">
        <v>24</v>
      </c>
      <c r="D27" s="9" t="s">
        <v>27</v>
      </c>
      <c r="E27" s="10">
        <v>42724.328472222223</v>
      </c>
      <c r="F27" s="10">
        <v>42724.374305555553</v>
      </c>
    </row>
    <row r="28" spans="2:6" ht="12.75" customHeight="1" x14ac:dyDescent="0.25">
      <c r="B28" s="9">
        <v>3054</v>
      </c>
      <c r="C28" s="9" t="s">
        <v>27</v>
      </c>
      <c r="D28" s="9" t="s">
        <v>24</v>
      </c>
      <c r="E28" s="10">
        <v>42724.738194444442</v>
      </c>
      <c r="F28" s="10">
        <v>42724.779861111114</v>
      </c>
    </row>
    <row r="29" spans="2:6" ht="12.75" customHeight="1" x14ac:dyDescent="0.25">
      <c r="B29" s="9">
        <v>3055</v>
      </c>
      <c r="C29" s="9" t="s">
        <v>24</v>
      </c>
      <c r="D29" s="9" t="s">
        <v>27</v>
      </c>
      <c r="E29" s="10">
        <v>42724.436805555553</v>
      </c>
      <c r="F29" s="10">
        <v>42724.482638888891</v>
      </c>
    </row>
    <row r="30" spans="2:6" ht="12.75" customHeight="1" x14ac:dyDescent="0.25">
      <c r="B30" s="9">
        <v>3060</v>
      </c>
      <c r="C30" s="9" t="s">
        <v>27</v>
      </c>
      <c r="D30" s="9" t="s">
        <v>24</v>
      </c>
      <c r="E30" s="10">
        <v>42724.599305555559</v>
      </c>
      <c r="F30" s="10">
        <v>42724.640972222223</v>
      </c>
    </row>
    <row r="31" spans="2:6" ht="12.75" customHeight="1" x14ac:dyDescent="0.25">
      <c r="B31" s="9">
        <v>3062</v>
      </c>
      <c r="C31" s="9" t="s">
        <v>27</v>
      </c>
      <c r="D31" s="9" t="s">
        <v>24</v>
      </c>
      <c r="E31" s="10">
        <v>42724.780555555553</v>
      </c>
      <c r="F31" s="10">
        <v>42724.822222222225</v>
      </c>
    </row>
    <row r="32" spans="2:6" ht="12.75" customHeight="1" x14ac:dyDescent="0.25">
      <c r="B32" s="9">
        <v>3063</v>
      </c>
      <c r="C32" s="9" t="s">
        <v>24</v>
      </c>
      <c r="D32" s="9" t="s">
        <v>27</v>
      </c>
      <c r="E32" s="10">
        <v>42724.707638888889</v>
      </c>
      <c r="F32" s="10">
        <v>42724.753472222219</v>
      </c>
    </row>
    <row r="33" spans="2:6" ht="12.75" customHeight="1" x14ac:dyDescent="0.25">
      <c r="B33" s="9">
        <v>3066</v>
      </c>
      <c r="C33" s="9" t="s">
        <v>27</v>
      </c>
      <c r="D33" s="9" t="s">
        <v>24</v>
      </c>
      <c r="E33" s="10">
        <v>42724.827777777777</v>
      </c>
      <c r="F33" s="10">
        <v>42724.869444444441</v>
      </c>
    </row>
    <row r="34" spans="2:6" ht="12.75" customHeight="1" x14ac:dyDescent="0.25">
      <c r="B34" s="9">
        <v>3067</v>
      </c>
      <c r="C34" s="9" t="s">
        <v>24</v>
      </c>
      <c r="D34" s="9" t="s">
        <v>27</v>
      </c>
      <c r="E34" s="10">
        <v>42724.759722222225</v>
      </c>
      <c r="F34" s="10">
        <v>42724.805555555555</v>
      </c>
    </row>
    <row r="35" spans="2:6" ht="12.75" customHeight="1" x14ac:dyDescent="0.25">
      <c r="B35" s="9">
        <v>3088</v>
      </c>
      <c r="C35" s="9" t="s">
        <v>27</v>
      </c>
      <c r="D35" s="9" t="s">
        <v>24</v>
      </c>
      <c r="E35" s="10">
        <v>42724.262499999997</v>
      </c>
      <c r="F35" s="10">
        <v>42724.304166666669</v>
      </c>
    </row>
    <row r="36" spans="2:6" ht="12.75" customHeight="1" x14ac:dyDescent="0.25">
      <c r="B36" s="9">
        <v>3089</v>
      </c>
      <c r="C36" s="9" t="s">
        <v>24</v>
      </c>
      <c r="D36" s="9" t="s">
        <v>27</v>
      </c>
      <c r="E36" s="10">
        <v>42724.195833333331</v>
      </c>
      <c r="F36" s="10">
        <v>42724.241666666669</v>
      </c>
    </row>
    <row r="37" spans="2:6" ht="12.75" customHeight="1" x14ac:dyDescent="0.25">
      <c r="B37" s="9">
        <v>3090</v>
      </c>
      <c r="C37" s="9" t="s">
        <v>24</v>
      </c>
      <c r="D37" s="9" t="s">
        <v>19</v>
      </c>
      <c r="E37" s="10">
        <v>42724.289583333331</v>
      </c>
      <c r="F37" s="10">
        <v>42724.35</v>
      </c>
    </row>
    <row r="38" spans="2:6" ht="12.75" customHeight="1" x14ac:dyDescent="0.25">
      <c r="B38" s="9">
        <v>3091</v>
      </c>
      <c r="C38" s="9" t="s">
        <v>19</v>
      </c>
      <c r="D38" s="9" t="s">
        <v>24</v>
      </c>
      <c r="E38" s="10">
        <v>42724.370833333334</v>
      </c>
      <c r="F38" s="10">
        <v>42724.431250000001</v>
      </c>
    </row>
    <row r="39" spans="2:6" ht="12.75" customHeight="1" x14ac:dyDescent="0.25">
      <c r="B39" s="9">
        <v>3093</v>
      </c>
      <c r="C39" s="9" t="s">
        <v>19</v>
      </c>
      <c r="D39" s="9" t="s">
        <v>24</v>
      </c>
      <c r="E39" s="10">
        <v>42724.428472222222</v>
      </c>
      <c r="F39" s="10">
        <v>42724.488888888889</v>
      </c>
    </row>
    <row r="40" spans="2:6" ht="12.75" customHeight="1" x14ac:dyDescent="0.25">
      <c r="B40" s="9">
        <v>3094</v>
      </c>
      <c r="C40" s="9" t="s">
        <v>24</v>
      </c>
      <c r="D40" s="9" t="s">
        <v>19</v>
      </c>
      <c r="E40" s="10">
        <v>42724.385416666664</v>
      </c>
      <c r="F40" s="10">
        <v>42724.445833333331</v>
      </c>
    </row>
    <row r="41" spans="2:6" ht="12.75" customHeight="1" x14ac:dyDescent="0.25">
      <c r="B41" s="9">
        <v>3095</v>
      </c>
      <c r="C41" s="9" t="s">
        <v>19</v>
      </c>
      <c r="D41" s="9" t="s">
        <v>24</v>
      </c>
      <c r="E41" s="10">
        <v>42724.473611111112</v>
      </c>
      <c r="F41" s="10">
        <v>42724.53402777778</v>
      </c>
    </row>
    <row r="42" spans="2:6" ht="12.75" customHeight="1" x14ac:dyDescent="0.25">
      <c r="B42" s="9">
        <v>3096</v>
      </c>
      <c r="C42" s="9" t="s">
        <v>24</v>
      </c>
      <c r="D42" s="9" t="s">
        <v>19</v>
      </c>
      <c r="E42" s="10">
        <v>42724.472222222219</v>
      </c>
      <c r="F42" s="10">
        <v>42724.532638888886</v>
      </c>
    </row>
    <row r="43" spans="2:6" ht="12.75" customHeight="1" x14ac:dyDescent="0.25">
      <c r="B43" s="9">
        <v>3097</v>
      </c>
      <c r="C43" s="9" t="s">
        <v>19</v>
      </c>
      <c r="D43" s="9" t="s">
        <v>24</v>
      </c>
      <c r="E43" s="10">
        <v>42724.560416666667</v>
      </c>
      <c r="F43" s="10">
        <v>42724.620833333334</v>
      </c>
    </row>
    <row r="44" spans="2:6" ht="12.75" customHeight="1" x14ac:dyDescent="0.25">
      <c r="B44" s="9">
        <v>3098</v>
      </c>
      <c r="C44" s="9" t="s">
        <v>24</v>
      </c>
      <c r="D44" s="9" t="s">
        <v>19</v>
      </c>
      <c r="E44" s="10">
        <v>42724.582638888889</v>
      </c>
      <c r="F44" s="10">
        <v>42724.643055555556</v>
      </c>
    </row>
    <row r="45" spans="2:6" ht="12.75" customHeight="1" x14ac:dyDescent="0.25">
      <c r="B45" s="9">
        <v>3099</v>
      </c>
      <c r="C45" s="9" t="s">
        <v>19</v>
      </c>
      <c r="D45" s="9" t="s">
        <v>24</v>
      </c>
      <c r="E45" s="10">
        <v>42724.668749999997</v>
      </c>
      <c r="F45" s="10">
        <v>42724.729166666664</v>
      </c>
    </row>
    <row r="46" spans="2:6" ht="12.75" customHeight="1" x14ac:dyDescent="0.25">
      <c r="B46" s="9">
        <v>3100</v>
      </c>
      <c r="C46" s="9" t="s">
        <v>24</v>
      </c>
      <c r="D46" s="9" t="s">
        <v>19</v>
      </c>
      <c r="E46" s="10">
        <v>42724.646527777775</v>
      </c>
      <c r="F46" s="10">
        <v>42724.706944444442</v>
      </c>
    </row>
    <row r="47" spans="2:6" ht="12.75" customHeight="1" x14ac:dyDescent="0.25">
      <c r="B47" s="9">
        <v>3102</v>
      </c>
      <c r="C47" s="9" t="s">
        <v>24</v>
      </c>
      <c r="D47" s="9" t="s">
        <v>19</v>
      </c>
      <c r="E47" s="10">
        <v>42724.756249999999</v>
      </c>
      <c r="F47" s="10">
        <v>42724.816666666666</v>
      </c>
    </row>
    <row r="48" spans="2:6" ht="12.75" customHeight="1" x14ac:dyDescent="0.25">
      <c r="B48" s="9">
        <v>3103</v>
      </c>
      <c r="C48" s="9" t="s">
        <v>19</v>
      </c>
      <c r="D48" s="9" t="s">
        <v>24</v>
      </c>
      <c r="E48" s="10">
        <v>42724.845833333333</v>
      </c>
      <c r="F48" s="10">
        <v>42724.90625</v>
      </c>
    </row>
    <row r="49" spans="2:6" ht="12.75" customHeight="1" x14ac:dyDescent="0.25">
      <c r="B49" s="9">
        <v>3106</v>
      </c>
      <c r="C49" s="9" t="s">
        <v>24</v>
      </c>
      <c r="D49" s="9" t="s">
        <v>19</v>
      </c>
      <c r="E49" s="10">
        <v>42724.795138888891</v>
      </c>
      <c r="F49" s="10">
        <v>42724.855555555558</v>
      </c>
    </row>
    <row r="50" spans="2:6" ht="12.75" customHeight="1" x14ac:dyDescent="0.25">
      <c r="B50" s="9">
        <v>3107</v>
      </c>
      <c r="C50" s="9" t="s">
        <v>19</v>
      </c>
      <c r="D50" s="9" t="s">
        <v>24</v>
      </c>
      <c r="E50" s="10">
        <v>42724.876388888886</v>
      </c>
      <c r="F50" s="10">
        <v>42724.936805555553</v>
      </c>
    </row>
    <row r="51" spans="2:6" ht="12.75" customHeight="1" x14ac:dyDescent="0.25">
      <c r="B51" s="9">
        <v>3108</v>
      </c>
      <c r="C51" s="9" t="s">
        <v>24</v>
      </c>
      <c r="D51" s="9" t="s">
        <v>19</v>
      </c>
      <c r="E51" s="10">
        <v>42724.835416666669</v>
      </c>
      <c r="F51" s="10">
        <v>42724.895833333336</v>
      </c>
    </row>
    <row r="52" spans="2:6" ht="12.75" customHeight="1" x14ac:dyDescent="0.25">
      <c r="B52" s="9">
        <v>3109</v>
      </c>
      <c r="C52" s="9" t="s">
        <v>19</v>
      </c>
      <c r="D52" s="9" t="s">
        <v>24</v>
      </c>
      <c r="E52" s="10">
        <v>42724.916666666664</v>
      </c>
      <c r="F52" s="10">
        <v>42724.977083333331</v>
      </c>
    </row>
    <row r="53" spans="2:6" ht="12.75" customHeight="1" x14ac:dyDescent="0.25">
      <c r="B53" s="9">
        <v>3110</v>
      </c>
      <c r="C53" s="9" t="s">
        <v>24</v>
      </c>
      <c r="D53" s="9" t="s">
        <v>19</v>
      </c>
      <c r="E53" s="10">
        <v>42724.190972222219</v>
      </c>
      <c r="F53" s="10">
        <v>42724.251388888886</v>
      </c>
    </row>
    <row r="54" spans="2:6" ht="12.75" customHeight="1" x14ac:dyDescent="0.25">
      <c r="B54" s="9">
        <v>3111</v>
      </c>
      <c r="C54" s="9" t="s">
        <v>19</v>
      </c>
      <c r="D54" s="9" t="s">
        <v>24</v>
      </c>
      <c r="E54" s="10">
        <v>42724.272222222222</v>
      </c>
      <c r="F54" s="10">
        <v>42724.332638888889</v>
      </c>
    </row>
    <row r="55" spans="2:6" ht="12.75" customHeight="1" x14ac:dyDescent="0.25">
      <c r="B55" s="9">
        <v>3114</v>
      </c>
      <c r="C55" s="9" t="s">
        <v>24</v>
      </c>
      <c r="D55" s="9" t="s">
        <v>22</v>
      </c>
      <c r="E55" s="10">
        <v>42724.399305555555</v>
      </c>
      <c r="F55" s="10">
        <v>42724.490277777775</v>
      </c>
    </row>
    <row r="56" spans="2:6" ht="12.75" customHeight="1" x14ac:dyDescent="0.25">
      <c r="B56" s="9">
        <v>3115</v>
      </c>
      <c r="C56" s="9" t="s">
        <v>22</v>
      </c>
      <c r="D56" s="9" t="s">
        <v>24</v>
      </c>
      <c r="E56" s="10">
        <v>42724.518055555556</v>
      </c>
      <c r="F56" s="10">
        <v>42724.604861111111</v>
      </c>
    </row>
    <row r="57" spans="2:6" ht="12.75" customHeight="1" x14ac:dyDescent="0.25">
      <c r="B57" s="9">
        <v>3116</v>
      </c>
      <c r="C57" s="9" t="s">
        <v>24</v>
      </c>
      <c r="D57" s="9" t="s">
        <v>22</v>
      </c>
      <c r="E57" s="10">
        <v>42724.53125</v>
      </c>
      <c r="F57" s="10">
        <v>42724.62222222222</v>
      </c>
    </row>
    <row r="58" spans="2:6" ht="12.75" customHeight="1" x14ac:dyDescent="0.25">
      <c r="B58" s="9">
        <v>3117</v>
      </c>
      <c r="C58" s="9" t="s">
        <v>22</v>
      </c>
      <c r="D58" s="9" t="s">
        <v>24</v>
      </c>
      <c r="E58" s="10">
        <v>42724.65</v>
      </c>
      <c r="F58" s="10">
        <v>42724.736805555556</v>
      </c>
    </row>
    <row r="59" spans="2:6" ht="12.75" customHeight="1" x14ac:dyDescent="0.25">
      <c r="B59" s="9">
        <v>3120</v>
      </c>
      <c r="C59" s="9" t="s">
        <v>24</v>
      </c>
      <c r="D59" s="9" t="s">
        <v>14</v>
      </c>
      <c r="E59" s="10">
        <v>42724.249305555553</v>
      </c>
      <c r="F59" s="10">
        <v>42724.311111111114</v>
      </c>
    </row>
    <row r="60" spans="2:6" ht="12.75" customHeight="1" x14ac:dyDescent="0.25">
      <c r="B60" s="9">
        <v>3121</v>
      </c>
      <c r="C60" s="9" t="s">
        <v>14</v>
      </c>
      <c r="D60" s="9" t="s">
        <v>24</v>
      </c>
      <c r="E60" s="10">
        <v>42724.331944444442</v>
      </c>
      <c r="F60" s="10">
        <v>42724.395138888889</v>
      </c>
    </row>
    <row r="61" spans="2:6" ht="12.75" customHeight="1" x14ac:dyDescent="0.25">
      <c r="B61" s="9">
        <v>3130</v>
      </c>
      <c r="C61" s="9" t="s">
        <v>24</v>
      </c>
      <c r="D61" s="9" t="s">
        <v>14</v>
      </c>
      <c r="E61" s="10">
        <v>42724.388888888891</v>
      </c>
      <c r="F61" s="10">
        <v>42724.450694444444</v>
      </c>
    </row>
    <row r="62" spans="2:6" ht="12.75" customHeight="1" x14ac:dyDescent="0.25">
      <c r="B62" s="9">
        <v>3131</v>
      </c>
      <c r="C62" s="9" t="s">
        <v>14</v>
      </c>
      <c r="D62" s="9" t="s">
        <v>24</v>
      </c>
      <c r="E62" s="10">
        <v>42724.47152777778</v>
      </c>
      <c r="F62" s="10">
        <v>42724.534722222219</v>
      </c>
    </row>
    <row r="63" spans="2:6" ht="12.75" customHeight="1" x14ac:dyDescent="0.25">
      <c r="B63" s="9">
        <v>3132</v>
      </c>
      <c r="C63" s="9" t="s">
        <v>24</v>
      </c>
      <c r="D63" s="9" t="s">
        <v>14</v>
      </c>
      <c r="E63" s="10">
        <v>42724.576388888891</v>
      </c>
      <c r="F63" s="10">
        <v>42724.638194444444</v>
      </c>
    </row>
    <row r="64" spans="2:6" ht="12.75" customHeight="1" x14ac:dyDescent="0.25">
      <c r="B64" s="9">
        <v>3133</v>
      </c>
      <c r="C64" s="9" t="s">
        <v>14</v>
      </c>
      <c r="D64" s="9" t="s">
        <v>24</v>
      </c>
      <c r="E64" s="10">
        <v>42724.665972222225</v>
      </c>
      <c r="F64" s="10">
        <v>42724.729166666664</v>
      </c>
    </row>
    <row r="65" spans="2:6" ht="12.75" customHeight="1" x14ac:dyDescent="0.25">
      <c r="B65" s="9">
        <v>3136</v>
      </c>
      <c r="C65" s="9" t="s">
        <v>24</v>
      </c>
      <c r="D65" s="9" t="s">
        <v>14</v>
      </c>
      <c r="E65" s="10">
        <v>42724.774305555555</v>
      </c>
      <c r="F65" s="10">
        <v>42724.836111111108</v>
      </c>
    </row>
    <row r="66" spans="2:6" ht="12.75" customHeight="1" x14ac:dyDescent="0.25">
      <c r="B66" s="9">
        <v>3137</v>
      </c>
      <c r="C66" s="9" t="s">
        <v>14</v>
      </c>
      <c r="D66" s="9" t="s">
        <v>24</v>
      </c>
      <c r="E66" s="10">
        <v>42724.856944444444</v>
      </c>
      <c r="F66" s="10">
        <v>42724.920138888891</v>
      </c>
    </row>
    <row r="67" spans="2:6" ht="12.75" customHeight="1" x14ac:dyDescent="0.25">
      <c r="B67" s="9">
        <v>3138</v>
      </c>
      <c r="C67" s="9" t="s">
        <v>24</v>
      </c>
      <c r="D67" s="9" t="s">
        <v>14</v>
      </c>
      <c r="E67" s="10">
        <v>42724.892361111109</v>
      </c>
      <c r="F67" s="10">
        <v>42724.95416666667</v>
      </c>
    </row>
    <row r="68" spans="2:6" ht="12.75" customHeight="1" x14ac:dyDescent="0.25">
      <c r="B68" s="9">
        <v>3139</v>
      </c>
      <c r="C68" s="9" t="s">
        <v>14</v>
      </c>
      <c r="D68" s="9" t="s">
        <v>24</v>
      </c>
      <c r="E68" s="10">
        <v>42724.249305555553</v>
      </c>
      <c r="F68" s="10">
        <v>42724.3125</v>
      </c>
    </row>
    <row r="69" spans="2:6" ht="12.75" customHeight="1" x14ac:dyDescent="0.25">
      <c r="B69" s="9">
        <v>3142</v>
      </c>
      <c r="C69" s="9" t="s">
        <v>24</v>
      </c>
      <c r="D69" s="9" t="s">
        <v>16</v>
      </c>
      <c r="E69" s="10">
        <v>42724.347222222219</v>
      </c>
      <c r="F69" s="10">
        <v>42724.410416666666</v>
      </c>
    </row>
    <row r="70" spans="2:6" ht="12.75" customHeight="1" x14ac:dyDescent="0.25">
      <c r="B70" s="9">
        <v>3143</v>
      </c>
      <c r="C70" s="9" t="s">
        <v>16</v>
      </c>
      <c r="D70" s="9" t="s">
        <v>24</v>
      </c>
      <c r="E70" s="10">
        <v>42724.431250000001</v>
      </c>
      <c r="F70" s="10">
        <v>42724.495138888888</v>
      </c>
    </row>
    <row r="71" spans="2:6" ht="12.75" customHeight="1" x14ac:dyDescent="0.25">
      <c r="B71" s="9">
        <v>3144</v>
      </c>
      <c r="C71" s="9" t="s">
        <v>24</v>
      </c>
      <c r="D71" s="9" t="s">
        <v>16</v>
      </c>
      <c r="E71" s="10">
        <v>42724.416666666664</v>
      </c>
      <c r="F71" s="10">
        <v>42724.479861111111</v>
      </c>
    </row>
    <row r="72" spans="2:6" ht="12.75" customHeight="1" x14ac:dyDescent="0.25">
      <c r="B72" s="9">
        <v>3145</v>
      </c>
      <c r="C72" s="9" t="s">
        <v>16</v>
      </c>
      <c r="D72" s="9" t="s">
        <v>24</v>
      </c>
      <c r="E72" s="10">
        <v>42724.500694444447</v>
      </c>
      <c r="F72" s="10">
        <v>42724.564583333333</v>
      </c>
    </row>
    <row r="73" spans="2:6" ht="12.75" customHeight="1" x14ac:dyDescent="0.25">
      <c r="B73" s="9">
        <v>3146</v>
      </c>
      <c r="C73" s="9" t="s">
        <v>24</v>
      </c>
      <c r="D73" s="9" t="s">
        <v>16</v>
      </c>
      <c r="E73" s="10">
        <v>42724.515277777777</v>
      </c>
      <c r="F73" s="10">
        <v>42724.578472222223</v>
      </c>
    </row>
    <row r="74" spans="2:6" ht="12.75" customHeight="1" x14ac:dyDescent="0.25">
      <c r="B74" s="9">
        <v>3147</v>
      </c>
      <c r="C74" s="9" t="s">
        <v>16</v>
      </c>
      <c r="D74" s="9" t="s">
        <v>24</v>
      </c>
      <c r="E74" s="10">
        <v>42724.599305555559</v>
      </c>
      <c r="F74" s="10">
        <v>42724.663194444445</v>
      </c>
    </row>
    <row r="75" spans="2:6" ht="12.75" customHeight="1" x14ac:dyDescent="0.25">
      <c r="B75" s="9">
        <v>3149</v>
      </c>
      <c r="C75" s="9" t="s">
        <v>16</v>
      </c>
      <c r="D75" s="9" t="s">
        <v>24</v>
      </c>
      <c r="E75" s="10">
        <v>42724.848611111112</v>
      </c>
      <c r="F75" s="10">
        <v>42724.912499999999</v>
      </c>
    </row>
    <row r="76" spans="2:6" ht="12.75" customHeight="1" x14ac:dyDescent="0.25">
      <c r="B76" s="9">
        <v>3150</v>
      </c>
      <c r="C76" s="9" t="s">
        <v>24</v>
      </c>
      <c r="D76" s="9" t="s">
        <v>16</v>
      </c>
      <c r="E76" s="10">
        <v>42724.76666666667</v>
      </c>
      <c r="F76" s="10">
        <v>42724.829861111109</v>
      </c>
    </row>
    <row r="77" spans="2:6" ht="12.75" customHeight="1" x14ac:dyDescent="0.25">
      <c r="B77" s="9">
        <v>3160</v>
      </c>
      <c r="C77" s="9" t="s">
        <v>24</v>
      </c>
      <c r="D77" s="9" t="s">
        <v>15</v>
      </c>
      <c r="E77" s="10">
        <v>42724.245833333334</v>
      </c>
      <c r="F77" s="10">
        <v>42724.289583333331</v>
      </c>
    </row>
    <row r="78" spans="2:6" ht="12.75" customHeight="1" x14ac:dyDescent="0.25">
      <c r="B78" s="9">
        <v>3161</v>
      </c>
      <c r="C78" s="9" t="s">
        <v>15</v>
      </c>
      <c r="D78" s="9" t="s">
        <v>24</v>
      </c>
      <c r="E78" s="10">
        <v>42724.310416666667</v>
      </c>
      <c r="F78" s="10">
        <v>42724.353472222225</v>
      </c>
    </row>
    <row r="79" spans="2:6" ht="12.75" customHeight="1" x14ac:dyDescent="0.25">
      <c r="B79" s="9">
        <v>3162</v>
      </c>
      <c r="C79" s="9" t="s">
        <v>24</v>
      </c>
      <c r="D79" s="9" t="s">
        <v>15</v>
      </c>
      <c r="E79" s="10">
        <v>42724.336805555555</v>
      </c>
      <c r="F79" s="10">
        <v>42724.380555555559</v>
      </c>
    </row>
    <row r="80" spans="2:6" ht="12.75" customHeight="1" x14ac:dyDescent="0.25">
      <c r="B80" s="9">
        <v>3163</v>
      </c>
      <c r="C80" s="9" t="s">
        <v>15</v>
      </c>
      <c r="D80" s="9" t="s">
        <v>24</v>
      </c>
      <c r="E80" s="10">
        <v>42724.404861111114</v>
      </c>
      <c r="F80" s="10">
        <v>42724.447916666664</v>
      </c>
    </row>
    <row r="81" spans="2:6" ht="12.75" customHeight="1" x14ac:dyDescent="0.25">
      <c r="B81" s="9">
        <v>3164</v>
      </c>
      <c r="C81" s="9" t="s">
        <v>24</v>
      </c>
      <c r="D81" s="9" t="s">
        <v>15</v>
      </c>
      <c r="E81" s="10">
        <v>42724.67291666667</v>
      </c>
      <c r="F81" s="10">
        <v>42724.716666666667</v>
      </c>
    </row>
    <row r="82" spans="2:6" ht="12.75" customHeight="1" x14ac:dyDescent="0.25">
      <c r="B82" s="9">
        <v>3165</v>
      </c>
      <c r="C82" s="9" t="s">
        <v>15</v>
      </c>
      <c r="D82" s="9" t="s">
        <v>24</v>
      </c>
      <c r="E82" s="10">
        <v>42724.737500000003</v>
      </c>
      <c r="F82" s="10">
        <v>42724.780555555553</v>
      </c>
    </row>
    <row r="83" spans="2:6" ht="12.75" customHeight="1" x14ac:dyDescent="0.25">
      <c r="B83" s="9">
        <v>3166</v>
      </c>
      <c r="C83" s="9" t="s">
        <v>24</v>
      </c>
      <c r="D83" s="9" t="s">
        <v>15</v>
      </c>
      <c r="E83" s="10">
        <v>42724.787499999999</v>
      </c>
      <c r="F83" s="10">
        <v>42724.831250000003</v>
      </c>
    </row>
    <row r="84" spans="2:6" ht="12.75" customHeight="1" x14ac:dyDescent="0.25">
      <c r="B84" s="9">
        <v>3169</v>
      </c>
      <c r="C84" s="9" t="s">
        <v>15</v>
      </c>
      <c r="D84" s="9" t="s">
        <v>24</v>
      </c>
      <c r="E84" s="10">
        <v>42724.863194444442</v>
      </c>
      <c r="F84" s="10">
        <v>42724.90625</v>
      </c>
    </row>
    <row r="85" spans="2:6" ht="12.75" customHeight="1" x14ac:dyDescent="0.25">
      <c r="B85" s="9">
        <v>3170</v>
      </c>
      <c r="C85" s="9" t="s">
        <v>24</v>
      </c>
      <c r="D85" s="9" t="s">
        <v>15</v>
      </c>
      <c r="E85" s="10">
        <v>42724.90625</v>
      </c>
      <c r="F85" s="10">
        <v>42724.95</v>
      </c>
    </row>
    <row r="86" spans="2:6" ht="12.75" customHeight="1" x14ac:dyDescent="0.25">
      <c r="B86" s="9">
        <v>3171</v>
      </c>
      <c r="C86" s="9" t="s">
        <v>15</v>
      </c>
      <c r="D86" s="9" t="s">
        <v>24</v>
      </c>
      <c r="E86" s="10">
        <v>42724.241666666669</v>
      </c>
      <c r="F86" s="10">
        <v>42724.284722222219</v>
      </c>
    </row>
    <row r="87" spans="2:6" ht="12.75" customHeight="1" x14ac:dyDescent="0.25">
      <c r="B87" s="9">
        <v>3180</v>
      </c>
      <c r="C87" s="9" t="s">
        <v>24</v>
      </c>
      <c r="D87" s="9" t="s">
        <v>25</v>
      </c>
      <c r="E87" s="10">
        <v>42724.253472222219</v>
      </c>
      <c r="F87" s="10">
        <v>42724.303472222222</v>
      </c>
    </row>
    <row r="88" spans="2:6" ht="12.75" customHeight="1" x14ac:dyDescent="0.25">
      <c r="B88" s="9">
        <v>3181</v>
      </c>
      <c r="C88" s="9" t="s">
        <v>25</v>
      </c>
      <c r="D88" s="9" t="s">
        <v>24</v>
      </c>
      <c r="E88" s="10">
        <v>42724.324305555558</v>
      </c>
      <c r="F88" s="10">
        <v>42724.374305555553</v>
      </c>
    </row>
    <row r="89" spans="2:6" ht="12.75" customHeight="1" x14ac:dyDescent="0.25">
      <c r="B89" s="9">
        <v>3186</v>
      </c>
      <c r="C89" s="9" t="s">
        <v>24</v>
      </c>
      <c r="D89" s="9" t="s">
        <v>25</v>
      </c>
      <c r="E89" s="10">
        <v>42724.84375</v>
      </c>
      <c r="F89" s="10">
        <v>42724.893750000003</v>
      </c>
    </row>
    <row r="90" spans="2:6" ht="12.75" customHeight="1" x14ac:dyDescent="0.25">
      <c r="B90" s="9">
        <v>3187</v>
      </c>
      <c r="C90" s="9" t="s">
        <v>25</v>
      </c>
      <c r="D90" s="9" t="s">
        <v>24</v>
      </c>
      <c r="E90" s="10">
        <v>42724.914583333331</v>
      </c>
      <c r="F90" s="10">
        <v>42724.964583333334</v>
      </c>
    </row>
    <row r="91" spans="2:6" ht="12.75" customHeight="1" x14ac:dyDescent="0.25">
      <c r="B91" s="9">
        <v>3192</v>
      </c>
      <c r="C91" s="9" t="s">
        <v>24</v>
      </c>
      <c r="D91" s="9" t="s">
        <v>21</v>
      </c>
      <c r="E91" s="10">
        <v>42724.28125</v>
      </c>
      <c r="F91" s="10">
        <v>42724.338888888888</v>
      </c>
    </row>
    <row r="92" spans="2:6" ht="12.75" customHeight="1" x14ac:dyDescent="0.25">
      <c r="B92" s="9">
        <v>3193</v>
      </c>
      <c r="C92" s="9" t="s">
        <v>21</v>
      </c>
      <c r="D92" s="9" t="s">
        <v>24</v>
      </c>
      <c r="E92" s="10">
        <v>42724.359722222223</v>
      </c>
      <c r="F92" s="10">
        <v>42724.412499999999</v>
      </c>
    </row>
    <row r="93" spans="2:6" ht="12.75" customHeight="1" x14ac:dyDescent="0.25">
      <c r="B93" s="9">
        <v>3194</v>
      </c>
      <c r="C93" s="9" t="s">
        <v>24</v>
      </c>
      <c r="D93" s="9" t="s">
        <v>21</v>
      </c>
      <c r="E93" s="10">
        <v>42724.568749999999</v>
      </c>
      <c r="F93" s="10">
        <v>42724.626388888886</v>
      </c>
    </row>
    <row r="94" spans="2:6" ht="12.75" customHeight="1" x14ac:dyDescent="0.25">
      <c r="B94" s="9">
        <v>3195</v>
      </c>
      <c r="C94" s="9" t="s">
        <v>21</v>
      </c>
      <c r="D94" s="9" t="s">
        <v>24</v>
      </c>
      <c r="E94" s="10">
        <v>42724.647222222222</v>
      </c>
      <c r="F94" s="10">
        <v>42724.7</v>
      </c>
    </row>
    <row r="95" spans="2:6" ht="12.75" customHeight="1" x14ac:dyDescent="0.25">
      <c r="B95" s="9">
        <v>3196</v>
      </c>
      <c r="C95" s="9" t="s">
        <v>24</v>
      </c>
      <c r="D95" s="9" t="s">
        <v>21</v>
      </c>
      <c r="E95" s="10">
        <v>42724.670138888891</v>
      </c>
      <c r="F95" s="10">
        <v>42724.727777777778</v>
      </c>
    </row>
    <row r="96" spans="2:6" ht="12.75" customHeight="1" x14ac:dyDescent="0.25">
      <c r="B96" s="9">
        <v>3197</v>
      </c>
      <c r="C96" s="9" t="s">
        <v>21</v>
      </c>
      <c r="D96" s="9" t="s">
        <v>24</v>
      </c>
      <c r="E96" s="10">
        <v>42724.748611111114</v>
      </c>
      <c r="F96" s="10">
        <v>42724.801388888889</v>
      </c>
    </row>
    <row r="97" spans="2:6" ht="12.75" customHeight="1" x14ac:dyDescent="0.25">
      <c r="B97" s="9">
        <v>3200</v>
      </c>
      <c r="C97" s="9" t="s">
        <v>24</v>
      </c>
      <c r="D97" s="9" t="s">
        <v>26</v>
      </c>
      <c r="E97" s="10">
        <v>42724.23541666667</v>
      </c>
      <c r="F97" s="10">
        <v>42724.275694444441</v>
      </c>
    </row>
    <row r="98" spans="2:6" ht="12.75" customHeight="1" x14ac:dyDescent="0.25">
      <c r="B98" s="9">
        <v>3201</v>
      </c>
      <c r="C98" s="9" t="s">
        <v>26</v>
      </c>
      <c r="D98" s="9" t="s">
        <v>24</v>
      </c>
      <c r="E98" s="10">
        <v>42724.3</v>
      </c>
      <c r="F98" s="10">
        <v>42724.338888888888</v>
      </c>
    </row>
    <row r="99" spans="2:6" ht="12.75" customHeight="1" x14ac:dyDescent="0.25">
      <c r="B99" s="9">
        <v>3206</v>
      </c>
      <c r="C99" s="9" t="s">
        <v>24</v>
      </c>
      <c r="D99" s="9" t="s">
        <v>26</v>
      </c>
      <c r="E99" s="10">
        <v>42724.718055555553</v>
      </c>
      <c r="F99" s="10">
        <v>42724.758333333331</v>
      </c>
    </row>
    <row r="100" spans="2:6" ht="12.75" customHeight="1" x14ac:dyDescent="0.25">
      <c r="B100" s="9">
        <v>3207</v>
      </c>
      <c r="C100" s="9" t="s">
        <v>26</v>
      </c>
      <c r="D100" s="9" t="s">
        <v>24</v>
      </c>
      <c r="E100" s="10">
        <v>42724.774305555555</v>
      </c>
      <c r="F100" s="10">
        <v>42724.813194444447</v>
      </c>
    </row>
    <row r="101" spans="2:6" ht="12.75" customHeight="1" x14ac:dyDescent="0.25">
      <c r="B101" s="9">
        <v>3210</v>
      </c>
      <c r="C101" s="9" t="s">
        <v>24</v>
      </c>
      <c r="D101" s="9" t="s">
        <v>23</v>
      </c>
      <c r="E101" s="10">
        <v>42724.260416666664</v>
      </c>
      <c r="F101" s="10">
        <v>42724.302083333336</v>
      </c>
    </row>
    <row r="102" spans="2:6" ht="12.75" customHeight="1" x14ac:dyDescent="0.25">
      <c r="B102" s="9">
        <v>3211</v>
      </c>
      <c r="C102" s="9" t="s">
        <v>23</v>
      </c>
      <c r="D102" s="9" t="s">
        <v>24</v>
      </c>
      <c r="E102" s="10">
        <v>42724.326388888891</v>
      </c>
      <c r="F102" s="10">
        <v>42724.364583333336</v>
      </c>
    </row>
    <row r="103" spans="2:6" ht="12.75" customHeight="1" x14ac:dyDescent="0.25">
      <c r="B103" s="9">
        <v>3216</v>
      </c>
      <c r="C103" s="9" t="s">
        <v>24</v>
      </c>
      <c r="D103" s="9" t="s">
        <v>23</v>
      </c>
      <c r="E103" s="10">
        <v>42724.78125</v>
      </c>
      <c r="F103" s="10">
        <v>42724.822916666664</v>
      </c>
    </row>
    <row r="104" spans="2:6" ht="12.75" customHeight="1" x14ac:dyDescent="0.25">
      <c r="B104" s="9">
        <v>3217</v>
      </c>
      <c r="C104" s="9" t="s">
        <v>23</v>
      </c>
      <c r="D104" s="9" t="s">
        <v>24</v>
      </c>
      <c r="E104" s="10">
        <v>42724.84375</v>
      </c>
      <c r="F104" s="10">
        <v>42724.881944444445</v>
      </c>
    </row>
    <row r="105" spans="2:6" ht="12.75" customHeight="1" x14ac:dyDescent="0.25">
      <c r="B105" s="9">
        <v>3242</v>
      </c>
      <c r="C105" s="9" t="s">
        <v>24</v>
      </c>
      <c r="D105" s="9" t="s">
        <v>18</v>
      </c>
      <c r="E105" s="10">
        <v>42724.381944444445</v>
      </c>
      <c r="F105" s="10">
        <v>42724.441666666666</v>
      </c>
    </row>
    <row r="106" spans="2:6" ht="12.75" customHeight="1" x14ac:dyDescent="0.25">
      <c r="B106" s="9">
        <v>3243</v>
      </c>
      <c r="C106" s="9" t="s">
        <v>18</v>
      </c>
      <c r="D106" s="9" t="s">
        <v>24</v>
      </c>
      <c r="E106" s="10">
        <v>42724.462500000001</v>
      </c>
      <c r="F106" s="10">
        <v>42724.521527777775</v>
      </c>
    </row>
    <row r="107" spans="2:6" ht="12.75" customHeight="1" x14ac:dyDescent="0.25">
      <c r="B107" s="9">
        <v>3244</v>
      </c>
      <c r="C107" s="9" t="s">
        <v>24</v>
      </c>
      <c r="D107" s="9" t="s">
        <v>18</v>
      </c>
      <c r="E107" s="10">
        <v>42724.609722222223</v>
      </c>
      <c r="F107" s="10">
        <v>42724.669444444444</v>
      </c>
    </row>
    <row r="108" spans="2:6" ht="12.75" customHeight="1" x14ac:dyDescent="0.25">
      <c r="B108" s="9">
        <v>3245</v>
      </c>
      <c r="C108" s="9" t="s">
        <v>18</v>
      </c>
      <c r="D108" s="9" t="s">
        <v>24</v>
      </c>
      <c r="E108" s="10">
        <v>42724.69027777778</v>
      </c>
      <c r="F108" s="10">
        <v>42724.749305555553</v>
      </c>
    </row>
    <row r="109" spans="2:6" ht="12.75" customHeight="1" x14ac:dyDescent="0.25">
      <c r="B109" s="9">
        <v>3262</v>
      </c>
      <c r="C109" s="9" t="s">
        <v>24</v>
      </c>
      <c r="D109" s="9" t="s">
        <v>17</v>
      </c>
      <c r="E109" s="10">
        <v>42724.475694444445</v>
      </c>
      <c r="F109" s="10">
        <v>42724.569444444445</v>
      </c>
    </row>
    <row r="110" spans="2:6" ht="12.75" customHeight="1" x14ac:dyDescent="0.25">
      <c r="B110" s="9">
        <v>3263</v>
      </c>
      <c r="C110" s="9" t="s">
        <v>17</v>
      </c>
      <c r="D110" s="9" t="s">
        <v>24</v>
      </c>
      <c r="E110" s="10">
        <v>42724.598611111112</v>
      </c>
      <c r="F110" s="10">
        <v>42724.685416666667</v>
      </c>
    </row>
    <row r="111" spans="2:6" ht="12.75" customHeight="1" x14ac:dyDescent="0.25">
      <c r="B111" s="9">
        <v>3268</v>
      </c>
      <c r="C111" s="9" t="s">
        <v>24</v>
      </c>
      <c r="D111" s="9" t="s">
        <v>17</v>
      </c>
      <c r="E111" s="10">
        <v>42724.686805555553</v>
      </c>
      <c r="F111" s="10">
        <v>42724.780555555553</v>
      </c>
    </row>
    <row r="112" spans="2:6" ht="12.75" customHeight="1" x14ac:dyDescent="0.25">
      <c r="B112" s="9">
        <v>3269</v>
      </c>
      <c r="C112" s="9" t="s">
        <v>17</v>
      </c>
      <c r="D112" s="9" t="s">
        <v>24</v>
      </c>
      <c r="E112" s="10">
        <v>42724.8125</v>
      </c>
      <c r="F112" s="10">
        <v>42724.899305555555</v>
      </c>
    </row>
    <row r="113" spans="2:6" ht="12.75" customHeight="1" x14ac:dyDescent="0.25">
      <c r="B113" s="9">
        <v>3272</v>
      </c>
      <c r="C113" s="9" t="s">
        <v>27</v>
      </c>
      <c r="D113" s="9" t="s">
        <v>17</v>
      </c>
      <c r="E113" s="10">
        <v>42724.40902777778</v>
      </c>
      <c r="F113" s="10">
        <v>42724.488888888889</v>
      </c>
    </row>
    <row r="114" spans="2:6" ht="12.75" customHeight="1" x14ac:dyDescent="0.25">
      <c r="B114" s="9">
        <v>3273</v>
      </c>
      <c r="C114" s="9" t="s">
        <v>17</v>
      </c>
      <c r="D114" s="9" t="s">
        <v>27</v>
      </c>
      <c r="E114" s="10">
        <v>42724.489583333336</v>
      </c>
      <c r="F114" s="10">
        <v>42724.574999999997</v>
      </c>
    </row>
    <row r="115" spans="2:6" ht="12.75" customHeight="1" x14ac:dyDescent="0.25">
      <c r="B115" s="9">
        <v>3274</v>
      </c>
      <c r="C115" s="9" t="s">
        <v>27</v>
      </c>
      <c r="D115" s="9" t="s">
        <v>17</v>
      </c>
      <c r="E115" s="10">
        <v>42724.520833333336</v>
      </c>
      <c r="F115" s="10">
        <v>42724.600694444445</v>
      </c>
    </row>
    <row r="116" spans="2:6" ht="12.75" customHeight="1" x14ac:dyDescent="0.25">
      <c r="B116" s="9">
        <v>3275</v>
      </c>
      <c r="C116" s="9" t="s">
        <v>17</v>
      </c>
      <c r="D116" s="9" t="s">
        <v>27</v>
      </c>
      <c r="E116" s="10">
        <v>42724.628472222219</v>
      </c>
      <c r="F116" s="10">
        <v>42724.713888888888</v>
      </c>
    </row>
    <row r="117" spans="2:6" ht="12.75" customHeight="1" x14ac:dyDescent="0.25">
      <c r="B117" s="9">
        <v>3304</v>
      </c>
      <c r="C117" s="9" t="s">
        <v>20</v>
      </c>
      <c r="D117" s="9" t="s">
        <v>17</v>
      </c>
      <c r="E117" s="10">
        <v>42724.468055555553</v>
      </c>
      <c r="F117" s="10">
        <v>42724.543055555558</v>
      </c>
    </row>
    <row r="118" spans="2:6" ht="12.75" customHeight="1" x14ac:dyDescent="0.25">
      <c r="B118" s="9">
        <v>3305</v>
      </c>
      <c r="C118" s="9" t="s">
        <v>17</v>
      </c>
      <c r="D118" s="9" t="s">
        <v>20</v>
      </c>
      <c r="E118" s="10">
        <v>42724.570833333331</v>
      </c>
      <c r="F118" s="10">
        <v>42724.654166666667</v>
      </c>
    </row>
    <row r="119" spans="2:6" ht="12.75" customHeight="1" x14ac:dyDescent="0.25">
      <c r="B119" s="9">
        <v>3308</v>
      </c>
      <c r="C119" s="9" t="s">
        <v>20</v>
      </c>
      <c r="D119" s="9" t="s">
        <v>17</v>
      </c>
      <c r="E119" s="10">
        <v>42724.958333333336</v>
      </c>
      <c r="F119" s="10">
        <v>42725.033333333333</v>
      </c>
    </row>
    <row r="120" spans="2:6" ht="12.75" customHeight="1" x14ac:dyDescent="0.25">
      <c r="B120" s="9">
        <v>3309</v>
      </c>
      <c r="C120" s="9" t="s">
        <v>17</v>
      </c>
      <c r="D120" s="9" t="s">
        <v>20</v>
      </c>
      <c r="E120" s="10">
        <v>42724.061111111114</v>
      </c>
      <c r="F120" s="10">
        <v>42724.144444444442</v>
      </c>
    </row>
    <row r="121" spans="2:6" ht="12.75" customHeight="1" x14ac:dyDescent="0.25">
      <c r="B121" s="9">
        <v>3310</v>
      </c>
      <c r="C121" s="9" t="s">
        <v>20</v>
      </c>
      <c r="D121" s="9" t="s">
        <v>19</v>
      </c>
      <c r="E121" s="10">
        <v>42724.363194444442</v>
      </c>
      <c r="F121" s="10">
        <v>42724.407638888886</v>
      </c>
    </row>
    <row r="122" spans="2:6" ht="12.75" customHeight="1" x14ac:dyDescent="0.25">
      <c r="B122" s="9">
        <v>3311</v>
      </c>
      <c r="C122" s="9" t="s">
        <v>19</v>
      </c>
      <c r="D122" s="9" t="s">
        <v>20</v>
      </c>
      <c r="E122" s="10">
        <v>42724.731944444444</v>
      </c>
      <c r="F122" s="10">
        <v>42724.780555555553</v>
      </c>
    </row>
  </sheetData>
  <autoFilter ref="B2:F122" xr:uid="{00000000-0009-0000-0000-000003000000}"/>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B2:F116"/>
  <sheetViews>
    <sheetView showGridLines="0" zoomScaleNormal="100" workbookViewId="0"/>
  </sheetViews>
  <sheetFormatPr baseColWidth="10" defaultColWidth="11.42578125" defaultRowHeight="12.75" customHeight="1" x14ac:dyDescent="0.25"/>
  <cols>
    <col min="2" max="2" width="14.28515625" style="2" customWidth="1"/>
    <col min="3" max="4" width="14.28515625" style="1" customWidth="1"/>
    <col min="5" max="6" width="14.28515625" customWidth="1"/>
  </cols>
  <sheetData>
    <row r="2" spans="2:6" ht="12.75" customHeight="1" x14ac:dyDescent="0.25">
      <c r="B2" s="12" t="s">
        <v>75</v>
      </c>
      <c r="C2" s="12" t="s">
        <v>76</v>
      </c>
      <c r="D2" s="12" t="s">
        <v>77</v>
      </c>
      <c r="E2" s="12" t="s">
        <v>78</v>
      </c>
      <c r="F2" s="12" t="s">
        <v>79</v>
      </c>
    </row>
    <row r="3" spans="2:6" ht="12.75" customHeight="1" x14ac:dyDescent="0.25">
      <c r="B3" s="9">
        <v>3000</v>
      </c>
      <c r="C3" s="9" t="s">
        <v>24</v>
      </c>
      <c r="D3" s="9" t="s">
        <v>20</v>
      </c>
      <c r="E3" s="10">
        <v>42725.238888888889</v>
      </c>
      <c r="F3" s="10">
        <v>42725.279861111114</v>
      </c>
    </row>
    <row r="4" spans="2:6" ht="12.75" customHeight="1" x14ac:dyDescent="0.25">
      <c r="B4" s="9">
        <v>3001</v>
      </c>
      <c r="C4" s="9" t="s">
        <v>20</v>
      </c>
      <c r="D4" s="9" t="s">
        <v>24</v>
      </c>
      <c r="E4" s="10">
        <v>42725.305555555555</v>
      </c>
      <c r="F4" s="10">
        <v>42725.34375</v>
      </c>
    </row>
    <row r="5" spans="2:6" ht="12.75" customHeight="1" x14ac:dyDescent="0.25">
      <c r="B5" s="9">
        <v>3002</v>
      </c>
      <c r="C5" s="9" t="s">
        <v>24</v>
      </c>
      <c r="D5" s="9" t="s">
        <v>20</v>
      </c>
      <c r="E5" s="10">
        <v>42725.26666666667</v>
      </c>
      <c r="F5" s="10">
        <v>42725.307638888888</v>
      </c>
    </row>
    <row r="6" spans="2:6" ht="12.75" customHeight="1" x14ac:dyDescent="0.25">
      <c r="B6" s="9">
        <v>3003</v>
      </c>
      <c r="C6" s="9" t="s">
        <v>20</v>
      </c>
      <c r="D6" s="9" t="s">
        <v>24</v>
      </c>
      <c r="E6" s="10">
        <v>42725.263888888891</v>
      </c>
      <c r="F6" s="10">
        <v>42725.302083333336</v>
      </c>
    </row>
    <row r="7" spans="2:6" ht="12.75" customHeight="1" x14ac:dyDescent="0.25">
      <c r="B7" s="9">
        <v>3004</v>
      </c>
      <c r="C7" s="9" t="s">
        <v>24</v>
      </c>
      <c r="D7" s="9" t="s">
        <v>20</v>
      </c>
      <c r="E7" s="10">
        <v>42725.322222222225</v>
      </c>
      <c r="F7" s="10">
        <v>42725.363194444442</v>
      </c>
    </row>
    <row r="8" spans="2:6" ht="12.75" customHeight="1" x14ac:dyDescent="0.25">
      <c r="B8" s="9">
        <v>3005</v>
      </c>
      <c r="C8" s="9" t="s">
        <v>20</v>
      </c>
      <c r="D8" s="9" t="s">
        <v>24</v>
      </c>
      <c r="E8" s="10">
        <v>42725.378472222219</v>
      </c>
      <c r="F8" s="10">
        <v>42725.416666666664</v>
      </c>
    </row>
    <row r="9" spans="2:6" ht="12.75" customHeight="1" x14ac:dyDescent="0.25">
      <c r="B9" s="9">
        <v>3006</v>
      </c>
      <c r="C9" s="9" t="s">
        <v>24</v>
      </c>
      <c r="D9" s="9" t="s">
        <v>20</v>
      </c>
      <c r="E9" s="10">
        <v>42725.38958333333</v>
      </c>
      <c r="F9" s="10">
        <v>42725.430555555555</v>
      </c>
    </row>
    <row r="10" spans="2:6" ht="12.75" customHeight="1" x14ac:dyDescent="0.25">
      <c r="B10" s="9">
        <v>3010</v>
      </c>
      <c r="C10" s="9" t="s">
        <v>24</v>
      </c>
      <c r="D10" s="9" t="s">
        <v>20</v>
      </c>
      <c r="E10" s="10">
        <v>42725.462500000001</v>
      </c>
      <c r="F10" s="10">
        <v>42725.503472222219</v>
      </c>
    </row>
    <row r="11" spans="2:6" ht="12.75" customHeight="1" x14ac:dyDescent="0.25">
      <c r="B11" s="9">
        <v>3011</v>
      </c>
      <c r="C11" s="9" t="s">
        <v>20</v>
      </c>
      <c r="D11" s="9" t="s">
        <v>24</v>
      </c>
      <c r="E11" s="10">
        <v>42725.524305555555</v>
      </c>
      <c r="F11" s="10">
        <v>42725.5625</v>
      </c>
    </row>
    <row r="12" spans="2:6" ht="12.75" customHeight="1" x14ac:dyDescent="0.25">
      <c r="B12" s="9">
        <v>3013</v>
      </c>
      <c r="C12" s="9" t="s">
        <v>20</v>
      </c>
      <c r="D12" s="9" t="s">
        <v>24</v>
      </c>
      <c r="E12" s="10">
        <v>42725.675694444442</v>
      </c>
      <c r="F12" s="10">
        <v>42725.713888888888</v>
      </c>
    </row>
    <row r="13" spans="2:6" ht="12.75" customHeight="1" x14ac:dyDescent="0.25">
      <c r="B13" s="9">
        <v>3014</v>
      </c>
      <c r="C13" s="9" t="s">
        <v>24</v>
      </c>
      <c r="D13" s="9" t="s">
        <v>20</v>
      </c>
      <c r="E13" s="10">
        <v>42725.670138888891</v>
      </c>
      <c r="F13" s="10">
        <v>42725.711111111108</v>
      </c>
    </row>
    <row r="14" spans="2:6" ht="12.75" customHeight="1" x14ac:dyDescent="0.25">
      <c r="B14" s="9">
        <v>3015</v>
      </c>
      <c r="C14" s="9" t="s">
        <v>20</v>
      </c>
      <c r="D14" s="9" t="s">
        <v>24</v>
      </c>
      <c r="E14" s="10">
        <v>42725.731944444444</v>
      </c>
      <c r="F14" s="10">
        <v>42725.770138888889</v>
      </c>
    </row>
    <row r="15" spans="2:6" ht="12.75" customHeight="1" x14ac:dyDescent="0.25">
      <c r="B15" s="9">
        <v>3018</v>
      </c>
      <c r="C15" s="9" t="s">
        <v>24</v>
      </c>
      <c r="D15" s="9" t="s">
        <v>20</v>
      </c>
      <c r="E15" s="10">
        <v>42725.829861111109</v>
      </c>
      <c r="F15" s="10">
        <v>42725.870833333334</v>
      </c>
    </row>
    <row r="16" spans="2:6" ht="12.75" customHeight="1" x14ac:dyDescent="0.25">
      <c r="B16" s="9">
        <v>3019</v>
      </c>
      <c r="C16" s="9" t="s">
        <v>20</v>
      </c>
      <c r="D16" s="9" t="s">
        <v>24</v>
      </c>
      <c r="E16" s="10">
        <v>42725.899305555555</v>
      </c>
      <c r="F16" s="10">
        <v>42725.9375</v>
      </c>
    </row>
    <row r="17" spans="2:6" ht="12.75" customHeight="1" x14ac:dyDescent="0.25">
      <c r="B17" s="9">
        <v>3020</v>
      </c>
      <c r="C17" s="9" t="s">
        <v>24</v>
      </c>
      <c r="D17" s="9" t="s">
        <v>20</v>
      </c>
      <c r="E17" s="10">
        <v>42725.875</v>
      </c>
      <c r="F17" s="10">
        <v>42725.915972222225</v>
      </c>
    </row>
    <row r="18" spans="2:6" ht="12.75" customHeight="1" x14ac:dyDescent="0.25">
      <c r="B18" s="9">
        <v>3023</v>
      </c>
      <c r="C18" s="9" t="s">
        <v>20</v>
      </c>
      <c r="D18" s="9" t="s">
        <v>24</v>
      </c>
      <c r="E18" s="10">
        <v>42725.804861111108</v>
      </c>
      <c r="F18" s="10">
        <v>42725.843055555553</v>
      </c>
    </row>
    <row r="19" spans="2:6" ht="12.75" customHeight="1" x14ac:dyDescent="0.25">
      <c r="B19" s="9">
        <v>3024</v>
      </c>
      <c r="C19" s="9" t="s">
        <v>24</v>
      </c>
      <c r="D19" s="9" t="s">
        <v>20</v>
      </c>
      <c r="E19" s="10">
        <v>42725.791666666664</v>
      </c>
      <c r="F19" s="10">
        <v>42725.832638888889</v>
      </c>
    </row>
    <row r="20" spans="2:6" ht="12.75" customHeight="1" x14ac:dyDescent="0.25">
      <c r="B20" s="9">
        <v>3025</v>
      </c>
      <c r="C20" s="9" t="s">
        <v>20</v>
      </c>
      <c r="D20" s="9" t="s">
        <v>24</v>
      </c>
      <c r="E20" s="10">
        <v>42725.853472222225</v>
      </c>
      <c r="F20" s="10">
        <v>42725.89166666667</v>
      </c>
    </row>
    <row r="21" spans="2:6" ht="12.75" customHeight="1" x14ac:dyDescent="0.25">
      <c r="B21" s="9">
        <v>3042</v>
      </c>
      <c r="C21" s="9" t="s">
        <v>24</v>
      </c>
      <c r="D21" s="9" t="s">
        <v>20</v>
      </c>
      <c r="E21" s="10">
        <v>42725.9375</v>
      </c>
      <c r="F21" s="10">
        <v>42725.978472222225</v>
      </c>
    </row>
    <row r="22" spans="2:6" ht="12.75" customHeight="1" x14ac:dyDescent="0.25">
      <c r="B22" s="9">
        <v>3043</v>
      </c>
      <c r="C22" s="9" t="s">
        <v>20</v>
      </c>
      <c r="D22" s="9" t="s">
        <v>24</v>
      </c>
      <c r="E22" s="10">
        <v>42725.243055555555</v>
      </c>
      <c r="F22" s="10">
        <v>42725.28125</v>
      </c>
    </row>
    <row r="23" spans="2:6" ht="12.75" customHeight="1" x14ac:dyDescent="0.25">
      <c r="B23" s="9">
        <v>3044</v>
      </c>
      <c r="C23" s="9" t="s">
        <v>24</v>
      </c>
      <c r="D23" s="9" t="s">
        <v>17</v>
      </c>
      <c r="E23" s="10">
        <v>42725.368055555555</v>
      </c>
      <c r="F23" s="10">
        <v>42725.461805555555</v>
      </c>
    </row>
    <row r="24" spans="2:6" ht="12.75" customHeight="1" x14ac:dyDescent="0.25">
      <c r="B24" s="9">
        <v>3045</v>
      </c>
      <c r="C24" s="9" t="s">
        <v>17</v>
      </c>
      <c r="D24" s="9" t="s">
        <v>24</v>
      </c>
      <c r="E24" s="10">
        <v>42725.51666666667</v>
      </c>
      <c r="F24" s="10">
        <v>42725.603472222225</v>
      </c>
    </row>
    <row r="25" spans="2:6" ht="12.75" customHeight="1" x14ac:dyDescent="0.25">
      <c r="B25" s="9">
        <v>3050</v>
      </c>
      <c r="C25" s="9" t="s">
        <v>27</v>
      </c>
      <c r="D25" s="9" t="s">
        <v>24</v>
      </c>
      <c r="E25" s="10">
        <v>42725.309027777781</v>
      </c>
      <c r="F25" s="10">
        <v>42725.350694444445</v>
      </c>
    </row>
    <row r="26" spans="2:6" ht="12.75" customHeight="1" x14ac:dyDescent="0.25">
      <c r="B26" s="9">
        <v>3051</v>
      </c>
      <c r="C26" s="9" t="s">
        <v>24</v>
      </c>
      <c r="D26" s="9" t="s">
        <v>27</v>
      </c>
      <c r="E26" s="10">
        <v>42725.242361111108</v>
      </c>
      <c r="F26" s="10">
        <v>42725.288194444445</v>
      </c>
    </row>
    <row r="27" spans="2:6" ht="12.75" customHeight="1" x14ac:dyDescent="0.25">
      <c r="B27" s="9">
        <v>3053</v>
      </c>
      <c r="C27" s="9" t="s">
        <v>24</v>
      </c>
      <c r="D27" s="9" t="s">
        <v>27</v>
      </c>
      <c r="E27" s="10">
        <v>42725.328472222223</v>
      </c>
      <c r="F27" s="10">
        <v>42725.374305555553</v>
      </c>
    </row>
    <row r="28" spans="2:6" ht="12.75" customHeight="1" x14ac:dyDescent="0.25">
      <c r="B28" s="9">
        <v>3054</v>
      </c>
      <c r="C28" s="9" t="s">
        <v>27</v>
      </c>
      <c r="D28" s="9" t="s">
        <v>24</v>
      </c>
      <c r="E28" s="10">
        <v>42725.738194444442</v>
      </c>
      <c r="F28" s="10">
        <v>42725.779861111114</v>
      </c>
    </row>
    <row r="29" spans="2:6" ht="12.75" customHeight="1" x14ac:dyDescent="0.25">
      <c r="B29" s="9">
        <v>3055</v>
      </c>
      <c r="C29" s="9" t="s">
        <v>24</v>
      </c>
      <c r="D29" s="9" t="s">
        <v>27</v>
      </c>
      <c r="E29" s="10">
        <v>42725.436805555553</v>
      </c>
      <c r="F29" s="10">
        <v>42725.482638888891</v>
      </c>
    </row>
    <row r="30" spans="2:6" ht="12.75" customHeight="1" x14ac:dyDescent="0.25">
      <c r="B30" s="9">
        <v>3058</v>
      </c>
      <c r="C30" s="9" t="s">
        <v>27</v>
      </c>
      <c r="D30" s="9" t="s">
        <v>24</v>
      </c>
      <c r="E30" s="10">
        <v>42725.652083333334</v>
      </c>
      <c r="F30" s="10">
        <v>42725.693749999999</v>
      </c>
    </row>
    <row r="31" spans="2:6" ht="12.75" customHeight="1" x14ac:dyDescent="0.25">
      <c r="B31" s="9">
        <v>3059</v>
      </c>
      <c r="C31" s="9" t="s">
        <v>24</v>
      </c>
      <c r="D31" s="9" t="s">
        <v>27</v>
      </c>
      <c r="E31" s="10">
        <v>42725.586111111108</v>
      </c>
      <c r="F31" s="10">
        <v>42725.631944444445</v>
      </c>
    </row>
    <row r="32" spans="2:6" ht="12.75" customHeight="1" x14ac:dyDescent="0.25">
      <c r="B32" s="9">
        <v>3060</v>
      </c>
      <c r="C32" s="9" t="s">
        <v>27</v>
      </c>
      <c r="D32" s="9" t="s">
        <v>24</v>
      </c>
      <c r="E32" s="10">
        <v>42725.599305555559</v>
      </c>
      <c r="F32" s="10">
        <v>42725.640972222223</v>
      </c>
    </row>
    <row r="33" spans="2:6" ht="12.75" customHeight="1" x14ac:dyDescent="0.25">
      <c r="B33" s="9">
        <v>3063</v>
      </c>
      <c r="C33" s="9" t="s">
        <v>24</v>
      </c>
      <c r="D33" s="9" t="s">
        <v>27</v>
      </c>
      <c r="E33" s="10">
        <v>42725.724999999999</v>
      </c>
      <c r="F33" s="10">
        <v>42725.770833333336</v>
      </c>
    </row>
    <row r="34" spans="2:6" ht="12.75" customHeight="1" x14ac:dyDescent="0.25">
      <c r="B34" s="9">
        <v>3066</v>
      </c>
      <c r="C34" s="9" t="s">
        <v>27</v>
      </c>
      <c r="D34" s="9" t="s">
        <v>24</v>
      </c>
      <c r="E34" s="10">
        <v>42725.833333333336</v>
      </c>
      <c r="F34" s="10">
        <v>42725.875</v>
      </c>
    </row>
    <row r="35" spans="2:6" ht="12.75" customHeight="1" x14ac:dyDescent="0.25">
      <c r="B35" s="9">
        <v>3088</v>
      </c>
      <c r="C35" s="9" t="s">
        <v>27</v>
      </c>
      <c r="D35" s="9" t="s">
        <v>24</v>
      </c>
      <c r="E35" s="10">
        <v>42725.262499999997</v>
      </c>
      <c r="F35" s="10">
        <v>42725.304166666669</v>
      </c>
    </row>
    <row r="36" spans="2:6" ht="12.75" customHeight="1" x14ac:dyDescent="0.25">
      <c r="B36" s="9">
        <v>3089</v>
      </c>
      <c r="C36" s="9" t="s">
        <v>24</v>
      </c>
      <c r="D36" s="9" t="s">
        <v>27</v>
      </c>
      <c r="E36" s="10">
        <v>42725.193749999999</v>
      </c>
      <c r="F36" s="10">
        <v>42725.239583333336</v>
      </c>
    </row>
    <row r="37" spans="2:6" ht="12.75" customHeight="1" x14ac:dyDescent="0.25">
      <c r="B37" s="9">
        <v>3090</v>
      </c>
      <c r="C37" s="9" t="s">
        <v>24</v>
      </c>
      <c r="D37" s="9" t="s">
        <v>19</v>
      </c>
      <c r="E37" s="10">
        <v>42725.289583333331</v>
      </c>
      <c r="F37" s="10">
        <v>42725.35</v>
      </c>
    </row>
    <row r="38" spans="2:6" ht="12.75" customHeight="1" x14ac:dyDescent="0.25">
      <c r="B38" s="9">
        <v>3091</v>
      </c>
      <c r="C38" s="9" t="s">
        <v>19</v>
      </c>
      <c r="D38" s="9" t="s">
        <v>24</v>
      </c>
      <c r="E38" s="10">
        <v>42725.370833333334</v>
      </c>
      <c r="F38" s="10">
        <v>42725.431250000001</v>
      </c>
    </row>
    <row r="39" spans="2:6" ht="12.75" customHeight="1" x14ac:dyDescent="0.25">
      <c r="B39" s="9">
        <v>3093</v>
      </c>
      <c r="C39" s="9" t="s">
        <v>19</v>
      </c>
      <c r="D39" s="9" t="s">
        <v>24</v>
      </c>
      <c r="E39" s="10">
        <v>42725.428472222222</v>
      </c>
      <c r="F39" s="10">
        <v>42725.488888888889</v>
      </c>
    </row>
    <row r="40" spans="2:6" ht="12.75" customHeight="1" x14ac:dyDescent="0.25">
      <c r="B40" s="9">
        <v>3094</v>
      </c>
      <c r="C40" s="9" t="s">
        <v>24</v>
      </c>
      <c r="D40" s="9" t="s">
        <v>19</v>
      </c>
      <c r="E40" s="10">
        <v>42725.402777777781</v>
      </c>
      <c r="F40" s="10">
        <v>42725.463194444441</v>
      </c>
    </row>
    <row r="41" spans="2:6" ht="12.75" customHeight="1" x14ac:dyDescent="0.25">
      <c r="B41" s="9">
        <v>3095</v>
      </c>
      <c r="C41" s="9" t="s">
        <v>19</v>
      </c>
      <c r="D41" s="9" t="s">
        <v>24</v>
      </c>
      <c r="E41" s="10">
        <v>42725.484027777777</v>
      </c>
      <c r="F41" s="10">
        <v>42725.544444444444</v>
      </c>
    </row>
    <row r="42" spans="2:6" ht="12.75" customHeight="1" x14ac:dyDescent="0.25">
      <c r="B42" s="9">
        <v>3096</v>
      </c>
      <c r="C42" s="9" t="s">
        <v>24</v>
      </c>
      <c r="D42" s="9" t="s">
        <v>19</v>
      </c>
      <c r="E42" s="10">
        <v>42725.498611111114</v>
      </c>
      <c r="F42" s="10">
        <v>42725.559027777781</v>
      </c>
    </row>
    <row r="43" spans="2:6" ht="12.75" customHeight="1" x14ac:dyDescent="0.25">
      <c r="B43" s="9">
        <v>3097</v>
      </c>
      <c r="C43" s="9" t="s">
        <v>19</v>
      </c>
      <c r="D43" s="9" t="s">
        <v>24</v>
      </c>
      <c r="E43" s="10">
        <v>42725.586805555555</v>
      </c>
      <c r="F43" s="10">
        <v>42725.647222222222</v>
      </c>
    </row>
    <row r="44" spans="2:6" ht="12.75" customHeight="1" x14ac:dyDescent="0.25">
      <c r="B44" s="9">
        <v>3098</v>
      </c>
      <c r="C44" s="9" t="s">
        <v>24</v>
      </c>
      <c r="D44" s="9" t="s">
        <v>19</v>
      </c>
      <c r="E44" s="10">
        <v>42725.582638888889</v>
      </c>
      <c r="F44" s="10">
        <v>42725.643055555556</v>
      </c>
    </row>
    <row r="45" spans="2:6" ht="12.75" customHeight="1" x14ac:dyDescent="0.25">
      <c r="B45" s="9">
        <v>3099</v>
      </c>
      <c r="C45" s="9" t="s">
        <v>19</v>
      </c>
      <c r="D45" s="9" t="s">
        <v>24</v>
      </c>
      <c r="E45" s="10">
        <v>42725.668749999997</v>
      </c>
      <c r="F45" s="10">
        <v>42725.729166666664</v>
      </c>
    </row>
    <row r="46" spans="2:6" ht="12.75" customHeight="1" x14ac:dyDescent="0.25">
      <c r="B46" s="9">
        <v>3100</v>
      </c>
      <c r="C46" s="9" t="s">
        <v>24</v>
      </c>
      <c r="D46" s="9" t="s">
        <v>19</v>
      </c>
      <c r="E46" s="10">
        <v>42725.648611111108</v>
      </c>
      <c r="F46" s="10">
        <v>42725.709027777775</v>
      </c>
    </row>
    <row r="47" spans="2:6" ht="12.75" customHeight="1" x14ac:dyDescent="0.25">
      <c r="B47" s="9">
        <v>3102</v>
      </c>
      <c r="C47" s="9" t="s">
        <v>24</v>
      </c>
      <c r="D47" s="9" t="s">
        <v>19</v>
      </c>
      <c r="E47" s="10">
        <v>42725.753472222219</v>
      </c>
      <c r="F47" s="10">
        <v>42725.813888888886</v>
      </c>
    </row>
    <row r="48" spans="2:6" ht="12.75" customHeight="1" x14ac:dyDescent="0.25">
      <c r="B48" s="9">
        <v>3103</v>
      </c>
      <c r="C48" s="9" t="s">
        <v>19</v>
      </c>
      <c r="D48" s="9" t="s">
        <v>24</v>
      </c>
      <c r="E48" s="10">
        <v>42725.837500000001</v>
      </c>
      <c r="F48" s="10">
        <v>42725.897916666669</v>
      </c>
    </row>
    <row r="49" spans="2:6" ht="12.75" customHeight="1" x14ac:dyDescent="0.25">
      <c r="B49" s="9">
        <v>3104</v>
      </c>
      <c r="C49" s="9" t="s">
        <v>24</v>
      </c>
      <c r="D49" s="9" t="s">
        <v>19</v>
      </c>
      <c r="E49" s="10">
        <v>42725.190972222219</v>
      </c>
      <c r="F49" s="10">
        <v>42725.251388888886</v>
      </c>
    </row>
    <row r="50" spans="2:6" ht="12.75" customHeight="1" x14ac:dyDescent="0.25">
      <c r="B50" s="9">
        <v>3105</v>
      </c>
      <c r="C50" s="9" t="s">
        <v>19</v>
      </c>
      <c r="D50" s="9" t="s">
        <v>24</v>
      </c>
      <c r="E50" s="10">
        <v>42725.272222222222</v>
      </c>
      <c r="F50" s="10">
        <v>42725.332638888889</v>
      </c>
    </row>
    <row r="51" spans="2:6" ht="12.75" customHeight="1" x14ac:dyDescent="0.25">
      <c r="B51" s="9">
        <v>3106</v>
      </c>
      <c r="C51" s="9" t="s">
        <v>24</v>
      </c>
      <c r="D51" s="9" t="s">
        <v>19</v>
      </c>
      <c r="E51" s="10">
        <v>42725.826388888891</v>
      </c>
      <c r="F51" s="10">
        <v>42725.886805555558</v>
      </c>
    </row>
    <row r="52" spans="2:6" ht="12.75" customHeight="1" x14ac:dyDescent="0.25">
      <c r="B52" s="9">
        <v>3107</v>
      </c>
      <c r="C52" s="9" t="s">
        <v>19</v>
      </c>
      <c r="D52" s="9" t="s">
        <v>24</v>
      </c>
      <c r="E52" s="10">
        <v>42725.907638888886</v>
      </c>
      <c r="F52" s="10">
        <v>42725.968055555553</v>
      </c>
    </row>
    <row r="53" spans="2:6" ht="12.75" customHeight="1" x14ac:dyDescent="0.25">
      <c r="B53" s="9">
        <v>3114</v>
      </c>
      <c r="C53" s="9" t="s">
        <v>24</v>
      </c>
      <c r="D53" s="9" t="s">
        <v>22</v>
      </c>
      <c r="E53" s="10">
        <v>42725.395833333336</v>
      </c>
      <c r="F53" s="10">
        <v>42725.486805555556</v>
      </c>
    </row>
    <row r="54" spans="2:6" ht="12.75" customHeight="1" x14ac:dyDescent="0.25">
      <c r="B54" s="9">
        <v>3115</v>
      </c>
      <c r="C54" s="9" t="s">
        <v>22</v>
      </c>
      <c r="D54" s="9" t="s">
        <v>24</v>
      </c>
      <c r="E54" s="10">
        <v>42725.517361111109</v>
      </c>
      <c r="F54" s="10">
        <v>42725.604166666664</v>
      </c>
    </row>
    <row r="55" spans="2:6" ht="12.75" customHeight="1" x14ac:dyDescent="0.25">
      <c r="B55" s="9">
        <v>3116</v>
      </c>
      <c r="C55" s="9" t="s">
        <v>24</v>
      </c>
      <c r="D55" s="9" t="s">
        <v>22</v>
      </c>
      <c r="E55" s="10">
        <v>42725.558333333334</v>
      </c>
      <c r="F55" s="10">
        <v>42725.649305555555</v>
      </c>
    </row>
    <row r="56" spans="2:6" ht="12.75" customHeight="1" x14ac:dyDescent="0.25">
      <c r="B56" s="9">
        <v>3117</v>
      </c>
      <c r="C56" s="9" t="s">
        <v>22</v>
      </c>
      <c r="D56" s="9" t="s">
        <v>24</v>
      </c>
      <c r="E56" s="10">
        <v>42725.677083333336</v>
      </c>
      <c r="F56" s="10">
        <v>42725.763888888891</v>
      </c>
    </row>
    <row r="57" spans="2:6" ht="12.75" customHeight="1" x14ac:dyDescent="0.25">
      <c r="B57" s="9">
        <v>3120</v>
      </c>
      <c r="C57" s="9" t="s">
        <v>24</v>
      </c>
      <c r="D57" s="9" t="s">
        <v>14</v>
      </c>
      <c r="E57" s="10">
        <v>42725.249305555553</v>
      </c>
      <c r="F57" s="10">
        <v>42725.311111111114</v>
      </c>
    </row>
    <row r="58" spans="2:6" ht="12.75" customHeight="1" x14ac:dyDescent="0.25">
      <c r="B58" s="9">
        <v>3121</v>
      </c>
      <c r="C58" s="9" t="s">
        <v>14</v>
      </c>
      <c r="D58" s="9" t="s">
        <v>24</v>
      </c>
      <c r="E58" s="10">
        <v>42725.331944444442</v>
      </c>
      <c r="F58" s="10">
        <v>42725.395138888889</v>
      </c>
    </row>
    <row r="59" spans="2:6" ht="12.75" customHeight="1" x14ac:dyDescent="0.25">
      <c r="B59" s="9">
        <v>3130</v>
      </c>
      <c r="C59" s="9" t="s">
        <v>24</v>
      </c>
      <c r="D59" s="9" t="s">
        <v>14</v>
      </c>
      <c r="E59" s="10">
        <v>42725.363888888889</v>
      </c>
      <c r="F59" s="10">
        <v>42725.425694444442</v>
      </c>
    </row>
    <row r="60" spans="2:6" ht="12.75" customHeight="1" x14ac:dyDescent="0.25">
      <c r="B60" s="9">
        <v>3131</v>
      </c>
      <c r="C60" s="9" t="s">
        <v>14</v>
      </c>
      <c r="D60" s="9" t="s">
        <v>24</v>
      </c>
      <c r="E60" s="10">
        <v>42725.446527777778</v>
      </c>
      <c r="F60" s="10">
        <v>42725.509722222225</v>
      </c>
    </row>
    <row r="61" spans="2:6" ht="12.75" customHeight="1" x14ac:dyDescent="0.25">
      <c r="B61" s="9">
        <v>3132</v>
      </c>
      <c r="C61" s="9" t="s">
        <v>24</v>
      </c>
      <c r="D61" s="9" t="s">
        <v>14</v>
      </c>
      <c r="E61" s="10">
        <v>42725.604166666664</v>
      </c>
      <c r="F61" s="10">
        <v>42725.665972222225</v>
      </c>
    </row>
    <row r="62" spans="2:6" ht="12.75" customHeight="1" x14ac:dyDescent="0.25">
      <c r="B62" s="9">
        <v>3133</v>
      </c>
      <c r="C62" s="9" t="s">
        <v>14</v>
      </c>
      <c r="D62" s="9" t="s">
        <v>24</v>
      </c>
      <c r="E62" s="10">
        <v>42725.693749999999</v>
      </c>
      <c r="F62" s="10">
        <v>42725.756944444445</v>
      </c>
    </row>
    <row r="63" spans="2:6" ht="12.75" customHeight="1" x14ac:dyDescent="0.25">
      <c r="B63" s="9">
        <v>3137</v>
      </c>
      <c r="C63" s="9" t="s">
        <v>14</v>
      </c>
      <c r="D63" s="9" t="s">
        <v>24</v>
      </c>
      <c r="E63" s="10">
        <v>42725.856944444444</v>
      </c>
      <c r="F63" s="10">
        <v>42725.920138888891</v>
      </c>
    </row>
    <row r="64" spans="2:6" ht="12.75" customHeight="1" x14ac:dyDescent="0.25">
      <c r="B64" s="9">
        <v>3138</v>
      </c>
      <c r="C64" s="9" t="s">
        <v>24</v>
      </c>
      <c r="D64" s="9" t="s">
        <v>14</v>
      </c>
      <c r="E64" s="10">
        <v>42725.885416666664</v>
      </c>
      <c r="F64" s="10">
        <v>42725.947222222225</v>
      </c>
    </row>
    <row r="65" spans="2:6" ht="12.75" customHeight="1" x14ac:dyDescent="0.25">
      <c r="B65" s="9">
        <v>3139</v>
      </c>
      <c r="C65" s="9" t="s">
        <v>14</v>
      </c>
      <c r="D65" s="9" t="s">
        <v>24</v>
      </c>
      <c r="E65" s="10">
        <v>42725.249305555553</v>
      </c>
      <c r="F65" s="10">
        <v>42725.3125</v>
      </c>
    </row>
    <row r="66" spans="2:6" ht="12.75" customHeight="1" x14ac:dyDescent="0.25">
      <c r="B66" s="9">
        <v>3142</v>
      </c>
      <c r="C66" s="9" t="s">
        <v>24</v>
      </c>
      <c r="D66" s="9" t="s">
        <v>16</v>
      </c>
      <c r="E66" s="10">
        <v>42725.32708333333</v>
      </c>
      <c r="F66" s="10">
        <v>42725.390277777777</v>
      </c>
    </row>
    <row r="67" spans="2:6" ht="12.75" customHeight="1" x14ac:dyDescent="0.25">
      <c r="B67" s="9">
        <v>3143</v>
      </c>
      <c r="C67" s="9" t="s">
        <v>16</v>
      </c>
      <c r="D67" s="9" t="s">
        <v>24</v>
      </c>
      <c r="E67" s="10">
        <v>42725.410416666666</v>
      </c>
      <c r="F67" s="10">
        <v>42725.474305555559</v>
      </c>
    </row>
    <row r="68" spans="2:6" ht="12.75" customHeight="1" x14ac:dyDescent="0.25">
      <c r="B68" s="9">
        <v>3144</v>
      </c>
      <c r="C68" s="9" t="s">
        <v>24</v>
      </c>
      <c r="D68" s="9" t="s">
        <v>16</v>
      </c>
      <c r="E68" s="10">
        <v>42725.416666666664</v>
      </c>
      <c r="F68" s="10">
        <v>42725.479861111111</v>
      </c>
    </row>
    <row r="69" spans="2:6" ht="12.75" customHeight="1" x14ac:dyDescent="0.25">
      <c r="B69" s="9">
        <v>3145</v>
      </c>
      <c r="C69" s="9" t="s">
        <v>16</v>
      </c>
      <c r="D69" s="9" t="s">
        <v>24</v>
      </c>
      <c r="E69" s="10">
        <v>42725.500694444447</v>
      </c>
      <c r="F69" s="10">
        <v>42725.564583333333</v>
      </c>
    </row>
    <row r="70" spans="2:6" ht="12.75" customHeight="1" x14ac:dyDescent="0.25">
      <c r="B70" s="9">
        <v>3146</v>
      </c>
      <c r="C70" s="9" t="s">
        <v>24</v>
      </c>
      <c r="D70" s="9" t="s">
        <v>16</v>
      </c>
      <c r="E70" s="10">
        <v>42725.638888888891</v>
      </c>
      <c r="F70" s="10">
        <v>42725.70208333333</v>
      </c>
    </row>
    <row r="71" spans="2:6" ht="12.75" customHeight="1" x14ac:dyDescent="0.25">
      <c r="B71" s="9">
        <v>3147</v>
      </c>
      <c r="C71" s="9" t="s">
        <v>16</v>
      </c>
      <c r="D71" s="9" t="s">
        <v>24</v>
      </c>
      <c r="E71" s="10">
        <v>42725.722916666666</v>
      </c>
      <c r="F71" s="10">
        <v>42725.786805555559</v>
      </c>
    </row>
    <row r="72" spans="2:6" ht="12.75" customHeight="1" x14ac:dyDescent="0.25">
      <c r="B72" s="9">
        <v>3148</v>
      </c>
      <c r="C72" s="9" t="s">
        <v>24</v>
      </c>
      <c r="D72" s="9" t="s">
        <v>16</v>
      </c>
      <c r="E72" s="10">
        <v>42725.777777777781</v>
      </c>
      <c r="F72" s="10">
        <v>42725.84097222222</v>
      </c>
    </row>
    <row r="73" spans="2:6" ht="12.75" customHeight="1" x14ac:dyDescent="0.25">
      <c r="B73" s="9">
        <v>3151</v>
      </c>
      <c r="C73" s="9" t="s">
        <v>16</v>
      </c>
      <c r="D73" s="9" t="s">
        <v>24</v>
      </c>
      <c r="E73" s="10">
        <v>42725.850694444445</v>
      </c>
      <c r="F73" s="10">
        <v>42725.914583333331</v>
      </c>
    </row>
    <row r="74" spans="2:6" ht="12.75" customHeight="1" x14ac:dyDescent="0.25">
      <c r="B74" s="9">
        <v>3160</v>
      </c>
      <c r="C74" s="9" t="s">
        <v>24</v>
      </c>
      <c r="D74" s="9" t="s">
        <v>15</v>
      </c>
      <c r="E74" s="10">
        <v>42725.245833333334</v>
      </c>
      <c r="F74" s="10">
        <v>42725.289583333331</v>
      </c>
    </row>
    <row r="75" spans="2:6" ht="12.75" customHeight="1" x14ac:dyDescent="0.25">
      <c r="B75" s="9">
        <v>3161</v>
      </c>
      <c r="C75" s="9" t="s">
        <v>15</v>
      </c>
      <c r="D75" s="9" t="s">
        <v>24</v>
      </c>
      <c r="E75" s="10">
        <v>42725.310416666667</v>
      </c>
      <c r="F75" s="10">
        <v>42725.353472222225</v>
      </c>
    </row>
    <row r="76" spans="2:6" ht="12.75" customHeight="1" x14ac:dyDescent="0.25">
      <c r="B76" s="9">
        <v>3162</v>
      </c>
      <c r="C76" s="9" t="s">
        <v>24</v>
      </c>
      <c r="D76" s="9" t="s">
        <v>15</v>
      </c>
      <c r="E76" s="10">
        <v>42725.385416666664</v>
      </c>
      <c r="F76" s="10">
        <v>42725.429166666669</v>
      </c>
    </row>
    <row r="77" spans="2:6" ht="12.75" customHeight="1" x14ac:dyDescent="0.25">
      <c r="B77" s="9">
        <v>3163</v>
      </c>
      <c r="C77" s="9" t="s">
        <v>15</v>
      </c>
      <c r="D77" s="9" t="s">
        <v>24</v>
      </c>
      <c r="E77" s="10">
        <v>42725.404166666667</v>
      </c>
      <c r="F77" s="10">
        <v>42725.447222222225</v>
      </c>
    </row>
    <row r="78" spans="2:6" ht="12.75" customHeight="1" x14ac:dyDescent="0.25">
      <c r="B78" s="9">
        <v>3166</v>
      </c>
      <c r="C78" s="9" t="s">
        <v>24</v>
      </c>
      <c r="D78" s="9" t="s">
        <v>15</v>
      </c>
      <c r="E78" s="10">
        <v>42725.787499999999</v>
      </c>
      <c r="F78" s="10">
        <v>42725.831250000003</v>
      </c>
    </row>
    <row r="79" spans="2:6" ht="12.75" customHeight="1" x14ac:dyDescent="0.25">
      <c r="B79" s="9">
        <v>3167</v>
      </c>
      <c r="C79" s="9" t="s">
        <v>15</v>
      </c>
      <c r="D79" s="9" t="s">
        <v>24</v>
      </c>
      <c r="E79" s="10">
        <v>42725.852083333331</v>
      </c>
      <c r="F79" s="10">
        <v>42725.895138888889</v>
      </c>
    </row>
    <row r="80" spans="2:6" ht="12.75" customHeight="1" x14ac:dyDescent="0.25">
      <c r="B80" s="9">
        <v>3170</v>
      </c>
      <c r="C80" s="9" t="s">
        <v>24</v>
      </c>
      <c r="D80" s="9" t="s">
        <v>15</v>
      </c>
      <c r="E80" s="10">
        <v>42725.90625</v>
      </c>
      <c r="F80" s="10">
        <v>42725.95</v>
      </c>
    </row>
    <row r="81" spans="2:6" ht="12.75" customHeight="1" x14ac:dyDescent="0.25">
      <c r="B81" s="9">
        <v>3171</v>
      </c>
      <c r="C81" s="9" t="s">
        <v>15</v>
      </c>
      <c r="D81" s="9" t="s">
        <v>24</v>
      </c>
      <c r="E81" s="10">
        <v>42725.241666666669</v>
      </c>
      <c r="F81" s="10">
        <v>42725.284722222219</v>
      </c>
    </row>
    <row r="82" spans="2:6" ht="12.75" customHeight="1" x14ac:dyDescent="0.25">
      <c r="B82" s="9">
        <v>3180</v>
      </c>
      <c r="C82" s="9" t="s">
        <v>24</v>
      </c>
      <c r="D82" s="9" t="s">
        <v>25</v>
      </c>
      <c r="E82" s="10">
        <v>42725.253472222219</v>
      </c>
      <c r="F82" s="10">
        <v>42725.303472222222</v>
      </c>
    </row>
    <row r="83" spans="2:6" ht="12.75" customHeight="1" x14ac:dyDescent="0.25">
      <c r="B83" s="9">
        <v>3181</v>
      </c>
      <c r="C83" s="9" t="s">
        <v>25</v>
      </c>
      <c r="D83" s="9" t="s">
        <v>24</v>
      </c>
      <c r="E83" s="10">
        <v>42725.324305555558</v>
      </c>
      <c r="F83" s="10">
        <v>42725.374305555553</v>
      </c>
    </row>
    <row r="84" spans="2:6" ht="12.75" customHeight="1" x14ac:dyDescent="0.25">
      <c r="B84" s="9">
        <v>3186</v>
      </c>
      <c r="C84" s="9" t="s">
        <v>24</v>
      </c>
      <c r="D84" s="9" t="s">
        <v>25</v>
      </c>
      <c r="E84" s="10">
        <v>42725.854861111111</v>
      </c>
      <c r="F84" s="10">
        <v>42725.904861111114</v>
      </c>
    </row>
    <row r="85" spans="2:6" ht="12.75" customHeight="1" x14ac:dyDescent="0.25">
      <c r="B85" s="9">
        <v>3187</v>
      </c>
      <c r="C85" s="9" t="s">
        <v>25</v>
      </c>
      <c r="D85" s="9" t="s">
        <v>24</v>
      </c>
      <c r="E85" s="10">
        <v>42725.925694444442</v>
      </c>
      <c r="F85" s="10">
        <v>42725.975694444445</v>
      </c>
    </row>
    <row r="86" spans="2:6" ht="12.75" customHeight="1" x14ac:dyDescent="0.25">
      <c r="B86" s="9">
        <v>3192</v>
      </c>
      <c r="C86" s="9" t="s">
        <v>24</v>
      </c>
      <c r="D86" s="9" t="s">
        <v>21</v>
      </c>
      <c r="E86" s="10">
        <v>42725.28125</v>
      </c>
      <c r="F86" s="10">
        <v>42725.338888888888</v>
      </c>
    </row>
    <row r="87" spans="2:6" ht="12.75" customHeight="1" x14ac:dyDescent="0.25">
      <c r="B87" s="9">
        <v>3193</v>
      </c>
      <c r="C87" s="9" t="s">
        <v>21</v>
      </c>
      <c r="D87" s="9" t="s">
        <v>24</v>
      </c>
      <c r="E87" s="10">
        <v>42725.359722222223</v>
      </c>
      <c r="F87" s="10">
        <v>42725.412499999999</v>
      </c>
    </row>
    <row r="88" spans="2:6" ht="12.75" customHeight="1" x14ac:dyDescent="0.25">
      <c r="B88" s="9">
        <v>3194</v>
      </c>
      <c r="C88" s="9" t="s">
        <v>24</v>
      </c>
      <c r="D88" s="9" t="s">
        <v>21</v>
      </c>
      <c r="E88" s="10">
        <v>42725.499305555553</v>
      </c>
      <c r="F88" s="10">
        <v>42725.556944444441</v>
      </c>
    </row>
    <row r="89" spans="2:6" ht="12.75" customHeight="1" x14ac:dyDescent="0.25">
      <c r="B89" s="9">
        <v>3195</v>
      </c>
      <c r="C89" s="9" t="s">
        <v>21</v>
      </c>
      <c r="D89" s="9" t="s">
        <v>24</v>
      </c>
      <c r="E89" s="10">
        <v>42725.593055555553</v>
      </c>
      <c r="F89" s="10">
        <v>42725.645833333336</v>
      </c>
    </row>
    <row r="90" spans="2:6" ht="12.75" customHeight="1" x14ac:dyDescent="0.25">
      <c r="B90" s="9">
        <v>3196</v>
      </c>
      <c r="C90" s="9" t="s">
        <v>24</v>
      </c>
      <c r="D90" s="9" t="s">
        <v>21</v>
      </c>
      <c r="E90" s="10">
        <v>42725.686805555553</v>
      </c>
      <c r="F90" s="10">
        <v>42725.744444444441</v>
      </c>
    </row>
    <row r="91" spans="2:6" ht="12.75" customHeight="1" x14ac:dyDescent="0.25">
      <c r="B91" s="9">
        <v>3197</v>
      </c>
      <c r="C91" s="9" t="s">
        <v>21</v>
      </c>
      <c r="D91" s="9" t="s">
        <v>24</v>
      </c>
      <c r="E91" s="10">
        <v>42725.765277777777</v>
      </c>
      <c r="F91" s="10">
        <v>42725.818055555559</v>
      </c>
    </row>
    <row r="92" spans="2:6" ht="12.75" customHeight="1" x14ac:dyDescent="0.25">
      <c r="B92" s="9">
        <v>3200</v>
      </c>
      <c r="C92" s="9" t="s">
        <v>24</v>
      </c>
      <c r="D92" s="9" t="s">
        <v>26</v>
      </c>
      <c r="E92" s="10">
        <v>42725.23541666667</v>
      </c>
      <c r="F92" s="10">
        <v>42725.275694444441</v>
      </c>
    </row>
    <row r="93" spans="2:6" ht="12.75" customHeight="1" x14ac:dyDescent="0.25">
      <c r="B93" s="9">
        <v>3201</v>
      </c>
      <c r="C93" s="9" t="s">
        <v>26</v>
      </c>
      <c r="D93" s="9" t="s">
        <v>24</v>
      </c>
      <c r="E93" s="10">
        <v>42725.3</v>
      </c>
      <c r="F93" s="10">
        <v>42725.338888888888</v>
      </c>
    </row>
    <row r="94" spans="2:6" ht="12.75" customHeight="1" x14ac:dyDescent="0.25">
      <c r="B94" s="9">
        <v>3208</v>
      </c>
      <c r="C94" s="9" t="s">
        <v>24</v>
      </c>
      <c r="D94" s="9" t="s">
        <v>26</v>
      </c>
      <c r="E94" s="10">
        <v>42725.718055555553</v>
      </c>
      <c r="F94" s="10">
        <v>42725.758333333331</v>
      </c>
    </row>
    <row r="95" spans="2:6" ht="12.75" customHeight="1" x14ac:dyDescent="0.25">
      <c r="B95" s="9">
        <v>3209</v>
      </c>
      <c r="C95" s="9" t="s">
        <v>26</v>
      </c>
      <c r="D95" s="9" t="s">
        <v>24</v>
      </c>
      <c r="E95" s="10">
        <v>42725.779166666667</v>
      </c>
      <c r="F95" s="10">
        <v>42725.818055555559</v>
      </c>
    </row>
    <row r="96" spans="2:6" ht="12.75" customHeight="1" x14ac:dyDescent="0.25">
      <c r="B96" s="9">
        <v>3210</v>
      </c>
      <c r="C96" s="9" t="s">
        <v>24</v>
      </c>
      <c r="D96" s="9" t="s">
        <v>23</v>
      </c>
      <c r="E96" s="10">
        <v>42725.260416666664</v>
      </c>
      <c r="F96" s="10">
        <v>42725.302083333336</v>
      </c>
    </row>
    <row r="97" spans="2:6" ht="12.75" customHeight="1" x14ac:dyDescent="0.25">
      <c r="B97" s="9">
        <v>3211</v>
      </c>
      <c r="C97" s="9" t="s">
        <v>23</v>
      </c>
      <c r="D97" s="9" t="s">
        <v>24</v>
      </c>
      <c r="E97" s="10">
        <v>42725.326388888891</v>
      </c>
      <c r="F97" s="10">
        <v>42725.364583333336</v>
      </c>
    </row>
    <row r="98" spans="2:6" ht="12.75" customHeight="1" x14ac:dyDescent="0.25">
      <c r="B98" s="9">
        <v>3216</v>
      </c>
      <c r="C98" s="9" t="s">
        <v>24</v>
      </c>
      <c r="D98" s="9" t="s">
        <v>23</v>
      </c>
      <c r="E98" s="10">
        <v>42725.78125</v>
      </c>
      <c r="F98" s="10">
        <v>42725.822916666664</v>
      </c>
    </row>
    <row r="99" spans="2:6" ht="12.75" customHeight="1" x14ac:dyDescent="0.25">
      <c r="B99" s="9">
        <v>3217</v>
      </c>
      <c r="C99" s="9" t="s">
        <v>23</v>
      </c>
      <c r="D99" s="9" t="s">
        <v>24</v>
      </c>
      <c r="E99" s="10">
        <v>42725.84375</v>
      </c>
      <c r="F99" s="10">
        <v>42725.881944444445</v>
      </c>
    </row>
    <row r="100" spans="2:6" ht="12.75" customHeight="1" x14ac:dyDescent="0.25">
      <c r="B100" s="9">
        <v>3242</v>
      </c>
      <c r="C100" s="9" t="s">
        <v>24</v>
      </c>
      <c r="D100" s="9" t="s">
        <v>18</v>
      </c>
      <c r="E100" s="10">
        <v>42725.399305555555</v>
      </c>
      <c r="F100" s="10">
        <v>42725.459027777775</v>
      </c>
    </row>
    <row r="101" spans="2:6" ht="12.75" customHeight="1" x14ac:dyDescent="0.25">
      <c r="B101" s="9">
        <v>3243</v>
      </c>
      <c r="C101" s="9" t="s">
        <v>18</v>
      </c>
      <c r="D101" s="9" t="s">
        <v>24</v>
      </c>
      <c r="E101" s="10">
        <v>42725.482638888891</v>
      </c>
      <c r="F101" s="10">
        <v>42725.541666666664</v>
      </c>
    </row>
    <row r="102" spans="2:6" ht="12.75" customHeight="1" x14ac:dyDescent="0.25">
      <c r="B102" s="9">
        <v>3262</v>
      </c>
      <c r="C102" s="9" t="s">
        <v>24</v>
      </c>
      <c r="D102" s="9" t="s">
        <v>17</v>
      </c>
      <c r="E102" s="10">
        <v>42725.474305555559</v>
      </c>
      <c r="F102" s="10">
        <v>42725.568055555559</v>
      </c>
    </row>
    <row r="103" spans="2:6" ht="12.75" customHeight="1" x14ac:dyDescent="0.25">
      <c r="B103" s="9">
        <v>3263</v>
      </c>
      <c r="C103" s="9" t="s">
        <v>17</v>
      </c>
      <c r="D103" s="9" t="s">
        <v>24</v>
      </c>
      <c r="E103" s="10">
        <v>42725.595833333333</v>
      </c>
      <c r="F103" s="10">
        <v>42725.682638888888</v>
      </c>
    </row>
    <row r="104" spans="2:6" ht="12.75" customHeight="1" x14ac:dyDescent="0.25">
      <c r="B104" s="9">
        <v>3266</v>
      </c>
      <c r="C104" s="9" t="s">
        <v>24</v>
      </c>
      <c r="D104" s="9" t="s">
        <v>17</v>
      </c>
      <c r="E104" s="10">
        <v>42725.541666666664</v>
      </c>
      <c r="F104" s="10">
        <v>42725.635416666664</v>
      </c>
    </row>
    <row r="105" spans="2:6" ht="12.75" customHeight="1" x14ac:dyDescent="0.25">
      <c r="B105" s="9">
        <v>3267</v>
      </c>
      <c r="C105" s="9" t="s">
        <v>17</v>
      </c>
      <c r="D105" s="9" t="s">
        <v>24</v>
      </c>
      <c r="E105" s="10">
        <v>42725.663194444445</v>
      </c>
      <c r="F105" s="10">
        <v>42725.75</v>
      </c>
    </row>
    <row r="106" spans="2:6" ht="12.75" customHeight="1" x14ac:dyDescent="0.25">
      <c r="B106" s="9">
        <v>3268</v>
      </c>
      <c r="C106" s="9" t="s">
        <v>24</v>
      </c>
      <c r="D106" s="9" t="s">
        <v>17</v>
      </c>
      <c r="E106" s="10">
        <v>42725.690972222219</v>
      </c>
      <c r="F106" s="10">
        <v>42725.784722222219</v>
      </c>
    </row>
    <row r="107" spans="2:6" ht="12.75" customHeight="1" x14ac:dyDescent="0.25">
      <c r="B107" s="9">
        <v>3269</v>
      </c>
      <c r="C107" s="9" t="s">
        <v>17</v>
      </c>
      <c r="D107" s="9" t="s">
        <v>24</v>
      </c>
      <c r="E107" s="10">
        <v>42725.8125</v>
      </c>
      <c r="F107" s="10">
        <v>42725.899305555555</v>
      </c>
    </row>
    <row r="108" spans="2:6" ht="12.75" customHeight="1" x14ac:dyDescent="0.25">
      <c r="B108" s="9">
        <v>3272</v>
      </c>
      <c r="C108" s="9" t="s">
        <v>27</v>
      </c>
      <c r="D108" s="9" t="s">
        <v>17</v>
      </c>
      <c r="E108" s="10">
        <v>42725.40902777778</v>
      </c>
      <c r="F108" s="10">
        <v>42725.488888888889</v>
      </c>
    </row>
    <row r="109" spans="2:6" ht="12.75" customHeight="1" x14ac:dyDescent="0.25">
      <c r="B109" s="9">
        <v>3273</v>
      </c>
      <c r="C109" s="9" t="s">
        <v>17</v>
      </c>
      <c r="D109" s="9" t="s">
        <v>27</v>
      </c>
      <c r="E109" s="10">
        <v>42725.489583333336</v>
      </c>
      <c r="F109" s="10">
        <v>42725.574999999997</v>
      </c>
    </row>
    <row r="110" spans="2:6" ht="12.75" customHeight="1" x14ac:dyDescent="0.25">
      <c r="B110" s="9">
        <v>3274</v>
      </c>
      <c r="C110" s="9" t="s">
        <v>27</v>
      </c>
      <c r="D110" s="9" t="s">
        <v>17</v>
      </c>
      <c r="E110" s="10">
        <v>42725.520833333336</v>
      </c>
      <c r="F110" s="10">
        <v>42725.600694444445</v>
      </c>
    </row>
    <row r="111" spans="2:6" ht="12.75" customHeight="1" x14ac:dyDescent="0.25">
      <c r="B111" s="9">
        <v>3275</v>
      </c>
      <c r="C111" s="9" t="s">
        <v>17</v>
      </c>
      <c r="D111" s="9" t="s">
        <v>27</v>
      </c>
      <c r="E111" s="10">
        <v>42725.628472222219</v>
      </c>
      <c r="F111" s="10">
        <v>42725.713888888888</v>
      </c>
    </row>
    <row r="112" spans="2:6" ht="12.75" customHeight="1" x14ac:dyDescent="0.25">
      <c r="B112" s="9">
        <v>3304</v>
      </c>
      <c r="C112" s="9" t="s">
        <v>20</v>
      </c>
      <c r="D112" s="9" t="s">
        <v>17</v>
      </c>
      <c r="E112" s="10">
        <v>42725.465277777781</v>
      </c>
      <c r="F112" s="10">
        <v>42725.540277777778</v>
      </c>
    </row>
    <row r="113" spans="2:6" ht="12.75" customHeight="1" x14ac:dyDescent="0.25">
      <c r="B113" s="9">
        <v>3305</v>
      </c>
      <c r="C113" s="9" t="s">
        <v>17</v>
      </c>
      <c r="D113" s="9" t="s">
        <v>20</v>
      </c>
      <c r="E113" s="10">
        <v>42725.568055555559</v>
      </c>
      <c r="F113" s="10">
        <v>42725.651388888888</v>
      </c>
    </row>
    <row r="114" spans="2:6" ht="12.75" customHeight="1" x14ac:dyDescent="0.25">
      <c r="B114" s="9">
        <v>3310</v>
      </c>
      <c r="C114" s="9" t="s">
        <v>20</v>
      </c>
      <c r="D114" s="9" t="s">
        <v>19</v>
      </c>
      <c r="E114" s="10">
        <v>42725.363194444442</v>
      </c>
      <c r="F114" s="10">
        <v>42725.407638888886</v>
      </c>
    </row>
    <row r="115" spans="2:6" ht="12.75" customHeight="1" x14ac:dyDescent="0.25">
      <c r="B115" s="9">
        <v>3311</v>
      </c>
      <c r="C115" s="9" t="s">
        <v>19</v>
      </c>
      <c r="D115" s="9" t="s">
        <v>20</v>
      </c>
      <c r="E115" s="10">
        <v>42725.738194444442</v>
      </c>
      <c r="F115" s="10">
        <v>42725.786805555559</v>
      </c>
    </row>
    <row r="116" spans="2:6" ht="12.75" customHeight="1" x14ac:dyDescent="0.25">
      <c r="B116" s="9">
        <v>4162</v>
      </c>
      <c r="C116" s="9" t="s">
        <v>24</v>
      </c>
      <c r="D116" s="9" t="s">
        <v>15</v>
      </c>
      <c r="E116" s="10">
        <v>42725.332638888889</v>
      </c>
      <c r="F116" s="10">
        <v>42725.376388888886</v>
      </c>
    </row>
  </sheetData>
  <autoFilter ref="B2:F116" xr:uid="{00000000-0009-0000-0000-000004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2:F118"/>
  <sheetViews>
    <sheetView showGridLines="0" zoomScaleNormal="100" workbookViewId="0"/>
  </sheetViews>
  <sheetFormatPr baseColWidth="10" defaultColWidth="11.42578125" defaultRowHeight="12.75" customHeight="1" x14ac:dyDescent="0.25"/>
  <cols>
    <col min="2" max="2" width="14.28515625" style="2" customWidth="1"/>
    <col min="3" max="4" width="14.28515625" style="1" customWidth="1"/>
    <col min="5" max="6" width="14.28515625" customWidth="1"/>
  </cols>
  <sheetData>
    <row r="2" spans="2:6" ht="12.75" customHeight="1" x14ac:dyDescent="0.25">
      <c r="B2" s="12" t="s">
        <v>75</v>
      </c>
      <c r="C2" s="12" t="s">
        <v>76</v>
      </c>
      <c r="D2" s="12" t="s">
        <v>77</v>
      </c>
      <c r="E2" s="12" t="s">
        <v>78</v>
      </c>
      <c r="F2" s="12" t="s">
        <v>79</v>
      </c>
    </row>
    <row r="3" spans="2:6" ht="12.75" customHeight="1" x14ac:dyDescent="0.25">
      <c r="B3" s="9">
        <v>3000</v>
      </c>
      <c r="C3" s="9" t="s">
        <v>24</v>
      </c>
      <c r="D3" s="9" t="s">
        <v>20</v>
      </c>
      <c r="E3" s="10">
        <v>42726.238888888889</v>
      </c>
      <c r="F3" s="10">
        <v>42726.279861111114</v>
      </c>
    </row>
    <row r="4" spans="2:6" ht="12.75" customHeight="1" x14ac:dyDescent="0.25">
      <c r="B4" s="9">
        <v>3001</v>
      </c>
      <c r="C4" s="9" t="s">
        <v>20</v>
      </c>
      <c r="D4" s="9" t="s">
        <v>24</v>
      </c>
      <c r="E4" s="10">
        <v>42726.305555555555</v>
      </c>
      <c r="F4" s="10">
        <v>42726.34375</v>
      </c>
    </row>
    <row r="5" spans="2:6" ht="12.75" customHeight="1" x14ac:dyDescent="0.25">
      <c r="B5" s="9">
        <v>3002</v>
      </c>
      <c r="C5" s="9" t="s">
        <v>24</v>
      </c>
      <c r="D5" s="9" t="s">
        <v>20</v>
      </c>
      <c r="E5" s="10">
        <v>42726.26666666667</v>
      </c>
      <c r="F5" s="10">
        <v>42726.307638888888</v>
      </c>
    </row>
    <row r="6" spans="2:6" ht="12.75" customHeight="1" x14ac:dyDescent="0.25">
      <c r="B6" s="9">
        <v>3003</v>
      </c>
      <c r="C6" s="9" t="s">
        <v>20</v>
      </c>
      <c r="D6" s="9" t="s">
        <v>24</v>
      </c>
      <c r="E6" s="10">
        <v>42726.26666666667</v>
      </c>
      <c r="F6" s="10">
        <v>42726.304861111108</v>
      </c>
    </row>
    <row r="7" spans="2:6" ht="12.75" customHeight="1" x14ac:dyDescent="0.25">
      <c r="B7" s="9">
        <v>3004</v>
      </c>
      <c r="C7" s="9" t="s">
        <v>24</v>
      </c>
      <c r="D7" s="9" t="s">
        <v>20</v>
      </c>
      <c r="E7" s="10">
        <v>42726.316666666666</v>
      </c>
      <c r="F7" s="10">
        <v>42726.357638888891</v>
      </c>
    </row>
    <row r="8" spans="2:6" ht="12.75" customHeight="1" x14ac:dyDescent="0.25">
      <c r="B8" s="9">
        <v>3005</v>
      </c>
      <c r="C8" s="9" t="s">
        <v>20</v>
      </c>
      <c r="D8" s="9" t="s">
        <v>24</v>
      </c>
      <c r="E8" s="10">
        <v>42726.378472222219</v>
      </c>
      <c r="F8" s="10">
        <v>42726.416666666664</v>
      </c>
    </row>
    <row r="9" spans="2:6" ht="12.75" customHeight="1" x14ac:dyDescent="0.25">
      <c r="B9" s="9">
        <v>3006</v>
      </c>
      <c r="C9" s="9" t="s">
        <v>24</v>
      </c>
      <c r="D9" s="9" t="s">
        <v>20</v>
      </c>
      <c r="E9" s="10">
        <v>42726.38958333333</v>
      </c>
      <c r="F9" s="10">
        <v>42726.430555555555</v>
      </c>
    </row>
    <row r="10" spans="2:6" ht="12.75" customHeight="1" x14ac:dyDescent="0.25">
      <c r="B10" s="9">
        <v>3010</v>
      </c>
      <c r="C10" s="9" t="s">
        <v>24</v>
      </c>
      <c r="D10" s="9" t="s">
        <v>20</v>
      </c>
      <c r="E10" s="10">
        <v>42726.54791666667</v>
      </c>
      <c r="F10" s="10">
        <v>42726.588888888888</v>
      </c>
    </row>
    <row r="11" spans="2:6" ht="12.75" customHeight="1" x14ac:dyDescent="0.25">
      <c r="B11" s="9">
        <v>3011</v>
      </c>
      <c r="C11" s="9" t="s">
        <v>20</v>
      </c>
      <c r="D11" s="9" t="s">
        <v>24</v>
      </c>
      <c r="E11" s="10">
        <v>42726.611111111109</v>
      </c>
      <c r="F11" s="10">
        <v>42726.649305555555</v>
      </c>
    </row>
    <row r="12" spans="2:6" ht="12.75" customHeight="1" x14ac:dyDescent="0.25">
      <c r="B12" s="9">
        <v>3013</v>
      </c>
      <c r="C12" s="9" t="s">
        <v>20</v>
      </c>
      <c r="D12" s="9" t="s">
        <v>24</v>
      </c>
      <c r="E12" s="10">
        <v>42726.679166666669</v>
      </c>
      <c r="F12" s="10">
        <v>42726.717361111114</v>
      </c>
    </row>
    <row r="13" spans="2:6" ht="12.75" customHeight="1" x14ac:dyDescent="0.25">
      <c r="B13" s="9">
        <v>3016</v>
      </c>
      <c r="C13" s="9" t="s">
        <v>24</v>
      </c>
      <c r="D13" s="9" t="s">
        <v>20</v>
      </c>
      <c r="E13" s="10">
        <v>42726.720833333333</v>
      </c>
      <c r="F13" s="10">
        <v>42726.761805555558</v>
      </c>
    </row>
    <row r="14" spans="2:6" ht="12.75" customHeight="1" x14ac:dyDescent="0.25">
      <c r="B14" s="9">
        <v>3017</v>
      </c>
      <c r="C14" s="9" t="s">
        <v>20</v>
      </c>
      <c r="D14" s="9" t="s">
        <v>24</v>
      </c>
      <c r="E14" s="10">
        <v>42726.782638888886</v>
      </c>
      <c r="F14" s="10">
        <v>42726.820833333331</v>
      </c>
    </row>
    <row r="15" spans="2:6" ht="12.75" customHeight="1" x14ac:dyDescent="0.25">
      <c r="B15" s="9">
        <v>3018</v>
      </c>
      <c r="C15" s="9" t="s">
        <v>24</v>
      </c>
      <c r="D15" s="9" t="s">
        <v>20</v>
      </c>
      <c r="E15" s="10">
        <v>42726.829861111109</v>
      </c>
      <c r="F15" s="10">
        <v>42726.870833333334</v>
      </c>
    </row>
    <row r="16" spans="2:6" ht="12.75" customHeight="1" x14ac:dyDescent="0.25">
      <c r="B16" s="9">
        <v>3019</v>
      </c>
      <c r="C16" s="9" t="s">
        <v>20</v>
      </c>
      <c r="D16" s="9" t="s">
        <v>24</v>
      </c>
      <c r="E16" s="10">
        <v>42726.89166666667</v>
      </c>
      <c r="F16" s="10">
        <v>42726.929861111108</v>
      </c>
    </row>
    <row r="17" spans="2:6" ht="12.75" customHeight="1" x14ac:dyDescent="0.25">
      <c r="B17" s="9">
        <v>3020</v>
      </c>
      <c r="C17" s="9" t="s">
        <v>24</v>
      </c>
      <c r="D17" s="9" t="s">
        <v>20</v>
      </c>
      <c r="E17" s="10">
        <v>42726.854861111111</v>
      </c>
      <c r="F17" s="10">
        <v>42726.895833333336</v>
      </c>
    </row>
    <row r="18" spans="2:6" ht="12.75" customHeight="1" x14ac:dyDescent="0.25">
      <c r="B18" s="9">
        <v>3023</v>
      </c>
      <c r="C18" s="9" t="s">
        <v>20</v>
      </c>
      <c r="D18" s="9" t="s">
        <v>24</v>
      </c>
      <c r="E18" s="10">
        <v>42726.815972222219</v>
      </c>
      <c r="F18" s="10">
        <v>42726.854166666664</v>
      </c>
    </row>
    <row r="19" spans="2:6" ht="12.75" customHeight="1" x14ac:dyDescent="0.25">
      <c r="B19" s="9">
        <v>3024</v>
      </c>
      <c r="C19" s="9" t="s">
        <v>24</v>
      </c>
      <c r="D19" s="9" t="s">
        <v>20</v>
      </c>
      <c r="E19" s="10">
        <v>42726.78402777778</v>
      </c>
      <c r="F19" s="10">
        <v>42726.824999999997</v>
      </c>
    </row>
    <row r="20" spans="2:6" ht="12.75" customHeight="1" x14ac:dyDescent="0.25">
      <c r="B20" s="9">
        <v>3042</v>
      </c>
      <c r="C20" s="9" t="s">
        <v>24</v>
      </c>
      <c r="D20" s="9" t="s">
        <v>20</v>
      </c>
      <c r="E20" s="10">
        <v>42726.902777777781</v>
      </c>
      <c r="F20" s="10">
        <v>42726.943749999999</v>
      </c>
    </row>
    <row r="21" spans="2:6" ht="12.75" customHeight="1" x14ac:dyDescent="0.25">
      <c r="B21" s="9">
        <v>3043</v>
      </c>
      <c r="C21" s="9" t="s">
        <v>20</v>
      </c>
      <c r="D21" s="9" t="s">
        <v>24</v>
      </c>
      <c r="E21" s="10">
        <v>42726.243055555555</v>
      </c>
      <c r="F21" s="10">
        <v>42726.28125</v>
      </c>
    </row>
    <row r="22" spans="2:6" ht="12.75" customHeight="1" x14ac:dyDescent="0.25">
      <c r="B22" s="9">
        <v>3044</v>
      </c>
      <c r="C22" s="9" t="s">
        <v>24</v>
      </c>
      <c r="D22" s="9" t="s">
        <v>17</v>
      </c>
      <c r="E22" s="10">
        <v>42726.368055555555</v>
      </c>
      <c r="F22" s="10">
        <v>42726.461805555555</v>
      </c>
    </row>
    <row r="23" spans="2:6" ht="12.75" customHeight="1" x14ac:dyDescent="0.25">
      <c r="B23" s="9">
        <v>3045</v>
      </c>
      <c r="C23" s="9" t="s">
        <v>17</v>
      </c>
      <c r="D23" s="9" t="s">
        <v>24</v>
      </c>
      <c r="E23" s="10">
        <v>42726.506944444445</v>
      </c>
      <c r="F23" s="10">
        <v>42726.59375</v>
      </c>
    </row>
    <row r="24" spans="2:6" ht="12.75" customHeight="1" x14ac:dyDescent="0.25">
      <c r="B24" s="9">
        <v>3050</v>
      </c>
      <c r="C24" s="9" t="s">
        <v>27</v>
      </c>
      <c r="D24" s="9" t="s">
        <v>24</v>
      </c>
      <c r="E24" s="10">
        <v>42726.309027777781</v>
      </c>
      <c r="F24" s="10">
        <v>42726.350694444445</v>
      </c>
    </row>
    <row r="25" spans="2:6" ht="12.75" customHeight="1" x14ac:dyDescent="0.25">
      <c r="B25" s="9">
        <v>3051</v>
      </c>
      <c r="C25" s="9" t="s">
        <v>24</v>
      </c>
      <c r="D25" s="9" t="s">
        <v>27</v>
      </c>
      <c r="E25" s="10">
        <v>42726.242361111108</v>
      </c>
      <c r="F25" s="10">
        <v>42726.288194444445</v>
      </c>
    </row>
    <row r="26" spans="2:6" ht="12.75" customHeight="1" x14ac:dyDescent="0.25">
      <c r="B26" s="9">
        <v>3053</v>
      </c>
      <c r="C26" s="9" t="s">
        <v>24</v>
      </c>
      <c r="D26" s="9" t="s">
        <v>27</v>
      </c>
      <c r="E26" s="10">
        <v>42726.309027777781</v>
      </c>
      <c r="F26" s="10">
        <v>42726.354861111111</v>
      </c>
    </row>
    <row r="27" spans="2:6" ht="12.75" customHeight="1" x14ac:dyDescent="0.25">
      <c r="B27" s="9">
        <v>3054</v>
      </c>
      <c r="C27" s="9" t="s">
        <v>27</v>
      </c>
      <c r="D27" s="9" t="s">
        <v>24</v>
      </c>
      <c r="E27" s="10">
        <v>42726.738194444442</v>
      </c>
      <c r="F27" s="10">
        <v>42726.779861111114</v>
      </c>
    </row>
    <row r="28" spans="2:6" ht="12.75" customHeight="1" x14ac:dyDescent="0.25">
      <c r="B28" s="9">
        <v>3055</v>
      </c>
      <c r="C28" s="9" t="s">
        <v>24</v>
      </c>
      <c r="D28" s="9" t="s">
        <v>27</v>
      </c>
      <c r="E28" s="10">
        <v>42726.436805555553</v>
      </c>
      <c r="F28" s="10">
        <v>42726.482638888891</v>
      </c>
    </row>
    <row r="29" spans="2:6" ht="12.75" customHeight="1" x14ac:dyDescent="0.25">
      <c r="B29" s="9">
        <v>3060</v>
      </c>
      <c r="C29" s="9" t="s">
        <v>27</v>
      </c>
      <c r="D29" s="9" t="s">
        <v>24</v>
      </c>
      <c r="E29" s="10">
        <v>42726.599305555559</v>
      </c>
      <c r="F29" s="10">
        <v>42726.640972222223</v>
      </c>
    </row>
    <row r="30" spans="2:6" ht="12.75" customHeight="1" x14ac:dyDescent="0.25">
      <c r="B30" s="9">
        <v>3062</v>
      </c>
      <c r="C30" s="9" t="s">
        <v>27</v>
      </c>
      <c r="D30" s="9" t="s">
        <v>24</v>
      </c>
      <c r="E30" s="10">
        <v>42726.791666666664</v>
      </c>
      <c r="F30" s="10">
        <v>42726.833333333336</v>
      </c>
    </row>
    <row r="31" spans="2:6" ht="12.75" customHeight="1" x14ac:dyDescent="0.25">
      <c r="B31" s="9">
        <v>3064</v>
      </c>
      <c r="C31" s="9" t="s">
        <v>27</v>
      </c>
      <c r="D31" s="9" t="s">
        <v>24</v>
      </c>
      <c r="E31" s="10">
        <v>42726.790972222225</v>
      </c>
      <c r="F31" s="10">
        <v>42726.832638888889</v>
      </c>
    </row>
    <row r="32" spans="2:6" ht="12.75" customHeight="1" x14ac:dyDescent="0.25">
      <c r="B32" s="9">
        <v>3065</v>
      </c>
      <c r="C32" s="9" t="s">
        <v>24</v>
      </c>
      <c r="D32" s="9" t="s">
        <v>27</v>
      </c>
      <c r="E32" s="10">
        <v>42726.724305555559</v>
      </c>
      <c r="F32" s="10">
        <v>42726.770138888889</v>
      </c>
    </row>
    <row r="33" spans="2:6" ht="12.75" customHeight="1" x14ac:dyDescent="0.25">
      <c r="B33" s="9">
        <v>3067</v>
      </c>
      <c r="C33" s="9" t="s">
        <v>24</v>
      </c>
      <c r="D33" s="9" t="s">
        <v>27</v>
      </c>
      <c r="E33" s="10">
        <v>42726.773611111108</v>
      </c>
      <c r="F33" s="10">
        <v>42726.819444444445</v>
      </c>
    </row>
    <row r="34" spans="2:6" ht="12.75" customHeight="1" x14ac:dyDescent="0.25">
      <c r="B34" s="9">
        <v>3068</v>
      </c>
      <c r="C34" s="9" t="s">
        <v>27</v>
      </c>
      <c r="D34" s="9" t="s">
        <v>24</v>
      </c>
      <c r="E34" s="10">
        <v>42726.879166666666</v>
      </c>
      <c r="F34" s="10">
        <v>42726.92083333333</v>
      </c>
    </row>
    <row r="35" spans="2:6" ht="12.75" customHeight="1" x14ac:dyDescent="0.25">
      <c r="B35" s="9">
        <v>3069</v>
      </c>
      <c r="C35" s="9" t="s">
        <v>24</v>
      </c>
      <c r="D35" s="9" t="s">
        <v>27</v>
      </c>
      <c r="E35" s="10">
        <v>42726.810416666667</v>
      </c>
      <c r="F35" s="10">
        <v>42726.856249999997</v>
      </c>
    </row>
    <row r="36" spans="2:6" ht="12.75" customHeight="1" x14ac:dyDescent="0.25">
      <c r="B36" s="9">
        <v>3088</v>
      </c>
      <c r="C36" s="9" t="s">
        <v>27</v>
      </c>
      <c r="D36" s="9" t="s">
        <v>24</v>
      </c>
      <c r="E36" s="10">
        <v>42726.275000000001</v>
      </c>
      <c r="F36" s="10">
        <v>42726.316666666666</v>
      </c>
    </row>
    <row r="37" spans="2:6" ht="12.75" customHeight="1" x14ac:dyDescent="0.25">
      <c r="B37" s="9">
        <v>3089</v>
      </c>
      <c r="C37" s="9" t="s">
        <v>24</v>
      </c>
      <c r="D37" s="9" t="s">
        <v>27</v>
      </c>
      <c r="E37" s="10">
        <v>42726.208333333336</v>
      </c>
      <c r="F37" s="10">
        <v>42726.254166666666</v>
      </c>
    </row>
    <row r="38" spans="2:6" ht="12.75" customHeight="1" x14ac:dyDescent="0.25">
      <c r="B38" s="9">
        <v>3090</v>
      </c>
      <c r="C38" s="9" t="s">
        <v>24</v>
      </c>
      <c r="D38" s="9" t="s">
        <v>19</v>
      </c>
      <c r="E38" s="10">
        <v>42726.289583333331</v>
      </c>
      <c r="F38" s="10">
        <v>42726.35</v>
      </c>
    </row>
    <row r="39" spans="2:6" ht="12.75" customHeight="1" x14ac:dyDescent="0.25">
      <c r="B39" s="9">
        <v>3091</v>
      </c>
      <c r="C39" s="9" t="s">
        <v>19</v>
      </c>
      <c r="D39" s="9" t="s">
        <v>24</v>
      </c>
      <c r="E39" s="10">
        <v>42726.370833333334</v>
      </c>
      <c r="F39" s="10">
        <v>42726.431250000001</v>
      </c>
    </row>
    <row r="40" spans="2:6" ht="12.75" customHeight="1" x14ac:dyDescent="0.25">
      <c r="B40" s="9">
        <v>3093</v>
      </c>
      <c r="C40" s="9" t="s">
        <v>19</v>
      </c>
      <c r="D40" s="9" t="s">
        <v>24</v>
      </c>
      <c r="E40" s="10">
        <v>42726.429166666669</v>
      </c>
      <c r="F40" s="10">
        <v>42726.489583333336</v>
      </c>
    </row>
    <row r="41" spans="2:6" ht="12.75" customHeight="1" x14ac:dyDescent="0.25">
      <c r="B41" s="9">
        <v>3094</v>
      </c>
      <c r="C41" s="9" t="s">
        <v>24</v>
      </c>
      <c r="D41" s="9" t="s">
        <v>19</v>
      </c>
      <c r="E41" s="10">
        <v>42726.402777777781</v>
      </c>
      <c r="F41" s="10">
        <v>42726.463194444441</v>
      </c>
    </row>
    <row r="42" spans="2:6" ht="12.75" customHeight="1" x14ac:dyDescent="0.25">
      <c r="B42" s="9">
        <v>3095</v>
      </c>
      <c r="C42" s="9" t="s">
        <v>19</v>
      </c>
      <c r="D42" s="9" t="s">
        <v>24</v>
      </c>
      <c r="E42" s="10">
        <v>42726.484027777777</v>
      </c>
      <c r="F42" s="10">
        <v>42726.544444444444</v>
      </c>
    </row>
    <row r="43" spans="2:6" ht="12.75" customHeight="1" x14ac:dyDescent="0.25">
      <c r="B43" s="9">
        <v>3096</v>
      </c>
      <c r="C43" s="9" t="s">
        <v>24</v>
      </c>
      <c r="D43" s="9" t="s">
        <v>19</v>
      </c>
      <c r="E43" s="10">
        <v>42726.46875</v>
      </c>
      <c r="F43" s="10">
        <v>42726.529166666667</v>
      </c>
    </row>
    <row r="44" spans="2:6" ht="12.75" customHeight="1" x14ac:dyDescent="0.25">
      <c r="B44" s="9">
        <v>3097</v>
      </c>
      <c r="C44" s="9" t="s">
        <v>19</v>
      </c>
      <c r="D44" s="9" t="s">
        <v>24</v>
      </c>
      <c r="E44" s="10">
        <v>42726.556944444441</v>
      </c>
      <c r="F44" s="10">
        <v>42726.617361111108</v>
      </c>
    </row>
    <row r="45" spans="2:6" ht="12.75" customHeight="1" x14ac:dyDescent="0.25">
      <c r="B45" s="9">
        <v>3098</v>
      </c>
      <c r="C45" s="9" t="s">
        <v>24</v>
      </c>
      <c r="D45" s="9" t="s">
        <v>19</v>
      </c>
      <c r="E45" s="10">
        <v>42726.582638888889</v>
      </c>
      <c r="F45" s="10">
        <v>42726.643055555556</v>
      </c>
    </row>
    <row r="46" spans="2:6" ht="12.75" customHeight="1" x14ac:dyDescent="0.25">
      <c r="B46" s="9">
        <v>3099</v>
      </c>
      <c r="C46" s="9" t="s">
        <v>19</v>
      </c>
      <c r="D46" s="9" t="s">
        <v>24</v>
      </c>
      <c r="E46" s="10">
        <v>42726.668749999997</v>
      </c>
      <c r="F46" s="10">
        <v>42726.729166666664</v>
      </c>
    </row>
    <row r="47" spans="2:6" ht="12.75" customHeight="1" x14ac:dyDescent="0.25">
      <c r="B47" s="9">
        <v>3100</v>
      </c>
      <c r="C47" s="9" t="s">
        <v>24</v>
      </c>
      <c r="D47" s="9" t="s">
        <v>19</v>
      </c>
      <c r="E47" s="10">
        <v>42726.646527777775</v>
      </c>
      <c r="F47" s="10">
        <v>42726.706944444442</v>
      </c>
    </row>
    <row r="48" spans="2:6" ht="12.75" customHeight="1" x14ac:dyDescent="0.25">
      <c r="B48" s="9">
        <v>3102</v>
      </c>
      <c r="C48" s="9" t="s">
        <v>24</v>
      </c>
      <c r="D48" s="9" t="s">
        <v>19</v>
      </c>
      <c r="E48" s="10">
        <v>42726.759027777778</v>
      </c>
      <c r="F48" s="10">
        <v>42726.819444444445</v>
      </c>
    </row>
    <row r="49" spans="2:6" ht="12.75" customHeight="1" x14ac:dyDescent="0.25">
      <c r="B49" s="9">
        <v>3103</v>
      </c>
      <c r="C49" s="9" t="s">
        <v>19</v>
      </c>
      <c r="D49" s="9" t="s">
        <v>24</v>
      </c>
      <c r="E49" s="10">
        <v>42726.834722222222</v>
      </c>
      <c r="F49" s="10">
        <v>42726.895138888889</v>
      </c>
    </row>
    <row r="50" spans="2:6" ht="12.75" customHeight="1" x14ac:dyDescent="0.25">
      <c r="B50" s="9">
        <v>3108</v>
      </c>
      <c r="C50" s="9" t="s">
        <v>24</v>
      </c>
      <c r="D50" s="9" t="s">
        <v>19</v>
      </c>
      <c r="E50" s="10">
        <v>42726.86041666667</v>
      </c>
      <c r="F50" s="10">
        <v>42726.92083333333</v>
      </c>
    </row>
    <row r="51" spans="2:6" ht="12.75" customHeight="1" x14ac:dyDescent="0.25">
      <c r="B51" s="9">
        <v>3109</v>
      </c>
      <c r="C51" s="9" t="s">
        <v>19</v>
      </c>
      <c r="D51" s="9" t="s">
        <v>24</v>
      </c>
      <c r="E51" s="10">
        <v>42726.941666666666</v>
      </c>
      <c r="F51" s="10">
        <v>42727.002083333333</v>
      </c>
    </row>
    <row r="52" spans="2:6" ht="12.75" customHeight="1" x14ac:dyDescent="0.25">
      <c r="B52" s="9">
        <v>3110</v>
      </c>
      <c r="C52" s="9" t="s">
        <v>24</v>
      </c>
      <c r="D52" s="9" t="s">
        <v>19</v>
      </c>
      <c r="E52" s="10">
        <v>42726.895138888889</v>
      </c>
      <c r="F52" s="10">
        <v>42726.955555555556</v>
      </c>
    </row>
    <row r="53" spans="2:6" ht="12.75" customHeight="1" x14ac:dyDescent="0.25">
      <c r="B53" s="9">
        <v>3111</v>
      </c>
      <c r="C53" s="9" t="s">
        <v>19</v>
      </c>
      <c r="D53" s="9" t="s">
        <v>24</v>
      </c>
      <c r="E53" s="10">
        <v>42726.976388888892</v>
      </c>
      <c r="F53" s="10">
        <v>42727.036805555559</v>
      </c>
    </row>
    <row r="54" spans="2:6" ht="12.75" customHeight="1" x14ac:dyDescent="0.25">
      <c r="B54" s="9">
        <v>3114</v>
      </c>
      <c r="C54" s="9" t="s">
        <v>24</v>
      </c>
      <c r="D54" s="9" t="s">
        <v>22</v>
      </c>
      <c r="E54" s="10">
        <v>42726.384722222225</v>
      </c>
      <c r="F54" s="10">
        <v>42726.475694444445</v>
      </c>
    </row>
    <row r="55" spans="2:6" ht="12.75" customHeight="1" x14ac:dyDescent="0.25">
      <c r="B55" s="9">
        <v>3115</v>
      </c>
      <c r="C55" s="9" t="s">
        <v>22</v>
      </c>
      <c r="D55" s="9" t="s">
        <v>24</v>
      </c>
      <c r="E55" s="10">
        <v>42726.518055555556</v>
      </c>
      <c r="F55" s="10">
        <v>42726.604861111111</v>
      </c>
    </row>
    <row r="56" spans="2:6" ht="12.75" customHeight="1" x14ac:dyDescent="0.25">
      <c r="B56" s="9">
        <v>3116</v>
      </c>
      <c r="C56" s="9" t="s">
        <v>24</v>
      </c>
      <c r="D56" s="9" t="s">
        <v>22</v>
      </c>
      <c r="E56" s="10">
        <v>42726.551388888889</v>
      </c>
      <c r="F56" s="10">
        <v>42726.642361111109</v>
      </c>
    </row>
    <row r="57" spans="2:6" ht="12.75" customHeight="1" x14ac:dyDescent="0.25">
      <c r="B57" s="9">
        <v>3117</v>
      </c>
      <c r="C57" s="9" t="s">
        <v>22</v>
      </c>
      <c r="D57" s="9" t="s">
        <v>24</v>
      </c>
      <c r="E57" s="10">
        <v>42726.669444444444</v>
      </c>
      <c r="F57" s="10">
        <v>42726.756249999999</v>
      </c>
    </row>
    <row r="58" spans="2:6" ht="12.75" customHeight="1" x14ac:dyDescent="0.25">
      <c r="B58" s="9">
        <v>3120</v>
      </c>
      <c r="C58" s="9" t="s">
        <v>24</v>
      </c>
      <c r="D58" s="9" t="s">
        <v>14</v>
      </c>
      <c r="E58" s="10">
        <v>42726.249305555553</v>
      </c>
      <c r="F58" s="10">
        <v>42726.311111111114</v>
      </c>
    </row>
    <row r="59" spans="2:6" ht="12.75" customHeight="1" x14ac:dyDescent="0.25">
      <c r="B59" s="9">
        <v>3121</v>
      </c>
      <c r="C59" s="9" t="s">
        <v>14</v>
      </c>
      <c r="D59" s="9" t="s">
        <v>24</v>
      </c>
      <c r="E59" s="10">
        <v>42726.331944444442</v>
      </c>
      <c r="F59" s="10">
        <v>42726.395138888889</v>
      </c>
    </row>
    <row r="60" spans="2:6" ht="12.75" customHeight="1" x14ac:dyDescent="0.25">
      <c r="B60" s="9">
        <v>3130</v>
      </c>
      <c r="C60" s="9" t="s">
        <v>24</v>
      </c>
      <c r="D60" s="9" t="s">
        <v>14</v>
      </c>
      <c r="E60" s="10">
        <v>42726.357638888891</v>
      </c>
      <c r="F60" s="10">
        <v>42726.419444444444</v>
      </c>
    </row>
    <row r="61" spans="2:6" ht="12.75" customHeight="1" x14ac:dyDescent="0.25">
      <c r="B61" s="9">
        <v>3131</v>
      </c>
      <c r="C61" s="9" t="s">
        <v>14</v>
      </c>
      <c r="D61" s="9" t="s">
        <v>24</v>
      </c>
      <c r="E61" s="10">
        <v>42726.445833333331</v>
      </c>
      <c r="F61" s="10">
        <v>42726.509027777778</v>
      </c>
    </row>
    <row r="62" spans="2:6" ht="12.75" customHeight="1" x14ac:dyDescent="0.25">
      <c r="B62" s="9">
        <v>3132</v>
      </c>
      <c r="C62" s="9" t="s">
        <v>24</v>
      </c>
      <c r="D62" s="9" t="s">
        <v>14</v>
      </c>
      <c r="E62" s="10">
        <v>42726.611111111109</v>
      </c>
      <c r="F62" s="10">
        <v>42726.67291666667</v>
      </c>
    </row>
    <row r="63" spans="2:6" ht="12.75" customHeight="1" x14ac:dyDescent="0.25">
      <c r="B63" s="9">
        <v>3133</v>
      </c>
      <c r="C63" s="9" t="s">
        <v>14</v>
      </c>
      <c r="D63" s="9" t="s">
        <v>24</v>
      </c>
      <c r="E63" s="10">
        <v>42726.700694444444</v>
      </c>
      <c r="F63" s="10">
        <v>42726.763888888891</v>
      </c>
    </row>
    <row r="64" spans="2:6" ht="12.75" customHeight="1" x14ac:dyDescent="0.25">
      <c r="B64" s="9">
        <v>3136</v>
      </c>
      <c r="C64" s="9" t="s">
        <v>24</v>
      </c>
      <c r="D64" s="9" t="s">
        <v>14</v>
      </c>
      <c r="E64" s="10">
        <v>42726.791666666664</v>
      </c>
      <c r="F64" s="10">
        <v>42726.853472222225</v>
      </c>
    </row>
    <row r="65" spans="2:6" ht="12.75" customHeight="1" x14ac:dyDescent="0.25">
      <c r="B65" s="9">
        <v>3137</v>
      </c>
      <c r="C65" s="9" t="s">
        <v>14</v>
      </c>
      <c r="D65" s="9" t="s">
        <v>24</v>
      </c>
      <c r="E65" s="10">
        <v>42726.874305555553</v>
      </c>
      <c r="F65" s="10">
        <v>42726.9375</v>
      </c>
    </row>
    <row r="66" spans="2:6" ht="12.75" customHeight="1" x14ac:dyDescent="0.25">
      <c r="B66" s="9">
        <v>3138</v>
      </c>
      <c r="C66" s="9" t="s">
        <v>24</v>
      </c>
      <c r="D66" s="9" t="s">
        <v>14</v>
      </c>
      <c r="E66" s="10">
        <v>42726.89166666667</v>
      </c>
      <c r="F66" s="10">
        <v>42726.953472222223</v>
      </c>
    </row>
    <row r="67" spans="2:6" ht="12.75" customHeight="1" x14ac:dyDescent="0.25">
      <c r="B67" s="9">
        <v>3139</v>
      </c>
      <c r="C67" s="9" t="s">
        <v>14</v>
      </c>
      <c r="D67" s="9" t="s">
        <v>24</v>
      </c>
      <c r="E67" s="10">
        <v>42726.245138888888</v>
      </c>
      <c r="F67" s="10">
        <v>42726.308333333334</v>
      </c>
    </row>
    <row r="68" spans="2:6" ht="12.75" customHeight="1" x14ac:dyDescent="0.25">
      <c r="B68" s="9">
        <v>3142</v>
      </c>
      <c r="C68" s="9" t="s">
        <v>24</v>
      </c>
      <c r="D68" s="9" t="s">
        <v>16</v>
      </c>
      <c r="E68" s="10">
        <v>42726.332638888889</v>
      </c>
      <c r="F68" s="10">
        <v>42726.395833333336</v>
      </c>
    </row>
    <row r="69" spans="2:6" ht="12.75" customHeight="1" x14ac:dyDescent="0.25">
      <c r="B69" s="9">
        <v>3143</v>
      </c>
      <c r="C69" s="9" t="s">
        <v>16</v>
      </c>
      <c r="D69" s="9" t="s">
        <v>24</v>
      </c>
      <c r="E69" s="10">
        <v>42726.416666666664</v>
      </c>
      <c r="F69" s="10">
        <v>42726.480555555558</v>
      </c>
    </row>
    <row r="70" spans="2:6" ht="12.75" customHeight="1" x14ac:dyDescent="0.25">
      <c r="B70" s="9">
        <v>3144</v>
      </c>
      <c r="C70" s="9" t="s">
        <v>24</v>
      </c>
      <c r="D70" s="9" t="s">
        <v>16</v>
      </c>
      <c r="E70" s="10">
        <v>42726.416666666664</v>
      </c>
      <c r="F70" s="10">
        <v>42726.479861111111</v>
      </c>
    </row>
    <row r="71" spans="2:6" ht="12.75" customHeight="1" x14ac:dyDescent="0.25">
      <c r="B71" s="9">
        <v>3145</v>
      </c>
      <c r="C71" s="9" t="s">
        <v>16</v>
      </c>
      <c r="D71" s="9" t="s">
        <v>24</v>
      </c>
      <c r="E71" s="10">
        <v>42726.500694444447</v>
      </c>
      <c r="F71" s="10">
        <v>42726.564583333333</v>
      </c>
    </row>
    <row r="72" spans="2:6" ht="12.75" customHeight="1" x14ac:dyDescent="0.25">
      <c r="B72" s="9">
        <v>3146</v>
      </c>
      <c r="C72" s="9" t="s">
        <v>24</v>
      </c>
      <c r="D72" s="9" t="s">
        <v>16</v>
      </c>
      <c r="E72" s="10">
        <v>42726.563194444447</v>
      </c>
      <c r="F72" s="10">
        <v>42726.626388888886</v>
      </c>
    </row>
    <row r="73" spans="2:6" ht="12.75" customHeight="1" x14ac:dyDescent="0.25">
      <c r="B73" s="9">
        <v>3147</v>
      </c>
      <c r="C73" s="9" t="s">
        <v>16</v>
      </c>
      <c r="D73" s="9" t="s">
        <v>24</v>
      </c>
      <c r="E73" s="10">
        <v>42726.647222222222</v>
      </c>
      <c r="F73" s="10">
        <v>42726.711111111108</v>
      </c>
    </row>
    <row r="74" spans="2:6" ht="12.75" customHeight="1" x14ac:dyDescent="0.25">
      <c r="B74" s="9">
        <v>3149</v>
      </c>
      <c r="C74" s="9" t="s">
        <v>16</v>
      </c>
      <c r="D74" s="9" t="s">
        <v>24</v>
      </c>
      <c r="E74" s="10">
        <v>42726.861805555556</v>
      </c>
      <c r="F74" s="10">
        <v>42726.925694444442</v>
      </c>
    </row>
    <row r="75" spans="2:6" ht="12.75" customHeight="1" x14ac:dyDescent="0.25">
      <c r="B75" s="9">
        <v>3150</v>
      </c>
      <c r="C75" s="9" t="s">
        <v>24</v>
      </c>
      <c r="D75" s="9" t="s">
        <v>16</v>
      </c>
      <c r="E75" s="10">
        <v>42726.755555555559</v>
      </c>
      <c r="F75" s="10">
        <v>42726.818749999999</v>
      </c>
    </row>
    <row r="76" spans="2:6" ht="12.75" customHeight="1" x14ac:dyDescent="0.25">
      <c r="B76" s="9">
        <v>3160</v>
      </c>
      <c r="C76" s="9" t="s">
        <v>24</v>
      </c>
      <c r="D76" s="9" t="s">
        <v>15</v>
      </c>
      <c r="E76" s="10">
        <v>42726.245833333334</v>
      </c>
      <c r="F76" s="10">
        <v>42726.289583333331</v>
      </c>
    </row>
    <row r="77" spans="2:6" ht="12.75" customHeight="1" x14ac:dyDescent="0.25">
      <c r="B77" s="9">
        <v>3161</v>
      </c>
      <c r="C77" s="9" t="s">
        <v>15</v>
      </c>
      <c r="D77" s="9" t="s">
        <v>24</v>
      </c>
      <c r="E77" s="10">
        <v>42726.310416666667</v>
      </c>
      <c r="F77" s="10">
        <v>42726.353472222225</v>
      </c>
    </row>
    <row r="78" spans="2:6" ht="12.75" customHeight="1" x14ac:dyDescent="0.25">
      <c r="B78" s="9">
        <v>3162</v>
      </c>
      <c r="C78" s="9" t="s">
        <v>24</v>
      </c>
      <c r="D78" s="9" t="s">
        <v>15</v>
      </c>
      <c r="E78" s="10">
        <v>42726.32916666667</v>
      </c>
      <c r="F78" s="10">
        <v>42726.372916666667</v>
      </c>
    </row>
    <row r="79" spans="2:6" ht="12.75" customHeight="1" x14ac:dyDescent="0.25">
      <c r="B79" s="9">
        <v>3163</v>
      </c>
      <c r="C79" s="9" t="s">
        <v>15</v>
      </c>
      <c r="D79" s="9" t="s">
        <v>24</v>
      </c>
      <c r="E79" s="10">
        <v>42726.404861111114</v>
      </c>
      <c r="F79" s="10">
        <v>42726.447916666664</v>
      </c>
    </row>
    <row r="80" spans="2:6" ht="12.75" customHeight="1" x14ac:dyDescent="0.25">
      <c r="B80" s="9">
        <v>3164</v>
      </c>
      <c r="C80" s="9" t="s">
        <v>24</v>
      </c>
      <c r="D80" s="9" t="s">
        <v>15</v>
      </c>
      <c r="E80" s="10">
        <v>42726.642361111109</v>
      </c>
      <c r="F80" s="10">
        <v>42726.686111111114</v>
      </c>
    </row>
    <row r="81" spans="2:6" ht="12.75" customHeight="1" x14ac:dyDescent="0.25">
      <c r="B81" s="9">
        <v>3165</v>
      </c>
      <c r="C81" s="9" t="s">
        <v>15</v>
      </c>
      <c r="D81" s="9" t="s">
        <v>24</v>
      </c>
      <c r="E81" s="10">
        <v>42726.706944444442</v>
      </c>
      <c r="F81" s="10">
        <v>42726.75</v>
      </c>
    </row>
    <row r="82" spans="2:6" ht="12.75" customHeight="1" x14ac:dyDescent="0.25">
      <c r="B82" s="9">
        <v>3167</v>
      </c>
      <c r="C82" s="9" t="s">
        <v>15</v>
      </c>
      <c r="D82" s="9" t="s">
        <v>24</v>
      </c>
      <c r="E82" s="10">
        <v>42726.852083333331</v>
      </c>
      <c r="F82" s="10">
        <v>42726.895138888889</v>
      </c>
    </row>
    <row r="83" spans="2:6" ht="12.75" customHeight="1" x14ac:dyDescent="0.25">
      <c r="B83" s="9">
        <v>3170</v>
      </c>
      <c r="C83" s="9" t="s">
        <v>24</v>
      </c>
      <c r="D83" s="9" t="s">
        <v>15</v>
      </c>
      <c r="E83" s="10">
        <v>42726.90625</v>
      </c>
      <c r="F83" s="10">
        <v>42726.95</v>
      </c>
    </row>
    <row r="84" spans="2:6" ht="12.75" customHeight="1" x14ac:dyDescent="0.25">
      <c r="B84" s="9">
        <v>3171</v>
      </c>
      <c r="C84" s="9" t="s">
        <v>15</v>
      </c>
      <c r="D84" s="9" t="s">
        <v>24</v>
      </c>
      <c r="E84" s="10">
        <v>42726.241666666669</v>
      </c>
      <c r="F84" s="10">
        <v>42726.284722222219</v>
      </c>
    </row>
    <row r="85" spans="2:6" ht="12.75" customHeight="1" x14ac:dyDescent="0.25">
      <c r="B85" s="9">
        <v>3180</v>
      </c>
      <c r="C85" s="9" t="s">
        <v>24</v>
      </c>
      <c r="D85" s="9" t="s">
        <v>25</v>
      </c>
      <c r="E85" s="10">
        <v>42726.253472222219</v>
      </c>
      <c r="F85" s="10">
        <v>42726.303472222222</v>
      </c>
    </row>
    <row r="86" spans="2:6" ht="12.75" customHeight="1" x14ac:dyDescent="0.25">
      <c r="B86" s="9">
        <v>3181</v>
      </c>
      <c r="C86" s="9" t="s">
        <v>25</v>
      </c>
      <c r="D86" s="9" t="s">
        <v>24</v>
      </c>
      <c r="E86" s="10">
        <v>42726.324305555558</v>
      </c>
      <c r="F86" s="10">
        <v>42726.374305555553</v>
      </c>
    </row>
    <row r="87" spans="2:6" ht="12.75" customHeight="1" x14ac:dyDescent="0.25">
      <c r="B87" s="9">
        <v>3186</v>
      </c>
      <c r="C87" s="9" t="s">
        <v>24</v>
      </c>
      <c r="D87" s="9" t="s">
        <v>25</v>
      </c>
      <c r="E87" s="10">
        <v>42726.818055555559</v>
      </c>
      <c r="F87" s="10">
        <v>42726.868055555555</v>
      </c>
    </row>
    <row r="88" spans="2:6" ht="12.75" customHeight="1" x14ac:dyDescent="0.25">
      <c r="B88" s="9">
        <v>3187</v>
      </c>
      <c r="C88" s="9" t="s">
        <v>25</v>
      </c>
      <c r="D88" s="9" t="s">
        <v>24</v>
      </c>
      <c r="E88" s="10">
        <v>42726.888888888891</v>
      </c>
      <c r="F88" s="10">
        <v>42726.938888888886</v>
      </c>
    </row>
    <row r="89" spans="2:6" ht="12.75" customHeight="1" x14ac:dyDescent="0.25">
      <c r="B89" s="9">
        <v>3192</v>
      </c>
      <c r="C89" s="9" t="s">
        <v>24</v>
      </c>
      <c r="D89" s="9" t="s">
        <v>21</v>
      </c>
      <c r="E89" s="10">
        <v>42726.28125</v>
      </c>
      <c r="F89" s="10">
        <v>42726.338888888888</v>
      </c>
    </row>
    <row r="90" spans="2:6" ht="12.75" customHeight="1" x14ac:dyDescent="0.25">
      <c r="B90" s="9">
        <v>3193</v>
      </c>
      <c r="C90" s="9" t="s">
        <v>21</v>
      </c>
      <c r="D90" s="9" t="s">
        <v>24</v>
      </c>
      <c r="E90" s="10">
        <v>42726.359722222223</v>
      </c>
      <c r="F90" s="10">
        <v>42726.412499999999</v>
      </c>
    </row>
    <row r="91" spans="2:6" ht="12.75" customHeight="1" x14ac:dyDescent="0.25">
      <c r="B91" s="9">
        <v>3194</v>
      </c>
      <c r="C91" s="9" t="s">
        <v>24</v>
      </c>
      <c r="D91" s="9" t="s">
        <v>21</v>
      </c>
      <c r="E91" s="10">
        <v>42726.494444444441</v>
      </c>
      <c r="F91" s="10">
        <v>42726.552083333336</v>
      </c>
    </row>
    <row r="92" spans="2:6" ht="12.75" customHeight="1" x14ac:dyDescent="0.25">
      <c r="B92" s="9">
        <v>3195</v>
      </c>
      <c r="C92" s="9" t="s">
        <v>21</v>
      </c>
      <c r="D92" s="9" t="s">
        <v>24</v>
      </c>
      <c r="E92" s="10">
        <v>42726.572916666664</v>
      </c>
      <c r="F92" s="10">
        <v>42726.625694444447</v>
      </c>
    </row>
    <row r="93" spans="2:6" ht="12.75" customHeight="1" x14ac:dyDescent="0.25">
      <c r="B93" s="9">
        <v>3196</v>
      </c>
      <c r="C93" s="9" t="s">
        <v>24</v>
      </c>
      <c r="D93" s="9" t="s">
        <v>21</v>
      </c>
      <c r="E93" s="10">
        <v>42726.670138888891</v>
      </c>
      <c r="F93" s="10">
        <v>42726.727777777778</v>
      </c>
    </row>
    <row r="94" spans="2:6" ht="12.75" customHeight="1" x14ac:dyDescent="0.25">
      <c r="B94" s="9">
        <v>3197</v>
      </c>
      <c r="C94" s="9" t="s">
        <v>21</v>
      </c>
      <c r="D94" s="9" t="s">
        <v>24</v>
      </c>
      <c r="E94" s="10">
        <v>42726.748611111114</v>
      </c>
      <c r="F94" s="10">
        <v>42726.801388888889</v>
      </c>
    </row>
    <row r="95" spans="2:6" ht="12.75" customHeight="1" x14ac:dyDescent="0.25">
      <c r="B95" s="9">
        <v>3200</v>
      </c>
      <c r="C95" s="9" t="s">
        <v>24</v>
      </c>
      <c r="D95" s="9" t="s">
        <v>26</v>
      </c>
      <c r="E95" s="10">
        <v>42726.229861111111</v>
      </c>
      <c r="F95" s="10">
        <v>42726.270138888889</v>
      </c>
    </row>
    <row r="96" spans="2:6" ht="12.75" customHeight="1" x14ac:dyDescent="0.25">
      <c r="B96" s="9">
        <v>3201</v>
      </c>
      <c r="C96" s="9" t="s">
        <v>26</v>
      </c>
      <c r="D96" s="9" t="s">
        <v>24</v>
      </c>
      <c r="E96" s="10">
        <v>42726.3</v>
      </c>
      <c r="F96" s="10">
        <v>42726.338888888888</v>
      </c>
    </row>
    <row r="97" spans="2:6" ht="12.75" customHeight="1" x14ac:dyDescent="0.25">
      <c r="B97" s="9">
        <v>3206</v>
      </c>
      <c r="C97" s="9" t="s">
        <v>24</v>
      </c>
      <c r="D97" s="9" t="s">
        <v>26</v>
      </c>
      <c r="E97" s="10">
        <v>42726.73541666667</v>
      </c>
      <c r="F97" s="10">
        <v>42726.775694444441</v>
      </c>
    </row>
    <row r="98" spans="2:6" ht="12.75" customHeight="1" x14ac:dyDescent="0.25">
      <c r="B98" s="9">
        <v>3210</v>
      </c>
      <c r="C98" s="9" t="s">
        <v>24</v>
      </c>
      <c r="D98" s="9" t="s">
        <v>23</v>
      </c>
      <c r="E98" s="10">
        <v>42726.25277777778</v>
      </c>
      <c r="F98" s="10">
        <v>42726.294444444444</v>
      </c>
    </row>
    <row r="99" spans="2:6" ht="12.75" customHeight="1" x14ac:dyDescent="0.25">
      <c r="B99" s="9">
        <v>3211</v>
      </c>
      <c r="C99" s="9" t="s">
        <v>23</v>
      </c>
      <c r="D99" s="9" t="s">
        <v>24</v>
      </c>
      <c r="E99" s="10">
        <v>42726.31527777778</v>
      </c>
      <c r="F99" s="10">
        <v>42726.353472222225</v>
      </c>
    </row>
    <row r="100" spans="2:6" ht="12.75" customHeight="1" x14ac:dyDescent="0.25">
      <c r="B100" s="9">
        <v>3217</v>
      </c>
      <c r="C100" s="9" t="s">
        <v>23</v>
      </c>
      <c r="D100" s="9" t="s">
        <v>24</v>
      </c>
      <c r="E100" s="10">
        <v>42726.84375</v>
      </c>
      <c r="F100" s="10">
        <v>42726.881944444445</v>
      </c>
    </row>
    <row r="101" spans="2:6" ht="12.75" customHeight="1" x14ac:dyDescent="0.25">
      <c r="B101" s="9">
        <v>3242</v>
      </c>
      <c r="C101" s="9" t="s">
        <v>24</v>
      </c>
      <c r="D101" s="9" t="s">
        <v>18</v>
      </c>
      <c r="E101" s="10">
        <v>42726.378472222219</v>
      </c>
      <c r="F101" s="10">
        <v>42726.438194444447</v>
      </c>
    </row>
    <row r="102" spans="2:6" ht="12.75" customHeight="1" x14ac:dyDescent="0.25">
      <c r="B102" s="9">
        <v>3243</v>
      </c>
      <c r="C102" s="9" t="s">
        <v>18</v>
      </c>
      <c r="D102" s="9" t="s">
        <v>24</v>
      </c>
      <c r="E102" s="10">
        <v>42726.461805555555</v>
      </c>
      <c r="F102" s="10">
        <v>42726.520833333336</v>
      </c>
    </row>
    <row r="103" spans="2:6" ht="12.75" customHeight="1" x14ac:dyDescent="0.25">
      <c r="B103" s="9">
        <v>3244</v>
      </c>
      <c r="C103" s="9" t="s">
        <v>24</v>
      </c>
      <c r="D103" s="9" t="s">
        <v>18</v>
      </c>
      <c r="E103" s="10">
        <v>42726.638194444444</v>
      </c>
      <c r="F103" s="10">
        <v>42726.697916666664</v>
      </c>
    </row>
    <row r="104" spans="2:6" ht="12.75" customHeight="1" x14ac:dyDescent="0.25">
      <c r="B104" s="9">
        <v>3245</v>
      </c>
      <c r="C104" s="9" t="s">
        <v>18</v>
      </c>
      <c r="D104" s="9" t="s">
        <v>24</v>
      </c>
      <c r="E104" s="10">
        <v>42726.71875</v>
      </c>
      <c r="F104" s="10">
        <v>42726.777777777781</v>
      </c>
    </row>
    <row r="105" spans="2:6" ht="12.75" customHeight="1" x14ac:dyDescent="0.25">
      <c r="B105" s="9">
        <v>3262</v>
      </c>
      <c r="C105" s="9" t="s">
        <v>24</v>
      </c>
      <c r="D105" s="9" t="s">
        <v>17</v>
      </c>
      <c r="E105" s="10">
        <v>42726.474305555559</v>
      </c>
      <c r="F105" s="10">
        <v>42726.568055555559</v>
      </c>
    </row>
    <row r="106" spans="2:6" ht="12.75" customHeight="1" x14ac:dyDescent="0.25">
      <c r="B106" s="9">
        <v>3263</v>
      </c>
      <c r="C106" s="9" t="s">
        <v>17</v>
      </c>
      <c r="D106" s="9" t="s">
        <v>24</v>
      </c>
      <c r="E106" s="10">
        <v>42726.595833333333</v>
      </c>
      <c r="F106" s="10">
        <v>42726.682638888888</v>
      </c>
    </row>
    <row r="107" spans="2:6" ht="12.75" customHeight="1" x14ac:dyDescent="0.25">
      <c r="B107" s="9">
        <v>3266</v>
      </c>
      <c r="C107" s="9" t="s">
        <v>24</v>
      </c>
      <c r="D107" s="9" t="s">
        <v>17</v>
      </c>
      <c r="E107" s="10">
        <v>42726.53402777778</v>
      </c>
      <c r="F107" s="10">
        <v>42726.62777777778</v>
      </c>
    </row>
    <row r="108" spans="2:6" ht="12.75" customHeight="1" x14ac:dyDescent="0.25">
      <c r="B108" s="9">
        <v>3267</v>
      </c>
      <c r="C108" s="9" t="s">
        <v>17</v>
      </c>
      <c r="D108" s="9" t="s">
        <v>24</v>
      </c>
      <c r="E108" s="10">
        <v>42726.65625</v>
      </c>
      <c r="F108" s="10">
        <v>42726.743055555555</v>
      </c>
    </row>
    <row r="109" spans="2:6" ht="12.75" customHeight="1" x14ac:dyDescent="0.25">
      <c r="B109" s="9">
        <v>3268</v>
      </c>
      <c r="C109" s="9" t="s">
        <v>24</v>
      </c>
      <c r="D109" s="9" t="s">
        <v>17</v>
      </c>
      <c r="E109" s="10">
        <v>42726.686805555553</v>
      </c>
      <c r="F109" s="10">
        <v>42726.780555555553</v>
      </c>
    </row>
    <row r="110" spans="2:6" ht="12.75" customHeight="1" x14ac:dyDescent="0.25">
      <c r="B110" s="9">
        <v>3269</v>
      </c>
      <c r="C110" s="9" t="s">
        <v>17</v>
      </c>
      <c r="D110" s="9" t="s">
        <v>24</v>
      </c>
      <c r="E110" s="10">
        <v>42726.8125</v>
      </c>
      <c r="F110" s="10">
        <v>42726.899305555555</v>
      </c>
    </row>
    <row r="111" spans="2:6" ht="12.75" customHeight="1" x14ac:dyDescent="0.25">
      <c r="B111" s="9">
        <v>3272</v>
      </c>
      <c r="C111" s="9" t="s">
        <v>27</v>
      </c>
      <c r="D111" s="9" t="s">
        <v>17</v>
      </c>
      <c r="E111" s="10">
        <v>42726.399305555555</v>
      </c>
      <c r="F111" s="10">
        <v>42726.479166666664</v>
      </c>
    </row>
    <row r="112" spans="2:6" ht="12.75" customHeight="1" x14ac:dyDescent="0.25">
      <c r="B112" s="9">
        <v>3273</v>
      </c>
      <c r="C112" s="9" t="s">
        <v>17</v>
      </c>
      <c r="D112" s="9" t="s">
        <v>27</v>
      </c>
      <c r="E112" s="10">
        <v>42726.489583333336</v>
      </c>
      <c r="F112" s="10">
        <v>42726.574999999997</v>
      </c>
    </row>
    <row r="113" spans="2:6" ht="12.75" customHeight="1" x14ac:dyDescent="0.25">
      <c r="B113" s="9">
        <v>3274</v>
      </c>
      <c r="C113" s="9" t="s">
        <v>27</v>
      </c>
      <c r="D113" s="9" t="s">
        <v>17</v>
      </c>
      <c r="E113" s="10">
        <v>42726.520833333336</v>
      </c>
      <c r="F113" s="10">
        <v>42726.600694444445</v>
      </c>
    </row>
    <row r="114" spans="2:6" ht="12.75" customHeight="1" x14ac:dyDescent="0.25">
      <c r="B114" s="9">
        <v>3275</v>
      </c>
      <c r="C114" s="9" t="s">
        <v>17</v>
      </c>
      <c r="D114" s="9" t="s">
        <v>27</v>
      </c>
      <c r="E114" s="10">
        <v>42726.628472222219</v>
      </c>
      <c r="F114" s="10">
        <v>42726.713888888888</v>
      </c>
    </row>
    <row r="115" spans="2:6" ht="12.75" customHeight="1" x14ac:dyDescent="0.25">
      <c r="B115" s="9">
        <v>3304</v>
      </c>
      <c r="C115" s="9" t="s">
        <v>20</v>
      </c>
      <c r="D115" s="9" t="s">
        <v>17</v>
      </c>
      <c r="E115" s="10">
        <v>42726.465277777781</v>
      </c>
      <c r="F115" s="10">
        <v>42726.540277777778</v>
      </c>
    </row>
    <row r="116" spans="2:6" ht="12.75" customHeight="1" x14ac:dyDescent="0.25">
      <c r="B116" s="9">
        <v>3305</v>
      </c>
      <c r="C116" s="9" t="s">
        <v>17</v>
      </c>
      <c r="D116" s="9" t="s">
        <v>20</v>
      </c>
      <c r="E116" s="10">
        <v>42726.568055555559</v>
      </c>
      <c r="F116" s="10">
        <v>42726.651388888888</v>
      </c>
    </row>
    <row r="117" spans="2:6" ht="12.75" customHeight="1" x14ac:dyDescent="0.25">
      <c r="B117" s="9">
        <v>3310</v>
      </c>
      <c r="C117" s="9" t="s">
        <v>20</v>
      </c>
      <c r="D117" s="9" t="s">
        <v>19</v>
      </c>
      <c r="E117" s="10">
        <v>42726.363194444442</v>
      </c>
      <c r="F117" s="10">
        <v>42726.407638888886</v>
      </c>
    </row>
    <row r="118" spans="2:6" ht="12.75" customHeight="1" x14ac:dyDescent="0.25">
      <c r="B118" s="9">
        <v>3311</v>
      </c>
      <c r="C118" s="9" t="s">
        <v>19</v>
      </c>
      <c r="D118" s="9" t="s">
        <v>20</v>
      </c>
      <c r="E118" s="10">
        <v>42726.731944444444</v>
      </c>
      <c r="F118" s="10">
        <v>42726.780555555553</v>
      </c>
    </row>
  </sheetData>
  <autoFilter ref="B2:F118" xr:uid="{00000000-0009-0000-0000-000005000000}"/>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B2:F123"/>
  <sheetViews>
    <sheetView showGridLines="0" zoomScaleNormal="100" workbookViewId="0"/>
  </sheetViews>
  <sheetFormatPr baseColWidth="10" defaultColWidth="11.42578125" defaultRowHeight="12.75" customHeight="1" x14ac:dyDescent="0.25"/>
  <cols>
    <col min="2" max="2" width="14.28515625" style="2" customWidth="1"/>
    <col min="3" max="4" width="14.28515625" style="1" customWidth="1"/>
    <col min="5" max="6" width="14.28515625" customWidth="1"/>
  </cols>
  <sheetData>
    <row r="2" spans="2:6" ht="12.75" customHeight="1" x14ac:dyDescent="0.25">
      <c r="B2" s="12" t="s">
        <v>75</v>
      </c>
      <c r="C2" s="12" t="s">
        <v>76</v>
      </c>
      <c r="D2" s="12" t="s">
        <v>77</v>
      </c>
      <c r="E2" s="12" t="s">
        <v>78</v>
      </c>
      <c r="F2" s="12" t="s">
        <v>79</v>
      </c>
    </row>
    <row r="3" spans="2:6" ht="12.75" customHeight="1" x14ac:dyDescent="0.25">
      <c r="B3" s="9">
        <v>3000</v>
      </c>
      <c r="C3" s="9" t="s">
        <v>24</v>
      </c>
      <c r="D3" s="9" t="s">
        <v>20</v>
      </c>
      <c r="E3" s="10">
        <v>42727.239583333336</v>
      </c>
      <c r="F3" s="10">
        <v>42727.280555555553</v>
      </c>
    </row>
    <row r="4" spans="2:6" ht="12.75" customHeight="1" x14ac:dyDescent="0.25">
      <c r="B4" s="9">
        <v>3001</v>
      </c>
      <c r="C4" s="9" t="s">
        <v>20</v>
      </c>
      <c r="D4" s="9" t="s">
        <v>24</v>
      </c>
      <c r="E4" s="10">
        <v>42727.301388888889</v>
      </c>
      <c r="F4" s="10">
        <v>42727.339583333334</v>
      </c>
    </row>
    <row r="5" spans="2:6" ht="12.75" customHeight="1" x14ac:dyDescent="0.25">
      <c r="B5" s="9">
        <v>3002</v>
      </c>
      <c r="C5" s="9" t="s">
        <v>24</v>
      </c>
      <c r="D5" s="9" t="s">
        <v>20</v>
      </c>
      <c r="E5" s="10">
        <v>42727.26666666667</v>
      </c>
      <c r="F5" s="10">
        <v>42727.307638888888</v>
      </c>
    </row>
    <row r="6" spans="2:6" ht="12.75" customHeight="1" x14ac:dyDescent="0.25">
      <c r="B6" s="9">
        <v>3003</v>
      </c>
      <c r="C6" s="9" t="s">
        <v>20</v>
      </c>
      <c r="D6" s="9" t="s">
        <v>24</v>
      </c>
      <c r="E6" s="10">
        <v>42727.270833333336</v>
      </c>
      <c r="F6" s="10">
        <v>42727.309027777781</v>
      </c>
    </row>
    <row r="7" spans="2:6" ht="12.75" customHeight="1" x14ac:dyDescent="0.25">
      <c r="B7" s="9">
        <v>3006</v>
      </c>
      <c r="C7" s="9" t="s">
        <v>24</v>
      </c>
      <c r="D7" s="9" t="s">
        <v>20</v>
      </c>
      <c r="E7" s="10">
        <v>42727.392361111109</v>
      </c>
      <c r="F7" s="10">
        <v>42727.433333333334</v>
      </c>
    </row>
    <row r="8" spans="2:6" ht="12.75" customHeight="1" x14ac:dyDescent="0.25">
      <c r="B8" s="9">
        <v>3010</v>
      </c>
      <c r="C8" s="9" t="s">
        <v>24</v>
      </c>
      <c r="D8" s="9" t="s">
        <v>20</v>
      </c>
      <c r="E8" s="10">
        <v>42727.53125</v>
      </c>
      <c r="F8" s="10">
        <v>42727.572222222225</v>
      </c>
    </row>
    <row r="9" spans="2:6" ht="12.75" customHeight="1" x14ac:dyDescent="0.25">
      <c r="B9" s="9">
        <v>3011</v>
      </c>
      <c r="C9" s="9" t="s">
        <v>20</v>
      </c>
      <c r="D9" s="9" t="s">
        <v>24</v>
      </c>
      <c r="E9" s="10">
        <v>42727.6</v>
      </c>
      <c r="F9" s="10">
        <v>42727.638194444444</v>
      </c>
    </row>
    <row r="10" spans="2:6" ht="12.75" customHeight="1" x14ac:dyDescent="0.25">
      <c r="B10" s="9">
        <v>3013</v>
      </c>
      <c r="C10" s="9" t="s">
        <v>20</v>
      </c>
      <c r="D10" s="9" t="s">
        <v>24</v>
      </c>
      <c r="E10" s="10">
        <v>42727.679166666669</v>
      </c>
      <c r="F10" s="10">
        <v>42727.717361111114</v>
      </c>
    </row>
    <row r="11" spans="2:6" ht="12.75" customHeight="1" x14ac:dyDescent="0.25">
      <c r="B11" s="9">
        <v>3014</v>
      </c>
      <c r="C11" s="9" t="s">
        <v>24</v>
      </c>
      <c r="D11" s="9" t="s">
        <v>20</v>
      </c>
      <c r="E11" s="10">
        <v>42727.666666666664</v>
      </c>
      <c r="F11" s="10">
        <v>42727.707638888889</v>
      </c>
    </row>
    <row r="12" spans="2:6" ht="12.75" customHeight="1" x14ac:dyDescent="0.25">
      <c r="B12" s="9">
        <v>3015</v>
      </c>
      <c r="C12" s="9" t="s">
        <v>20</v>
      </c>
      <c r="D12" s="9" t="s">
        <v>24</v>
      </c>
      <c r="E12" s="10">
        <v>42727.728472222225</v>
      </c>
      <c r="F12" s="10">
        <v>42727.76666666667</v>
      </c>
    </row>
    <row r="13" spans="2:6" ht="12.75" customHeight="1" x14ac:dyDescent="0.25">
      <c r="B13" s="9">
        <v>3016</v>
      </c>
      <c r="C13" s="9" t="s">
        <v>24</v>
      </c>
      <c r="D13" s="9" t="s">
        <v>20</v>
      </c>
      <c r="E13" s="10">
        <v>42727.722222222219</v>
      </c>
      <c r="F13" s="10">
        <v>42727.763194444444</v>
      </c>
    </row>
    <row r="14" spans="2:6" ht="12.75" customHeight="1" x14ac:dyDescent="0.25">
      <c r="B14" s="9">
        <v>3017</v>
      </c>
      <c r="C14" s="9" t="s">
        <v>20</v>
      </c>
      <c r="D14" s="9" t="s">
        <v>24</v>
      </c>
      <c r="E14" s="10">
        <v>42727.78402777778</v>
      </c>
      <c r="F14" s="10">
        <v>42727.822222222225</v>
      </c>
    </row>
    <row r="15" spans="2:6" ht="12.75" customHeight="1" x14ac:dyDescent="0.25">
      <c r="B15" s="9">
        <v>3018</v>
      </c>
      <c r="C15" s="9" t="s">
        <v>24</v>
      </c>
      <c r="D15" s="9" t="s">
        <v>20</v>
      </c>
      <c r="E15" s="10">
        <v>42727.833333333336</v>
      </c>
      <c r="F15" s="10">
        <v>42727.874305555553</v>
      </c>
    </row>
    <row r="16" spans="2:6" ht="12.75" customHeight="1" x14ac:dyDescent="0.25">
      <c r="B16" s="9">
        <v>3019</v>
      </c>
      <c r="C16" s="9" t="s">
        <v>20</v>
      </c>
      <c r="D16" s="9" t="s">
        <v>24</v>
      </c>
      <c r="E16" s="10">
        <v>42727.895138888889</v>
      </c>
      <c r="F16" s="10">
        <v>42727.933333333334</v>
      </c>
    </row>
    <row r="17" spans="2:6" ht="12.75" customHeight="1" x14ac:dyDescent="0.25">
      <c r="B17" s="9">
        <v>3020</v>
      </c>
      <c r="C17" s="9" t="s">
        <v>24</v>
      </c>
      <c r="D17" s="9" t="s">
        <v>20</v>
      </c>
      <c r="E17" s="10">
        <v>42727.874305555553</v>
      </c>
      <c r="F17" s="10">
        <v>42727.915277777778</v>
      </c>
    </row>
    <row r="18" spans="2:6" ht="12.75" customHeight="1" x14ac:dyDescent="0.25">
      <c r="B18" s="9">
        <v>3023</v>
      </c>
      <c r="C18" s="9" t="s">
        <v>20</v>
      </c>
      <c r="D18" s="9" t="s">
        <v>24</v>
      </c>
      <c r="E18" s="10">
        <v>42727.804861111108</v>
      </c>
      <c r="F18" s="10">
        <v>42727.843055555553</v>
      </c>
    </row>
    <row r="19" spans="2:6" ht="12.75" customHeight="1" x14ac:dyDescent="0.25">
      <c r="B19" s="9">
        <v>3025</v>
      </c>
      <c r="C19" s="9" t="s">
        <v>20</v>
      </c>
      <c r="D19" s="9" t="s">
        <v>24</v>
      </c>
      <c r="E19" s="10">
        <v>42727.845833333333</v>
      </c>
      <c r="F19" s="10">
        <v>42727.884027777778</v>
      </c>
    </row>
    <row r="20" spans="2:6" ht="12.75" customHeight="1" x14ac:dyDescent="0.25">
      <c r="B20" s="9">
        <v>3042</v>
      </c>
      <c r="C20" s="9" t="s">
        <v>24</v>
      </c>
      <c r="D20" s="9" t="s">
        <v>20</v>
      </c>
      <c r="E20" s="10">
        <v>42727.915972222225</v>
      </c>
      <c r="F20" s="10">
        <v>42727.956944444442</v>
      </c>
    </row>
    <row r="21" spans="2:6" ht="12.75" customHeight="1" x14ac:dyDescent="0.25">
      <c r="B21" s="9">
        <v>3043</v>
      </c>
      <c r="C21" s="9" t="s">
        <v>20</v>
      </c>
      <c r="D21" s="9" t="s">
        <v>24</v>
      </c>
      <c r="E21" s="10">
        <v>42727.243055555555</v>
      </c>
      <c r="F21" s="10">
        <v>42727.28125</v>
      </c>
    </row>
    <row r="22" spans="2:6" ht="12.75" customHeight="1" x14ac:dyDescent="0.25">
      <c r="B22" s="9">
        <v>3044</v>
      </c>
      <c r="C22" s="9" t="s">
        <v>24</v>
      </c>
      <c r="D22" s="9" t="s">
        <v>17</v>
      </c>
      <c r="E22" s="10">
        <v>42727.376388888886</v>
      </c>
      <c r="F22" s="10">
        <v>42727.470138888886</v>
      </c>
    </row>
    <row r="23" spans="2:6" ht="12.75" customHeight="1" x14ac:dyDescent="0.25">
      <c r="B23" s="9">
        <v>3045</v>
      </c>
      <c r="C23" s="9" t="s">
        <v>17</v>
      </c>
      <c r="D23" s="9" t="s">
        <v>24</v>
      </c>
      <c r="E23" s="10">
        <v>42727.489583333336</v>
      </c>
      <c r="F23" s="10">
        <v>42727.576388888891</v>
      </c>
    </row>
    <row r="24" spans="2:6" ht="12.75" customHeight="1" x14ac:dyDescent="0.25">
      <c r="B24" s="9">
        <v>3050</v>
      </c>
      <c r="C24" s="9" t="s">
        <v>27</v>
      </c>
      <c r="D24" s="9" t="s">
        <v>24</v>
      </c>
      <c r="E24" s="10">
        <v>42727.30972222222</v>
      </c>
      <c r="F24" s="10">
        <v>42727.351388888892</v>
      </c>
    </row>
    <row r="25" spans="2:6" ht="12.75" customHeight="1" x14ac:dyDescent="0.25">
      <c r="B25" s="9">
        <v>3051</v>
      </c>
      <c r="C25" s="9" t="s">
        <v>24</v>
      </c>
      <c r="D25" s="9" t="s">
        <v>27</v>
      </c>
      <c r="E25" s="10">
        <v>42727.243055555555</v>
      </c>
      <c r="F25" s="10">
        <v>42727.288888888892</v>
      </c>
    </row>
    <row r="26" spans="2:6" ht="12.75" customHeight="1" x14ac:dyDescent="0.25">
      <c r="B26" s="9">
        <v>3053</v>
      </c>
      <c r="C26" s="9" t="s">
        <v>24</v>
      </c>
      <c r="D26" s="9" t="s">
        <v>27</v>
      </c>
      <c r="E26" s="10">
        <v>42727.311111111114</v>
      </c>
      <c r="F26" s="10">
        <v>42727.356944444444</v>
      </c>
    </row>
    <row r="27" spans="2:6" ht="12.75" customHeight="1" x14ac:dyDescent="0.25">
      <c r="B27" s="9">
        <v>3054</v>
      </c>
      <c r="C27" s="9" t="s">
        <v>27</v>
      </c>
      <c r="D27" s="9" t="s">
        <v>24</v>
      </c>
      <c r="E27" s="10">
        <v>42727.738194444442</v>
      </c>
      <c r="F27" s="10">
        <v>42727.779861111114</v>
      </c>
    </row>
    <row r="28" spans="2:6" ht="12.75" customHeight="1" x14ac:dyDescent="0.25">
      <c r="B28" s="9">
        <v>3055</v>
      </c>
      <c r="C28" s="9" t="s">
        <v>24</v>
      </c>
      <c r="D28" s="9" t="s">
        <v>27</v>
      </c>
      <c r="E28" s="10">
        <v>42727.436805555553</v>
      </c>
      <c r="F28" s="10">
        <v>42727.482638888891</v>
      </c>
    </row>
    <row r="29" spans="2:6" ht="12.75" customHeight="1" x14ac:dyDescent="0.25">
      <c r="B29" s="9">
        <v>3056</v>
      </c>
      <c r="C29" s="9" t="s">
        <v>27</v>
      </c>
      <c r="D29" s="9" t="s">
        <v>24</v>
      </c>
      <c r="E29" s="10">
        <v>42727.572916666664</v>
      </c>
      <c r="F29" s="10">
        <v>42727.614583333336</v>
      </c>
    </row>
    <row r="30" spans="2:6" ht="12.75" customHeight="1" x14ac:dyDescent="0.25">
      <c r="B30" s="9">
        <v>3057</v>
      </c>
      <c r="C30" s="9" t="s">
        <v>24</v>
      </c>
      <c r="D30" s="9" t="s">
        <v>27</v>
      </c>
      <c r="E30" s="10">
        <v>42727.499305555553</v>
      </c>
      <c r="F30" s="10">
        <v>42727.545138888891</v>
      </c>
    </row>
    <row r="31" spans="2:6" ht="12.75" customHeight="1" x14ac:dyDescent="0.25">
      <c r="B31" s="9">
        <v>3060</v>
      </c>
      <c r="C31" s="9" t="s">
        <v>27</v>
      </c>
      <c r="D31" s="9" t="s">
        <v>24</v>
      </c>
      <c r="E31" s="10">
        <v>42727.620138888888</v>
      </c>
      <c r="F31" s="10">
        <v>42727.661805555559</v>
      </c>
    </row>
    <row r="32" spans="2:6" ht="12.75" customHeight="1" x14ac:dyDescent="0.25">
      <c r="B32" s="9">
        <v>3062</v>
      </c>
      <c r="C32" s="9" t="s">
        <v>27</v>
      </c>
      <c r="D32" s="9" t="s">
        <v>24</v>
      </c>
      <c r="E32" s="10">
        <v>42727.781944444447</v>
      </c>
      <c r="F32" s="10">
        <v>42727.823611111111</v>
      </c>
    </row>
    <row r="33" spans="2:6" ht="12.75" customHeight="1" x14ac:dyDescent="0.25">
      <c r="B33" s="9">
        <v>3063</v>
      </c>
      <c r="C33" s="9" t="s">
        <v>24</v>
      </c>
      <c r="D33" s="9" t="s">
        <v>27</v>
      </c>
      <c r="E33" s="10">
        <v>42727.708333333336</v>
      </c>
      <c r="F33" s="10">
        <v>42727.754166666666</v>
      </c>
    </row>
    <row r="34" spans="2:6" ht="12.75" customHeight="1" x14ac:dyDescent="0.25">
      <c r="B34" s="9">
        <v>3066</v>
      </c>
      <c r="C34" s="9" t="s">
        <v>27</v>
      </c>
      <c r="D34" s="9" t="s">
        <v>24</v>
      </c>
      <c r="E34" s="10">
        <v>42727.840277777781</v>
      </c>
      <c r="F34" s="10">
        <v>42727.881944444445</v>
      </c>
    </row>
    <row r="35" spans="2:6" ht="12.75" customHeight="1" x14ac:dyDescent="0.25">
      <c r="B35" s="9">
        <v>3067</v>
      </c>
      <c r="C35" s="9" t="s">
        <v>24</v>
      </c>
      <c r="D35" s="9" t="s">
        <v>27</v>
      </c>
      <c r="E35" s="10">
        <v>42727.76666666667</v>
      </c>
      <c r="F35" s="10">
        <v>42727.8125</v>
      </c>
    </row>
    <row r="36" spans="2:6" ht="12.75" customHeight="1" x14ac:dyDescent="0.25">
      <c r="B36" s="9">
        <v>3087</v>
      </c>
      <c r="C36" s="9" t="s">
        <v>24</v>
      </c>
      <c r="D36" s="9" t="s">
        <v>27</v>
      </c>
      <c r="E36" s="10">
        <v>42727.895833333336</v>
      </c>
      <c r="F36" s="10">
        <v>42727.941666666666</v>
      </c>
    </row>
    <row r="37" spans="2:6" ht="12.75" customHeight="1" x14ac:dyDescent="0.25">
      <c r="B37" s="9">
        <v>3088</v>
      </c>
      <c r="C37" s="9" t="s">
        <v>27</v>
      </c>
      <c r="D37" s="9" t="s">
        <v>24</v>
      </c>
      <c r="E37" s="10">
        <v>42727.228472222225</v>
      </c>
      <c r="F37" s="10">
        <v>42727.270138888889</v>
      </c>
    </row>
    <row r="38" spans="2:6" ht="12.75" customHeight="1" x14ac:dyDescent="0.25">
      <c r="B38" s="9">
        <v>3090</v>
      </c>
      <c r="C38" s="9" t="s">
        <v>24</v>
      </c>
      <c r="D38" s="9" t="s">
        <v>19</v>
      </c>
      <c r="E38" s="10">
        <v>42727.289583333331</v>
      </c>
      <c r="F38" s="10">
        <v>42727.35</v>
      </c>
    </row>
    <row r="39" spans="2:6" ht="12.75" customHeight="1" x14ac:dyDescent="0.25">
      <c r="B39" s="9">
        <v>3091</v>
      </c>
      <c r="C39" s="9" t="s">
        <v>19</v>
      </c>
      <c r="D39" s="9" t="s">
        <v>24</v>
      </c>
      <c r="E39" s="10">
        <v>42727.370833333334</v>
      </c>
      <c r="F39" s="10">
        <v>42727.431250000001</v>
      </c>
    </row>
    <row r="40" spans="2:6" ht="12.75" customHeight="1" x14ac:dyDescent="0.25">
      <c r="B40" s="9">
        <v>3092</v>
      </c>
      <c r="C40" s="9" t="s">
        <v>24</v>
      </c>
      <c r="D40" s="9" t="s">
        <v>19</v>
      </c>
      <c r="E40" s="10">
        <v>42727.317361111112</v>
      </c>
      <c r="F40" s="10">
        <v>42727.37777777778</v>
      </c>
    </row>
    <row r="41" spans="2:6" ht="12.75" customHeight="1" x14ac:dyDescent="0.25">
      <c r="B41" s="9">
        <v>3093</v>
      </c>
      <c r="C41" s="9" t="s">
        <v>19</v>
      </c>
      <c r="D41" s="9" t="s">
        <v>24</v>
      </c>
      <c r="E41" s="10">
        <v>42727.398611111108</v>
      </c>
      <c r="F41" s="10">
        <v>42727.459027777775</v>
      </c>
    </row>
    <row r="42" spans="2:6" ht="12.75" customHeight="1" x14ac:dyDescent="0.25">
      <c r="B42" s="9">
        <v>3094</v>
      </c>
      <c r="C42" s="9" t="s">
        <v>24</v>
      </c>
      <c r="D42" s="9" t="s">
        <v>19</v>
      </c>
      <c r="E42" s="10">
        <v>42727.395833333336</v>
      </c>
      <c r="F42" s="10">
        <v>42727.456250000003</v>
      </c>
    </row>
    <row r="43" spans="2:6" ht="12.75" customHeight="1" x14ac:dyDescent="0.25">
      <c r="B43" s="9">
        <v>3095</v>
      </c>
      <c r="C43" s="9" t="s">
        <v>19</v>
      </c>
      <c r="D43" s="9" t="s">
        <v>24</v>
      </c>
      <c r="E43" s="10">
        <v>42727.477083333331</v>
      </c>
      <c r="F43" s="10">
        <v>42727.537499999999</v>
      </c>
    </row>
    <row r="44" spans="2:6" ht="12.75" customHeight="1" x14ac:dyDescent="0.25">
      <c r="B44" s="9">
        <v>3096</v>
      </c>
      <c r="C44" s="9" t="s">
        <v>24</v>
      </c>
      <c r="D44" s="9" t="s">
        <v>19</v>
      </c>
      <c r="E44" s="10">
        <v>42727.46875</v>
      </c>
      <c r="F44" s="10">
        <v>42727.529166666667</v>
      </c>
    </row>
    <row r="45" spans="2:6" ht="12.75" customHeight="1" x14ac:dyDescent="0.25">
      <c r="B45" s="9">
        <v>3097</v>
      </c>
      <c r="C45" s="9" t="s">
        <v>19</v>
      </c>
      <c r="D45" s="9" t="s">
        <v>24</v>
      </c>
      <c r="E45" s="10">
        <v>42727.55</v>
      </c>
      <c r="F45" s="10">
        <v>42727.61041666667</v>
      </c>
    </row>
    <row r="46" spans="2:6" ht="12.75" customHeight="1" x14ac:dyDescent="0.25">
      <c r="B46" s="9">
        <v>3098</v>
      </c>
      <c r="C46" s="9" t="s">
        <v>24</v>
      </c>
      <c r="D46" s="9" t="s">
        <v>19</v>
      </c>
      <c r="E46" s="10">
        <v>42727.613888888889</v>
      </c>
      <c r="F46" s="10">
        <v>42727.674305555556</v>
      </c>
    </row>
    <row r="47" spans="2:6" ht="12.75" customHeight="1" x14ac:dyDescent="0.25">
      <c r="B47" s="9">
        <v>3099</v>
      </c>
      <c r="C47" s="9" t="s">
        <v>19</v>
      </c>
      <c r="D47" s="9" t="s">
        <v>24</v>
      </c>
      <c r="E47" s="10">
        <v>42727.695138888892</v>
      </c>
      <c r="F47" s="10">
        <v>42727.755555555559</v>
      </c>
    </row>
    <row r="48" spans="2:6" ht="12.75" customHeight="1" x14ac:dyDescent="0.25">
      <c r="B48" s="9">
        <v>3100</v>
      </c>
      <c r="C48" s="9" t="s">
        <v>24</v>
      </c>
      <c r="D48" s="9" t="s">
        <v>19</v>
      </c>
      <c r="E48" s="10">
        <v>42727.646527777775</v>
      </c>
      <c r="F48" s="10">
        <v>42727.706944444442</v>
      </c>
    </row>
    <row r="49" spans="2:6" ht="12.75" customHeight="1" x14ac:dyDescent="0.25">
      <c r="B49" s="9">
        <v>3101</v>
      </c>
      <c r="C49" s="9" t="s">
        <v>19</v>
      </c>
      <c r="D49" s="9" t="s">
        <v>24</v>
      </c>
      <c r="E49" s="10">
        <v>42727.428472222222</v>
      </c>
      <c r="F49" s="10">
        <v>42727.488888888889</v>
      </c>
    </row>
    <row r="50" spans="2:6" ht="12.75" customHeight="1" x14ac:dyDescent="0.25">
      <c r="B50" s="9">
        <v>3102</v>
      </c>
      <c r="C50" s="9" t="s">
        <v>24</v>
      </c>
      <c r="D50" s="9" t="s">
        <v>19</v>
      </c>
      <c r="E50" s="10">
        <v>42727.757638888892</v>
      </c>
      <c r="F50" s="10">
        <v>42727.818055555559</v>
      </c>
    </row>
    <row r="51" spans="2:6" ht="12.75" customHeight="1" x14ac:dyDescent="0.25">
      <c r="B51" s="9">
        <v>3103</v>
      </c>
      <c r="C51" s="9" t="s">
        <v>19</v>
      </c>
      <c r="D51" s="9" t="s">
        <v>24</v>
      </c>
      <c r="E51" s="10">
        <v>42727.840277777781</v>
      </c>
      <c r="F51" s="10">
        <v>42727.900694444441</v>
      </c>
    </row>
    <row r="52" spans="2:6" ht="12.75" customHeight="1" x14ac:dyDescent="0.25">
      <c r="B52" s="9">
        <v>3106</v>
      </c>
      <c r="C52" s="9" t="s">
        <v>24</v>
      </c>
      <c r="D52" s="9" t="s">
        <v>19</v>
      </c>
      <c r="E52" s="10">
        <v>42727.805555555555</v>
      </c>
      <c r="F52" s="10">
        <v>42727.865972222222</v>
      </c>
    </row>
    <row r="53" spans="2:6" ht="12.75" customHeight="1" x14ac:dyDescent="0.25">
      <c r="B53" s="9">
        <v>3107</v>
      </c>
      <c r="C53" s="9" t="s">
        <v>19</v>
      </c>
      <c r="D53" s="9" t="s">
        <v>24</v>
      </c>
      <c r="E53" s="10">
        <v>42727.886805555558</v>
      </c>
      <c r="F53" s="10">
        <v>42727.947222222225</v>
      </c>
    </row>
    <row r="54" spans="2:6" ht="12.75" customHeight="1" x14ac:dyDescent="0.25">
      <c r="B54" s="9">
        <v>3110</v>
      </c>
      <c r="C54" s="9" t="s">
        <v>24</v>
      </c>
      <c r="D54" s="9" t="s">
        <v>19</v>
      </c>
      <c r="E54" s="10">
        <v>42727.90625</v>
      </c>
      <c r="F54" s="10">
        <v>42727.966666666667</v>
      </c>
    </row>
    <row r="55" spans="2:6" ht="12.75" customHeight="1" x14ac:dyDescent="0.25">
      <c r="B55" s="9">
        <v>3111</v>
      </c>
      <c r="C55" s="9" t="s">
        <v>19</v>
      </c>
      <c r="D55" s="9" t="s">
        <v>24</v>
      </c>
      <c r="E55" s="10">
        <v>42727.991666666669</v>
      </c>
      <c r="F55" s="10">
        <v>42728.052083333336</v>
      </c>
    </row>
    <row r="56" spans="2:6" ht="12.75" customHeight="1" x14ac:dyDescent="0.25">
      <c r="B56" s="9">
        <v>3114</v>
      </c>
      <c r="C56" s="9" t="s">
        <v>24</v>
      </c>
      <c r="D56" s="9" t="s">
        <v>22</v>
      </c>
      <c r="E56" s="10">
        <v>42727.399305555555</v>
      </c>
      <c r="F56" s="10">
        <v>42727.490277777775</v>
      </c>
    </row>
    <row r="57" spans="2:6" ht="12.75" customHeight="1" x14ac:dyDescent="0.25">
      <c r="B57" s="9">
        <v>3115</v>
      </c>
      <c r="C57" s="9" t="s">
        <v>22</v>
      </c>
      <c r="D57" s="9" t="s">
        <v>24</v>
      </c>
      <c r="E57" s="10">
        <v>42727.518055555556</v>
      </c>
      <c r="F57" s="10">
        <v>42727.604861111111</v>
      </c>
    </row>
    <row r="58" spans="2:6" ht="12.75" customHeight="1" x14ac:dyDescent="0.25">
      <c r="B58" s="9">
        <v>3116</v>
      </c>
      <c r="C58" s="9" t="s">
        <v>24</v>
      </c>
      <c r="D58" s="9" t="s">
        <v>22</v>
      </c>
      <c r="E58" s="10">
        <v>42727.533333333333</v>
      </c>
      <c r="F58" s="10">
        <v>42727.624305555553</v>
      </c>
    </row>
    <row r="59" spans="2:6" ht="12.75" customHeight="1" x14ac:dyDescent="0.25">
      <c r="B59" s="9">
        <v>3117</v>
      </c>
      <c r="C59" s="9" t="s">
        <v>22</v>
      </c>
      <c r="D59" s="9" t="s">
        <v>24</v>
      </c>
      <c r="E59" s="10">
        <v>42727.652083333334</v>
      </c>
      <c r="F59" s="10">
        <v>42727.738888888889</v>
      </c>
    </row>
    <row r="60" spans="2:6" ht="12.75" customHeight="1" x14ac:dyDescent="0.25">
      <c r="B60" s="9">
        <v>3120</v>
      </c>
      <c r="C60" s="9" t="s">
        <v>24</v>
      </c>
      <c r="D60" s="9" t="s">
        <v>14</v>
      </c>
      <c r="E60" s="10">
        <v>42727.249305555553</v>
      </c>
      <c r="F60" s="10">
        <v>42727.311111111114</v>
      </c>
    </row>
    <row r="61" spans="2:6" ht="12.75" customHeight="1" x14ac:dyDescent="0.25">
      <c r="B61" s="9">
        <v>3121</v>
      </c>
      <c r="C61" s="9" t="s">
        <v>14</v>
      </c>
      <c r="D61" s="9" t="s">
        <v>24</v>
      </c>
      <c r="E61" s="10">
        <v>42727.331944444442</v>
      </c>
      <c r="F61" s="10">
        <v>42727.395138888889</v>
      </c>
    </row>
    <row r="62" spans="2:6" ht="12.75" customHeight="1" x14ac:dyDescent="0.25">
      <c r="B62" s="9">
        <v>3130</v>
      </c>
      <c r="C62" s="9" t="s">
        <v>24</v>
      </c>
      <c r="D62" s="9" t="s">
        <v>14</v>
      </c>
      <c r="E62" s="10">
        <v>42727.363888888889</v>
      </c>
      <c r="F62" s="10">
        <v>42727.425694444442</v>
      </c>
    </row>
    <row r="63" spans="2:6" ht="12.75" customHeight="1" x14ac:dyDescent="0.25">
      <c r="B63" s="9">
        <v>3131</v>
      </c>
      <c r="C63" s="9" t="s">
        <v>14</v>
      </c>
      <c r="D63" s="9" t="s">
        <v>24</v>
      </c>
      <c r="E63" s="10">
        <v>42727.446527777778</v>
      </c>
      <c r="F63" s="10">
        <v>42727.509722222225</v>
      </c>
    </row>
    <row r="64" spans="2:6" ht="12.75" customHeight="1" x14ac:dyDescent="0.25">
      <c r="B64" s="9">
        <v>3132</v>
      </c>
      <c r="C64" s="9" t="s">
        <v>24</v>
      </c>
      <c r="D64" s="9" t="s">
        <v>14</v>
      </c>
      <c r="E64" s="10">
        <v>42727.61041666667</v>
      </c>
      <c r="F64" s="10">
        <v>42727.672222222223</v>
      </c>
    </row>
    <row r="65" spans="2:6" ht="12.75" customHeight="1" x14ac:dyDescent="0.25">
      <c r="B65" s="9">
        <v>3133</v>
      </c>
      <c r="C65" s="9" t="s">
        <v>14</v>
      </c>
      <c r="D65" s="9" t="s">
        <v>24</v>
      </c>
      <c r="E65" s="10">
        <v>42727.7</v>
      </c>
      <c r="F65" s="10">
        <v>42727.763194444444</v>
      </c>
    </row>
    <row r="66" spans="2:6" ht="12.75" customHeight="1" x14ac:dyDescent="0.25">
      <c r="B66" s="9">
        <v>3134</v>
      </c>
      <c r="C66" s="9" t="s">
        <v>24</v>
      </c>
      <c r="D66" s="9" t="s">
        <v>14</v>
      </c>
      <c r="E66" s="10">
        <v>42727.802083333336</v>
      </c>
      <c r="F66" s="10">
        <v>42727.863888888889</v>
      </c>
    </row>
    <row r="67" spans="2:6" ht="12.75" customHeight="1" x14ac:dyDescent="0.25">
      <c r="B67" s="9">
        <v>3135</v>
      </c>
      <c r="C67" s="9" t="s">
        <v>14</v>
      </c>
      <c r="D67" s="9" t="s">
        <v>24</v>
      </c>
      <c r="E67" s="10">
        <v>42727.884722222225</v>
      </c>
      <c r="F67" s="10">
        <v>42727.947916666664</v>
      </c>
    </row>
    <row r="68" spans="2:6" ht="12.75" customHeight="1" x14ac:dyDescent="0.25">
      <c r="B68" s="9">
        <v>3136</v>
      </c>
      <c r="C68" s="9" t="s">
        <v>24</v>
      </c>
      <c r="D68" s="9" t="s">
        <v>14</v>
      </c>
      <c r="E68" s="10">
        <v>42727.771527777775</v>
      </c>
      <c r="F68" s="10">
        <v>42727.833333333336</v>
      </c>
    </row>
    <row r="69" spans="2:6" ht="12.75" customHeight="1" x14ac:dyDescent="0.25">
      <c r="B69" s="9">
        <v>3138</v>
      </c>
      <c r="C69" s="9" t="s">
        <v>24</v>
      </c>
      <c r="D69" s="9" t="s">
        <v>14</v>
      </c>
      <c r="E69" s="10">
        <v>42727.89166666667</v>
      </c>
      <c r="F69" s="10">
        <v>42727.953472222223</v>
      </c>
    </row>
    <row r="70" spans="2:6" ht="12.75" customHeight="1" x14ac:dyDescent="0.25">
      <c r="B70" s="9">
        <v>3139</v>
      </c>
      <c r="C70" s="9" t="s">
        <v>14</v>
      </c>
      <c r="D70" s="9" t="s">
        <v>24</v>
      </c>
      <c r="E70" s="10">
        <v>42727.245138888888</v>
      </c>
      <c r="F70" s="10">
        <v>42727.308333333334</v>
      </c>
    </row>
    <row r="71" spans="2:6" ht="12.75" customHeight="1" x14ac:dyDescent="0.25">
      <c r="B71" s="9">
        <v>3142</v>
      </c>
      <c r="C71" s="9" t="s">
        <v>24</v>
      </c>
      <c r="D71" s="9" t="s">
        <v>16</v>
      </c>
      <c r="E71" s="10">
        <v>42727.332638888889</v>
      </c>
      <c r="F71" s="10">
        <v>42727.395833333336</v>
      </c>
    </row>
    <row r="72" spans="2:6" ht="12.75" customHeight="1" x14ac:dyDescent="0.25">
      <c r="B72" s="9">
        <v>3143</v>
      </c>
      <c r="C72" s="9" t="s">
        <v>16</v>
      </c>
      <c r="D72" s="9" t="s">
        <v>24</v>
      </c>
      <c r="E72" s="10">
        <v>42727.416666666664</v>
      </c>
      <c r="F72" s="10">
        <v>42727.480555555558</v>
      </c>
    </row>
    <row r="73" spans="2:6" ht="12.75" customHeight="1" x14ac:dyDescent="0.25">
      <c r="B73" s="9">
        <v>3144</v>
      </c>
      <c r="C73" s="9" t="s">
        <v>24</v>
      </c>
      <c r="D73" s="9" t="s">
        <v>16</v>
      </c>
      <c r="E73" s="10">
        <v>42727.416666666664</v>
      </c>
      <c r="F73" s="10">
        <v>42727.479861111111</v>
      </c>
    </row>
    <row r="74" spans="2:6" ht="12.75" customHeight="1" x14ac:dyDescent="0.25">
      <c r="B74" s="9">
        <v>3145</v>
      </c>
      <c r="C74" s="9" t="s">
        <v>16</v>
      </c>
      <c r="D74" s="9" t="s">
        <v>24</v>
      </c>
      <c r="E74" s="10">
        <v>42727.500694444447</v>
      </c>
      <c r="F74" s="10">
        <v>42727.564583333333</v>
      </c>
    </row>
    <row r="75" spans="2:6" ht="12.75" customHeight="1" x14ac:dyDescent="0.25">
      <c r="B75" s="9">
        <v>3146</v>
      </c>
      <c r="C75" s="9" t="s">
        <v>24</v>
      </c>
      <c r="D75" s="9" t="s">
        <v>16</v>
      </c>
      <c r="E75" s="10">
        <v>42727.57708333333</v>
      </c>
      <c r="F75" s="10">
        <v>42727.640277777777</v>
      </c>
    </row>
    <row r="76" spans="2:6" ht="12.75" customHeight="1" x14ac:dyDescent="0.25">
      <c r="B76" s="9">
        <v>3147</v>
      </c>
      <c r="C76" s="9" t="s">
        <v>16</v>
      </c>
      <c r="D76" s="9" t="s">
        <v>24</v>
      </c>
      <c r="E76" s="10">
        <v>42727.661111111112</v>
      </c>
      <c r="F76" s="10">
        <v>42727.724999999999</v>
      </c>
    </row>
    <row r="77" spans="2:6" ht="12.75" customHeight="1" x14ac:dyDescent="0.25">
      <c r="B77" s="9">
        <v>3150</v>
      </c>
      <c r="C77" s="9" t="s">
        <v>24</v>
      </c>
      <c r="D77" s="9" t="s">
        <v>16</v>
      </c>
      <c r="E77" s="10">
        <v>42727.78402777778</v>
      </c>
      <c r="F77" s="10">
        <v>42727.847222222219</v>
      </c>
    </row>
    <row r="78" spans="2:6" ht="12.75" customHeight="1" x14ac:dyDescent="0.25">
      <c r="B78" s="9">
        <v>3151</v>
      </c>
      <c r="C78" s="9" t="s">
        <v>16</v>
      </c>
      <c r="D78" s="9" t="s">
        <v>24</v>
      </c>
      <c r="E78" s="10">
        <v>42727.842361111114</v>
      </c>
      <c r="F78" s="10">
        <v>42727.90625</v>
      </c>
    </row>
    <row r="79" spans="2:6" ht="12.75" customHeight="1" x14ac:dyDescent="0.25">
      <c r="B79" s="9">
        <v>3160</v>
      </c>
      <c r="C79" s="9" t="s">
        <v>24</v>
      </c>
      <c r="D79" s="9" t="s">
        <v>15</v>
      </c>
      <c r="E79" s="10">
        <v>42727.245833333334</v>
      </c>
      <c r="F79" s="10">
        <v>42727.289583333331</v>
      </c>
    </row>
    <row r="80" spans="2:6" ht="12.75" customHeight="1" x14ac:dyDescent="0.25">
      <c r="B80" s="9">
        <v>3161</v>
      </c>
      <c r="C80" s="9" t="s">
        <v>15</v>
      </c>
      <c r="D80" s="9" t="s">
        <v>24</v>
      </c>
      <c r="E80" s="10">
        <v>42727.310416666667</v>
      </c>
      <c r="F80" s="10">
        <v>42727.353472222225</v>
      </c>
    </row>
    <row r="81" spans="2:6" ht="12.75" customHeight="1" x14ac:dyDescent="0.25">
      <c r="B81" s="9">
        <v>3162</v>
      </c>
      <c r="C81" s="9" t="s">
        <v>24</v>
      </c>
      <c r="D81" s="9" t="s">
        <v>15</v>
      </c>
      <c r="E81" s="10">
        <v>42727.32916666667</v>
      </c>
      <c r="F81" s="10">
        <v>42727.372916666667</v>
      </c>
    </row>
    <row r="82" spans="2:6" ht="12.75" customHeight="1" x14ac:dyDescent="0.25">
      <c r="B82" s="9">
        <v>3163</v>
      </c>
      <c r="C82" s="9" t="s">
        <v>15</v>
      </c>
      <c r="D82" s="9" t="s">
        <v>24</v>
      </c>
      <c r="E82" s="10">
        <v>42727.394444444442</v>
      </c>
      <c r="F82" s="10">
        <v>42727.4375</v>
      </c>
    </row>
    <row r="83" spans="2:6" ht="12.75" customHeight="1" x14ac:dyDescent="0.25">
      <c r="B83" s="9">
        <v>3166</v>
      </c>
      <c r="C83" s="9" t="s">
        <v>24</v>
      </c>
      <c r="D83" s="9" t="s">
        <v>15</v>
      </c>
      <c r="E83" s="10">
        <v>42727.790972222225</v>
      </c>
      <c r="F83" s="10">
        <v>42727.834722222222</v>
      </c>
    </row>
    <row r="84" spans="2:6" ht="12.75" customHeight="1" x14ac:dyDescent="0.25">
      <c r="B84" s="9">
        <v>3168</v>
      </c>
      <c r="C84" s="9" t="s">
        <v>24</v>
      </c>
      <c r="D84" s="9" t="s">
        <v>15</v>
      </c>
      <c r="E84" s="10">
        <v>42727.795138888891</v>
      </c>
      <c r="F84" s="10">
        <v>42727.838888888888</v>
      </c>
    </row>
    <row r="85" spans="2:6" ht="12.75" customHeight="1" x14ac:dyDescent="0.25">
      <c r="B85" s="9">
        <v>3169</v>
      </c>
      <c r="C85" s="9" t="s">
        <v>15</v>
      </c>
      <c r="D85" s="9" t="s">
        <v>24</v>
      </c>
      <c r="E85" s="10">
        <v>42727.859722222223</v>
      </c>
      <c r="F85" s="10">
        <v>42727.902777777781</v>
      </c>
    </row>
    <row r="86" spans="2:6" ht="12.75" customHeight="1" x14ac:dyDescent="0.25">
      <c r="B86" s="9">
        <v>3170</v>
      </c>
      <c r="C86" s="9" t="s">
        <v>24</v>
      </c>
      <c r="D86" s="9" t="s">
        <v>15</v>
      </c>
      <c r="E86" s="10">
        <v>42727.908333333333</v>
      </c>
      <c r="F86" s="10">
        <v>42727.95208333333</v>
      </c>
    </row>
    <row r="87" spans="2:6" ht="12.75" customHeight="1" x14ac:dyDescent="0.25">
      <c r="B87" s="9">
        <v>3171</v>
      </c>
      <c r="C87" s="9" t="s">
        <v>15</v>
      </c>
      <c r="D87" s="9" t="s">
        <v>24</v>
      </c>
      <c r="E87" s="10">
        <v>42727.243750000001</v>
      </c>
      <c r="F87" s="10">
        <v>42727.286805555559</v>
      </c>
    </row>
    <row r="88" spans="2:6" ht="12.75" customHeight="1" x14ac:dyDescent="0.25">
      <c r="B88" s="9">
        <v>3180</v>
      </c>
      <c r="C88" s="9" t="s">
        <v>24</v>
      </c>
      <c r="D88" s="9" t="s">
        <v>25</v>
      </c>
      <c r="E88" s="10">
        <v>42727.253472222219</v>
      </c>
      <c r="F88" s="10">
        <v>42727.303472222222</v>
      </c>
    </row>
    <row r="89" spans="2:6" ht="12.75" customHeight="1" x14ac:dyDescent="0.25">
      <c r="B89" s="9">
        <v>3181</v>
      </c>
      <c r="C89" s="9" t="s">
        <v>25</v>
      </c>
      <c r="D89" s="9" t="s">
        <v>24</v>
      </c>
      <c r="E89" s="10">
        <v>42727.324305555558</v>
      </c>
      <c r="F89" s="10">
        <v>42727.374305555553</v>
      </c>
    </row>
    <row r="90" spans="2:6" ht="12.75" customHeight="1" x14ac:dyDescent="0.25">
      <c r="B90" s="9">
        <v>3186</v>
      </c>
      <c r="C90" s="9" t="s">
        <v>24</v>
      </c>
      <c r="D90" s="9" t="s">
        <v>25</v>
      </c>
      <c r="E90" s="10">
        <v>42727.847222222219</v>
      </c>
      <c r="F90" s="10">
        <v>42727.897222222222</v>
      </c>
    </row>
    <row r="91" spans="2:6" ht="12.75" customHeight="1" x14ac:dyDescent="0.25">
      <c r="B91" s="9">
        <v>3187</v>
      </c>
      <c r="C91" s="9" t="s">
        <v>25</v>
      </c>
      <c r="D91" s="9" t="s">
        <v>24</v>
      </c>
      <c r="E91" s="10">
        <v>42727.918055555558</v>
      </c>
      <c r="F91" s="10">
        <v>42727.968055555553</v>
      </c>
    </row>
    <row r="92" spans="2:6" ht="12.75" customHeight="1" x14ac:dyDescent="0.25">
      <c r="B92" s="9">
        <v>3192</v>
      </c>
      <c r="C92" s="9" t="s">
        <v>24</v>
      </c>
      <c r="D92" s="9" t="s">
        <v>21</v>
      </c>
      <c r="E92" s="10">
        <v>42727.280555555553</v>
      </c>
      <c r="F92" s="10">
        <v>42727.338194444441</v>
      </c>
    </row>
    <row r="93" spans="2:6" ht="12.75" customHeight="1" x14ac:dyDescent="0.25">
      <c r="B93" s="9">
        <v>3193</v>
      </c>
      <c r="C93" s="9" t="s">
        <v>21</v>
      </c>
      <c r="D93" s="9" t="s">
        <v>24</v>
      </c>
      <c r="E93" s="10">
        <v>42727.359722222223</v>
      </c>
      <c r="F93" s="10">
        <v>42727.412499999999</v>
      </c>
    </row>
    <row r="94" spans="2:6" ht="12.75" customHeight="1" x14ac:dyDescent="0.25">
      <c r="B94" s="9">
        <v>3196</v>
      </c>
      <c r="C94" s="9" t="s">
        <v>24</v>
      </c>
      <c r="D94" s="9" t="s">
        <v>21</v>
      </c>
      <c r="E94" s="10">
        <v>42727.670138888891</v>
      </c>
      <c r="F94" s="10">
        <v>42727.727777777778</v>
      </c>
    </row>
    <row r="95" spans="2:6" ht="12.75" customHeight="1" x14ac:dyDescent="0.25">
      <c r="B95" s="9">
        <v>3197</v>
      </c>
      <c r="C95" s="9" t="s">
        <v>21</v>
      </c>
      <c r="D95" s="9" t="s">
        <v>24</v>
      </c>
      <c r="E95" s="10">
        <v>42727.748611111114</v>
      </c>
      <c r="F95" s="10">
        <v>42727.801388888889</v>
      </c>
    </row>
    <row r="96" spans="2:6" ht="12.75" customHeight="1" x14ac:dyDescent="0.25">
      <c r="B96" s="9">
        <v>3200</v>
      </c>
      <c r="C96" s="9" t="s">
        <v>24</v>
      </c>
      <c r="D96" s="9" t="s">
        <v>26</v>
      </c>
      <c r="E96" s="10">
        <v>42727.23541666667</v>
      </c>
      <c r="F96" s="10">
        <v>42727.275694444441</v>
      </c>
    </row>
    <row r="97" spans="2:6" ht="12.75" customHeight="1" x14ac:dyDescent="0.25">
      <c r="B97" s="9">
        <v>3201</v>
      </c>
      <c r="C97" s="9" t="s">
        <v>26</v>
      </c>
      <c r="D97" s="9" t="s">
        <v>24</v>
      </c>
      <c r="E97" s="10">
        <v>42727.3</v>
      </c>
      <c r="F97" s="10">
        <v>42727.338888888888</v>
      </c>
    </row>
    <row r="98" spans="2:6" ht="12.75" customHeight="1" x14ac:dyDescent="0.25">
      <c r="B98" s="9">
        <v>3207</v>
      </c>
      <c r="C98" s="9" t="s">
        <v>26</v>
      </c>
      <c r="D98" s="9" t="s">
        <v>24</v>
      </c>
      <c r="E98" s="10">
        <v>42727.796527777777</v>
      </c>
      <c r="F98" s="10">
        <v>42727.835416666669</v>
      </c>
    </row>
    <row r="99" spans="2:6" ht="12.75" customHeight="1" x14ac:dyDescent="0.25">
      <c r="B99" s="9">
        <v>3208</v>
      </c>
      <c r="C99" s="9" t="s">
        <v>24</v>
      </c>
      <c r="D99" s="9" t="s">
        <v>26</v>
      </c>
      <c r="E99" s="10">
        <v>42727.682638888888</v>
      </c>
      <c r="F99" s="10">
        <v>42727.722916666666</v>
      </c>
    </row>
    <row r="100" spans="2:6" ht="12.75" customHeight="1" x14ac:dyDescent="0.25">
      <c r="B100" s="9">
        <v>3209</v>
      </c>
      <c r="C100" s="9" t="s">
        <v>26</v>
      </c>
      <c r="D100" s="9" t="s">
        <v>24</v>
      </c>
      <c r="E100" s="10">
        <v>42727.743750000001</v>
      </c>
      <c r="F100" s="10">
        <v>42727.782638888886</v>
      </c>
    </row>
    <row r="101" spans="2:6" ht="12.75" customHeight="1" x14ac:dyDescent="0.25">
      <c r="B101" s="9">
        <v>3210</v>
      </c>
      <c r="C101" s="9" t="s">
        <v>24</v>
      </c>
      <c r="D101" s="9" t="s">
        <v>23</v>
      </c>
      <c r="E101" s="10">
        <v>42727.260416666664</v>
      </c>
      <c r="F101" s="10">
        <v>42727.302083333336</v>
      </c>
    </row>
    <row r="102" spans="2:6" ht="12.75" customHeight="1" x14ac:dyDescent="0.25">
      <c r="B102" s="9">
        <v>3211</v>
      </c>
      <c r="C102" s="9" t="s">
        <v>23</v>
      </c>
      <c r="D102" s="9" t="s">
        <v>24</v>
      </c>
      <c r="E102" s="10">
        <v>42727.326388888891</v>
      </c>
      <c r="F102" s="10">
        <v>42727.364583333336</v>
      </c>
    </row>
    <row r="103" spans="2:6" ht="12.75" customHeight="1" x14ac:dyDescent="0.25">
      <c r="B103" s="9">
        <v>3216</v>
      </c>
      <c r="C103" s="9" t="s">
        <v>24</v>
      </c>
      <c r="D103" s="9" t="s">
        <v>23</v>
      </c>
      <c r="E103" s="10">
        <v>42727.787499999999</v>
      </c>
      <c r="F103" s="10">
        <v>42727.82916666667</v>
      </c>
    </row>
    <row r="104" spans="2:6" ht="12.75" customHeight="1" x14ac:dyDescent="0.25">
      <c r="B104" s="9">
        <v>3218</v>
      </c>
      <c r="C104" s="9" t="s">
        <v>24</v>
      </c>
      <c r="D104" s="9" t="s">
        <v>23</v>
      </c>
      <c r="E104" s="10">
        <v>42727.826388888891</v>
      </c>
      <c r="F104" s="10">
        <v>42727.868055555555</v>
      </c>
    </row>
    <row r="105" spans="2:6" ht="12.75" customHeight="1" x14ac:dyDescent="0.25">
      <c r="B105" s="9">
        <v>3219</v>
      </c>
      <c r="C105" s="9" t="s">
        <v>23</v>
      </c>
      <c r="D105" s="9" t="s">
        <v>24</v>
      </c>
      <c r="E105" s="10">
        <v>42727.888888888891</v>
      </c>
      <c r="F105" s="10">
        <v>42727.927083333336</v>
      </c>
    </row>
    <row r="106" spans="2:6" ht="12.75" customHeight="1" x14ac:dyDescent="0.25">
      <c r="B106" s="9">
        <v>3242</v>
      </c>
      <c r="C106" s="9" t="s">
        <v>24</v>
      </c>
      <c r="D106" s="9" t="s">
        <v>18</v>
      </c>
      <c r="E106" s="10">
        <v>42727.381944444445</v>
      </c>
      <c r="F106" s="10">
        <v>42727.441666666666</v>
      </c>
    </row>
    <row r="107" spans="2:6" ht="12.75" customHeight="1" x14ac:dyDescent="0.25">
      <c r="B107" s="9">
        <v>3243</v>
      </c>
      <c r="C107" s="9" t="s">
        <v>18</v>
      </c>
      <c r="D107" s="9" t="s">
        <v>24</v>
      </c>
      <c r="E107" s="10">
        <v>42727.462500000001</v>
      </c>
      <c r="F107" s="10">
        <v>42727.521527777775</v>
      </c>
    </row>
    <row r="108" spans="2:6" ht="12.75" customHeight="1" x14ac:dyDescent="0.25">
      <c r="B108" s="9">
        <v>3244</v>
      </c>
      <c r="C108" s="9" t="s">
        <v>24</v>
      </c>
      <c r="D108" s="9" t="s">
        <v>18</v>
      </c>
      <c r="E108" s="10">
        <v>42727.606944444444</v>
      </c>
      <c r="F108" s="10">
        <v>42727.666666666664</v>
      </c>
    </row>
    <row r="109" spans="2:6" ht="12.75" customHeight="1" x14ac:dyDescent="0.25">
      <c r="B109" s="9">
        <v>3245</v>
      </c>
      <c r="C109" s="9" t="s">
        <v>18</v>
      </c>
      <c r="D109" s="9" t="s">
        <v>24</v>
      </c>
      <c r="E109" s="10">
        <v>42727.6875</v>
      </c>
      <c r="F109" s="10">
        <v>42727.746527777781</v>
      </c>
    </row>
    <row r="110" spans="2:6" ht="12.75" customHeight="1" x14ac:dyDescent="0.25">
      <c r="B110" s="9">
        <v>3262</v>
      </c>
      <c r="C110" s="9" t="s">
        <v>24</v>
      </c>
      <c r="D110" s="9" t="s">
        <v>17</v>
      </c>
      <c r="E110" s="10">
        <v>42727.477777777778</v>
      </c>
      <c r="F110" s="10">
        <v>42727.571527777778</v>
      </c>
    </row>
    <row r="111" spans="2:6" ht="12.75" customHeight="1" x14ac:dyDescent="0.25">
      <c r="B111" s="9">
        <v>3263</v>
      </c>
      <c r="C111" s="9" t="s">
        <v>17</v>
      </c>
      <c r="D111" s="9" t="s">
        <v>24</v>
      </c>
      <c r="E111" s="10">
        <v>42727.599305555559</v>
      </c>
      <c r="F111" s="10">
        <v>42727.686111111114</v>
      </c>
    </row>
    <row r="112" spans="2:6" ht="12.75" customHeight="1" x14ac:dyDescent="0.25">
      <c r="B112" s="9">
        <v>3266</v>
      </c>
      <c r="C112" s="9" t="s">
        <v>24</v>
      </c>
      <c r="D112" s="9" t="s">
        <v>17</v>
      </c>
      <c r="E112" s="10">
        <v>42727.557638888888</v>
      </c>
      <c r="F112" s="10">
        <v>42727.651388888888</v>
      </c>
    </row>
    <row r="113" spans="2:6" ht="12.75" customHeight="1" x14ac:dyDescent="0.25">
      <c r="B113" s="9">
        <v>3267</v>
      </c>
      <c r="C113" s="9" t="s">
        <v>17</v>
      </c>
      <c r="D113" s="9" t="s">
        <v>24</v>
      </c>
      <c r="E113" s="10">
        <v>42727.679166666669</v>
      </c>
      <c r="F113" s="10">
        <v>42727.765972222223</v>
      </c>
    </row>
    <row r="114" spans="2:6" ht="12.75" customHeight="1" x14ac:dyDescent="0.25">
      <c r="B114" s="9">
        <v>3268</v>
      </c>
      <c r="C114" s="9" t="s">
        <v>24</v>
      </c>
      <c r="D114" s="9" t="s">
        <v>17</v>
      </c>
      <c r="E114" s="10">
        <v>42727.75277777778</v>
      </c>
      <c r="F114" s="10">
        <v>42727.84652777778</v>
      </c>
    </row>
    <row r="115" spans="2:6" ht="12.75" customHeight="1" x14ac:dyDescent="0.25">
      <c r="B115" s="9">
        <v>3269</v>
      </c>
      <c r="C115" s="9" t="s">
        <v>17</v>
      </c>
      <c r="D115" s="9" t="s">
        <v>24</v>
      </c>
      <c r="E115" s="10">
        <v>42727.808333333334</v>
      </c>
      <c r="F115" s="10">
        <v>42727.895138888889</v>
      </c>
    </row>
    <row r="116" spans="2:6" ht="12.75" customHeight="1" x14ac:dyDescent="0.25">
      <c r="B116" s="9">
        <v>3272</v>
      </c>
      <c r="C116" s="9" t="s">
        <v>27</v>
      </c>
      <c r="D116" s="9" t="s">
        <v>17</v>
      </c>
      <c r="E116" s="10">
        <v>42727.402777777781</v>
      </c>
      <c r="F116" s="10">
        <v>42727.482638888891</v>
      </c>
    </row>
    <row r="117" spans="2:6" ht="12.75" customHeight="1" x14ac:dyDescent="0.25">
      <c r="B117" s="9">
        <v>3273</v>
      </c>
      <c r="C117" s="9" t="s">
        <v>17</v>
      </c>
      <c r="D117" s="9" t="s">
        <v>27</v>
      </c>
      <c r="E117" s="10">
        <v>42727.510416666664</v>
      </c>
      <c r="F117" s="10">
        <v>42727.595833333333</v>
      </c>
    </row>
    <row r="118" spans="2:6" ht="12.75" customHeight="1" x14ac:dyDescent="0.25">
      <c r="B118" s="9">
        <v>3274</v>
      </c>
      <c r="C118" s="9" t="s">
        <v>27</v>
      </c>
      <c r="D118" s="9" t="s">
        <v>17</v>
      </c>
      <c r="E118" s="10">
        <v>42727.520833333336</v>
      </c>
      <c r="F118" s="10">
        <v>42727.600694444445</v>
      </c>
    </row>
    <row r="119" spans="2:6" ht="12.75" customHeight="1" x14ac:dyDescent="0.25">
      <c r="B119" s="9">
        <v>3275</v>
      </c>
      <c r="C119" s="9" t="s">
        <v>17</v>
      </c>
      <c r="D119" s="9" t="s">
        <v>27</v>
      </c>
      <c r="E119" s="10">
        <v>42727.628472222219</v>
      </c>
      <c r="F119" s="10">
        <v>42727.713888888888</v>
      </c>
    </row>
    <row r="120" spans="2:6" ht="12.75" customHeight="1" x14ac:dyDescent="0.25">
      <c r="B120" s="9">
        <v>3304</v>
      </c>
      <c r="C120" s="9" t="s">
        <v>20</v>
      </c>
      <c r="D120" s="9" t="s">
        <v>17</v>
      </c>
      <c r="E120" s="10">
        <v>42727.46875</v>
      </c>
      <c r="F120" s="10">
        <v>42727.543749999997</v>
      </c>
    </row>
    <row r="121" spans="2:6" ht="12.75" customHeight="1" x14ac:dyDescent="0.25">
      <c r="B121" s="9">
        <v>3305</v>
      </c>
      <c r="C121" s="9" t="s">
        <v>17</v>
      </c>
      <c r="D121" s="9" t="s">
        <v>20</v>
      </c>
      <c r="E121" s="10">
        <v>42727.571527777778</v>
      </c>
      <c r="F121" s="10">
        <v>42727.654861111114</v>
      </c>
    </row>
    <row r="122" spans="2:6" ht="12.75" customHeight="1" x14ac:dyDescent="0.25">
      <c r="B122" s="9">
        <v>3310</v>
      </c>
      <c r="C122" s="9" t="s">
        <v>20</v>
      </c>
      <c r="D122" s="9" t="s">
        <v>19</v>
      </c>
      <c r="E122" s="10">
        <v>42727.363194444442</v>
      </c>
      <c r="F122" s="10">
        <v>42727.407638888886</v>
      </c>
    </row>
    <row r="123" spans="2:6" ht="12.75" customHeight="1" x14ac:dyDescent="0.25">
      <c r="B123" s="9">
        <v>3311</v>
      </c>
      <c r="C123" s="9" t="s">
        <v>19</v>
      </c>
      <c r="D123" s="9" t="s">
        <v>20</v>
      </c>
      <c r="E123" s="10">
        <v>42727.739583333336</v>
      </c>
      <c r="F123" s="10">
        <v>42727.788194444445</v>
      </c>
    </row>
  </sheetData>
  <autoFilter ref="B2:F123" xr:uid="{00000000-0009-0000-0000-000006000000}"/>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B2:F111"/>
  <sheetViews>
    <sheetView showGridLines="0" zoomScaleNormal="100" workbookViewId="0"/>
  </sheetViews>
  <sheetFormatPr baseColWidth="10" defaultColWidth="11.42578125" defaultRowHeight="12.75" x14ac:dyDescent="0.2"/>
  <cols>
    <col min="1" max="1" width="11.42578125" style="8"/>
    <col min="2" max="2" width="14.28515625" style="6" customWidth="1"/>
    <col min="3" max="4" width="14.28515625" style="7" customWidth="1"/>
    <col min="5" max="6" width="14.28515625" style="8" customWidth="1"/>
    <col min="7" max="16384" width="11.42578125" style="8"/>
  </cols>
  <sheetData>
    <row r="2" spans="2:6" x14ac:dyDescent="0.2">
      <c r="B2" s="12" t="s">
        <v>75</v>
      </c>
      <c r="C2" s="12" t="s">
        <v>76</v>
      </c>
      <c r="D2" s="12" t="s">
        <v>77</v>
      </c>
      <c r="E2" s="12" t="s">
        <v>78</v>
      </c>
      <c r="F2" s="12" t="s">
        <v>79</v>
      </c>
    </row>
    <row r="3" spans="2:6" x14ac:dyDescent="0.2">
      <c r="B3" s="9">
        <v>3000</v>
      </c>
      <c r="C3" s="9" t="s">
        <v>24</v>
      </c>
      <c r="D3" s="9" t="s">
        <v>20</v>
      </c>
      <c r="E3" s="10">
        <v>42728.270833333336</v>
      </c>
      <c r="F3" s="10">
        <v>42728.311805555553</v>
      </c>
    </row>
    <row r="4" spans="2:6" x14ac:dyDescent="0.2">
      <c r="B4" s="9">
        <v>3001</v>
      </c>
      <c r="C4" s="9" t="s">
        <v>20</v>
      </c>
      <c r="D4" s="9" t="s">
        <v>24</v>
      </c>
      <c r="E4" s="10">
        <v>42728.336805555555</v>
      </c>
      <c r="F4" s="10">
        <v>42728.375</v>
      </c>
    </row>
    <row r="5" spans="2:6" x14ac:dyDescent="0.2">
      <c r="B5" s="9">
        <v>3002</v>
      </c>
      <c r="C5" s="9" t="s">
        <v>24</v>
      </c>
      <c r="D5" s="9" t="s">
        <v>20</v>
      </c>
      <c r="E5" s="10">
        <v>42728.295138888891</v>
      </c>
      <c r="F5" s="10">
        <v>42728.336111111108</v>
      </c>
    </row>
    <row r="6" spans="2:6" x14ac:dyDescent="0.2">
      <c r="B6" s="9">
        <v>3006</v>
      </c>
      <c r="C6" s="9" t="s">
        <v>24</v>
      </c>
      <c r="D6" s="9" t="s">
        <v>20</v>
      </c>
      <c r="E6" s="10">
        <v>42728.377083333333</v>
      </c>
      <c r="F6" s="10">
        <v>42728.418055555558</v>
      </c>
    </row>
    <row r="7" spans="2:6" x14ac:dyDescent="0.2">
      <c r="B7" s="9">
        <v>3007</v>
      </c>
      <c r="C7" s="9" t="s">
        <v>20</v>
      </c>
      <c r="D7" s="9" t="s">
        <v>24</v>
      </c>
      <c r="E7" s="10">
        <v>42728.663194444445</v>
      </c>
      <c r="F7" s="10">
        <v>42728.701388888891</v>
      </c>
    </row>
    <row r="8" spans="2:6" x14ac:dyDescent="0.2">
      <c r="B8" s="9">
        <v>3010</v>
      </c>
      <c r="C8" s="9" t="s">
        <v>24</v>
      </c>
      <c r="D8" s="9" t="s">
        <v>20</v>
      </c>
      <c r="E8" s="10">
        <v>42728.46875</v>
      </c>
      <c r="F8" s="10">
        <v>42728.509722222225</v>
      </c>
    </row>
    <row r="9" spans="2:6" x14ac:dyDescent="0.2">
      <c r="B9" s="9">
        <v>3011</v>
      </c>
      <c r="C9" s="9" t="s">
        <v>20</v>
      </c>
      <c r="D9" s="9" t="s">
        <v>24</v>
      </c>
      <c r="E9" s="10">
        <v>42728.530555555553</v>
      </c>
      <c r="F9" s="10">
        <v>42728.568749999999</v>
      </c>
    </row>
    <row r="10" spans="2:6" x14ac:dyDescent="0.2">
      <c r="B10" s="9">
        <v>3012</v>
      </c>
      <c r="C10" s="9" t="s">
        <v>24</v>
      </c>
      <c r="D10" s="9" t="s">
        <v>20</v>
      </c>
      <c r="E10" s="10">
        <v>42728.53402777778</v>
      </c>
      <c r="F10" s="10">
        <v>42728.574999999997</v>
      </c>
    </row>
    <row r="11" spans="2:6" x14ac:dyDescent="0.2">
      <c r="B11" s="9">
        <v>3013</v>
      </c>
      <c r="C11" s="9" t="s">
        <v>20</v>
      </c>
      <c r="D11" s="9" t="s">
        <v>24</v>
      </c>
      <c r="E11" s="10">
        <v>42728.602777777778</v>
      </c>
      <c r="F11" s="10">
        <v>42728.640972222223</v>
      </c>
    </row>
    <row r="12" spans="2:6" x14ac:dyDescent="0.2">
      <c r="B12" s="9">
        <v>3015</v>
      </c>
      <c r="C12" s="9" t="s">
        <v>20</v>
      </c>
      <c r="D12" s="9" t="s">
        <v>24</v>
      </c>
      <c r="E12" s="10">
        <v>42728.75</v>
      </c>
      <c r="F12" s="10">
        <v>42728.788194444445</v>
      </c>
    </row>
    <row r="13" spans="2:6" x14ac:dyDescent="0.2">
      <c r="B13" s="9">
        <v>3018</v>
      </c>
      <c r="C13" s="9" t="s">
        <v>24</v>
      </c>
      <c r="D13" s="9" t="s">
        <v>20</v>
      </c>
      <c r="E13" s="10">
        <v>42728.829861111109</v>
      </c>
      <c r="F13" s="10">
        <v>42728.870833333334</v>
      </c>
    </row>
    <row r="14" spans="2:6" x14ac:dyDescent="0.2">
      <c r="B14" s="9">
        <v>3019</v>
      </c>
      <c r="C14" s="9" t="s">
        <v>20</v>
      </c>
      <c r="D14" s="9" t="s">
        <v>24</v>
      </c>
      <c r="E14" s="10">
        <v>42728.89166666667</v>
      </c>
      <c r="F14" s="10">
        <v>42728.929861111108</v>
      </c>
    </row>
    <row r="15" spans="2:6" x14ac:dyDescent="0.2">
      <c r="B15" s="9">
        <v>3020</v>
      </c>
      <c r="C15" s="9" t="s">
        <v>24</v>
      </c>
      <c r="D15" s="9" t="s">
        <v>20</v>
      </c>
      <c r="E15" s="10">
        <v>42728.878472222219</v>
      </c>
      <c r="F15" s="10">
        <v>42728.919444444444</v>
      </c>
    </row>
    <row r="16" spans="2:6" x14ac:dyDescent="0.2">
      <c r="B16" s="9">
        <v>3021</v>
      </c>
      <c r="C16" s="9" t="s">
        <v>20</v>
      </c>
      <c r="D16" s="9" t="s">
        <v>24</v>
      </c>
      <c r="E16" s="10">
        <v>42728.94027777778</v>
      </c>
      <c r="F16" s="10">
        <v>42728.978472222225</v>
      </c>
    </row>
    <row r="17" spans="2:6" x14ac:dyDescent="0.2">
      <c r="B17" s="9">
        <v>3023</v>
      </c>
      <c r="C17" s="9" t="s">
        <v>20</v>
      </c>
      <c r="D17" s="9" t="s">
        <v>24</v>
      </c>
      <c r="E17" s="10">
        <v>42728.815972222219</v>
      </c>
      <c r="F17" s="10">
        <v>42728.854166666664</v>
      </c>
    </row>
    <row r="18" spans="2:6" x14ac:dyDescent="0.2">
      <c r="B18" s="9">
        <v>3024</v>
      </c>
      <c r="C18" s="9" t="s">
        <v>24</v>
      </c>
      <c r="D18" s="9" t="s">
        <v>20</v>
      </c>
      <c r="E18" s="10">
        <v>42728.794444444444</v>
      </c>
      <c r="F18" s="10">
        <v>42728.835416666669</v>
      </c>
    </row>
    <row r="19" spans="2:6" x14ac:dyDescent="0.2">
      <c r="B19" s="9">
        <v>3025</v>
      </c>
      <c r="C19" s="9" t="s">
        <v>20</v>
      </c>
      <c r="D19" s="9" t="s">
        <v>24</v>
      </c>
      <c r="E19" s="10">
        <v>42728.856249999997</v>
      </c>
      <c r="F19" s="10">
        <v>42728.894444444442</v>
      </c>
    </row>
    <row r="20" spans="2:6" x14ac:dyDescent="0.2">
      <c r="B20" s="9">
        <v>3042</v>
      </c>
      <c r="C20" s="9" t="s">
        <v>24</v>
      </c>
      <c r="D20" s="9" t="s">
        <v>20</v>
      </c>
      <c r="E20" s="10">
        <v>42728.988888888889</v>
      </c>
      <c r="F20" s="10">
        <v>42729.029861111114</v>
      </c>
    </row>
    <row r="21" spans="2:6" x14ac:dyDescent="0.2">
      <c r="B21" s="9">
        <v>3043</v>
      </c>
      <c r="C21" s="9" t="s">
        <v>20</v>
      </c>
      <c r="D21" s="9" t="s">
        <v>24</v>
      </c>
      <c r="E21" s="10">
        <v>42728.243055555555</v>
      </c>
      <c r="F21" s="10">
        <v>42728.28125</v>
      </c>
    </row>
    <row r="22" spans="2:6" x14ac:dyDescent="0.2">
      <c r="B22" s="9">
        <v>3044</v>
      </c>
      <c r="C22" s="9" t="s">
        <v>24</v>
      </c>
      <c r="D22" s="9" t="s">
        <v>17</v>
      </c>
      <c r="E22" s="10">
        <v>42728.368055555555</v>
      </c>
      <c r="F22" s="10">
        <v>42728.461805555555</v>
      </c>
    </row>
    <row r="23" spans="2:6" x14ac:dyDescent="0.2">
      <c r="B23" s="9">
        <v>3045</v>
      </c>
      <c r="C23" s="9" t="s">
        <v>17</v>
      </c>
      <c r="D23" s="9" t="s">
        <v>24</v>
      </c>
      <c r="E23" s="10">
        <v>42728.520138888889</v>
      </c>
      <c r="F23" s="10">
        <v>42728.606944444444</v>
      </c>
    </row>
    <row r="24" spans="2:6" x14ac:dyDescent="0.2">
      <c r="B24" s="9">
        <v>3048</v>
      </c>
      <c r="C24" s="9" t="s">
        <v>24</v>
      </c>
      <c r="D24" s="9" t="s">
        <v>17</v>
      </c>
      <c r="E24" s="10">
        <v>42728.689583333333</v>
      </c>
      <c r="F24" s="10">
        <v>42728.783333333333</v>
      </c>
    </row>
    <row r="25" spans="2:6" x14ac:dyDescent="0.2">
      <c r="B25" s="9">
        <v>3050</v>
      </c>
      <c r="C25" s="9" t="s">
        <v>27</v>
      </c>
      <c r="D25" s="9" t="s">
        <v>24</v>
      </c>
      <c r="E25" s="10">
        <v>42728.323611111111</v>
      </c>
      <c r="F25" s="10">
        <v>42728.365277777775</v>
      </c>
    </row>
    <row r="26" spans="2:6" x14ac:dyDescent="0.2">
      <c r="B26" s="9">
        <v>3051</v>
      </c>
      <c r="C26" s="9" t="s">
        <v>24</v>
      </c>
      <c r="D26" s="9" t="s">
        <v>27</v>
      </c>
      <c r="E26" s="10">
        <v>42728.256944444445</v>
      </c>
      <c r="F26" s="10">
        <v>42728.302777777775</v>
      </c>
    </row>
    <row r="27" spans="2:6" x14ac:dyDescent="0.2">
      <c r="B27" s="9">
        <v>3053</v>
      </c>
      <c r="C27" s="9" t="s">
        <v>24</v>
      </c>
      <c r="D27" s="9" t="s">
        <v>27</v>
      </c>
      <c r="E27" s="10">
        <v>42728.331944444442</v>
      </c>
      <c r="F27" s="10">
        <v>42728.37777777778</v>
      </c>
    </row>
    <row r="28" spans="2:6" x14ac:dyDescent="0.2">
      <c r="B28" s="9">
        <v>3056</v>
      </c>
      <c r="C28" s="9" t="s">
        <v>27</v>
      </c>
      <c r="D28" s="9" t="s">
        <v>24</v>
      </c>
      <c r="E28" s="10">
        <v>42728.760416666664</v>
      </c>
      <c r="F28" s="10">
        <v>42728.802083333336</v>
      </c>
    </row>
    <row r="29" spans="2:6" x14ac:dyDescent="0.2">
      <c r="B29" s="9">
        <v>3057</v>
      </c>
      <c r="C29" s="9" t="s">
        <v>24</v>
      </c>
      <c r="D29" s="9" t="s">
        <v>27</v>
      </c>
      <c r="E29" s="10">
        <v>42728.461111111108</v>
      </c>
      <c r="F29" s="10">
        <v>42728.506944444445</v>
      </c>
    </row>
    <row r="30" spans="2:6" x14ac:dyDescent="0.2">
      <c r="B30" s="9">
        <v>3064</v>
      </c>
      <c r="C30" s="9" t="s">
        <v>27</v>
      </c>
      <c r="D30" s="9" t="s">
        <v>24</v>
      </c>
      <c r="E30" s="10">
        <v>42728.599305555559</v>
      </c>
      <c r="F30" s="10">
        <v>42728.640972222223</v>
      </c>
    </row>
    <row r="31" spans="2:6" x14ac:dyDescent="0.2">
      <c r="B31" s="9">
        <v>3066</v>
      </c>
      <c r="C31" s="9" t="s">
        <v>27</v>
      </c>
      <c r="D31" s="9" t="s">
        <v>24</v>
      </c>
      <c r="E31" s="10">
        <v>42728.834027777775</v>
      </c>
      <c r="F31" s="10">
        <v>42728.875694444447</v>
      </c>
    </row>
    <row r="32" spans="2:6" x14ac:dyDescent="0.2">
      <c r="B32" s="9">
        <v>3068</v>
      </c>
      <c r="C32" s="9" t="s">
        <v>27</v>
      </c>
      <c r="D32" s="9" t="s">
        <v>24</v>
      </c>
      <c r="E32" s="10">
        <v>42728.718055555553</v>
      </c>
      <c r="F32" s="10">
        <v>42728.759722222225</v>
      </c>
    </row>
    <row r="33" spans="2:6" x14ac:dyDescent="0.2">
      <c r="B33" s="9">
        <v>3069</v>
      </c>
      <c r="C33" s="9" t="s">
        <v>24</v>
      </c>
      <c r="D33" s="9" t="s">
        <v>27</v>
      </c>
      <c r="E33" s="10">
        <v>42728.651388888888</v>
      </c>
      <c r="F33" s="10">
        <v>42728.697222222225</v>
      </c>
    </row>
    <row r="34" spans="2:6" x14ac:dyDescent="0.2">
      <c r="B34" s="9">
        <v>3070</v>
      </c>
      <c r="C34" s="9" t="s">
        <v>27</v>
      </c>
      <c r="D34" s="9" t="s">
        <v>24</v>
      </c>
      <c r="E34" s="10">
        <v>42728.873611111114</v>
      </c>
      <c r="F34" s="10">
        <v>42728.915277777778</v>
      </c>
    </row>
    <row r="35" spans="2:6" x14ac:dyDescent="0.2">
      <c r="B35" s="9">
        <v>3071</v>
      </c>
      <c r="C35" s="9" t="s">
        <v>24</v>
      </c>
      <c r="D35" s="9" t="s">
        <v>27</v>
      </c>
      <c r="E35" s="10">
        <v>42728.806944444441</v>
      </c>
      <c r="F35" s="10">
        <v>42728.852777777778</v>
      </c>
    </row>
    <row r="36" spans="2:6" x14ac:dyDescent="0.2">
      <c r="B36" s="9">
        <v>3086</v>
      </c>
      <c r="C36" s="9" t="s">
        <v>27</v>
      </c>
      <c r="D36" s="9" t="s">
        <v>24</v>
      </c>
      <c r="E36" s="10">
        <v>42728.96597222222</v>
      </c>
      <c r="F36" s="10">
        <v>42729.007638888892</v>
      </c>
    </row>
    <row r="37" spans="2:6" x14ac:dyDescent="0.2">
      <c r="B37" s="9">
        <v>3087</v>
      </c>
      <c r="C37" s="9" t="s">
        <v>24</v>
      </c>
      <c r="D37" s="9" t="s">
        <v>27</v>
      </c>
      <c r="E37" s="10">
        <v>42728.899305555555</v>
      </c>
      <c r="F37" s="10">
        <v>42728.945138888892</v>
      </c>
    </row>
    <row r="38" spans="2:6" x14ac:dyDescent="0.2">
      <c r="B38" s="9">
        <v>3090</v>
      </c>
      <c r="C38" s="9" t="s">
        <v>24</v>
      </c>
      <c r="D38" s="9" t="s">
        <v>19</v>
      </c>
      <c r="E38" s="10">
        <v>42728.249305555553</v>
      </c>
      <c r="F38" s="10">
        <v>42728.30972222222</v>
      </c>
    </row>
    <row r="39" spans="2:6" x14ac:dyDescent="0.2">
      <c r="B39" s="9">
        <v>3091</v>
      </c>
      <c r="C39" s="9" t="s">
        <v>19</v>
      </c>
      <c r="D39" s="9" t="s">
        <v>24</v>
      </c>
      <c r="E39" s="10">
        <v>42728.330555555556</v>
      </c>
      <c r="F39" s="10">
        <v>42728.390972222223</v>
      </c>
    </row>
    <row r="40" spans="2:6" x14ac:dyDescent="0.2">
      <c r="B40" s="9">
        <v>3092</v>
      </c>
      <c r="C40" s="9" t="s">
        <v>24</v>
      </c>
      <c r="D40" s="9" t="s">
        <v>19</v>
      </c>
      <c r="E40" s="10">
        <v>42728.302083333336</v>
      </c>
      <c r="F40" s="10">
        <v>42728.362500000003</v>
      </c>
    </row>
    <row r="41" spans="2:6" x14ac:dyDescent="0.2">
      <c r="B41" s="9">
        <v>3093</v>
      </c>
      <c r="C41" s="9" t="s">
        <v>19</v>
      </c>
      <c r="D41" s="9" t="s">
        <v>24</v>
      </c>
      <c r="E41" s="10">
        <v>42728.384027777778</v>
      </c>
      <c r="F41" s="10">
        <v>42728.444444444445</v>
      </c>
    </row>
    <row r="42" spans="2:6" x14ac:dyDescent="0.2">
      <c r="B42" s="9">
        <v>3094</v>
      </c>
      <c r="C42" s="9" t="s">
        <v>24</v>
      </c>
      <c r="D42" s="9" t="s">
        <v>19</v>
      </c>
      <c r="E42" s="10">
        <v>42728.402777777781</v>
      </c>
      <c r="F42" s="10">
        <v>42728.463194444441</v>
      </c>
    </row>
    <row r="43" spans="2:6" x14ac:dyDescent="0.2">
      <c r="B43" s="9">
        <v>3095</v>
      </c>
      <c r="C43" s="9" t="s">
        <v>19</v>
      </c>
      <c r="D43" s="9" t="s">
        <v>24</v>
      </c>
      <c r="E43" s="10">
        <v>42728.484027777777</v>
      </c>
      <c r="F43" s="10">
        <v>42728.544444444444</v>
      </c>
    </row>
    <row r="44" spans="2:6" x14ac:dyDescent="0.2">
      <c r="B44" s="9">
        <v>3096</v>
      </c>
      <c r="C44" s="9" t="s">
        <v>24</v>
      </c>
      <c r="D44" s="9" t="s">
        <v>19</v>
      </c>
      <c r="E44" s="10">
        <v>42728.451388888891</v>
      </c>
      <c r="F44" s="10">
        <v>42728.511805555558</v>
      </c>
    </row>
    <row r="45" spans="2:6" x14ac:dyDescent="0.2">
      <c r="B45" s="9">
        <v>3097</v>
      </c>
      <c r="C45" s="9" t="s">
        <v>19</v>
      </c>
      <c r="D45" s="9" t="s">
        <v>24</v>
      </c>
      <c r="E45" s="10">
        <v>42728.532638888886</v>
      </c>
      <c r="F45" s="10">
        <v>42728.593055555553</v>
      </c>
    </row>
    <row r="46" spans="2:6" x14ac:dyDescent="0.2">
      <c r="B46" s="9">
        <v>3098</v>
      </c>
      <c r="C46" s="9" t="s">
        <v>24</v>
      </c>
      <c r="D46" s="9" t="s">
        <v>19</v>
      </c>
      <c r="E46" s="10">
        <v>42728.599305555559</v>
      </c>
      <c r="F46" s="10">
        <v>42728.659722222219</v>
      </c>
    </row>
    <row r="47" spans="2:6" x14ac:dyDescent="0.2">
      <c r="B47" s="9">
        <v>3103</v>
      </c>
      <c r="C47" s="9" t="s">
        <v>19</v>
      </c>
      <c r="D47" s="9" t="s">
        <v>24</v>
      </c>
      <c r="E47" s="10">
        <v>42728.84097222222</v>
      </c>
      <c r="F47" s="10">
        <v>42728.901388888888</v>
      </c>
    </row>
    <row r="48" spans="2:6" x14ac:dyDescent="0.2">
      <c r="B48" s="9">
        <v>3104</v>
      </c>
      <c r="C48" s="9" t="s">
        <v>24</v>
      </c>
      <c r="D48" s="9" t="s">
        <v>19</v>
      </c>
      <c r="E48" s="10">
        <v>42728.715277777781</v>
      </c>
      <c r="F48" s="10">
        <v>42728.775694444441</v>
      </c>
    </row>
    <row r="49" spans="2:6" x14ac:dyDescent="0.2">
      <c r="B49" s="9">
        <v>3106</v>
      </c>
      <c r="C49" s="9" t="s">
        <v>24</v>
      </c>
      <c r="D49" s="9" t="s">
        <v>19</v>
      </c>
      <c r="E49" s="10">
        <v>42728.826388888891</v>
      </c>
      <c r="F49" s="10">
        <v>42728.886805555558</v>
      </c>
    </row>
    <row r="50" spans="2:6" x14ac:dyDescent="0.2">
      <c r="B50" s="9">
        <v>3107</v>
      </c>
      <c r="C50" s="9" t="s">
        <v>19</v>
      </c>
      <c r="D50" s="9" t="s">
        <v>24</v>
      </c>
      <c r="E50" s="10">
        <v>42728.907638888886</v>
      </c>
      <c r="F50" s="10">
        <v>42728.968055555553</v>
      </c>
    </row>
    <row r="51" spans="2:6" x14ac:dyDescent="0.2">
      <c r="B51" s="9">
        <v>3108</v>
      </c>
      <c r="C51" s="9" t="s">
        <v>24</v>
      </c>
      <c r="D51" s="9" t="s">
        <v>19</v>
      </c>
      <c r="E51" s="10">
        <v>42728.854861111111</v>
      </c>
      <c r="F51" s="10">
        <v>42728.915277777778</v>
      </c>
    </row>
    <row r="52" spans="2:6" x14ac:dyDescent="0.2">
      <c r="B52" s="9">
        <v>3109</v>
      </c>
      <c r="C52" s="9" t="s">
        <v>19</v>
      </c>
      <c r="D52" s="9" t="s">
        <v>24</v>
      </c>
      <c r="E52" s="10">
        <v>42728.936111111114</v>
      </c>
      <c r="F52" s="10">
        <v>42728.996527777781</v>
      </c>
    </row>
    <row r="53" spans="2:6" x14ac:dyDescent="0.2">
      <c r="B53" s="9">
        <v>3110</v>
      </c>
      <c r="C53" s="9" t="s">
        <v>24</v>
      </c>
      <c r="D53" s="9" t="s">
        <v>19</v>
      </c>
      <c r="E53" s="10">
        <v>42728.917361111111</v>
      </c>
      <c r="F53" s="10">
        <v>42728.977777777778</v>
      </c>
    </row>
    <row r="54" spans="2:6" x14ac:dyDescent="0.2">
      <c r="B54" s="9">
        <v>3111</v>
      </c>
      <c r="C54" s="9" t="s">
        <v>19</v>
      </c>
      <c r="D54" s="9" t="s">
        <v>24</v>
      </c>
      <c r="E54" s="10">
        <v>42728.998611111114</v>
      </c>
      <c r="F54" s="10">
        <v>42729.059027777781</v>
      </c>
    </row>
    <row r="55" spans="2:6" x14ac:dyDescent="0.2">
      <c r="B55" s="9">
        <v>3114</v>
      </c>
      <c r="C55" s="9" t="s">
        <v>24</v>
      </c>
      <c r="D55" s="9" t="s">
        <v>22</v>
      </c>
      <c r="E55" s="10">
        <v>42728.419444444444</v>
      </c>
      <c r="F55" s="10">
        <v>42728.510416666664</v>
      </c>
    </row>
    <row r="56" spans="2:6" x14ac:dyDescent="0.2">
      <c r="B56" s="9">
        <v>3115</v>
      </c>
      <c r="C56" s="9" t="s">
        <v>22</v>
      </c>
      <c r="D56" s="9" t="s">
        <v>24</v>
      </c>
      <c r="E56" s="10">
        <v>42728.538194444445</v>
      </c>
      <c r="F56" s="10">
        <v>42728.625</v>
      </c>
    </row>
    <row r="57" spans="2:6" x14ac:dyDescent="0.2">
      <c r="B57" s="9">
        <v>3120</v>
      </c>
      <c r="C57" s="9" t="s">
        <v>24</v>
      </c>
      <c r="D57" s="9" t="s">
        <v>14</v>
      </c>
      <c r="E57" s="10">
        <v>42728.277083333334</v>
      </c>
      <c r="F57" s="10">
        <v>42728.338888888888</v>
      </c>
    </row>
    <row r="58" spans="2:6" x14ac:dyDescent="0.2">
      <c r="B58" s="9">
        <v>3121</v>
      </c>
      <c r="C58" s="9" t="s">
        <v>14</v>
      </c>
      <c r="D58" s="9" t="s">
        <v>24</v>
      </c>
      <c r="E58" s="10">
        <v>42728.359722222223</v>
      </c>
      <c r="F58" s="10">
        <v>42728.42291666667</v>
      </c>
    </row>
    <row r="59" spans="2:6" x14ac:dyDescent="0.2">
      <c r="B59" s="9">
        <v>3130</v>
      </c>
      <c r="C59" s="9" t="s">
        <v>24</v>
      </c>
      <c r="D59" s="9" t="s">
        <v>14</v>
      </c>
      <c r="E59" s="10">
        <v>42728.408333333333</v>
      </c>
      <c r="F59" s="10">
        <v>42728.470138888886</v>
      </c>
    </row>
    <row r="60" spans="2:6" x14ac:dyDescent="0.2">
      <c r="B60" s="9">
        <v>3131</v>
      </c>
      <c r="C60" s="9" t="s">
        <v>14</v>
      </c>
      <c r="D60" s="9" t="s">
        <v>24</v>
      </c>
      <c r="E60" s="10">
        <v>42728.490972222222</v>
      </c>
      <c r="F60" s="10">
        <v>42728.554166666669</v>
      </c>
    </row>
    <row r="61" spans="2:6" x14ac:dyDescent="0.2">
      <c r="B61" s="9">
        <v>3132</v>
      </c>
      <c r="C61" s="9" t="s">
        <v>24</v>
      </c>
      <c r="D61" s="9" t="s">
        <v>14</v>
      </c>
      <c r="E61" s="10">
        <v>42728.576388888891</v>
      </c>
      <c r="F61" s="10">
        <v>42728.638194444444</v>
      </c>
    </row>
    <row r="62" spans="2:6" x14ac:dyDescent="0.2">
      <c r="B62" s="9">
        <v>3133</v>
      </c>
      <c r="C62" s="9" t="s">
        <v>14</v>
      </c>
      <c r="D62" s="9" t="s">
        <v>24</v>
      </c>
      <c r="E62" s="10">
        <v>42728.665972222225</v>
      </c>
      <c r="F62" s="10">
        <v>42728.729166666664</v>
      </c>
    </row>
    <row r="63" spans="2:6" x14ac:dyDescent="0.2">
      <c r="B63" s="9">
        <v>3137</v>
      </c>
      <c r="C63" s="9" t="s">
        <v>14</v>
      </c>
      <c r="D63" s="9" t="s">
        <v>24</v>
      </c>
      <c r="E63" s="10">
        <v>42728.854166666664</v>
      </c>
      <c r="F63" s="10">
        <v>42728.917361111111</v>
      </c>
    </row>
    <row r="64" spans="2:6" x14ac:dyDescent="0.2">
      <c r="B64" s="9">
        <v>3138</v>
      </c>
      <c r="C64" s="9" t="s">
        <v>24</v>
      </c>
      <c r="D64" s="9" t="s">
        <v>14</v>
      </c>
      <c r="E64" s="10">
        <v>42728.92083333333</v>
      </c>
      <c r="F64" s="10">
        <v>42728.982638888891</v>
      </c>
    </row>
    <row r="65" spans="2:6" x14ac:dyDescent="0.2">
      <c r="B65" s="9">
        <v>3139</v>
      </c>
      <c r="C65" s="9" t="s">
        <v>14</v>
      </c>
      <c r="D65" s="9" t="s">
        <v>24</v>
      </c>
      <c r="E65" s="10">
        <v>42728.274305555555</v>
      </c>
      <c r="F65" s="10">
        <v>42728.337500000001</v>
      </c>
    </row>
    <row r="66" spans="2:6" x14ac:dyDescent="0.2">
      <c r="B66" s="9">
        <v>3140</v>
      </c>
      <c r="C66" s="9" t="s">
        <v>24</v>
      </c>
      <c r="D66" s="9" t="s">
        <v>16</v>
      </c>
      <c r="E66" s="10">
        <v>42728.265277777777</v>
      </c>
      <c r="F66" s="10">
        <v>42728.328472222223</v>
      </c>
    </row>
    <row r="67" spans="2:6" x14ac:dyDescent="0.2">
      <c r="B67" s="9">
        <v>3141</v>
      </c>
      <c r="C67" s="9" t="s">
        <v>16</v>
      </c>
      <c r="D67" s="9" t="s">
        <v>24</v>
      </c>
      <c r="E67" s="10">
        <v>42728.349305555559</v>
      </c>
      <c r="F67" s="10">
        <v>42728.413194444445</v>
      </c>
    </row>
    <row r="68" spans="2:6" x14ac:dyDescent="0.2">
      <c r="B68" s="9">
        <v>3144</v>
      </c>
      <c r="C68" s="9" t="s">
        <v>24</v>
      </c>
      <c r="D68" s="9" t="s">
        <v>16</v>
      </c>
      <c r="E68" s="10">
        <v>42728.447222222225</v>
      </c>
      <c r="F68" s="10">
        <v>42728.510416666664</v>
      </c>
    </row>
    <row r="69" spans="2:6" x14ac:dyDescent="0.2">
      <c r="B69" s="9">
        <v>3145</v>
      </c>
      <c r="C69" s="9" t="s">
        <v>16</v>
      </c>
      <c r="D69" s="9" t="s">
        <v>24</v>
      </c>
      <c r="E69" s="10">
        <v>42728.53125</v>
      </c>
      <c r="F69" s="10">
        <v>42728.595138888886</v>
      </c>
    </row>
    <row r="70" spans="2:6" x14ac:dyDescent="0.2">
      <c r="B70" s="9">
        <v>3146</v>
      </c>
      <c r="C70" s="9" t="s">
        <v>24</v>
      </c>
      <c r="D70" s="9" t="s">
        <v>16</v>
      </c>
      <c r="E70" s="10">
        <v>42728.640972222223</v>
      </c>
      <c r="F70" s="10">
        <v>42728.70416666667</v>
      </c>
    </row>
    <row r="71" spans="2:6" x14ac:dyDescent="0.2">
      <c r="B71" s="9">
        <v>3147</v>
      </c>
      <c r="C71" s="9" t="s">
        <v>16</v>
      </c>
      <c r="D71" s="9" t="s">
        <v>24</v>
      </c>
      <c r="E71" s="10">
        <v>42728.724999999999</v>
      </c>
      <c r="F71" s="10">
        <v>42728.788888888892</v>
      </c>
    </row>
    <row r="72" spans="2:6" x14ac:dyDescent="0.2">
      <c r="B72" s="9">
        <v>3150</v>
      </c>
      <c r="C72" s="9" t="s">
        <v>24</v>
      </c>
      <c r="D72" s="9" t="s">
        <v>16</v>
      </c>
      <c r="E72" s="10">
        <v>42728.746527777781</v>
      </c>
      <c r="F72" s="10">
        <v>42728.80972222222</v>
      </c>
    </row>
    <row r="73" spans="2:6" x14ac:dyDescent="0.2">
      <c r="B73" s="9">
        <v>3151</v>
      </c>
      <c r="C73" s="9" t="s">
        <v>16</v>
      </c>
      <c r="D73" s="9" t="s">
        <v>24</v>
      </c>
      <c r="E73" s="10">
        <v>42728.868055555555</v>
      </c>
      <c r="F73" s="10">
        <v>42728.931944444441</v>
      </c>
    </row>
    <row r="74" spans="2:6" x14ac:dyDescent="0.2">
      <c r="B74" s="9">
        <v>3160</v>
      </c>
      <c r="C74" s="9" t="s">
        <v>24</v>
      </c>
      <c r="D74" s="9" t="s">
        <v>15</v>
      </c>
      <c r="E74" s="10">
        <v>42728.291666666664</v>
      </c>
      <c r="F74" s="10">
        <v>42728.335416666669</v>
      </c>
    </row>
    <row r="75" spans="2:6" x14ac:dyDescent="0.2">
      <c r="B75" s="9">
        <v>3161</v>
      </c>
      <c r="C75" s="9" t="s">
        <v>15</v>
      </c>
      <c r="D75" s="9" t="s">
        <v>24</v>
      </c>
      <c r="E75" s="10">
        <v>42728.356249999997</v>
      </c>
      <c r="F75" s="10">
        <v>42728.399305555555</v>
      </c>
    </row>
    <row r="76" spans="2:6" x14ac:dyDescent="0.2">
      <c r="B76" s="9">
        <v>3164</v>
      </c>
      <c r="C76" s="9" t="s">
        <v>24</v>
      </c>
      <c r="D76" s="9" t="s">
        <v>15</v>
      </c>
      <c r="E76" s="10">
        <v>42728.607638888891</v>
      </c>
      <c r="F76" s="10">
        <v>42728.651388888888</v>
      </c>
    </row>
    <row r="77" spans="2:6" x14ac:dyDescent="0.2">
      <c r="B77" s="9">
        <v>3165</v>
      </c>
      <c r="C77" s="9" t="s">
        <v>15</v>
      </c>
      <c r="D77" s="9" t="s">
        <v>24</v>
      </c>
      <c r="E77" s="10">
        <v>42728.672222222223</v>
      </c>
      <c r="F77" s="10">
        <v>42728.715277777781</v>
      </c>
    </row>
    <row r="78" spans="2:6" x14ac:dyDescent="0.2">
      <c r="B78" s="9">
        <v>3167</v>
      </c>
      <c r="C78" s="9" t="s">
        <v>15</v>
      </c>
      <c r="D78" s="9" t="s">
        <v>24</v>
      </c>
      <c r="E78" s="10">
        <v>42728.855555555558</v>
      </c>
      <c r="F78" s="10">
        <v>42728.898611111108</v>
      </c>
    </row>
    <row r="79" spans="2:6" x14ac:dyDescent="0.2">
      <c r="B79" s="9">
        <v>3170</v>
      </c>
      <c r="C79" s="9" t="s">
        <v>24</v>
      </c>
      <c r="D79" s="9" t="s">
        <v>15</v>
      </c>
      <c r="E79" s="10">
        <v>42728.913194444445</v>
      </c>
      <c r="F79" s="10">
        <v>42728.956944444442</v>
      </c>
    </row>
    <row r="80" spans="2:6" x14ac:dyDescent="0.2">
      <c r="B80" s="9">
        <v>3171</v>
      </c>
      <c r="C80" s="9" t="s">
        <v>15</v>
      </c>
      <c r="D80" s="9" t="s">
        <v>24</v>
      </c>
      <c r="E80" s="10">
        <v>42728.248611111114</v>
      </c>
      <c r="F80" s="10">
        <v>42728.291666666664</v>
      </c>
    </row>
    <row r="81" spans="2:6" x14ac:dyDescent="0.2">
      <c r="B81" s="9">
        <v>3182</v>
      </c>
      <c r="C81" s="9" t="s">
        <v>24</v>
      </c>
      <c r="D81" s="9" t="s">
        <v>25</v>
      </c>
      <c r="E81" s="10">
        <v>42728.570138888892</v>
      </c>
      <c r="F81" s="10">
        <v>42728.620138888888</v>
      </c>
    </row>
    <row r="82" spans="2:6" x14ac:dyDescent="0.2">
      <c r="B82" s="9">
        <v>3183</v>
      </c>
      <c r="C82" s="9" t="s">
        <v>25</v>
      </c>
      <c r="D82" s="9" t="s">
        <v>24</v>
      </c>
      <c r="E82" s="10">
        <v>42728.640972222223</v>
      </c>
      <c r="F82" s="10">
        <v>42728.690972222219</v>
      </c>
    </row>
    <row r="83" spans="2:6" x14ac:dyDescent="0.2">
      <c r="B83" s="9">
        <v>3186</v>
      </c>
      <c r="C83" s="9" t="s">
        <v>24</v>
      </c>
      <c r="D83" s="9" t="s">
        <v>25</v>
      </c>
      <c r="E83" s="10">
        <v>42728.85</v>
      </c>
      <c r="F83" s="10">
        <v>42728.9</v>
      </c>
    </row>
    <row r="84" spans="2:6" x14ac:dyDescent="0.2">
      <c r="B84" s="9">
        <v>3187</v>
      </c>
      <c r="C84" s="9" t="s">
        <v>25</v>
      </c>
      <c r="D84" s="9" t="s">
        <v>24</v>
      </c>
      <c r="E84" s="10">
        <v>42728.92083333333</v>
      </c>
      <c r="F84" s="10">
        <v>42728.970833333333</v>
      </c>
    </row>
    <row r="85" spans="2:6" x14ac:dyDescent="0.2">
      <c r="B85" s="9">
        <v>3192</v>
      </c>
      <c r="C85" s="9" t="s">
        <v>24</v>
      </c>
      <c r="D85" s="9" t="s">
        <v>21</v>
      </c>
      <c r="E85" s="10">
        <v>42728.281944444447</v>
      </c>
      <c r="F85" s="10">
        <v>42728.339583333334</v>
      </c>
    </row>
    <row r="86" spans="2:6" x14ac:dyDescent="0.2">
      <c r="B86" s="9">
        <v>3193</v>
      </c>
      <c r="C86" s="9" t="s">
        <v>21</v>
      </c>
      <c r="D86" s="9" t="s">
        <v>24</v>
      </c>
      <c r="E86" s="10">
        <v>42728.36041666667</v>
      </c>
      <c r="F86" s="10">
        <v>42728.413194444445</v>
      </c>
    </row>
    <row r="87" spans="2:6" x14ac:dyDescent="0.2">
      <c r="B87" s="9">
        <v>3194</v>
      </c>
      <c r="C87" s="9" t="s">
        <v>24</v>
      </c>
      <c r="D87" s="9" t="s">
        <v>21</v>
      </c>
      <c r="E87" s="10">
        <v>42728.635416666664</v>
      </c>
      <c r="F87" s="10">
        <v>42728.693055555559</v>
      </c>
    </row>
    <row r="88" spans="2:6" x14ac:dyDescent="0.2">
      <c r="B88" s="9">
        <v>3195</v>
      </c>
      <c r="C88" s="9" t="s">
        <v>21</v>
      </c>
      <c r="D88" s="9" t="s">
        <v>24</v>
      </c>
      <c r="E88" s="10">
        <v>42728.713888888888</v>
      </c>
      <c r="F88" s="10">
        <v>42728.76666666667</v>
      </c>
    </row>
    <row r="89" spans="2:6" x14ac:dyDescent="0.2">
      <c r="B89" s="9">
        <v>3204</v>
      </c>
      <c r="C89" s="9" t="s">
        <v>24</v>
      </c>
      <c r="D89" s="9" t="s">
        <v>26</v>
      </c>
      <c r="E89" s="10">
        <v>42728.425000000003</v>
      </c>
      <c r="F89" s="10">
        <v>42728.465277777781</v>
      </c>
    </row>
    <row r="90" spans="2:6" x14ac:dyDescent="0.2">
      <c r="B90" s="9">
        <v>3205</v>
      </c>
      <c r="C90" s="9" t="s">
        <v>26</v>
      </c>
      <c r="D90" s="9" t="s">
        <v>24</v>
      </c>
      <c r="E90" s="10">
        <v>42728.486111111109</v>
      </c>
      <c r="F90" s="10">
        <v>42728.525000000001</v>
      </c>
    </row>
    <row r="91" spans="2:6" x14ac:dyDescent="0.2">
      <c r="B91" s="9">
        <v>3210</v>
      </c>
      <c r="C91" s="9" t="s">
        <v>24</v>
      </c>
      <c r="D91" s="9" t="s">
        <v>23</v>
      </c>
      <c r="E91" s="10">
        <v>42728.315972222219</v>
      </c>
      <c r="F91" s="10">
        <v>42728.357638888891</v>
      </c>
    </row>
    <row r="92" spans="2:6" x14ac:dyDescent="0.2">
      <c r="B92" s="9">
        <v>3211</v>
      </c>
      <c r="C92" s="9" t="s">
        <v>23</v>
      </c>
      <c r="D92" s="9" t="s">
        <v>24</v>
      </c>
      <c r="E92" s="10">
        <v>42728.378472222219</v>
      </c>
      <c r="F92" s="10">
        <v>42728.416666666664</v>
      </c>
    </row>
    <row r="93" spans="2:6" x14ac:dyDescent="0.2">
      <c r="B93" s="9">
        <v>3214</v>
      </c>
      <c r="C93" s="9" t="s">
        <v>24</v>
      </c>
      <c r="D93" s="9" t="s">
        <v>23</v>
      </c>
      <c r="E93" s="10">
        <v>42728.669444444444</v>
      </c>
      <c r="F93" s="10">
        <v>42728.711111111108</v>
      </c>
    </row>
    <row r="94" spans="2:6" x14ac:dyDescent="0.2">
      <c r="B94" s="9">
        <v>3215</v>
      </c>
      <c r="C94" s="9" t="s">
        <v>23</v>
      </c>
      <c r="D94" s="9" t="s">
        <v>24</v>
      </c>
      <c r="E94" s="10">
        <v>42728.731944444444</v>
      </c>
      <c r="F94" s="10">
        <v>42728.770138888889</v>
      </c>
    </row>
    <row r="95" spans="2:6" x14ac:dyDescent="0.2">
      <c r="B95" s="9">
        <v>3217</v>
      </c>
      <c r="C95" s="9" t="s">
        <v>23</v>
      </c>
      <c r="D95" s="9" t="s">
        <v>24</v>
      </c>
      <c r="E95" s="10">
        <v>42728.85</v>
      </c>
      <c r="F95" s="10">
        <v>42728.888194444444</v>
      </c>
    </row>
    <row r="96" spans="2:6" x14ac:dyDescent="0.2">
      <c r="B96" s="9">
        <v>3242</v>
      </c>
      <c r="C96" s="9" t="s">
        <v>24</v>
      </c>
      <c r="D96" s="9" t="s">
        <v>18</v>
      </c>
      <c r="E96" s="10">
        <v>42728.670138888891</v>
      </c>
      <c r="F96" s="10">
        <v>42728.729861111111</v>
      </c>
    </row>
    <row r="97" spans="2:6" x14ac:dyDescent="0.2">
      <c r="B97" s="9">
        <v>3243</v>
      </c>
      <c r="C97" s="9" t="s">
        <v>18</v>
      </c>
      <c r="D97" s="9" t="s">
        <v>24</v>
      </c>
      <c r="E97" s="10">
        <v>42728.753472222219</v>
      </c>
      <c r="F97" s="10">
        <v>42728.8125</v>
      </c>
    </row>
    <row r="98" spans="2:6" x14ac:dyDescent="0.2">
      <c r="B98" s="9">
        <v>3262</v>
      </c>
      <c r="C98" s="9" t="s">
        <v>24</v>
      </c>
      <c r="D98" s="9" t="s">
        <v>17</v>
      </c>
      <c r="E98" s="10">
        <v>42728.457638888889</v>
      </c>
      <c r="F98" s="10">
        <v>42728.551388888889</v>
      </c>
    </row>
    <row r="99" spans="2:6" x14ac:dyDescent="0.2">
      <c r="B99" s="9">
        <v>3263</v>
      </c>
      <c r="C99" s="9" t="s">
        <v>17</v>
      </c>
      <c r="D99" s="9" t="s">
        <v>24</v>
      </c>
      <c r="E99" s="10">
        <v>42728.583333333336</v>
      </c>
      <c r="F99" s="10">
        <v>42728.670138888891</v>
      </c>
    </row>
    <row r="100" spans="2:6" x14ac:dyDescent="0.2">
      <c r="B100" s="9">
        <v>3266</v>
      </c>
      <c r="C100" s="9" t="s">
        <v>24</v>
      </c>
      <c r="D100" s="9" t="s">
        <v>17</v>
      </c>
      <c r="E100" s="10">
        <v>42728.614583333336</v>
      </c>
      <c r="F100" s="10">
        <v>42728.708333333336</v>
      </c>
    </row>
    <row r="101" spans="2:6" x14ac:dyDescent="0.2">
      <c r="B101" s="9">
        <v>3267</v>
      </c>
      <c r="C101" s="9" t="s">
        <v>17</v>
      </c>
      <c r="D101" s="9" t="s">
        <v>24</v>
      </c>
      <c r="E101" s="10">
        <v>42728.736111111109</v>
      </c>
      <c r="F101" s="10">
        <v>42728.822916666664</v>
      </c>
    </row>
    <row r="102" spans="2:6" x14ac:dyDescent="0.2">
      <c r="B102" s="9">
        <v>3269</v>
      </c>
      <c r="C102" s="9" t="s">
        <v>17</v>
      </c>
      <c r="D102" s="9" t="s">
        <v>24</v>
      </c>
      <c r="E102" s="10">
        <v>42728.874305555553</v>
      </c>
      <c r="F102" s="10">
        <v>42728.961111111108</v>
      </c>
    </row>
    <row r="103" spans="2:6" x14ac:dyDescent="0.2">
      <c r="B103" s="9">
        <v>3272</v>
      </c>
      <c r="C103" s="9" t="s">
        <v>27</v>
      </c>
      <c r="D103" s="9" t="s">
        <v>17</v>
      </c>
      <c r="E103" s="10">
        <v>42728.412499999999</v>
      </c>
      <c r="F103" s="10">
        <v>42728.492361111108</v>
      </c>
    </row>
    <row r="104" spans="2:6" x14ac:dyDescent="0.2">
      <c r="B104" s="9">
        <v>3273</v>
      </c>
      <c r="C104" s="9" t="s">
        <v>17</v>
      </c>
      <c r="D104" s="9" t="s">
        <v>27</v>
      </c>
      <c r="E104" s="10">
        <v>42728.489583333336</v>
      </c>
      <c r="F104" s="10">
        <v>42728.574999999997</v>
      </c>
    </row>
    <row r="105" spans="2:6" x14ac:dyDescent="0.2">
      <c r="B105" s="9">
        <v>3274</v>
      </c>
      <c r="C105" s="9" t="s">
        <v>27</v>
      </c>
      <c r="D105" s="9" t="s">
        <v>17</v>
      </c>
      <c r="E105" s="10">
        <v>42728.541666666664</v>
      </c>
      <c r="F105" s="10">
        <v>42728.621527777781</v>
      </c>
    </row>
    <row r="106" spans="2:6" x14ac:dyDescent="0.2">
      <c r="B106" s="9">
        <v>3275</v>
      </c>
      <c r="C106" s="9" t="s">
        <v>17</v>
      </c>
      <c r="D106" s="9" t="s">
        <v>27</v>
      </c>
      <c r="E106" s="10">
        <v>42728.649305555555</v>
      </c>
      <c r="F106" s="10">
        <v>42728.734722222223</v>
      </c>
    </row>
    <row r="107" spans="2:6" x14ac:dyDescent="0.2">
      <c r="B107" s="9">
        <v>3281</v>
      </c>
      <c r="C107" s="9" t="s">
        <v>19</v>
      </c>
      <c r="D107" s="9" t="s">
        <v>24</v>
      </c>
      <c r="E107" s="10">
        <v>42728.428472222222</v>
      </c>
      <c r="F107" s="10">
        <v>42728.488888888889</v>
      </c>
    </row>
    <row r="108" spans="2:6" x14ac:dyDescent="0.2">
      <c r="B108" s="9">
        <v>3306</v>
      </c>
      <c r="C108" s="9" t="s">
        <v>20</v>
      </c>
      <c r="D108" s="9" t="s">
        <v>17</v>
      </c>
      <c r="E108" s="10">
        <v>42728.452777777777</v>
      </c>
      <c r="F108" s="10">
        <v>42728.527777777781</v>
      </c>
    </row>
    <row r="109" spans="2:6" x14ac:dyDescent="0.2">
      <c r="B109" s="9">
        <v>3307</v>
      </c>
      <c r="C109" s="9" t="s">
        <v>17</v>
      </c>
      <c r="D109" s="9" t="s">
        <v>20</v>
      </c>
      <c r="E109" s="10">
        <v>42728.555555555555</v>
      </c>
      <c r="F109" s="10">
        <v>42728.638888888891</v>
      </c>
    </row>
    <row r="110" spans="2:6" x14ac:dyDescent="0.2">
      <c r="B110" s="9">
        <v>3312</v>
      </c>
      <c r="C110" s="9" t="s">
        <v>20</v>
      </c>
      <c r="D110" s="9" t="s">
        <v>19</v>
      </c>
      <c r="E110" s="10">
        <v>42728.363194444442</v>
      </c>
      <c r="F110" s="10">
        <v>42728.407638888886</v>
      </c>
    </row>
    <row r="111" spans="2:6" x14ac:dyDescent="0.2">
      <c r="B111" s="9">
        <v>3313</v>
      </c>
      <c r="C111" s="9" t="s">
        <v>19</v>
      </c>
      <c r="D111" s="9" t="s">
        <v>20</v>
      </c>
      <c r="E111" s="10">
        <v>42728.680555555555</v>
      </c>
      <c r="F111" s="10">
        <v>42728.729166666664</v>
      </c>
    </row>
  </sheetData>
  <autoFilter ref="B2:F111" xr:uid="{00000000-0009-0000-0000-000007000000}"/>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B2:J69"/>
  <sheetViews>
    <sheetView showGridLines="0" topLeftCell="D50" zoomScale="156" zoomScaleNormal="100" workbookViewId="0">
      <selection activeCell="J4" sqref="J4"/>
    </sheetView>
  </sheetViews>
  <sheetFormatPr baseColWidth="10" defaultColWidth="11.42578125" defaultRowHeight="12.75" x14ac:dyDescent="0.2"/>
  <cols>
    <col min="1" max="1" width="11.42578125" style="11"/>
    <col min="2" max="2" width="14.28515625" style="6" customWidth="1"/>
    <col min="3" max="4" width="14.28515625" style="7" customWidth="1"/>
    <col min="5" max="5" width="22.28515625" style="11" customWidth="1"/>
    <col min="6" max="6" width="17.7109375" style="11" customWidth="1"/>
    <col min="7" max="7" width="11.42578125" style="11"/>
    <col min="8" max="8" width="13.42578125" style="11" bestFit="1" customWidth="1"/>
    <col min="9" max="9" width="14.42578125" style="11" bestFit="1" customWidth="1"/>
    <col min="10" max="16384" width="11.42578125" style="11"/>
  </cols>
  <sheetData>
    <row r="2" spans="2:10" x14ac:dyDescent="0.2">
      <c r="B2" s="12" t="s">
        <v>75</v>
      </c>
      <c r="C2" s="12" t="s">
        <v>76</v>
      </c>
      <c r="D2" s="12" t="s">
        <v>77</v>
      </c>
      <c r="E2" s="12" t="s">
        <v>78</v>
      </c>
      <c r="F2" s="12" t="s">
        <v>79</v>
      </c>
      <c r="H2" s="11" t="s">
        <v>81</v>
      </c>
      <c r="I2" s="11" t="s">
        <v>80</v>
      </c>
    </row>
    <row r="3" spans="2:10" x14ac:dyDescent="0.2">
      <c r="B3" s="9">
        <v>3004</v>
      </c>
      <c r="C3" s="9" t="s">
        <v>24</v>
      </c>
      <c r="D3" s="9" t="s">
        <v>20</v>
      </c>
      <c r="E3" s="10">
        <v>42729.363888888889</v>
      </c>
      <c r="F3" s="10">
        <v>42729.404861111114</v>
      </c>
      <c r="G3" s="11">
        <f>HOUR(F3)</f>
        <v>9</v>
      </c>
      <c r="H3" s="70">
        <f>F3</f>
        <v>42729.404861111114</v>
      </c>
      <c r="I3" s="11">
        <f>E3</f>
        <v>42729.363888888889</v>
      </c>
      <c r="J3" s="70">
        <f>H3-I3</f>
        <v>4.0972222224809229E-2</v>
      </c>
    </row>
    <row r="4" spans="2:10" x14ac:dyDescent="0.2">
      <c r="B4" s="9">
        <v>3005</v>
      </c>
      <c r="C4" s="9" t="s">
        <v>20</v>
      </c>
      <c r="D4" s="9" t="s">
        <v>24</v>
      </c>
      <c r="E4" s="10">
        <v>42729.425694444442</v>
      </c>
      <c r="F4" s="10">
        <v>42729.463888888888</v>
      </c>
      <c r="H4" s="70">
        <f t="shared" ref="H4:H6" si="0">HOUR(F4)/60+MINUTE(F4)</f>
        <v>8.1833333333333336</v>
      </c>
      <c r="I4" s="11">
        <f t="shared" ref="I4:I6" si="1">HOUR(E4)/60+MINUTE(E4)</f>
        <v>13.166666666666666</v>
      </c>
    </row>
    <row r="5" spans="2:10" x14ac:dyDescent="0.2">
      <c r="B5" s="9">
        <v>3010</v>
      </c>
      <c r="C5" s="9" t="s">
        <v>24</v>
      </c>
      <c r="D5" s="9" t="s">
        <v>20</v>
      </c>
      <c r="E5" s="10">
        <v>42729.426388888889</v>
      </c>
      <c r="F5" s="10">
        <v>42729.467361111114</v>
      </c>
      <c r="H5" s="70">
        <f t="shared" si="0"/>
        <v>13.183333333333334</v>
      </c>
      <c r="I5" s="11">
        <f t="shared" si="1"/>
        <v>14.166666666666666</v>
      </c>
    </row>
    <row r="6" spans="2:10" x14ac:dyDescent="0.2">
      <c r="B6" s="9">
        <v>3016</v>
      </c>
      <c r="C6" s="9" t="s">
        <v>24</v>
      </c>
      <c r="D6" s="9" t="s">
        <v>20</v>
      </c>
      <c r="E6" s="10">
        <v>42729.51458333333</v>
      </c>
      <c r="F6" s="10">
        <v>42729.555555555555</v>
      </c>
      <c r="H6" s="70">
        <f t="shared" si="0"/>
        <v>20.216666666666665</v>
      </c>
      <c r="I6" s="11">
        <f t="shared" si="1"/>
        <v>21.2</v>
      </c>
    </row>
    <row r="7" spans="2:10" x14ac:dyDescent="0.2">
      <c r="B7" s="9">
        <v>3017</v>
      </c>
      <c r="C7" s="9" t="s">
        <v>20</v>
      </c>
      <c r="D7" s="9" t="s">
        <v>24</v>
      </c>
      <c r="E7" s="10">
        <v>42729.576388888891</v>
      </c>
      <c r="F7" s="10">
        <v>42729.614583333336</v>
      </c>
    </row>
    <row r="8" spans="2:10" x14ac:dyDescent="0.2">
      <c r="B8" s="9">
        <v>3018</v>
      </c>
      <c r="C8" s="9" t="s">
        <v>24</v>
      </c>
      <c r="D8" s="9" t="s">
        <v>20</v>
      </c>
      <c r="E8" s="10">
        <v>42729.638194444444</v>
      </c>
      <c r="F8" s="10">
        <v>42729.679166666669</v>
      </c>
    </row>
    <row r="9" spans="2:10" x14ac:dyDescent="0.2">
      <c r="B9" s="9">
        <v>3025</v>
      </c>
      <c r="C9" s="9" t="s">
        <v>20</v>
      </c>
      <c r="D9" s="9" t="s">
        <v>24</v>
      </c>
      <c r="E9" s="10">
        <v>42729.730555555558</v>
      </c>
      <c r="F9" s="10">
        <v>42729.768750000003</v>
      </c>
    </row>
    <row r="10" spans="2:10" x14ac:dyDescent="0.2">
      <c r="B10" s="9">
        <v>3044</v>
      </c>
      <c r="C10" s="9" t="s">
        <v>24</v>
      </c>
      <c r="D10" s="9" t="s">
        <v>17</v>
      </c>
      <c r="E10" s="10">
        <v>42729.368055555555</v>
      </c>
      <c r="F10" s="10">
        <v>42729.461805555555</v>
      </c>
    </row>
    <row r="11" spans="2:10" x14ac:dyDescent="0.2">
      <c r="B11" s="9">
        <v>3045</v>
      </c>
      <c r="C11" s="9" t="s">
        <v>17</v>
      </c>
      <c r="D11" s="9" t="s">
        <v>24</v>
      </c>
      <c r="E11" s="10">
        <v>42729.517361111109</v>
      </c>
      <c r="F11" s="10">
        <v>42729.604166666664</v>
      </c>
    </row>
    <row r="12" spans="2:10" x14ac:dyDescent="0.2">
      <c r="B12" s="9">
        <v>3046</v>
      </c>
      <c r="C12" s="9" t="s">
        <v>24</v>
      </c>
      <c r="D12" s="9" t="s">
        <v>17</v>
      </c>
      <c r="E12" s="10">
        <v>42729.645138888889</v>
      </c>
      <c r="F12" s="10">
        <v>42729.738888888889</v>
      </c>
    </row>
    <row r="13" spans="2:10" x14ac:dyDescent="0.2">
      <c r="B13" s="9">
        <v>3047</v>
      </c>
      <c r="C13" s="9" t="s">
        <v>17</v>
      </c>
      <c r="D13" s="9" t="s">
        <v>24</v>
      </c>
      <c r="E13" s="10">
        <v>42729.767361111109</v>
      </c>
      <c r="F13" s="10">
        <v>42729.854166666664</v>
      </c>
    </row>
    <row r="14" spans="2:10" x14ac:dyDescent="0.2">
      <c r="B14" s="9">
        <v>3049</v>
      </c>
      <c r="C14" s="9" t="s">
        <v>17</v>
      </c>
      <c r="D14" s="9" t="s">
        <v>24</v>
      </c>
      <c r="E14" s="10">
        <v>42729.811111111114</v>
      </c>
      <c r="F14" s="10">
        <v>42729.897916666669</v>
      </c>
    </row>
    <row r="15" spans="2:10" x14ac:dyDescent="0.2">
      <c r="B15" s="9">
        <v>3053</v>
      </c>
      <c r="C15" s="9" t="s">
        <v>24</v>
      </c>
      <c r="D15" s="9" t="s">
        <v>27</v>
      </c>
      <c r="E15" s="10">
        <v>42729.322222222225</v>
      </c>
      <c r="F15" s="10">
        <v>42729.368055555555</v>
      </c>
    </row>
    <row r="16" spans="2:10" x14ac:dyDescent="0.2">
      <c r="B16" s="9">
        <v>3054</v>
      </c>
      <c r="C16" s="9" t="s">
        <v>27</v>
      </c>
      <c r="D16" s="9" t="s">
        <v>24</v>
      </c>
      <c r="E16" s="10">
        <v>42729.704861111109</v>
      </c>
      <c r="F16" s="10">
        <v>42729.746527777781</v>
      </c>
    </row>
    <row r="17" spans="2:6" x14ac:dyDescent="0.2">
      <c r="B17" s="9">
        <v>3055</v>
      </c>
      <c r="C17" s="9" t="s">
        <v>24</v>
      </c>
      <c r="D17" s="9" t="s">
        <v>27</v>
      </c>
      <c r="E17" s="10">
        <v>42729.40625</v>
      </c>
      <c r="F17" s="10">
        <v>42729.45208333333</v>
      </c>
    </row>
    <row r="18" spans="2:6" x14ac:dyDescent="0.2">
      <c r="B18" s="9">
        <v>3062</v>
      </c>
      <c r="C18" s="9" t="s">
        <v>27</v>
      </c>
      <c r="D18" s="9" t="s">
        <v>24</v>
      </c>
      <c r="E18" s="10">
        <v>42729.599305555559</v>
      </c>
      <c r="F18" s="10">
        <v>42729.640972222223</v>
      </c>
    </row>
    <row r="19" spans="2:6" x14ac:dyDescent="0.2">
      <c r="B19" s="9">
        <v>3064</v>
      </c>
      <c r="C19" s="9" t="s">
        <v>27</v>
      </c>
      <c r="D19" s="9" t="s">
        <v>24</v>
      </c>
      <c r="E19" s="10">
        <v>42729.75277777778</v>
      </c>
      <c r="F19" s="10">
        <v>42729.794444444444</v>
      </c>
    </row>
    <row r="20" spans="2:6" x14ac:dyDescent="0.2">
      <c r="B20" s="9">
        <v>3065</v>
      </c>
      <c r="C20" s="9" t="s">
        <v>24</v>
      </c>
      <c r="D20" s="9" t="s">
        <v>27</v>
      </c>
      <c r="E20" s="10">
        <v>42729.686111111114</v>
      </c>
      <c r="F20" s="10">
        <v>42729.731944444444</v>
      </c>
    </row>
    <row r="21" spans="2:6" x14ac:dyDescent="0.2">
      <c r="B21" s="9">
        <v>3090</v>
      </c>
      <c r="C21" s="9" t="s">
        <v>24</v>
      </c>
      <c r="D21" s="9" t="s">
        <v>19</v>
      </c>
      <c r="E21" s="10">
        <v>42729.326388888891</v>
      </c>
      <c r="F21" s="10">
        <v>42729.386805555558</v>
      </c>
    </row>
    <row r="22" spans="2:6" x14ac:dyDescent="0.2">
      <c r="B22" s="9">
        <v>3091</v>
      </c>
      <c r="C22" s="9" t="s">
        <v>19</v>
      </c>
      <c r="D22" s="9" t="s">
        <v>24</v>
      </c>
      <c r="E22" s="10">
        <v>42729.407638888886</v>
      </c>
      <c r="F22" s="10">
        <v>42729.468055555553</v>
      </c>
    </row>
    <row r="23" spans="2:6" x14ac:dyDescent="0.2">
      <c r="B23" s="9">
        <v>3092</v>
      </c>
      <c r="C23" s="9" t="s">
        <v>24</v>
      </c>
      <c r="D23" s="9" t="s">
        <v>19</v>
      </c>
      <c r="E23" s="10">
        <v>42729.396527777775</v>
      </c>
      <c r="F23" s="10">
        <v>42729.456944444442</v>
      </c>
    </row>
    <row r="24" spans="2:6" x14ac:dyDescent="0.2">
      <c r="B24" s="9">
        <v>3093</v>
      </c>
      <c r="C24" s="9" t="s">
        <v>19</v>
      </c>
      <c r="D24" s="9" t="s">
        <v>24</v>
      </c>
      <c r="E24" s="10">
        <v>42729.477777777778</v>
      </c>
      <c r="F24" s="10">
        <v>42729.538194444445</v>
      </c>
    </row>
    <row r="25" spans="2:6" x14ac:dyDescent="0.2">
      <c r="B25" s="9">
        <v>3096</v>
      </c>
      <c r="C25" s="9" t="s">
        <v>24</v>
      </c>
      <c r="D25" s="9" t="s">
        <v>19</v>
      </c>
      <c r="E25" s="10">
        <v>42729.51666666667</v>
      </c>
      <c r="F25" s="10">
        <v>42729.57708333333</v>
      </c>
    </row>
    <row r="26" spans="2:6" x14ac:dyDescent="0.2">
      <c r="B26" s="9">
        <v>3097</v>
      </c>
      <c r="C26" s="9" t="s">
        <v>19</v>
      </c>
      <c r="D26" s="9" t="s">
        <v>24</v>
      </c>
      <c r="E26" s="10">
        <v>42729.606249999997</v>
      </c>
      <c r="F26" s="10">
        <v>42729.666666666664</v>
      </c>
    </row>
    <row r="27" spans="2:6" x14ac:dyDescent="0.2">
      <c r="B27" s="9">
        <v>3098</v>
      </c>
      <c r="C27" s="9" t="s">
        <v>24</v>
      </c>
      <c r="D27" s="9" t="s">
        <v>19</v>
      </c>
      <c r="E27" s="10">
        <v>42729.59375</v>
      </c>
      <c r="F27" s="10">
        <v>42729.654166666667</v>
      </c>
    </row>
    <row r="28" spans="2:6" x14ac:dyDescent="0.2">
      <c r="B28" s="9">
        <v>3099</v>
      </c>
      <c r="C28" s="9" t="s">
        <v>19</v>
      </c>
      <c r="D28" s="9" t="s">
        <v>24</v>
      </c>
      <c r="E28" s="10">
        <v>42729.675000000003</v>
      </c>
      <c r="F28" s="10">
        <v>42729.73541666667</v>
      </c>
    </row>
    <row r="29" spans="2:6" x14ac:dyDescent="0.2">
      <c r="B29" s="9">
        <v>3100</v>
      </c>
      <c r="C29" s="9" t="s">
        <v>24</v>
      </c>
      <c r="D29" s="9" t="s">
        <v>19</v>
      </c>
      <c r="E29" s="10">
        <v>42729.64166666667</v>
      </c>
      <c r="F29" s="10">
        <v>42729.70208333333</v>
      </c>
    </row>
    <row r="30" spans="2:6" x14ac:dyDescent="0.2">
      <c r="B30" s="9">
        <v>3102</v>
      </c>
      <c r="C30" s="9" t="s">
        <v>24</v>
      </c>
      <c r="D30" s="9" t="s">
        <v>19</v>
      </c>
      <c r="E30" s="10">
        <v>42729.72152777778</v>
      </c>
      <c r="F30" s="10">
        <v>42729.781944444447</v>
      </c>
    </row>
    <row r="31" spans="2:6" x14ac:dyDescent="0.2">
      <c r="B31" s="9">
        <v>3105</v>
      </c>
      <c r="C31" s="9" t="s">
        <v>19</v>
      </c>
      <c r="D31" s="9" t="s">
        <v>24</v>
      </c>
      <c r="E31" s="10">
        <v>42729.796527777777</v>
      </c>
      <c r="F31" s="10">
        <v>42729.856944444444</v>
      </c>
    </row>
    <row r="32" spans="2:6" x14ac:dyDescent="0.2">
      <c r="B32" s="9">
        <v>3114</v>
      </c>
      <c r="C32" s="9" t="s">
        <v>24</v>
      </c>
      <c r="D32" s="9" t="s">
        <v>22</v>
      </c>
      <c r="E32" s="10">
        <v>42729.34375</v>
      </c>
      <c r="F32" s="10">
        <v>42729.43472222222</v>
      </c>
    </row>
    <row r="33" spans="2:6" x14ac:dyDescent="0.2">
      <c r="B33" s="9">
        <v>3115</v>
      </c>
      <c r="C33" s="9" t="s">
        <v>22</v>
      </c>
      <c r="D33" s="9" t="s">
        <v>24</v>
      </c>
      <c r="E33" s="10">
        <v>42729.462500000001</v>
      </c>
      <c r="F33" s="10">
        <v>42729.549305555556</v>
      </c>
    </row>
    <row r="34" spans="2:6" x14ac:dyDescent="0.2">
      <c r="B34" s="9">
        <v>3116</v>
      </c>
      <c r="C34" s="9" t="s">
        <v>24</v>
      </c>
      <c r="D34" s="9" t="s">
        <v>22</v>
      </c>
      <c r="E34" s="10">
        <v>42729.476388888892</v>
      </c>
      <c r="F34" s="10">
        <v>42729.567361111112</v>
      </c>
    </row>
    <row r="35" spans="2:6" x14ac:dyDescent="0.2">
      <c r="B35" s="9">
        <v>3117</v>
      </c>
      <c r="C35" s="9" t="s">
        <v>22</v>
      </c>
      <c r="D35" s="9" t="s">
        <v>24</v>
      </c>
      <c r="E35" s="10">
        <v>42729.595138888886</v>
      </c>
      <c r="F35" s="10">
        <v>42729.681944444441</v>
      </c>
    </row>
    <row r="36" spans="2:6" x14ac:dyDescent="0.2">
      <c r="B36" s="9">
        <v>3130</v>
      </c>
      <c r="C36" s="9" t="s">
        <v>24</v>
      </c>
      <c r="D36" s="9" t="s">
        <v>14</v>
      </c>
      <c r="E36" s="10">
        <v>42729.353472222225</v>
      </c>
      <c r="F36" s="10">
        <v>42729.415277777778</v>
      </c>
    </row>
    <row r="37" spans="2:6" x14ac:dyDescent="0.2">
      <c r="B37" s="9">
        <v>3131</v>
      </c>
      <c r="C37" s="9" t="s">
        <v>14</v>
      </c>
      <c r="D37" s="9" t="s">
        <v>24</v>
      </c>
      <c r="E37" s="10">
        <v>42729.447222222225</v>
      </c>
      <c r="F37" s="10">
        <v>42729.510416666664</v>
      </c>
    </row>
    <row r="38" spans="2:6" x14ac:dyDescent="0.2">
      <c r="B38" s="9">
        <v>3132</v>
      </c>
      <c r="C38" s="9" t="s">
        <v>24</v>
      </c>
      <c r="D38" s="9" t="s">
        <v>14</v>
      </c>
      <c r="E38" s="10">
        <v>42729.55</v>
      </c>
      <c r="F38" s="10">
        <v>42729.611805555556</v>
      </c>
    </row>
    <row r="39" spans="2:6" x14ac:dyDescent="0.2">
      <c r="B39" s="9">
        <v>3133</v>
      </c>
      <c r="C39" s="9" t="s">
        <v>14</v>
      </c>
      <c r="D39" s="9" t="s">
        <v>24</v>
      </c>
      <c r="E39" s="10">
        <v>42729.63958333333</v>
      </c>
      <c r="F39" s="10">
        <v>42729.702777777777</v>
      </c>
    </row>
    <row r="40" spans="2:6" x14ac:dyDescent="0.2">
      <c r="B40" s="9">
        <v>3136</v>
      </c>
      <c r="C40" s="9" t="s">
        <v>24</v>
      </c>
      <c r="D40" s="9" t="s">
        <v>14</v>
      </c>
      <c r="E40" s="10">
        <v>42729.788194444445</v>
      </c>
      <c r="F40" s="10">
        <v>42729.85</v>
      </c>
    </row>
    <row r="41" spans="2:6" x14ac:dyDescent="0.2">
      <c r="B41" s="9">
        <v>3140</v>
      </c>
      <c r="C41" s="9" t="s">
        <v>24</v>
      </c>
      <c r="D41" s="9" t="s">
        <v>16</v>
      </c>
      <c r="E41" s="10">
        <v>42729.300694444442</v>
      </c>
      <c r="F41" s="10">
        <v>42729.363888888889</v>
      </c>
    </row>
    <row r="42" spans="2:6" x14ac:dyDescent="0.2">
      <c r="B42" s="9">
        <v>3141</v>
      </c>
      <c r="C42" s="9" t="s">
        <v>16</v>
      </c>
      <c r="D42" s="9" t="s">
        <v>24</v>
      </c>
      <c r="E42" s="10">
        <v>42729.384722222225</v>
      </c>
      <c r="F42" s="10">
        <v>42729.448611111111</v>
      </c>
    </row>
    <row r="43" spans="2:6" x14ac:dyDescent="0.2">
      <c r="B43" s="9">
        <v>3142</v>
      </c>
      <c r="C43" s="9" t="s">
        <v>24</v>
      </c>
      <c r="D43" s="9" t="s">
        <v>16</v>
      </c>
      <c r="E43" s="10">
        <v>42729.456250000003</v>
      </c>
      <c r="F43" s="10">
        <v>42729.519444444442</v>
      </c>
    </row>
    <row r="44" spans="2:6" x14ac:dyDescent="0.2">
      <c r="B44" s="9">
        <v>3143</v>
      </c>
      <c r="C44" s="9" t="s">
        <v>16</v>
      </c>
      <c r="D44" s="9" t="s">
        <v>24</v>
      </c>
      <c r="E44" s="10">
        <v>42729.540277777778</v>
      </c>
      <c r="F44" s="10">
        <v>42729.604166666664</v>
      </c>
    </row>
    <row r="45" spans="2:6" x14ac:dyDescent="0.2">
      <c r="B45" s="9">
        <v>3148</v>
      </c>
      <c r="C45" s="9" t="s">
        <v>24</v>
      </c>
      <c r="D45" s="9" t="s">
        <v>16</v>
      </c>
      <c r="E45" s="10">
        <v>42729.728472222225</v>
      </c>
      <c r="F45" s="10">
        <v>42729.791666666664</v>
      </c>
    </row>
    <row r="46" spans="2:6" x14ac:dyDescent="0.2">
      <c r="B46" s="9">
        <v>3151</v>
      </c>
      <c r="C46" s="9" t="s">
        <v>16</v>
      </c>
      <c r="D46" s="9" t="s">
        <v>24</v>
      </c>
      <c r="E46" s="10">
        <v>42729.830555555556</v>
      </c>
      <c r="F46" s="10">
        <v>42729.894444444442</v>
      </c>
    </row>
    <row r="47" spans="2:6" x14ac:dyDescent="0.2">
      <c r="B47" s="9">
        <v>3164</v>
      </c>
      <c r="C47" s="9" t="s">
        <v>24</v>
      </c>
      <c r="D47" s="9" t="s">
        <v>15</v>
      </c>
      <c r="E47" s="10">
        <v>42729.489583333336</v>
      </c>
      <c r="F47" s="10">
        <v>42729.533333333333</v>
      </c>
    </row>
    <row r="48" spans="2:6" x14ac:dyDescent="0.2">
      <c r="B48" s="9">
        <v>3165</v>
      </c>
      <c r="C48" s="9" t="s">
        <v>15</v>
      </c>
      <c r="D48" s="9" t="s">
        <v>24</v>
      </c>
      <c r="E48" s="10">
        <v>42729.554166666669</v>
      </c>
      <c r="F48" s="10">
        <v>42729.597222222219</v>
      </c>
    </row>
    <row r="49" spans="2:6" x14ac:dyDescent="0.2">
      <c r="B49" s="9">
        <v>3188</v>
      </c>
      <c r="C49" s="9" t="s">
        <v>24</v>
      </c>
      <c r="D49" s="9" t="s">
        <v>25</v>
      </c>
      <c r="E49" s="10">
        <v>42729.65</v>
      </c>
      <c r="F49" s="10">
        <v>42729.7</v>
      </c>
    </row>
    <row r="50" spans="2:6" x14ac:dyDescent="0.2">
      <c r="B50" s="9">
        <v>3189</v>
      </c>
      <c r="C50" s="9" t="s">
        <v>25</v>
      </c>
      <c r="D50" s="9" t="s">
        <v>24</v>
      </c>
      <c r="E50" s="10">
        <v>42729.720833333333</v>
      </c>
      <c r="F50" s="10">
        <v>42729.770833333336</v>
      </c>
    </row>
    <row r="51" spans="2:6" x14ac:dyDescent="0.2">
      <c r="B51" s="9">
        <v>3192</v>
      </c>
      <c r="C51" s="9" t="s">
        <v>24</v>
      </c>
      <c r="D51" s="9" t="s">
        <v>21</v>
      </c>
      <c r="E51" s="10">
        <v>42729.340277777781</v>
      </c>
      <c r="F51" s="10">
        <v>42729.397916666669</v>
      </c>
    </row>
    <row r="52" spans="2:6" x14ac:dyDescent="0.2">
      <c r="B52" s="9">
        <v>3193</v>
      </c>
      <c r="C52" s="9" t="s">
        <v>21</v>
      </c>
      <c r="D52" s="9" t="s">
        <v>24</v>
      </c>
      <c r="E52" s="10">
        <v>42729.418749999997</v>
      </c>
      <c r="F52" s="10">
        <v>42729.47152777778</v>
      </c>
    </row>
    <row r="53" spans="2:6" x14ac:dyDescent="0.2">
      <c r="B53" s="9">
        <v>3198</v>
      </c>
      <c r="C53" s="9" t="s">
        <v>24</v>
      </c>
      <c r="D53" s="9" t="s">
        <v>21</v>
      </c>
      <c r="E53" s="10">
        <v>42729.724999999999</v>
      </c>
      <c r="F53" s="10">
        <v>42729.782638888886</v>
      </c>
    </row>
    <row r="54" spans="2:6" x14ac:dyDescent="0.2">
      <c r="B54" s="9">
        <v>3208</v>
      </c>
      <c r="C54" s="9" t="s">
        <v>24</v>
      </c>
      <c r="D54" s="9" t="s">
        <v>26</v>
      </c>
      <c r="E54" s="10">
        <v>42729.555555555555</v>
      </c>
      <c r="F54" s="10">
        <v>42729.595833333333</v>
      </c>
    </row>
    <row r="55" spans="2:6" x14ac:dyDescent="0.2">
      <c r="B55" s="9">
        <v>3209</v>
      </c>
      <c r="C55" s="9" t="s">
        <v>26</v>
      </c>
      <c r="D55" s="9" t="s">
        <v>24</v>
      </c>
      <c r="E55" s="10">
        <v>42729.616666666669</v>
      </c>
      <c r="F55" s="10">
        <v>42729.655555555553</v>
      </c>
    </row>
    <row r="56" spans="2:6" x14ac:dyDescent="0.2">
      <c r="B56" s="9">
        <v>3216</v>
      </c>
      <c r="C56" s="9" t="s">
        <v>24</v>
      </c>
      <c r="D56" s="9" t="s">
        <v>23</v>
      </c>
      <c r="E56" s="10">
        <v>42729.689583333333</v>
      </c>
      <c r="F56" s="10">
        <v>42729.731249999997</v>
      </c>
    </row>
    <row r="57" spans="2:6" x14ac:dyDescent="0.2">
      <c r="B57" s="9">
        <v>3217</v>
      </c>
      <c r="C57" s="9" t="s">
        <v>23</v>
      </c>
      <c r="D57" s="9" t="s">
        <v>24</v>
      </c>
      <c r="E57" s="10">
        <v>42729.752083333333</v>
      </c>
      <c r="F57" s="10">
        <v>42729.790277777778</v>
      </c>
    </row>
    <row r="58" spans="2:6" x14ac:dyDescent="0.2">
      <c r="B58" s="9">
        <v>3240</v>
      </c>
      <c r="C58" s="9" t="s">
        <v>24</v>
      </c>
      <c r="D58" s="9" t="s">
        <v>18</v>
      </c>
      <c r="E58" s="10">
        <v>42729.604166666664</v>
      </c>
      <c r="F58" s="10">
        <v>42729.663888888892</v>
      </c>
    </row>
    <row r="59" spans="2:6" x14ac:dyDescent="0.2">
      <c r="B59" s="9">
        <v>3241</v>
      </c>
      <c r="C59" s="9" t="s">
        <v>18</v>
      </c>
      <c r="D59" s="9" t="s">
        <v>24</v>
      </c>
      <c r="E59" s="10">
        <v>42729.68472222222</v>
      </c>
      <c r="F59" s="10">
        <v>42729.743750000001</v>
      </c>
    </row>
    <row r="60" spans="2:6" x14ac:dyDescent="0.2">
      <c r="B60" s="9">
        <v>3268</v>
      </c>
      <c r="C60" s="9" t="s">
        <v>24</v>
      </c>
      <c r="D60" s="9" t="s">
        <v>17</v>
      </c>
      <c r="E60" s="10">
        <v>42729.694444444445</v>
      </c>
      <c r="F60" s="10">
        <v>42729.788194444445</v>
      </c>
    </row>
    <row r="61" spans="2:6" x14ac:dyDescent="0.2">
      <c r="B61" s="9">
        <v>3272</v>
      </c>
      <c r="C61" s="9" t="s">
        <v>27</v>
      </c>
      <c r="D61" s="9" t="s">
        <v>17</v>
      </c>
      <c r="E61" s="10">
        <v>42729.406944444447</v>
      </c>
      <c r="F61" s="10">
        <v>42729.486805555556</v>
      </c>
    </row>
    <row r="62" spans="2:6" x14ac:dyDescent="0.2">
      <c r="B62" s="9">
        <v>3273</v>
      </c>
      <c r="C62" s="9" t="s">
        <v>17</v>
      </c>
      <c r="D62" s="9" t="s">
        <v>27</v>
      </c>
      <c r="E62" s="10">
        <v>42729.489583333336</v>
      </c>
      <c r="F62" s="10">
        <v>42729.574999999997</v>
      </c>
    </row>
    <row r="63" spans="2:6" x14ac:dyDescent="0.2">
      <c r="B63" s="9">
        <v>3274</v>
      </c>
      <c r="C63" s="9" t="s">
        <v>27</v>
      </c>
      <c r="D63" s="9" t="s">
        <v>17</v>
      </c>
      <c r="E63" s="10">
        <v>42729.486805555556</v>
      </c>
      <c r="F63" s="10">
        <v>42729.566666666666</v>
      </c>
    </row>
    <row r="64" spans="2:6" x14ac:dyDescent="0.2">
      <c r="B64" s="9">
        <v>3275</v>
      </c>
      <c r="C64" s="9" t="s">
        <v>17</v>
      </c>
      <c r="D64" s="9" t="s">
        <v>27</v>
      </c>
      <c r="E64" s="10">
        <v>42729.594444444447</v>
      </c>
      <c r="F64" s="10">
        <v>42729.679861111108</v>
      </c>
    </row>
    <row r="65" spans="2:6" x14ac:dyDescent="0.2">
      <c r="B65" s="9">
        <v>3285</v>
      </c>
      <c r="C65" s="9" t="s">
        <v>19</v>
      </c>
      <c r="D65" s="9" t="s">
        <v>24</v>
      </c>
      <c r="E65" s="10">
        <v>42729.772916666669</v>
      </c>
      <c r="F65" s="10">
        <v>42729.833333333336</v>
      </c>
    </row>
    <row r="66" spans="2:6" x14ac:dyDescent="0.2">
      <c r="B66" s="9">
        <v>3304</v>
      </c>
      <c r="C66" s="9" t="s">
        <v>20</v>
      </c>
      <c r="D66" s="9" t="s">
        <v>17</v>
      </c>
      <c r="E66" s="10">
        <v>42729.51666666667</v>
      </c>
      <c r="F66" s="10">
        <v>42729.591666666667</v>
      </c>
    </row>
    <row r="67" spans="2:6" x14ac:dyDescent="0.2">
      <c r="B67" s="9">
        <v>3305</v>
      </c>
      <c r="C67" s="9" t="s">
        <v>17</v>
      </c>
      <c r="D67" s="9" t="s">
        <v>20</v>
      </c>
      <c r="E67" s="10">
        <v>42729.62222222222</v>
      </c>
      <c r="F67" s="10">
        <v>42729.705555555556</v>
      </c>
    </row>
    <row r="68" spans="2:6" x14ac:dyDescent="0.2">
      <c r="B68" s="9">
        <v>3312</v>
      </c>
      <c r="C68" s="9" t="s">
        <v>20</v>
      </c>
      <c r="D68" s="9" t="s">
        <v>19</v>
      </c>
      <c r="E68" s="10">
        <v>42729.707638888889</v>
      </c>
      <c r="F68" s="10">
        <v>42729.752083333333</v>
      </c>
    </row>
    <row r="69" spans="2:6" x14ac:dyDescent="0.2">
      <c r="B69" s="9">
        <v>3313</v>
      </c>
      <c r="C69" s="9" t="s">
        <v>19</v>
      </c>
      <c r="D69" s="9" t="s">
        <v>20</v>
      </c>
      <c r="E69" s="10">
        <v>42729.726388888892</v>
      </c>
      <c r="F69" s="10">
        <v>42729.775000000001</v>
      </c>
    </row>
  </sheetData>
  <autoFilter ref="B2:F69" xr:uid="{00000000-0009-0000-0000-000008000000}"/>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D76F077D8BAE846B1BC71F9ACADFD43" ma:contentTypeVersion="18" ma:contentTypeDescription="Crear nuevo documento." ma:contentTypeScope="" ma:versionID="1c45dc80752e809aedc6f0db5c7a762f">
  <xsd:schema xmlns:xsd="http://www.w3.org/2001/XMLSchema" xmlns:xs="http://www.w3.org/2001/XMLSchema" xmlns:p="http://schemas.microsoft.com/office/2006/metadata/properties" xmlns:ns2="d87bfc22-b946-4a27-992e-b569612e2370" xmlns:ns3="8e187d6d-71cf-4345-a05c-1ad4336251df" targetNamespace="http://schemas.microsoft.com/office/2006/metadata/properties" ma:root="true" ma:fieldsID="e74f33a9aa747f96a19cee971891333d" ns2:_="" ns3:_="">
    <xsd:import namespace="d87bfc22-b946-4a27-992e-b569612e2370"/>
    <xsd:import namespace="8e187d6d-71cf-4345-a05c-1ad4336251d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7bfc22-b946-4a27-992e-b569612e23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Length (seconds)" ma:internalName="MediaLengthInSeconds" ma:readOnly="true">
      <xsd:simpleType>
        <xsd:restriction base="dms:Unknown"/>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a38e7027-190f-4f90-8839-9f8250567d86"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e187d6d-71cf-4345-a05c-1ad4336251df"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ecdefce6-cd2c-4b03-9764-5f947de3a291}" ma:internalName="TaxCatchAll" ma:showField="CatchAllData" ma:web="8e187d6d-71cf-4345-a05c-1ad4336251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8e187d6d-71cf-4345-a05c-1ad4336251df">
      <UserInfo>
        <DisplayName>Isabella Bermudez Gutierrez</DisplayName>
        <AccountId>59</AccountId>
        <AccountType/>
      </UserInfo>
    </SharedWithUsers>
    <MediaLengthInSeconds xmlns="d87bfc22-b946-4a27-992e-b569612e2370" xsi:nil="true"/>
    <TaxCatchAll xmlns="8e187d6d-71cf-4345-a05c-1ad4336251df" xsi:nil="true"/>
    <lcf76f155ced4ddcb4097134ff3c332f xmlns="d87bfc22-b946-4a27-992e-b569612e237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52BE39-23FA-4537-A0AB-359F8E2DF8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7bfc22-b946-4a27-992e-b569612e2370"/>
    <ds:schemaRef ds:uri="8e187d6d-71cf-4345-a05c-1ad4336251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9FCB06-5F13-4534-A07A-FC6105A7E42E}">
  <ds:schemaRefs>
    <ds:schemaRef ds:uri="http://schemas.microsoft.com/office/2006/metadata/properties"/>
    <ds:schemaRef ds:uri="http://schemas.microsoft.com/office/infopath/2007/PartnerControls"/>
    <ds:schemaRef ds:uri="8e187d6d-71cf-4345-a05c-1ad4336251df"/>
    <ds:schemaRef ds:uri="d87bfc22-b946-4a27-992e-b569612e2370"/>
  </ds:schemaRefs>
</ds:datastoreItem>
</file>

<file path=customXml/itemProps3.xml><?xml version="1.0" encoding="utf-8"?>
<ds:datastoreItem xmlns:ds="http://schemas.openxmlformats.org/officeDocument/2006/customXml" ds:itemID="{5A9C603E-86F3-4792-84DA-89329E72BA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EJERCICIOS</vt:lpstr>
      <vt:lpstr>18</vt:lpstr>
      <vt:lpstr>19</vt:lpstr>
      <vt:lpstr>20</vt:lpstr>
      <vt:lpstr>21</vt:lpstr>
      <vt:lpstr>22</vt:lpstr>
      <vt:lpstr>23</vt:lpstr>
      <vt:lpstr>24</vt:lpstr>
      <vt:lpstr>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Edwin Camilo Quiroga Gomez</dc:creator>
  <cp:keywords/>
  <dc:description/>
  <cp:lastModifiedBy>Mariana Velez Rivera</cp:lastModifiedBy>
  <cp:revision/>
  <dcterms:created xsi:type="dcterms:W3CDTF">2018-08-27T14:04:02Z</dcterms:created>
  <dcterms:modified xsi:type="dcterms:W3CDTF">2024-03-09T14:42:05Z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0x010100DD76F077D8BAE846B1BC71F9ACADFD43</vt:lpwstr>
  </property>
  <property fmtid="{D5CDD505-2E9C-101B-9397-08002B2CF9AE}" pid="3" name="Order">
    <vt:r8>216900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ies>
</file>