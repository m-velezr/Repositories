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ariana Velez\Documents\6 SEMESTRE\SAD\Excel\"/>
    </mc:Choice>
  </mc:AlternateContent>
  <xr:revisionPtr revIDLastSave="0" documentId="13_ncr:1_{9080EE23-ADF4-4F8C-9F6E-1E1CEBE6B94F}" xr6:coauthVersionLast="47" xr6:coauthVersionMax="47" xr10:uidLastSave="{00000000-0000-0000-0000-000000000000}"/>
  <bookViews>
    <workbookView xWindow="-120" yWindow="-120" windowWidth="20730" windowHeight="11760" firstSheet="2" activeTab="4" xr2:uid="{59C4BB0B-0B71-4D88-88F2-7F1648005138}"/>
  </bookViews>
  <sheets>
    <sheet name="Hoja1" sheetId="1" r:id="rId1"/>
    <sheet name="Hoja2" sheetId="2" r:id="rId2"/>
    <sheet name="Hoja3" sheetId="3" r:id="rId3"/>
    <sheet name="Hoja4" sheetId="4" r:id="rId4"/>
    <sheet name="Hoja5" sheetId="5" r:id="rId5"/>
  </sheets>
  <definedNames>
    <definedName name="solver_adj" localSheetId="1" hidden="1">Hoja2!$C$71:$C$80</definedName>
    <definedName name="solver_cvg" localSheetId="1" hidden="1">"""""""0,0001"""""""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2147483647</definedName>
    <definedName name="solver_lhs1" localSheetId="1" hidden="1">Hoja2!$C$71:$C$80</definedName>
    <definedName name="solver_lhs2" localSheetId="1" hidden="1">Hoja2!$C$83</definedName>
    <definedName name="solver_mip" localSheetId="1" hidden="1">2147483647</definedName>
    <definedName name="solver_mni" localSheetId="1" hidden="1">30</definedName>
    <definedName name="solver_mrt" localSheetId="1" hidden="1">"""""""0,075"""""""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2</definedName>
    <definedName name="solver_nwt" localSheetId="1" hidden="1">1</definedName>
    <definedName name="solver_opt" localSheetId="1" hidden="1">Hoja2!$C$82</definedName>
    <definedName name="solver_pre" localSheetId="1" hidden="1">"""""""0,000001"""""""</definedName>
    <definedName name="solver_rbv" localSheetId="1" hidden="1">1</definedName>
    <definedName name="solver_rel1" localSheetId="1" hidden="1">1</definedName>
    <definedName name="solver_rel2" localSheetId="1" hidden="1">3</definedName>
    <definedName name="solver_rhs1" localSheetId="1" hidden="1">Hoja2!$E$71:$E$80</definedName>
    <definedName name="solver_rhs2" localSheetId="1" hidden="1">Hoja2!$E$83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1</definedName>
    <definedName name="solver_typ" localSheetId="1" hidden="1">2</definedName>
    <definedName name="solver_val" localSheetId="1" hidden="1">0</definedName>
    <definedName name="solver_ver" localSheetId="1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4" i="1" l="1" a="1"/>
  <c r="H4" i="1" s="1"/>
  <c r="E45" i="2"/>
  <c r="C18" i="2"/>
  <c r="E48" i="2"/>
  <c r="C36" i="2"/>
  <c r="C83" i="2"/>
  <c r="C82" i="2"/>
  <c r="H7" i="1"/>
  <c r="C40" i="2"/>
  <c r="E41" i="2"/>
  <c r="E42" i="2"/>
  <c r="E43" i="2"/>
  <c r="E44" i="2"/>
  <c r="E46" i="2"/>
  <c r="E47" i="2"/>
  <c r="E49" i="2"/>
  <c r="E40" i="2"/>
  <c r="C41" i="2"/>
  <c r="C42" i="2"/>
  <c r="C43" i="2"/>
  <c r="C44" i="2"/>
  <c r="C45" i="2"/>
  <c r="C46" i="2"/>
  <c r="C47" i="2"/>
  <c r="C48" i="2"/>
  <c r="C49" i="2"/>
  <c r="C22" i="2"/>
  <c r="C20" i="2"/>
  <c r="C21" i="2"/>
  <c r="C19" i="2"/>
  <c r="C50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<sst xmlns="http://schemas.openxmlformats.org/spreadsheetml/2006/main" count="152" uniqueCount="73">
  <si>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</si>
  <si>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</si>
  <si>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</si>
  <si>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</si>
  <si>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</si>
  <si>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</si>
  <si>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</si>
  <si>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</si>
  <si>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</si>
  <si>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</si>
  <si>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</si>
  <si>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</si>
  <si>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</si>
  <si>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</si>
  <si>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</si>
  <si>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</si>
  <si>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</si>
  <si>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</si>
  <si>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</si>
  <si>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</si>
  <si>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</si>
  <si>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</si>
  <si>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</si>
  <si>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</si>
  <si>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</si>
  <si>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</si>
  <si>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Punto</t>
  </si>
  <si>
    <t>x</t>
  </si>
  <si>
    <t>y</t>
  </si>
  <si>
    <t>Valor</t>
  </si>
  <si>
    <t>País 1</t>
  </si>
  <si>
    <t>País 2</t>
  </si>
  <si>
    <t>País 3</t>
  </si>
  <si>
    <t>País 4</t>
  </si>
  <si>
    <t>País 5</t>
  </si>
  <si>
    <t>País 6</t>
  </si>
  <si>
    <t>País 7</t>
  </si>
  <si>
    <t>País 8</t>
  </si>
  <si>
    <t>País 9</t>
  </si>
  <si>
    <t>País 10</t>
  </si>
  <si>
    <t>Capacidad total</t>
  </si>
  <si>
    <t>Norma</t>
  </si>
  <si>
    <t>Demanda</t>
  </si>
  <si>
    <t>Importación pasada</t>
  </si>
  <si>
    <t>no se puede importar más de la mita de la capacidad total</t>
  </si>
  <si>
    <t>Precio unitario</t>
  </si>
  <si>
    <t>Número</t>
  </si>
  <si>
    <t>Fecuencia</t>
  </si>
  <si>
    <t>Vertical y horizontal</t>
  </si>
  <si>
    <t>Cantidad</t>
  </si>
  <si>
    <t>Probabilidad</t>
  </si>
  <si>
    <t>Personas que llegan por minuto</t>
  </si>
  <si>
    <t>Cola en un banco que trabaja de 8 de la mañana hasta las 3 de la tarde en jornada contínua.</t>
  </si>
  <si>
    <t>Tiempo que tarda la diligencia</t>
  </si>
  <si>
    <t>Tiempo [minutos]</t>
  </si>
  <si>
    <t>Únicamente hay una sola persona atendiendo</t>
  </si>
  <si>
    <t>Se atienden todos aquellos clientes que empezaron su diligencia a más tardar a las 2:59 pm</t>
  </si>
  <si>
    <t>¿Cuántos clientes se atendieron y cuántos no?</t>
  </si>
  <si>
    <t>Promedio del valor de los 3 puntos mas cercanos a un que entran por parámetro</t>
  </si>
  <si>
    <t>Costo Importación Min</t>
  </si>
  <si>
    <t>restricciones</t>
  </si>
  <si>
    <t>pais 6</t>
  </si>
  <si>
    <t>importacion</t>
  </si>
  <si>
    <t>&gt;=</t>
  </si>
  <si>
    <t>Pais 7</t>
  </si>
  <si>
    <t>Pais 8</t>
  </si>
  <si>
    <t>Pais 9</t>
  </si>
  <si>
    <t>Pais 10</t>
  </si>
  <si>
    <t>Barriles importados</t>
  </si>
  <si>
    <t>Funcion Obj costo</t>
  </si>
  <si>
    <t>&lt;=</t>
  </si>
  <si>
    <t>Restricciones</t>
  </si>
  <si>
    <t>Max Ganancia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</si>
</sst>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1" xfId="0" applyBorder="1" applyAlignment="1">
      <alignment horizontal="center"/>
    </xf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4" borderId="1" xfId="0" applyFill="1" applyBorder="1"/>
    <xf numFmtId="0" fontId="0" fillId="2" borderId="1" xfId="0" applyFill="1" applyBorder="1"/>
    <xf numFmtId="0" fontId="0" fillId="3" borderId="1" xfId="0" applyFill="1" applyBorder="1"/>
    <xf numFmtId="9" fontId="0" fillId="0" borderId="0" xfId="0" applyNumberFormat="1"/>
    <xf numFmtId="0" fontId="0" fillId="0" borderId="0" xfId="0" applyAlignment="1">
      <alignment horizontal="center"/>
    </xf>
    <xf numFmtId="0" fontId="0" fillId="0" borderId="2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Hoja1!$D$1</c:f>
              <c:strCache>
                <c:ptCount val="1"/>
                <c:pt idx="0">
                  <c:v>y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FE499F6-B291-4F1D-BADD-253FEEA3C4D8}" type="CELLRANGE">
                      <a:rPr lang="en-US"/>
                      <a:pPr/>
                      <a:t>[CELLRANGE]</a:t>
                    </a:fld>
                    <a:endParaRPr lang="es-CO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6CD4-436B-A08D-D4C59014CEA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16CD094-AA2D-4712-9B1D-D7BD225E5C88}" type="CELLRANGE">
                      <a:rPr lang="es-CO"/>
                      <a:pPr/>
                      <a:t>[CELLRANGE]</a:t>
                    </a:fld>
                    <a:endParaRPr lang="es-CO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CD4-436B-A08D-D4C59014CEA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096F8C9-6647-4E06-8F93-F14DB5E6DF94}" type="CELLRANGE">
                      <a:rPr lang="es-CO"/>
                      <a:pPr/>
                      <a:t>[CELLRANGE]</a:t>
                    </a:fld>
                    <a:endParaRPr lang="es-CO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CD4-436B-A08D-D4C59014CEA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C73F725-9774-45B2-82EF-74D3CA0DE469}" type="CELLRANGE">
                      <a:rPr lang="es-CO"/>
                      <a:pPr/>
                      <a:t>[CELLRANGE]</a:t>
                    </a:fld>
                    <a:endParaRPr lang="es-CO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CD4-436B-A08D-D4C59014CEA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80DCD99-3A01-4E48-BB3B-0B0C289D2E48}" type="CELLRANGE">
                      <a:rPr lang="es-CO"/>
                      <a:pPr/>
                      <a:t>[CELLRANGE]</a:t>
                    </a:fld>
                    <a:endParaRPr lang="es-CO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CD4-436B-A08D-D4C59014CEA2}"/>
                </c:ext>
              </c:extLst>
            </c:dLbl>
            <c:dLbl>
              <c:idx val="5"/>
              <c:layout>
                <c:manualLayout>
                  <c:x val="-6.043227087796748E-2"/>
                  <c:y val="3.5677051052946981E-2"/>
                </c:manualLayout>
              </c:layout>
              <c:tx>
                <c:rich>
                  <a:bodyPr/>
                  <a:lstStyle/>
                  <a:p>
                    <a:fld id="{391A641F-1403-4390-84B6-6149D1642F97}" type="CELLRANGE">
                      <a:rPr lang="en-US"/>
                      <a:pPr/>
                      <a:t>[CELLRANGE]</a:t>
                    </a:fld>
                    <a:endParaRPr lang="es-CO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6CD4-436B-A08D-D4C59014CEA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64234CE-7AA6-4529-A4E3-24FEAE1727CF}" type="CELLRANGE">
                      <a:rPr lang="es-CO"/>
                      <a:pPr/>
                      <a:t>[CELLRANGE]</a:t>
                    </a:fld>
                    <a:endParaRPr lang="es-CO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CD4-436B-A08D-D4C59014CEA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DBCCE48-8317-4885-A0AB-7B432045177B}" type="CELLRANGE">
                      <a:rPr lang="es-CO"/>
                      <a:pPr/>
                      <a:t>[CELLRANGE]</a:t>
                    </a:fld>
                    <a:endParaRPr lang="es-CO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CD4-436B-A08D-D4C59014CEA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ACB8D4B-D6D7-4C13-AA7B-09593A9CAA45}" type="CELLRANGE">
                      <a:rPr lang="es-CO"/>
                      <a:pPr/>
                      <a:t>[CELLRANGE]</a:t>
                    </a:fld>
                    <a:endParaRPr lang="es-CO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CD4-436B-A08D-D4C59014CEA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880F0D4-D5FD-4829-AD47-2C002512AA1B}" type="CELLRANGE">
                      <a:rPr lang="es-CO"/>
                      <a:pPr/>
                      <a:t>[CELLRANGE]</a:t>
                    </a:fld>
                    <a:endParaRPr lang="es-CO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CD4-436B-A08D-D4C59014CEA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2DB4BAF-C6A5-4151-8722-194B6F886B27}" type="CELLRANGE">
                      <a:rPr lang="es-CO"/>
                      <a:pPr/>
                      <a:t>[CELLRANGE]</a:t>
                    </a:fld>
                    <a:endParaRPr lang="es-CO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CD4-436B-A08D-D4C59014CEA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82020F4-8EB6-4F0F-9562-FD60B1A4BEC5}" type="CELLRANGE">
                      <a:rPr lang="es-CO"/>
                      <a:pPr/>
                      <a:t>[CELLRANGE]</a:t>
                    </a:fld>
                    <a:endParaRPr lang="es-CO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CD4-436B-A08D-D4C59014CEA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72324CD-E045-4DA6-953D-4824A124AD17}" type="CELLRANGE">
                      <a:rPr lang="es-CO"/>
                      <a:pPr/>
                      <a:t>[CELLRANGE]</a:t>
                    </a:fld>
                    <a:endParaRPr lang="es-CO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CD4-436B-A08D-D4C59014CEA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D7D9508-0E5E-4572-B00E-79D4986587B5}" type="CELLRANGE">
                      <a:rPr lang="es-CO"/>
                      <a:pPr/>
                      <a:t>[CELLRANGE]</a:t>
                    </a:fld>
                    <a:endParaRPr lang="es-CO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CD4-436B-A08D-D4C59014CEA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E8847B3-88CE-43E8-B1C1-F9D12403BC79}" type="CELLRANGE">
                      <a:rPr lang="es-CO"/>
                      <a:pPr/>
                      <a:t>[CELLRANGE]</a:t>
                    </a:fld>
                    <a:endParaRPr lang="es-CO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6CD4-436B-A08D-D4C59014CEA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5CDD496-1216-49FA-BE28-0DC15CFC2D77}" type="CELLRANGE">
                      <a:rPr lang="es-CO"/>
                      <a:pPr/>
                      <a:t>[CELLRANGE]</a:t>
                    </a:fld>
                    <a:endParaRPr lang="es-CO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6CD4-436B-A08D-D4C59014CEA2}"/>
                </c:ext>
              </c:extLst>
            </c:dLbl>
            <c:dLbl>
              <c:idx val="16"/>
              <c:layout>
                <c:manualLayout>
                  <c:x val="-1.1510908738660452E-2"/>
                  <c:y val="5.7975207961038895E-2"/>
                </c:manualLayout>
              </c:layout>
              <c:tx>
                <c:rich>
                  <a:bodyPr/>
                  <a:lstStyle/>
                  <a:p>
                    <a:fld id="{6BF257E8-E093-4362-BD06-83F905C7E621}" type="CELLRANGE">
                      <a:rPr lang="en-US"/>
                      <a:pPr/>
                      <a:t>[CELLRANGE]</a:t>
                    </a:fld>
                    <a:endParaRPr lang="es-CO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1-6CD4-436B-A08D-D4C59014CEA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CCF6B75D-BC21-45B7-91C0-B19F977A984C}" type="CELLRANGE">
                      <a:rPr lang="es-CO"/>
                      <a:pPr/>
                      <a:t>[CELLRANGE]</a:t>
                    </a:fld>
                    <a:endParaRPr lang="es-CO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6CD4-436B-A08D-D4C59014CEA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B82E751-6CA1-45D5-8DBB-1578E65F3AB4}" type="CELLRANGE">
                      <a:rPr lang="es-CO"/>
                      <a:pPr/>
                      <a:t>[CELLRANGE]</a:t>
                    </a:fld>
                    <a:endParaRPr lang="es-CO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6CD4-436B-A08D-D4C59014CEA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7A385720-E8D8-491B-9BA8-2423EBC1379B}" type="CELLRANGE">
                      <a:rPr lang="es-CO"/>
                      <a:pPr/>
                      <a:t>[CELLRANGE]</a:t>
                    </a:fld>
                    <a:endParaRPr lang="es-CO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6CD4-436B-A08D-D4C59014CEA2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CADF25E-9EC5-471A-AF86-3A5E5B993573}" type="CELLRANGE">
                      <a:rPr lang="es-CO"/>
                      <a:pPr/>
                      <a:t>[CELLRANGE]</a:t>
                    </a:fld>
                    <a:endParaRPr lang="es-CO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6CD4-436B-A08D-D4C59014CEA2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6D623A4-A3E7-4524-915A-884FC7E2FAC1}" type="CELLRANGE">
                      <a:rPr lang="es-CO"/>
                      <a:pPr/>
                      <a:t>[CELLRANGE]</a:t>
                    </a:fld>
                    <a:endParaRPr lang="es-CO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6CD4-436B-A08D-D4C59014CEA2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745C9D5-F5D6-4BA9-9C06-5B07AD8CDC7C}" type="CELLRANGE">
                      <a:rPr lang="es-CO"/>
                      <a:pPr/>
                      <a:t>[CELLRANGE]</a:t>
                    </a:fld>
                    <a:endParaRPr lang="es-CO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6CD4-436B-A08D-D4C59014CEA2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66CBAEA-EEE0-4BF0-A128-6ECA7ED733AA}" type="CELLRANGE">
                      <a:rPr lang="es-CO"/>
                      <a:pPr/>
                      <a:t>[CELLRANGE]</a:t>
                    </a:fld>
                    <a:endParaRPr lang="es-CO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6CD4-436B-A08D-D4C59014CEA2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1427EBC-744F-4DF7-8E89-B8E9E4AD5D17}" type="CELLRANGE">
                      <a:rPr lang="es-CO"/>
                      <a:pPr/>
                      <a:t>[CELLRANGE]</a:t>
                    </a:fld>
                    <a:endParaRPr lang="es-CO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6CD4-436B-A08D-D4C59014CEA2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9451D97-98AD-4002-80D3-81D4BF4ADF3E}" type="CELLRANGE">
                      <a:rPr lang="es-CO"/>
                      <a:pPr/>
                      <a:t>[CELLRANGE]</a:t>
                    </a:fld>
                    <a:endParaRPr lang="es-CO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6CD4-436B-A08D-D4C59014CEA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Hoja1!$C$2:$C$27</c:f>
              <c:numCache>
                <c:formatCode>General</c:formatCode>
                <c:ptCount val="26"/>
                <c:pt idx="0">
                  <c:v>23</c:v>
                </c:pt>
                <c:pt idx="1">
                  <c:v>97</c:v>
                </c:pt>
                <c:pt idx="2">
                  <c:v>39</c:v>
                </c:pt>
                <c:pt idx="3">
                  <c:v>10</c:v>
                </c:pt>
                <c:pt idx="4">
                  <c:v>16</c:v>
                </c:pt>
                <c:pt idx="5">
                  <c:v>89</c:v>
                </c:pt>
                <c:pt idx="6">
                  <c:v>7</c:v>
                </c:pt>
                <c:pt idx="7">
                  <c:v>59</c:v>
                </c:pt>
                <c:pt idx="8">
                  <c:v>56</c:v>
                </c:pt>
                <c:pt idx="9">
                  <c:v>97</c:v>
                </c:pt>
                <c:pt idx="10">
                  <c:v>35</c:v>
                </c:pt>
                <c:pt idx="11">
                  <c:v>42</c:v>
                </c:pt>
                <c:pt idx="12">
                  <c:v>16</c:v>
                </c:pt>
                <c:pt idx="13">
                  <c:v>52</c:v>
                </c:pt>
                <c:pt idx="14">
                  <c:v>39</c:v>
                </c:pt>
                <c:pt idx="15">
                  <c:v>94</c:v>
                </c:pt>
                <c:pt idx="16">
                  <c:v>92</c:v>
                </c:pt>
                <c:pt idx="17">
                  <c:v>1</c:v>
                </c:pt>
                <c:pt idx="18">
                  <c:v>42</c:v>
                </c:pt>
                <c:pt idx="19">
                  <c:v>91</c:v>
                </c:pt>
                <c:pt idx="20">
                  <c:v>75</c:v>
                </c:pt>
                <c:pt idx="21">
                  <c:v>89</c:v>
                </c:pt>
                <c:pt idx="22">
                  <c:v>77</c:v>
                </c:pt>
                <c:pt idx="23">
                  <c:v>9</c:v>
                </c:pt>
                <c:pt idx="24">
                  <c:v>70</c:v>
                </c:pt>
                <c:pt idx="25">
                  <c:v>99</c:v>
                </c:pt>
              </c:numCache>
            </c:numRef>
          </c:xVal>
          <c:yVal>
            <c:numRef>
              <c:f>Hoja1!$D$2:$D$27</c:f>
              <c:numCache>
                <c:formatCode>General</c:formatCode>
                <c:ptCount val="26"/>
                <c:pt idx="0">
                  <c:v>13</c:v>
                </c:pt>
                <c:pt idx="1">
                  <c:v>39</c:v>
                </c:pt>
                <c:pt idx="2">
                  <c:v>1</c:v>
                </c:pt>
                <c:pt idx="3">
                  <c:v>21</c:v>
                </c:pt>
                <c:pt idx="4">
                  <c:v>92</c:v>
                </c:pt>
                <c:pt idx="5">
                  <c:v>37</c:v>
                </c:pt>
                <c:pt idx="6">
                  <c:v>67</c:v>
                </c:pt>
                <c:pt idx="7">
                  <c:v>49</c:v>
                </c:pt>
                <c:pt idx="8">
                  <c:v>75</c:v>
                </c:pt>
                <c:pt idx="9">
                  <c:v>91</c:v>
                </c:pt>
                <c:pt idx="10">
                  <c:v>79</c:v>
                </c:pt>
                <c:pt idx="11">
                  <c:v>81</c:v>
                </c:pt>
                <c:pt idx="12">
                  <c:v>72</c:v>
                </c:pt>
                <c:pt idx="13">
                  <c:v>60</c:v>
                </c:pt>
                <c:pt idx="14">
                  <c:v>22</c:v>
                </c:pt>
                <c:pt idx="15">
                  <c:v>51</c:v>
                </c:pt>
                <c:pt idx="16">
                  <c:v>38</c:v>
                </c:pt>
                <c:pt idx="17">
                  <c:v>88</c:v>
                </c:pt>
                <c:pt idx="18">
                  <c:v>83</c:v>
                </c:pt>
                <c:pt idx="19">
                  <c:v>76</c:v>
                </c:pt>
                <c:pt idx="20">
                  <c:v>73</c:v>
                </c:pt>
                <c:pt idx="21">
                  <c:v>69</c:v>
                </c:pt>
                <c:pt idx="22">
                  <c:v>68</c:v>
                </c:pt>
                <c:pt idx="23">
                  <c:v>58</c:v>
                </c:pt>
                <c:pt idx="24">
                  <c:v>79</c:v>
                </c:pt>
                <c:pt idx="25">
                  <c:v>80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Hoja1!$B$2:$B$27</c15:f>
                <c15:dlblRangeCache>
                  <c:ptCount val="26"/>
                  <c:pt idx="0">
                    <c:v>A</c:v>
                  </c:pt>
                  <c:pt idx="1">
                    <c:v>B</c:v>
                  </c:pt>
                  <c:pt idx="2">
                    <c:v>C</c:v>
                  </c:pt>
                  <c:pt idx="3">
                    <c:v>D</c:v>
                  </c:pt>
                  <c:pt idx="4">
                    <c:v>E</c:v>
                  </c:pt>
                  <c:pt idx="5">
                    <c:v>F</c:v>
                  </c:pt>
                  <c:pt idx="6">
                    <c:v>G</c:v>
                  </c:pt>
                  <c:pt idx="7">
                    <c:v>H</c:v>
                  </c:pt>
                  <c:pt idx="8">
                    <c:v>I</c:v>
                  </c:pt>
                  <c:pt idx="9">
                    <c:v>J</c:v>
                  </c:pt>
                  <c:pt idx="10">
                    <c:v>K</c:v>
                  </c:pt>
                  <c:pt idx="11">
                    <c:v>L</c:v>
                  </c:pt>
                  <c:pt idx="12">
                    <c:v>M</c:v>
                  </c:pt>
                  <c:pt idx="13">
                    <c:v>N</c:v>
                  </c:pt>
                  <c:pt idx="14">
                    <c:v>O</c:v>
                  </c:pt>
                  <c:pt idx="15">
                    <c:v>P</c:v>
                  </c:pt>
                  <c:pt idx="16">
                    <c:v>Q</c:v>
                  </c:pt>
                  <c:pt idx="17">
                    <c:v>R</c:v>
                  </c:pt>
                  <c:pt idx="18">
                    <c:v>S</c:v>
                  </c:pt>
                  <c:pt idx="19">
                    <c:v>T</c:v>
                  </c:pt>
                  <c:pt idx="20">
                    <c:v>U</c:v>
                  </c:pt>
                  <c:pt idx="21">
                    <c:v>V</c:v>
                  </c:pt>
                  <c:pt idx="22">
                    <c:v>W</c:v>
                  </c:pt>
                  <c:pt idx="23">
                    <c:v>X</c:v>
                  </c:pt>
                  <c:pt idx="24">
                    <c:v>Y</c:v>
                  </c:pt>
                  <c:pt idx="25">
                    <c:v>Z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6CD4-436B-A08D-D4C59014CEA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158448912"/>
        <c:axId val="158458992"/>
      </c:scatterChart>
      <c:valAx>
        <c:axId val="1584489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58458992"/>
        <c:crosses val="autoZero"/>
        <c:crossBetween val="midCat"/>
      </c:valAx>
      <c:valAx>
        <c:axId val="158458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584489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752475</xdr:colOff>
      <xdr:row>1</xdr:row>
      <xdr:rowOff>75247</xdr:rowOff>
    </xdr:from>
    <xdr:to>
      <xdr:col>14</xdr:col>
      <xdr:colOff>579120</xdr:colOff>
      <xdr:row>16</xdr:row>
      <xdr:rowOff>101917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5210D74-C368-477B-97D7-977849A25C8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641791</xdr:colOff>
      <xdr:row>29</xdr:row>
      <xdr:rowOff>142875</xdr:rowOff>
    </xdr:from>
    <xdr:to>
      <xdr:col>11</xdr:col>
      <xdr:colOff>143629</xdr:colOff>
      <xdr:row>52</xdr:row>
      <xdr:rowOff>57945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42322D08-64BE-E4FB-A41E-D74ACE1EE3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32941" y="5667375"/>
          <a:ext cx="4073838" cy="429657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9FC4AA-6054-465C-81FD-F435EFD24E1D}">
  <sheetPr codeName="Hoja1"/>
  <dimension ref="B1:H27"/>
  <sheetViews>
    <sheetView zoomScale="83" workbookViewId="0">
      <selection activeCell="H5" sqref="H5"/>
    </sheetView>
  </sheetViews>
  <sheetFormatPr baseColWidth="10" defaultRowHeight="15" x14ac:dyDescent="0.25"/>
  <cols>
    <col min="8" max="8" width="17.7109375" customWidth="1"/>
  </cols>
  <sheetData>
    <row r="1" spans="2:8" x14ac:dyDescent="0.25">
      <c r="B1" t="s">
        <v>26</v>
      </c>
      <c r="C1" t="s">
        <v>27</v>
      </c>
      <c r="D1" t="s">
        <v>28</v>
      </c>
      <c r="E1" t="s">
        <v>29</v>
      </c>
      <c r="H1" t="s">
        <v>58</v>
      </c>
    </row>
    <row r="2" spans="2:8" x14ac:dyDescent="0.25">
      <c r="B2" t="s">
        <v>0</v>
      </c>
      <c r="C2">
        <v>23</v>
      </c>
      <c r="D2">
        <v>13</v>
      </c>
      <c r="E2">
        <v>9</v>
      </c>
    </row>
    <row r="3" spans="2:8" x14ac:dyDescent="0.25">
      <c r="B3" t="s">
        <v>1</v>
      </c>
      <c r="C3">
        <v>97</v>
      </c>
      <c r="D3">
        <v>39</v>
      </c>
      <c r="E3">
        <v>4</v>
      </c>
      <c r="G3" t="s">
        <v>26</v>
      </c>
    </row>
    <row r="4" spans="2:8" x14ac:dyDescent="0.25">
      <c r="B4" t="s">
        <v>2</v>
      </c>
      <c r="C4">
        <v>39</v>
      </c>
      <c r="D4">
        <v>1</v>
      </c>
      <c r="E4">
        <v>9</v>
      </c>
      <c r="G4" t="s">
        <v>16</v>
      </c>
      <c r="H4" cm="1">
        <f t="array" ref="H4">AVERAGE(INDEX(E2:E27,MATCH(SMALL(IF(G4&lt;&gt;B2:B27,(ABS(D2:D27-INDEX(D2:D27,MATCH(G4,B2:B27,0)))+ABS(C2:C27-INDEX(C2:C27,MATCH(G4,B2:B27,0))))),_xlfn.SEQUENCE(3)),IF(G4&lt;&gt;B2:B27,(ABS(D2:D27-INDEX(D2:D27,MATCH(G4,B2:B27,0)))+ABS(C2:C27-INDEX(C2:C27,MATCH(G4,B2:B27,0))))),0)))</f>
        <v>3.3333333333333335</v>
      </c>
    </row>
    <row r="5" spans="2:8" x14ac:dyDescent="0.25">
      <c r="B5" t="s">
        <v>3</v>
      </c>
      <c r="C5">
        <v>10</v>
      </c>
      <c r="D5">
        <v>21</v>
      </c>
      <c r="E5">
        <v>10</v>
      </c>
    </row>
    <row r="6" spans="2:8" x14ac:dyDescent="0.25">
      <c r="B6" t="s">
        <v>4</v>
      </c>
      <c r="C6">
        <v>16</v>
      </c>
      <c r="D6">
        <v>92</v>
      </c>
      <c r="E6">
        <v>6</v>
      </c>
    </row>
    <row r="7" spans="2:8" x14ac:dyDescent="0.25">
      <c r="B7" t="s">
        <v>5</v>
      </c>
      <c r="C7">
        <v>89</v>
      </c>
      <c r="D7">
        <v>37</v>
      </c>
      <c r="E7">
        <v>3</v>
      </c>
      <c r="H7">
        <f>AVERAGE(E7,E3,E17)</f>
        <v>3.3333333333333335</v>
      </c>
    </row>
    <row r="8" spans="2:8" x14ac:dyDescent="0.25">
      <c r="B8" t="s">
        <v>6</v>
      </c>
      <c r="C8">
        <v>7</v>
      </c>
      <c r="D8">
        <v>67</v>
      </c>
      <c r="E8">
        <v>0</v>
      </c>
    </row>
    <row r="9" spans="2:8" x14ac:dyDescent="0.25">
      <c r="B9" t="s">
        <v>7</v>
      </c>
      <c r="C9">
        <v>59</v>
      </c>
      <c r="D9">
        <v>49</v>
      </c>
      <c r="E9">
        <v>7</v>
      </c>
    </row>
    <row r="10" spans="2:8" x14ac:dyDescent="0.25">
      <c r="B10" t="s">
        <v>8</v>
      </c>
      <c r="C10">
        <v>56</v>
      </c>
      <c r="D10">
        <v>75</v>
      </c>
      <c r="E10">
        <v>9</v>
      </c>
    </row>
    <row r="11" spans="2:8" x14ac:dyDescent="0.25">
      <c r="B11" t="s">
        <v>9</v>
      </c>
      <c r="C11">
        <v>97</v>
      </c>
      <c r="D11">
        <v>91</v>
      </c>
      <c r="E11">
        <v>5</v>
      </c>
    </row>
    <row r="12" spans="2:8" x14ac:dyDescent="0.25">
      <c r="B12" t="s">
        <v>10</v>
      </c>
      <c r="C12">
        <v>35</v>
      </c>
      <c r="D12">
        <v>79</v>
      </c>
      <c r="E12">
        <v>10</v>
      </c>
    </row>
    <row r="13" spans="2:8" x14ac:dyDescent="0.25">
      <c r="B13" t="s">
        <v>11</v>
      </c>
      <c r="C13">
        <v>42</v>
      </c>
      <c r="D13">
        <v>81</v>
      </c>
      <c r="E13">
        <v>10</v>
      </c>
    </row>
    <row r="14" spans="2:8" x14ac:dyDescent="0.25">
      <c r="B14" t="s">
        <v>12</v>
      </c>
      <c r="C14">
        <v>16</v>
      </c>
      <c r="D14">
        <v>72</v>
      </c>
      <c r="E14">
        <v>10</v>
      </c>
    </row>
    <row r="15" spans="2:8" x14ac:dyDescent="0.25">
      <c r="B15" t="s">
        <v>13</v>
      </c>
      <c r="C15">
        <v>52</v>
      </c>
      <c r="D15">
        <v>60</v>
      </c>
      <c r="E15">
        <v>1</v>
      </c>
    </row>
    <row r="16" spans="2:8" x14ac:dyDescent="0.25">
      <c r="B16" t="s">
        <v>14</v>
      </c>
      <c r="C16">
        <v>39</v>
      </c>
      <c r="D16">
        <v>22</v>
      </c>
      <c r="E16">
        <v>8</v>
      </c>
    </row>
    <row r="17" spans="2:5" x14ac:dyDescent="0.25">
      <c r="B17" t="s">
        <v>15</v>
      </c>
      <c r="C17">
        <v>94</v>
      </c>
      <c r="D17">
        <v>51</v>
      </c>
      <c r="E17">
        <v>3</v>
      </c>
    </row>
    <row r="18" spans="2:5" x14ac:dyDescent="0.25">
      <c r="B18" t="s">
        <v>16</v>
      </c>
      <c r="C18">
        <v>92</v>
      </c>
      <c r="D18">
        <v>38</v>
      </c>
      <c r="E18">
        <v>2</v>
      </c>
    </row>
    <row r="19" spans="2:5" x14ac:dyDescent="0.25">
      <c r="B19" t="s">
        <v>17</v>
      </c>
      <c r="C19">
        <v>1</v>
      </c>
      <c r="D19">
        <v>88</v>
      </c>
      <c r="E19">
        <v>2</v>
      </c>
    </row>
    <row r="20" spans="2:5" x14ac:dyDescent="0.25">
      <c r="B20" t="s">
        <v>18</v>
      </c>
      <c r="C20">
        <v>42</v>
      </c>
      <c r="D20">
        <v>83</v>
      </c>
      <c r="E20">
        <v>5</v>
      </c>
    </row>
    <row r="21" spans="2:5" x14ac:dyDescent="0.25">
      <c r="B21" t="s">
        <v>19</v>
      </c>
      <c r="C21">
        <v>91</v>
      </c>
      <c r="D21">
        <v>76</v>
      </c>
      <c r="E21">
        <v>6</v>
      </c>
    </row>
    <row r="22" spans="2:5" x14ac:dyDescent="0.25">
      <c r="B22" t="s">
        <v>20</v>
      </c>
      <c r="C22">
        <v>75</v>
      </c>
      <c r="D22">
        <v>73</v>
      </c>
      <c r="E22">
        <v>8</v>
      </c>
    </row>
    <row r="23" spans="2:5" x14ac:dyDescent="0.25">
      <c r="B23" t="s">
        <v>21</v>
      </c>
      <c r="C23">
        <v>89</v>
      </c>
      <c r="D23">
        <v>69</v>
      </c>
      <c r="E23">
        <v>7</v>
      </c>
    </row>
    <row r="24" spans="2:5" x14ac:dyDescent="0.25">
      <c r="B24" t="s">
        <v>22</v>
      </c>
      <c r="C24">
        <v>77</v>
      </c>
      <c r="D24">
        <v>68</v>
      </c>
      <c r="E24">
        <v>4</v>
      </c>
    </row>
    <row r="25" spans="2:5" x14ac:dyDescent="0.25">
      <c r="B25" t="s">
        <v>23</v>
      </c>
      <c r="C25">
        <v>9</v>
      </c>
      <c r="D25">
        <v>58</v>
      </c>
      <c r="E25">
        <v>7</v>
      </c>
    </row>
    <row r="26" spans="2:5" x14ac:dyDescent="0.25">
      <c r="B26" t="s">
        <v>24</v>
      </c>
      <c r="C26">
        <v>70</v>
      </c>
      <c r="D26">
        <v>79</v>
      </c>
      <c r="E26">
        <v>5</v>
      </c>
    </row>
    <row r="27" spans="2:5" x14ac:dyDescent="0.25">
      <c r="B27" t="s">
        <v>25</v>
      </c>
      <c r="C27">
        <v>99</v>
      </c>
      <c r="D27">
        <v>80</v>
      </c>
      <c r="E27">
        <v>0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C6F6E0-6325-4503-8AA4-09AD6A9D8ED7}">
  <sheetPr codeName="Hoja2"/>
  <dimension ref="B2:F83"/>
  <sheetViews>
    <sheetView topLeftCell="A30" workbookViewId="0">
      <selection activeCell="C40" sqref="C40:C49"/>
    </sheetView>
  </sheetViews>
  <sheetFormatPr baseColWidth="10" defaultRowHeight="15" x14ac:dyDescent="0.25"/>
  <cols>
    <col min="2" max="2" width="21.28515625" bestFit="1" customWidth="1"/>
    <col min="3" max="3" width="19.140625" bestFit="1" customWidth="1"/>
    <col min="4" max="4" width="15" bestFit="1" customWidth="1"/>
    <col min="5" max="5" width="14" bestFit="1" customWidth="1"/>
  </cols>
  <sheetData>
    <row r="2" spans="2:6" x14ac:dyDescent="0.25">
      <c r="C2" t="s">
        <v>43</v>
      </c>
      <c r="D2" t="s">
        <v>40</v>
      </c>
      <c r="E2" t="s">
        <v>45</v>
      </c>
      <c r="F2" t="s">
        <v>41</v>
      </c>
    </row>
    <row r="3" spans="2:6" x14ac:dyDescent="0.25">
      <c r="B3" t="s">
        <v>30</v>
      </c>
      <c r="C3">
        <v>12</v>
      </c>
      <c r="D3">
        <v>97</v>
      </c>
      <c r="E3">
        <v>101.4</v>
      </c>
    </row>
    <row r="4" spans="2:6" x14ac:dyDescent="0.25">
      <c r="B4" t="s">
        <v>31</v>
      </c>
      <c r="C4">
        <v>22</v>
      </c>
      <c r="D4">
        <v>390</v>
      </c>
      <c r="E4">
        <v>104.6</v>
      </c>
    </row>
    <row r="5" spans="2:6" x14ac:dyDescent="0.25">
      <c r="B5" t="s">
        <v>32</v>
      </c>
      <c r="C5">
        <v>38</v>
      </c>
      <c r="D5">
        <v>206</v>
      </c>
      <c r="E5">
        <v>99.5</v>
      </c>
    </row>
    <row r="6" spans="2:6" x14ac:dyDescent="0.25">
      <c r="B6" t="s">
        <v>33</v>
      </c>
      <c r="C6">
        <v>15</v>
      </c>
      <c r="D6">
        <v>939</v>
      </c>
      <c r="E6">
        <v>99.8</v>
      </c>
    </row>
    <row r="7" spans="2:6" x14ac:dyDescent="0.25">
      <c r="B7" t="s">
        <v>34</v>
      </c>
      <c r="C7">
        <v>93</v>
      </c>
      <c r="D7">
        <v>619</v>
      </c>
      <c r="E7">
        <v>104</v>
      </c>
    </row>
    <row r="8" spans="2:6" x14ac:dyDescent="0.25">
      <c r="B8" t="s">
        <v>35</v>
      </c>
      <c r="C8">
        <v>29</v>
      </c>
      <c r="D8">
        <v>98</v>
      </c>
      <c r="E8">
        <v>104</v>
      </c>
      <c r="F8" t="s">
        <v>44</v>
      </c>
    </row>
    <row r="9" spans="2:6" x14ac:dyDescent="0.25">
      <c r="B9" t="s">
        <v>36</v>
      </c>
      <c r="C9">
        <v>5</v>
      </c>
      <c r="D9">
        <v>449</v>
      </c>
      <c r="E9">
        <v>104.5</v>
      </c>
      <c r="F9" t="s">
        <v>44</v>
      </c>
    </row>
    <row r="10" spans="2:6" x14ac:dyDescent="0.25">
      <c r="B10" t="s">
        <v>37</v>
      </c>
      <c r="C10">
        <v>77</v>
      </c>
      <c r="D10">
        <v>771</v>
      </c>
      <c r="E10">
        <v>99.4</v>
      </c>
      <c r="F10" t="s">
        <v>44</v>
      </c>
    </row>
    <row r="11" spans="2:6" x14ac:dyDescent="0.25">
      <c r="B11" t="s">
        <v>38</v>
      </c>
      <c r="C11">
        <v>85</v>
      </c>
      <c r="D11">
        <v>483</v>
      </c>
      <c r="E11">
        <v>99</v>
      </c>
      <c r="F11" t="s">
        <v>44</v>
      </c>
    </row>
    <row r="12" spans="2:6" x14ac:dyDescent="0.25">
      <c r="B12" t="s">
        <v>39</v>
      </c>
      <c r="C12">
        <v>89</v>
      </c>
      <c r="D12">
        <v>128</v>
      </c>
      <c r="E12">
        <v>101.8</v>
      </c>
      <c r="F12" t="s">
        <v>44</v>
      </c>
    </row>
    <row r="14" spans="2:6" x14ac:dyDescent="0.25">
      <c r="B14" t="s">
        <v>42</v>
      </c>
      <c r="C14">
        <v>2000</v>
      </c>
    </row>
    <row r="16" spans="2:6" x14ac:dyDescent="0.25">
      <c r="B16" t="s">
        <v>59</v>
      </c>
    </row>
    <row r="17" spans="2:5" x14ac:dyDescent="0.25">
      <c r="B17" t="s">
        <v>60</v>
      </c>
      <c r="E17" t="s">
        <v>62</v>
      </c>
    </row>
    <row r="18" spans="2:5" x14ac:dyDescent="0.25">
      <c r="B18" t="s">
        <v>61</v>
      </c>
      <c r="C18">
        <f>D8/2</f>
        <v>49</v>
      </c>
      <c r="D18" t="s">
        <v>63</v>
      </c>
    </row>
    <row r="19" spans="2:5" x14ac:dyDescent="0.25">
      <c r="B19" t="s">
        <v>64</v>
      </c>
      <c r="C19">
        <f>D9/2</f>
        <v>224.5</v>
      </c>
      <c r="D19" t="s">
        <v>63</v>
      </c>
    </row>
    <row r="20" spans="2:5" x14ac:dyDescent="0.25">
      <c r="B20" t="s">
        <v>65</v>
      </c>
      <c r="C20">
        <f t="shared" ref="C20:C21" si="0">D10/2</f>
        <v>385.5</v>
      </c>
      <c r="D20" t="s">
        <v>63</v>
      </c>
    </row>
    <row r="21" spans="2:5" x14ac:dyDescent="0.25">
      <c r="B21" t="s">
        <v>66</v>
      </c>
      <c r="C21">
        <f t="shared" si="0"/>
        <v>241.5</v>
      </c>
      <c r="D21" t="s">
        <v>63</v>
      </c>
    </row>
    <row r="22" spans="2:5" x14ac:dyDescent="0.25">
      <c r="B22" t="s">
        <v>67</v>
      </c>
      <c r="C22">
        <f>D12/2</f>
        <v>64</v>
      </c>
      <c r="D22" t="s">
        <v>63</v>
      </c>
    </row>
    <row r="24" spans="2:5" x14ac:dyDescent="0.25">
      <c r="C24" t="s">
        <v>68</v>
      </c>
    </row>
    <row r="25" spans="2:5" x14ac:dyDescent="0.25">
      <c r="B25" t="s">
        <v>30</v>
      </c>
      <c r="C25">
        <v>0</v>
      </c>
    </row>
    <row r="26" spans="2:5" x14ac:dyDescent="0.25">
      <c r="B26" t="s">
        <v>31</v>
      </c>
      <c r="C26">
        <v>0</v>
      </c>
    </row>
    <row r="27" spans="2:5" x14ac:dyDescent="0.25">
      <c r="B27" t="s">
        <v>32</v>
      </c>
      <c r="C27">
        <v>206</v>
      </c>
    </row>
    <row r="28" spans="2:5" x14ac:dyDescent="0.25">
      <c r="B28" t="s">
        <v>33</v>
      </c>
      <c r="C28">
        <v>539.99999999999977</v>
      </c>
    </row>
    <row r="29" spans="2:5" x14ac:dyDescent="0.25">
      <c r="B29" t="s">
        <v>34</v>
      </c>
      <c r="C29">
        <v>0</v>
      </c>
    </row>
    <row r="30" spans="2:5" x14ac:dyDescent="0.25">
      <c r="B30" t="s">
        <v>35</v>
      </c>
      <c r="C30">
        <v>0</v>
      </c>
    </row>
    <row r="31" spans="2:5" x14ac:dyDescent="0.25">
      <c r="B31" t="s">
        <v>36</v>
      </c>
      <c r="C31">
        <v>0</v>
      </c>
    </row>
    <row r="32" spans="2:5" x14ac:dyDescent="0.25">
      <c r="B32" t="s">
        <v>37</v>
      </c>
      <c r="C32">
        <v>771</v>
      </c>
    </row>
    <row r="33" spans="2:5" x14ac:dyDescent="0.25">
      <c r="B33" t="s">
        <v>38</v>
      </c>
      <c r="C33">
        <v>483</v>
      </c>
    </row>
    <row r="34" spans="2:5" x14ac:dyDescent="0.25">
      <c r="B34" t="s">
        <v>39</v>
      </c>
      <c r="C34">
        <v>0</v>
      </c>
    </row>
    <row r="36" spans="2:5" x14ac:dyDescent="0.25">
      <c r="B36" t="s">
        <v>69</v>
      </c>
      <c r="C36">
        <f>SUMPRODUCT(C25:C34,E3:E12)</f>
        <v>198843.39999999997</v>
      </c>
    </row>
    <row r="40" spans="2:5" x14ac:dyDescent="0.25">
      <c r="B40" t="s">
        <v>30</v>
      </c>
      <c r="C40">
        <f>C25</f>
        <v>0</v>
      </c>
      <c r="E40">
        <f>D3</f>
        <v>97</v>
      </c>
    </row>
    <row r="41" spans="2:5" x14ac:dyDescent="0.25">
      <c r="B41" t="s">
        <v>31</v>
      </c>
      <c r="C41">
        <f t="shared" ref="C41:C49" si="1">C26</f>
        <v>0</v>
      </c>
      <c r="E41">
        <f t="shared" ref="E41:E49" si="2">D4</f>
        <v>390</v>
      </c>
    </row>
    <row r="42" spans="2:5" x14ac:dyDescent="0.25">
      <c r="B42" t="s">
        <v>32</v>
      </c>
      <c r="C42">
        <f t="shared" si="1"/>
        <v>206</v>
      </c>
      <c r="E42">
        <f t="shared" si="2"/>
        <v>206</v>
      </c>
    </row>
    <row r="43" spans="2:5" x14ac:dyDescent="0.25">
      <c r="B43" t="s">
        <v>33</v>
      </c>
      <c r="C43">
        <f t="shared" si="1"/>
        <v>539.99999999999977</v>
      </c>
      <c r="E43">
        <f t="shared" si="2"/>
        <v>939</v>
      </c>
    </row>
    <row r="44" spans="2:5" x14ac:dyDescent="0.25">
      <c r="B44" t="s">
        <v>34</v>
      </c>
      <c r="C44">
        <f t="shared" si="1"/>
        <v>0</v>
      </c>
      <c r="E44">
        <f t="shared" si="2"/>
        <v>619</v>
      </c>
    </row>
    <row r="45" spans="2:5" x14ac:dyDescent="0.25">
      <c r="B45" t="s">
        <v>35</v>
      </c>
      <c r="C45">
        <f t="shared" si="1"/>
        <v>0</v>
      </c>
      <c r="D45" t="s">
        <v>70</v>
      </c>
      <c r="E45">
        <f>D8</f>
        <v>98</v>
      </c>
    </row>
    <row r="46" spans="2:5" x14ac:dyDescent="0.25">
      <c r="B46" t="s">
        <v>36</v>
      </c>
      <c r="C46">
        <f t="shared" si="1"/>
        <v>0</v>
      </c>
      <c r="D46" t="s">
        <v>70</v>
      </c>
      <c r="E46">
        <f t="shared" si="2"/>
        <v>449</v>
      </c>
    </row>
    <row r="47" spans="2:5" x14ac:dyDescent="0.25">
      <c r="B47" t="s">
        <v>37</v>
      </c>
      <c r="C47">
        <f t="shared" si="1"/>
        <v>771</v>
      </c>
      <c r="D47" t="s">
        <v>70</v>
      </c>
      <c r="E47">
        <f t="shared" si="2"/>
        <v>771</v>
      </c>
    </row>
    <row r="48" spans="2:5" x14ac:dyDescent="0.25">
      <c r="B48" t="s">
        <v>38</v>
      </c>
      <c r="C48">
        <f t="shared" si="1"/>
        <v>483</v>
      </c>
      <c r="D48" t="s">
        <v>70</v>
      </c>
      <c r="E48">
        <f>D11</f>
        <v>483</v>
      </c>
    </row>
    <row r="49" spans="2:6" x14ac:dyDescent="0.25">
      <c r="B49" t="s">
        <v>39</v>
      </c>
      <c r="C49">
        <f t="shared" si="1"/>
        <v>0</v>
      </c>
      <c r="D49" t="s">
        <v>70</v>
      </c>
      <c r="E49">
        <f t="shared" si="2"/>
        <v>128</v>
      </c>
    </row>
    <row r="50" spans="2:6" x14ac:dyDescent="0.25">
      <c r="B50" t="s">
        <v>42</v>
      </c>
      <c r="C50">
        <f>SUM(C40:C49)</f>
        <v>1999.9999999999998</v>
      </c>
      <c r="D50" t="s">
        <v>63</v>
      </c>
      <c r="E50">
        <v>2000</v>
      </c>
    </row>
    <row r="55" spans="2:6" x14ac:dyDescent="0.25">
      <c r="C55" t="s">
        <v>43</v>
      </c>
      <c r="D55" t="s">
        <v>40</v>
      </c>
      <c r="E55" t="s">
        <v>45</v>
      </c>
      <c r="F55" t="s">
        <v>41</v>
      </c>
    </row>
    <row r="56" spans="2:6" x14ac:dyDescent="0.25">
      <c r="B56" t="s">
        <v>30</v>
      </c>
      <c r="C56">
        <v>12</v>
      </c>
      <c r="D56">
        <v>97</v>
      </c>
      <c r="E56">
        <v>101.4</v>
      </c>
    </row>
    <row r="57" spans="2:6" x14ac:dyDescent="0.25">
      <c r="B57" t="s">
        <v>31</v>
      </c>
      <c r="C57">
        <v>22</v>
      </c>
      <c r="D57">
        <v>390</v>
      </c>
      <c r="E57">
        <v>104.6</v>
      </c>
    </row>
    <row r="58" spans="2:6" x14ac:dyDescent="0.25">
      <c r="B58" t="s">
        <v>32</v>
      </c>
      <c r="C58">
        <v>38</v>
      </c>
      <c r="D58">
        <v>206</v>
      </c>
      <c r="E58">
        <v>99.5</v>
      </c>
    </row>
    <row r="59" spans="2:6" x14ac:dyDescent="0.25">
      <c r="B59" t="s">
        <v>33</v>
      </c>
      <c r="C59">
        <v>15</v>
      </c>
      <c r="D59">
        <v>939</v>
      </c>
      <c r="E59">
        <v>99.8</v>
      </c>
    </row>
    <row r="60" spans="2:6" x14ac:dyDescent="0.25">
      <c r="B60" t="s">
        <v>34</v>
      </c>
      <c r="C60">
        <v>93</v>
      </c>
      <c r="D60">
        <v>619</v>
      </c>
      <c r="E60">
        <v>104</v>
      </c>
    </row>
    <row r="61" spans="2:6" x14ac:dyDescent="0.25">
      <c r="B61" t="s">
        <v>35</v>
      </c>
      <c r="C61">
        <v>29</v>
      </c>
      <c r="D61">
        <v>98</v>
      </c>
      <c r="E61">
        <v>104</v>
      </c>
      <c r="F61" t="s">
        <v>44</v>
      </c>
    </row>
    <row r="62" spans="2:6" x14ac:dyDescent="0.25">
      <c r="B62" t="s">
        <v>36</v>
      </c>
      <c r="C62">
        <v>5</v>
      </c>
      <c r="D62">
        <v>449</v>
      </c>
      <c r="E62">
        <v>104.5</v>
      </c>
      <c r="F62" t="s">
        <v>44</v>
      </c>
    </row>
    <row r="63" spans="2:6" x14ac:dyDescent="0.25">
      <c r="B63" t="s">
        <v>37</v>
      </c>
      <c r="C63">
        <v>77</v>
      </c>
      <c r="D63">
        <v>771</v>
      </c>
      <c r="E63">
        <v>99.4</v>
      </c>
      <c r="F63" t="s">
        <v>44</v>
      </c>
    </row>
    <row r="64" spans="2:6" x14ac:dyDescent="0.25">
      <c r="B64" t="s">
        <v>38</v>
      </c>
      <c r="C64">
        <v>85</v>
      </c>
      <c r="D64">
        <v>483</v>
      </c>
      <c r="E64">
        <v>99</v>
      </c>
      <c r="F64" t="s">
        <v>44</v>
      </c>
    </row>
    <row r="65" spans="2:6" x14ac:dyDescent="0.25">
      <c r="B65" t="s">
        <v>39</v>
      </c>
      <c r="C65">
        <v>89</v>
      </c>
      <c r="D65">
        <v>128</v>
      </c>
      <c r="E65">
        <v>101.8</v>
      </c>
      <c r="F65" t="s">
        <v>44</v>
      </c>
    </row>
    <row r="67" spans="2:6" x14ac:dyDescent="0.25">
      <c r="B67" t="s">
        <v>42</v>
      </c>
      <c r="C67">
        <v>2000</v>
      </c>
    </row>
    <row r="70" spans="2:6" x14ac:dyDescent="0.25">
      <c r="B70" s="9" t="s">
        <v>71</v>
      </c>
      <c r="C70" s="9"/>
      <c r="D70" s="9"/>
    </row>
    <row r="71" spans="2:6" x14ac:dyDescent="0.25">
      <c r="B71" t="s">
        <v>30</v>
      </c>
      <c r="C71">
        <v>0</v>
      </c>
      <c r="D71" t="s">
        <v>70</v>
      </c>
      <c r="E71">
        <v>97</v>
      </c>
    </row>
    <row r="72" spans="2:6" x14ac:dyDescent="0.25">
      <c r="B72" t="s">
        <v>31</v>
      </c>
      <c r="C72">
        <v>0</v>
      </c>
      <c r="D72" t="s">
        <v>70</v>
      </c>
      <c r="E72">
        <v>390</v>
      </c>
    </row>
    <row r="73" spans="2:6" x14ac:dyDescent="0.25">
      <c r="B73" t="s">
        <v>32</v>
      </c>
      <c r="C73">
        <v>206</v>
      </c>
      <c r="D73" t="s">
        <v>70</v>
      </c>
      <c r="E73">
        <v>206</v>
      </c>
    </row>
    <row r="74" spans="2:6" x14ac:dyDescent="0.25">
      <c r="B74" t="s">
        <v>33</v>
      </c>
      <c r="C74">
        <v>539.99999116295999</v>
      </c>
      <c r="D74" t="s">
        <v>70</v>
      </c>
      <c r="E74">
        <v>939</v>
      </c>
    </row>
    <row r="75" spans="2:6" x14ac:dyDescent="0.25">
      <c r="B75" t="s">
        <v>34</v>
      </c>
      <c r="C75">
        <v>0</v>
      </c>
      <c r="D75" t="s">
        <v>70</v>
      </c>
      <c r="E75">
        <v>619</v>
      </c>
    </row>
    <row r="76" spans="2:6" x14ac:dyDescent="0.25">
      <c r="B76" t="s">
        <v>35</v>
      </c>
      <c r="C76">
        <v>0</v>
      </c>
      <c r="D76" t="s">
        <v>70</v>
      </c>
      <c r="E76">
        <v>98</v>
      </c>
    </row>
    <row r="77" spans="2:6" x14ac:dyDescent="0.25">
      <c r="B77" t="s">
        <v>36</v>
      </c>
      <c r="C77">
        <v>0</v>
      </c>
      <c r="D77" t="s">
        <v>70</v>
      </c>
      <c r="E77">
        <v>449</v>
      </c>
    </row>
    <row r="78" spans="2:6" x14ac:dyDescent="0.25">
      <c r="B78" t="s">
        <v>37</v>
      </c>
      <c r="C78">
        <v>771</v>
      </c>
      <c r="D78" t="s">
        <v>70</v>
      </c>
      <c r="E78">
        <v>771</v>
      </c>
    </row>
    <row r="79" spans="2:6" x14ac:dyDescent="0.25">
      <c r="B79" t="s">
        <v>38</v>
      </c>
      <c r="C79">
        <v>483</v>
      </c>
      <c r="D79" t="s">
        <v>70</v>
      </c>
      <c r="E79">
        <v>483</v>
      </c>
    </row>
    <row r="80" spans="2:6" x14ac:dyDescent="0.25">
      <c r="B80" t="s">
        <v>39</v>
      </c>
      <c r="C80">
        <v>0</v>
      </c>
      <c r="D80" t="s">
        <v>70</v>
      </c>
      <c r="E80">
        <v>128</v>
      </c>
    </row>
    <row r="82" spans="2:5" x14ac:dyDescent="0.25">
      <c r="B82" t="s">
        <v>72</v>
      </c>
      <c r="C82">
        <f>SUMPRODUCT(C71:C80,E56:E65)</f>
        <v>198843.39911806339</v>
      </c>
    </row>
    <row r="83" spans="2:5" x14ac:dyDescent="0.25">
      <c r="B83" t="s">
        <v>42</v>
      </c>
      <c r="C83">
        <f>SUM(C71:C80)</f>
        <v>1999.99999116296</v>
      </c>
      <c r="D83" t="s">
        <v>63</v>
      </c>
      <c r="E83">
        <v>2000</v>
      </c>
    </row>
  </sheetData>
  <mergeCells count="1">
    <mergeCell ref="B70:D70"/>
  </mergeCells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627EB0-140A-4A7C-9247-E39706F08534}">
  <sheetPr codeName="Hoja3"/>
  <dimension ref="B2:N23"/>
  <sheetViews>
    <sheetView zoomScale="90" workbookViewId="0">
      <selection activeCell="F24" sqref="F24"/>
    </sheetView>
  </sheetViews>
  <sheetFormatPr baseColWidth="10" defaultRowHeight="15" x14ac:dyDescent="0.25"/>
  <sheetData>
    <row r="2" spans="2:14" x14ac:dyDescent="0.25">
      <c r="B2" s="1">
        <v>2</v>
      </c>
      <c r="C2" s="1">
        <v>11</v>
      </c>
      <c r="D2" s="1">
        <v>16</v>
      </c>
      <c r="E2" s="1">
        <v>12</v>
      </c>
      <c r="F2" s="1">
        <v>15</v>
      </c>
      <c r="G2" s="1">
        <v>7</v>
      </c>
      <c r="H2" s="1">
        <v>16</v>
      </c>
      <c r="I2" s="1">
        <v>4</v>
      </c>
      <c r="J2" s="1">
        <v>20</v>
      </c>
      <c r="K2" s="1">
        <v>19</v>
      </c>
      <c r="M2" t="s">
        <v>46</v>
      </c>
      <c r="N2" t="s">
        <v>47</v>
      </c>
    </row>
    <row r="3" spans="2:14" x14ac:dyDescent="0.25">
      <c r="B3" s="1">
        <v>18</v>
      </c>
      <c r="C3" s="1">
        <v>11</v>
      </c>
      <c r="D3" s="1">
        <v>20</v>
      </c>
      <c r="E3" s="1">
        <v>12</v>
      </c>
      <c r="F3" s="1">
        <v>4</v>
      </c>
      <c r="G3" s="1">
        <v>9</v>
      </c>
      <c r="H3" s="1">
        <v>1</v>
      </c>
      <c r="I3" s="1">
        <v>9</v>
      </c>
      <c r="J3" s="1">
        <v>5</v>
      </c>
      <c r="K3" s="1">
        <v>12</v>
      </c>
      <c r="M3" s="10">
        <v>2</v>
      </c>
      <c r="N3">
        <v>8</v>
      </c>
    </row>
    <row r="4" spans="2:14" x14ac:dyDescent="0.25">
      <c r="B4" s="1">
        <v>7</v>
      </c>
      <c r="C4" s="1">
        <v>8</v>
      </c>
      <c r="D4" s="1">
        <v>1</v>
      </c>
      <c r="E4" s="1">
        <v>12</v>
      </c>
      <c r="F4" s="1">
        <v>20</v>
      </c>
      <c r="G4" s="1">
        <v>16</v>
      </c>
      <c r="H4" s="1">
        <v>9</v>
      </c>
      <c r="I4" s="1">
        <v>17</v>
      </c>
      <c r="J4" s="1">
        <v>18</v>
      </c>
      <c r="K4" s="1">
        <v>11</v>
      </c>
      <c r="M4" s="10">
        <v>11</v>
      </c>
      <c r="N4">
        <v>15</v>
      </c>
    </row>
    <row r="5" spans="2:14" x14ac:dyDescent="0.25">
      <c r="B5" s="1">
        <v>10</v>
      </c>
      <c r="C5" s="1">
        <v>16</v>
      </c>
      <c r="D5" s="1">
        <v>10</v>
      </c>
      <c r="E5" s="1">
        <v>15</v>
      </c>
      <c r="F5" s="1">
        <v>16</v>
      </c>
      <c r="G5" s="1">
        <v>14</v>
      </c>
      <c r="H5" s="1">
        <v>1</v>
      </c>
      <c r="I5" s="1">
        <v>13</v>
      </c>
      <c r="J5" s="1">
        <v>13</v>
      </c>
      <c r="K5" s="1">
        <v>11</v>
      </c>
      <c r="M5">
        <v>16</v>
      </c>
      <c r="N5">
        <v>11</v>
      </c>
    </row>
    <row r="6" spans="2:14" x14ac:dyDescent="0.25">
      <c r="B6" s="1">
        <v>12</v>
      </c>
      <c r="C6" s="1">
        <v>10</v>
      </c>
      <c r="D6" s="1">
        <v>19</v>
      </c>
      <c r="E6" s="1">
        <v>12</v>
      </c>
      <c r="F6" s="1">
        <v>1</v>
      </c>
      <c r="G6" s="1">
        <v>18</v>
      </c>
      <c r="H6" s="1">
        <v>2</v>
      </c>
      <c r="I6" s="1">
        <v>12</v>
      </c>
      <c r="J6" s="1">
        <v>7</v>
      </c>
      <c r="K6" s="1">
        <v>11</v>
      </c>
      <c r="M6">
        <v>12</v>
      </c>
      <c r="N6">
        <v>11</v>
      </c>
    </row>
    <row r="7" spans="2:14" x14ac:dyDescent="0.25">
      <c r="B7" s="1">
        <v>11</v>
      </c>
      <c r="C7" s="1">
        <v>18</v>
      </c>
      <c r="D7" s="1">
        <v>13</v>
      </c>
      <c r="E7" s="1">
        <v>9</v>
      </c>
      <c r="F7" s="1">
        <v>5</v>
      </c>
      <c r="G7" s="1">
        <v>14</v>
      </c>
      <c r="H7" s="1">
        <v>4</v>
      </c>
      <c r="I7" s="1">
        <v>14</v>
      </c>
      <c r="J7" s="1">
        <v>6</v>
      </c>
      <c r="K7" s="1">
        <v>8</v>
      </c>
      <c r="M7">
        <v>15</v>
      </c>
      <c r="N7">
        <v>7</v>
      </c>
    </row>
    <row r="8" spans="2:14" x14ac:dyDescent="0.25">
      <c r="B8" s="1">
        <v>6</v>
      </c>
      <c r="C8" s="1">
        <v>15</v>
      </c>
      <c r="D8" s="1">
        <v>19</v>
      </c>
      <c r="E8" s="1">
        <v>19</v>
      </c>
      <c r="F8" s="1">
        <v>8</v>
      </c>
      <c r="G8" s="1">
        <v>12</v>
      </c>
      <c r="H8" s="1">
        <v>8</v>
      </c>
      <c r="I8" s="1">
        <v>19</v>
      </c>
      <c r="J8" s="1">
        <v>15</v>
      </c>
      <c r="K8" s="1">
        <v>2</v>
      </c>
      <c r="M8">
        <v>7</v>
      </c>
      <c r="N8">
        <v>10</v>
      </c>
    </row>
    <row r="9" spans="2:14" x14ac:dyDescent="0.25">
      <c r="B9" s="1">
        <v>11</v>
      </c>
      <c r="C9" s="1">
        <v>8</v>
      </c>
      <c r="D9" s="1">
        <v>1</v>
      </c>
      <c r="E9" s="1">
        <v>2</v>
      </c>
      <c r="F9" s="1">
        <v>10</v>
      </c>
      <c r="G9" s="1">
        <v>5</v>
      </c>
      <c r="H9" s="1">
        <v>9</v>
      </c>
      <c r="I9" s="1">
        <v>4</v>
      </c>
      <c r="J9" s="1">
        <v>19</v>
      </c>
      <c r="K9" s="1">
        <v>16</v>
      </c>
      <c r="M9">
        <v>4</v>
      </c>
      <c r="N9">
        <v>14</v>
      </c>
    </row>
    <row r="10" spans="2:14" x14ac:dyDescent="0.25">
      <c r="B10" s="1">
        <v>6</v>
      </c>
      <c r="C10" s="1">
        <v>16</v>
      </c>
      <c r="D10" s="1">
        <v>11</v>
      </c>
      <c r="E10" s="1">
        <v>11</v>
      </c>
      <c r="F10" s="1">
        <v>14</v>
      </c>
      <c r="G10" s="1">
        <v>8</v>
      </c>
      <c r="H10" s="1">
        <v>3</v>
      </c>
      <c r="I10" s="1">
        <v>8</v>
      </c>
      <c r="J10" s="1">
        <v>6</v>
      </c>
      <c r="K10" s="1">
        <v>13</v>
      </c>
      <c r="M10">
        <v>20</v>
      </c>
      <c r="N10">
        <v>11</v>
      </c>
    </row>
    <row r="11" spans="2:14" x14ac:dyDescent="0.25">
      <c r="B11" s="1">
        <v>3</v>
      </c>
      <c r="C11" s="1">
        <v>11</v>
      </c>
      <c r="D11" s="1">
        <v>18</v>
      </c>
      <c r="E11" s="1">
        <v>10</v>
      </c>
      <c r="F11" s="1">
        <v>19</v>
      </c>
      <c r="G11" s="1">
        <v>5</v>
      </c>
      <c r="H11" s="1">
        <v>3</v>
      </c>
      <c r="I11" s="1">
        <v>6</v>
      </c>
      <c r="J11" s="1">
        <v>18</v>
      </c>
      <c r="K11" s="1">
        <v>19</v>
      </c>
      <c r="M11">
        <v>19</v>
      </c>
      <c r="N11">
        <v>18</v>
      </c>
    </row>
    <row r="12" spans="2:14" x14ac:dyDescent="0.25">
      <c r="B12" s="1">
        <v>18</v>
      </c>
      <c r="C12" s="1">
        <v>11</v>
      </c>
      <c r="D12" s="1">
        <v>5</v>
      </c>
      <c r="E12" s="1">
        <v>14</v>
      </c>
      <c r="F12" s="1">
        <v>16</v>
      </c>
      <c r="G12" s="1">
        <v>10</v>
      </c>
      <c r="H12" s="1">
        <v>20</v>
      </c>
      <c r="I12" s="1">
        <v>19</v>
      </c>
      <c r="J12" s="1">
        <v>9</v>
      </c>
      <c r="K12" s="1">
        <v>16</v>
      </c>
      <c r="M12">
        <v>18</v>
      </c>
      <c r="N12">
        <v>14</v>
      </c>
    </row>
    <row r="13" spans="2:14" x14ac:dyDescent="0.25">
      <c r="B13" s="1">
        <v>4</v>
      </c>
      <c r="C13" s="1">
        <v>7</v>
      </c>
      <c r="D13" s="1">
        <v>6</v>
      </c>
      <c r="E13" s="1">
        <v>8</v>
      </c>
      <c r="F13" s="1">
        <v>6</v>
      </c>
      <c r="G13" s="1">
        <v>3</v>
      </c>
      <c r="H13" s="1">
        <v>19</v>
      </c>
      <c r="I13" s="1">
        <v>11</v>
      </c>
      <c r="J13" s="1">
        <v>15</v>
      </c>
      <c r="K13" s="1">
        <v>7</v>
      </c>
      <c r="M13">
        <v>9</v>
      </c>
      <c r="N13">
        <v>12</v>
      </c>
    </row>
    <row r="14" spans="2:14" x14ac:dyDescent="0.25">
      <c r="B14" s="1">
        <v>20</v>
      </c>
      <c r="C14" s="1">
        <v>7</v>
      </c>
      <c r="D14" s="1">
        <v>4</v>
      </c>
      <c r="E14" s="1">
        <v>7</v>
      </c>
      <c r="F14" s="1">
        <v>7</v>
      </c>
      <c r="G14" s="1">
        <v>14</v>
      </c>
      <c r="H14" s="1">
        <v>20</v>
      </c>
      <c r="I14" s="1">
        <v>17</v>
      </c>
      <c r="J14" s="1">
        <v>8</v>
      </c>
      <c r="K14" s="1">
        <v>20</v>
      </c>
      <c r="M14">
        <v>1</v>
      </c>
      <c r="N14">
        <v>10</v>
      </c>
    </row>
    <row r="15" spans="2:14" x14ac:dyDescent="0.25">
      <c r="B15" s="1">
        <v>19</v>
      </c>
      <c r="C15" s="1">
        <v>18</v>
      </c>
      <c r="D15" s="1">
        <v>9</v>
      </c>
      <c r="E15" s="1">
        <v>19</v>
      </c>
      <c r="F15" s="1">
        <v>17</v>
      </c>
      <c r="G15" s="1">
        <v>15</v>
      </c>
      <c r="H15" s="1">
        <v>20</v>
      </c>
      <c r="I15" s="1">
        <v>3</v>
      </c>
      <c r="J15" s="1">
        <v>7</v>
      </c>
      <c r="K15" s="1">
        <v>19</v>
      </c>
      <c r="M15">
        <v>5</v>
      </c>
      <c r="N15">
        <v>5</v>
      </c>
    </row>
    <row r="16" spans="2:14" x14ac:dyDescent="0.25">
      <c r="B16" s="1">
        <v>12</v>
      </c>
      <c r="C16" s="1">
        <v>8</v>
      </c>
      <c r="D16" s="1">
        <v>1</v>
      </c>
      <c r="E16" s="1">
        <v>8</v>
      </c>
      <c r="F16" s="1">
        <v>19</v>
      </c>
      <c r="G16" s="1">
        <v>6</v>
      </c>
      <c r="H16" s="1">
        <v>1</v>
      </c>
      <c r="I16" s="1">
        <v>15</v>
      </c>
      <c r="J16" s="1">
        <v>4666</v>
      </c>
      <c r="K16" s="1">
        <v>12</v>
      </c>
      <c r="M16">
        <v>8</v>
      </c>
      <c r="N16">
        <v>16</v>
      </c>
    </row>
    <row r="17" spans="2:14" x14ac:dyDescent="0.25">
      <c r="B17" s="1">
        <v>18</v>
      </c>
      <c r="C17" s="1">
        <v>7</v>
      </c>
      <c r="D17" s="1">
        <v>8</v>
      </c>
      <c r="E17" s="1">
        <v>14</v>
      </c>
      <c r="F17" s="1">
        <v>3</v>
      </c>
      <c r="G17" s="1">
        <v>2</v>
      </c>
      <c r="H17" s="1">
        <v>14</v>
      </c>
      <c r="I17" s="1">
        <v>8</v>
      </c>
      <c r="J17" s="1">
        <v>18</v>
      </c>
      <c r="K17" s="1">
        <v>9</v>
      </c>
      <c r="M17">
        <v>17</v>
      </c>
      <c r="N17">
        <v>5</v>
      </c>
    </row>
    <row r="18" spans="2:14" x14ac:dyDescent="0.25">
      <c r="B18" s="1">
        <v>1</v>
      </c>
      <c r="C18" s="1">
        <v>11</v>
      </c>
      <c r="D18" s="1">
        <v>20</v>
      </c>
      <c r="E18" s="1">
        <v>8</v>
      </c>
      <c r="F18" s="1">
        <v>13</v>
      </c>
      <c r="G18" s="1">
        <v>1</v>
      </c>
      <c r="H18" s="1">
        <v>9</v>
      </c>
      <c r="I18" s="1">
        <v>4</v>
      </c>
      <c r="J18" s="1">
        <v>19</v>
      </c>
      <c r="K18" s="1">
        <v>4</v>
      </c>
      <c r="M18">
        <v>10</v>
      </c>
      <c r="N18">
        <v>7</v>
      </c>
    </row>
    <row r="19" spans="2:14" x14ac:dyDescent="0.25">
      <c r="B19" s="1">
        <v>9</v>
      </c>
      <c r="C19" s="1">
        <v>3</v>
      </c>
      <c r="D19" s="1">
        <v>18</v>
      </c>
      <c r="E19" s="1">
        <v>16</v>
      </c>
      <c r="F19" s="1">
        <v>18</v>
      </c>
      <c r="G19" s="1">
        <v>14</v>
      </c>
      <c r="H19" s="1">
        <v>19</v>
      </c>
      <c r="I19" s="1">
        <v>11</v>
      </c>
      <c r="J19" s="1">
        <v>14</v>
      </c>
      <c r="K19" s="1">
        <v>10</v>
      </c>
      <c r="M19">
        <v>14</v>
      </c>
      <c r="N19">
        <v>11</v>
      </c>
    </row>
    <row r="20" spans="2:14" x14ac:dyDescent="0.25">
      <c r="B20" s="1">
        <v>9</v>
      </c>
      <c r="C20" s="1">
        <v>4</v>
      </c>
      <c r="D20" s="1">
        <v>3</v>
      </c>
      <c r="E20" s="1">
        <v>17</v>
      </c>
      <c r="F20" s="1">
        <v>18</v>
      </c>
      <c r="G20" s="1">
        <v>2</v>
      </c>
      <c r="H20" s="1">
        <v>19</v>
      </c>
      <c r="I20" s="1">
        <v>19</v>
      </c>
      <c r="J20" s="1">
        <v>20</v>
      </c>
      <c r="K20" s="1">
        <v>6</v>
      </c>
      <c r="M20">
        <v>13</v>
      </c>
      <c r="N20">
        <v>6</v>
      </c>
    </row>
    <row r="21" spans="2:14" x14ac:dyDescent="0.25">
      <c r="B21" s="1">
        <v>4</v>
      </c>
      <c r="C21" s="1">
        <v>20</v>
      </c>
      <c r="D21" s="1">
        <v>17</v>
      </c>
      <c r="E21" s="1">
        <v>4</v>
      </c>
      <c r="F21" s="1">
        <v>4</v>
      </c>
      <c r="G21" s="1">
        <v>9</v>
      </c>
      <c r="H21" s="1">
        <v>2</v>
      </c>
      <c r="I21" s="1">
        <v>13</v>
      </c>
      <c r="J21" s="1">
        <v>4</v>
      </c>
      <c r="K21" s="1">
        <v>6</v>
      </c>
      <c r="M21">
        <v>6</v>
      </c>
      <c r="N21">
        <v>10</v>
      </c>
    </row>
    <row r="22" spans="2:14" x14ac:dyDescent="0.25">
      <c r="B22" s="1">
        <v>11</v>
      </c>
      <c r="C22" s="1">
        <v>8</v>
      </c>
      <c r="D22" s="1">
        <v>14</v>
      </c>
      <c r="E22" s="1">
        <v>4</v>
      </c>
      <c r="F22" s="1">
        <v>18</v>
      </c>
      <c r="G22" s="1">
        <v>8</v>
      </c>
      <c r="H22" s="1">
        <v>2</v>
      </c>
      <c r="I22" s="1">
        <v>1</v>
      </c>
      <c r="J22" s="1">
        <v>16</v>
      </c>
      <c r="K22" s="1">
        <v>12</v>
      </c>
      <c r="M22">
        <v>3</v>
      </c>
      <c r="N22">
        <v>8</v>
      </c>
    </row>
    <row r="23" spans="2:14" x14ac:dyDescent="0.25">
      <c r="M23">
        <v>4666</v>
      </c>
      <c r="N23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11002-BDB8-45F3-86C3-D0C3C55A6181}">
  <sheetPr codeName="Hoja4"/>
  <dimension ref="A1:BH30"/>
  <sheetViews>
    <sheetView zoomScale="83" zoomScaleNormal="70" workbookViewId="0">
      <selection activeCell="BH4" sqref="BH4"/>
    </sheetView>
  </sheetViews>
  <sheetFormatPr baseColWidth="10" defaultRowHeight="15" x14ac:dyDescent="0.25"/>
  <cols>
    <col min="2" max="2" width="3" customWidth="1"/>
    <col min="3" max="3" width="3.28515625" customWidth="1"/>
    <col min="4" max="60" width="2.85546875" customWidth="1"/>
  </cols>
  <sheetData>
    <row r="1" spans="1:60" x14ac:dyDescent="0.25">
      <c r="A1" t="s">
        <v>48</v>
      </c>
    </row>
    <row r="2" spans="1:60" x14ac:dyDescent="0.25">
      <c r="B2" s="2"/>
      <c r="C2" s="3"/>
      <c r="D2" s="4"/>
    </row>
    <row r="4" spans="1:60" x14ac:dyDescent="0.25">
      <c r="D4" s="5"/>
      <c r="E4" s="6"/>
      <c r="F4" s="6"/>
      <c r="G4" s="5"/>
      <c r="H4" s="6"/>
      <c r="I4" s="6"/>
      <c r="J4" s="5"/>
      <c r="K4" s="6"/>
      <c r="L4" s="7"/>
      <c r="M4" s="6"/>
      <c r="N4" s="7"/>
      <c r="O4" s="6"/>
      <c r="P4" s="6"/>
      <c r="Q4" s="6"/>
      <c r="R4" s="6"/>
      <c r="S4" s="6"/>
      <c r="T4" s="6"/>
      <c r="U4" s="7"/>
      <c r="V4" s="7"/>
      <c r="W4" s="7"/>
      <c r="X4" s="7"/>
      <c r="Y4" s="6"/>
      <c r="Z4" s="6"/>
      <c r="AA4" s="6"/>
      <c r="AB4" s="6"/>
      <c r="AC4" s="7"/>
      <c r="AD4" s="6"/>
      <c r="AE4" s="5"/>
      <c r="AF4" s="7"/>
      <c r="AG4" s="6"/>
      <c r="AH4" s="7"/>
      <c r="AI4" s="5"/>
      <c r="AJ4" s="6"/>
      <c r="AK4" s="7"/>
      <c r="AL4" s="5"/>
      <c r="AM4" s="6"/>
      <c r="AN4" s="6"/>
      <c r="AO4" s="5"/>
      <c r="AP4" s="6"/>
      <c r="AQ4" s="7"/>
      <c r="AR4" s="6"/>
      <c r="AS4" s="6"/>
      <c r="AT4" s="6"/>
      <c r="AU4" s="6"/>
      <c r="AV4" s="6"/>
      <c r="AW4" s="7"/>
      <c r="AX4" s="6"/>
      <c r="AY4" s="7"/>
      <c r="AZ4" s="6"/>
      <c r="BA4" s="7"/>
      <c r="BB4" s="5"/>
      <c r="BC4" s="6"/>
      <c r="BD4" s="7"/>
      <c r="BE4" s="7"/>
      <c r="BF4" s="6"/>
      <c r="BG4" s="7"/>
      <c r="BH4" s="7"/>
    </row>
    <row r="5" spans="1:60" x14ac:dyDescent="0.25">
      <c r="D5" s="6"/>
      <c r="E5" s="6"/>
      <c r="F5" s="5"/>
      <c r="G5" s="6"/>
      <c r="H5" s="5"/>
      <c r="I5" s="7"/>
      <c r="J5" s="6"/>
      <c r="K5" s="7"/>
      <c r="L5" s="7"/>
      <c r="M5" s="6"/>
      <c r="N5" s="5"/>
      <c r="O5" s="6"/>
      <c r="P5" s="6"/>
      <c r="Q5" s="6"/>
      <c r="R5" s="6"/>
      <c r="S5" s="7"/>
      <c r="T5" s="6"/>
      <c r="U5" s="7"/>
      <c r="V5" s="6"/>
      <c r="W5" s="7"/>
      <c r="X5" s="7"/>
      <c r="Y5" s="6"/>
      <c r="Z5" s="6"/>
      <c r="AA5" s="6"/>
      <c r="AB5" s="7"/>
      <c r="AC5" s="5"/>
      <c r="AD5" s="6"/>
      <c r="AE5" s="5"/>
      <c r="AF5" s="5"/>
      <c r="AG5" s="5"/>
      <c r="AH5" s="7"/>
      <c r="AI5" s="5"/>
      <c r="AJ5" s="6"/>
      <c r="AK5" s="6"/>
      <c r="AL5" s="6"/>
      <c r="AM5" s="7"/>
      <c r="AN5" s="6"/>
      <c r="AO5" s="7"/>
      <c r="AP5" s="5"/>
      <c r="AQ5" s="6"/>
      <c r="AR5" s="6"/>
      <c r="AS5" s="5"/>
      <c r="AT5" s="5"/>
      <c r="AU5" s="6"/>
      <c r="AV5" s="6"/>
      <c r="AW5" s="7"/>
      <c r="AX5" s="6"/>
      <c r="AY5" s="5"/>
      <c r="AZ5" s="7"/>
      <c r="BA5" s="6"/>
      <c r="BB5" s="7"/>
      <c r="BC5" s="7"/>
      <c r="BD5" s="6"/>
      <c r="BE5" s="5"/>
      <c r="BF5" s="6"/>
      <c r="BG5" s="7"/>
      <c r="BH5" s="6"/>
    </row>
    <row r="6" spans="1:60" x14ac:dyDescent="0.25">
      <c r="D6" s="5"/>
      <c r="E6" s="7"/>
      <c r="F6" s="5"/>
      <c r="G6" s="6"/>
      <c r="H6" s="7"/>
      <c r="I6" s="6"/>
      <c r="J6" s="6"/>
      <c r="K6" s="6"/>
      <c r="L6" s="7"/>
      <c r="M6" s="6"/>
      <c r="N6" s="6"/>
      <c r="O6" s="7"/>
      <c r="P6" s="6"/>
      <c r="Q6" s="6"/>
      <c r="R6" s="7"/>
      <c r="S6" s="6"/>
      <c r="T6" s="7"/>
      <c r="U6" s="6"/>
      <c r="V6" s="5"/>
      <c r="W6" s="6"/>
      <c r="X6" s="7"/>
      <c r="Y6" s="7"/>
      <c r="Z6" s="6"/>
      <c r="AA6" s="6"/>
      <c r="AB6" s="6"/>
      <c r="AC6" s="6"/>
      <c r="AD6" s="6"/>
      <c r="AE6" s="5"/>
      <c r="AF6" s="7"/>
      <c r="AG6" s="6"/>
      <c r="AH6" s="6"/>
      <c r="AI6" s="5"/>
      <c r="AJ6" s="6"/>
      <c r="AK6" s="7"/>
      <c r="AL6" s="7"/>
      <c r="AM6" s="7"/>
      <c r="AN6" s="6"/>
      <c r="AO6" s="6"/>
      <c r="AP6" s="6"/>
      <c r="AQ6" s="7"/>
      <c r="AR6" s="7"/>
      <c r="AS6" s="6"/>
      <c r="AT6" s="7"/>
      <c r="AU6" s="7"/>
      <c r="AV6" s="6"/>
      <c r="AW6" s="6"/>
      <c r="AX6" s="7"/>
      <c r="AY6" s="7"/>
      <c r="AZ6" s="6"/>
      <c r="BA6" s="6"/>
      <c r="BB6" s="6"/>
      <c r="BC6" s="6"/>
      <c r="BD6" s="6"/>
      <c r="BE6" s="7"/>
      <c r="BF6" s="7"/>
      <c r="BG6" s="5"/>
      <c r="BH6" s="5"/>
    </row>
    <row r="7" spans="1:60" x14ac:dyDescent="0.25">
      <c r="D7" s="5"/>
      <c r="E7" s="6"/>
      <c r="F7" s="5"/>
      <c r="G7" s="7"/>
      <c r="H7" s="5"/>
      <c r="I7" s="5"/>
      <c r="J7" s="7"/>
      <c r="K7" s="7"/>
      <c r="L7" s="6"/>
      <c r="M7" s="6"/>
      <c r="N7" s="6"/>
      <c r="O7" s="5"/>
      <c r="P7" s="5"/>
      <c r="Q7" s="6"/>
      <c r="R7" s="7"/>
      <c r="S7" s="6"/>
      <c r="T7" s="6"/>
      <c r="U7" s="7"/>
      <c r="V7" s="7"/>
      <c r="W7" s="6"/>
      <c r="X7" s="6"/>
      <c r="Y7" s="6"/>
      <c r="Z7" s="6"/>
      <c r="AA7" s="6"/>
      <c r="AB7" s="5"/>
      <c r="AC7" s="7"/>
      <c r="AD7" s="6"/>
      <c r="AE7" s="6"/>
      <c r="AF7" s="7"/>
      <c r="AG7" s="6"/>
      <c r="AH7" s="7"/>
      <c r="AI7" s="7"/>
      <c r="AJ7" s="7"/>
      <c r="AK7" s="7"/>
      <c r="AL7" s="5"/>
      <c r="AM7" s="6"/>
      <c r="AN7" s="6"/>
      <c r="AO7" s="7"/>
      <c r="AP7" s="5"/>
      <c r="AQ7" s="5"/>
      <c r="AR7" s="6"/>
      <c r="AS7" s="6"/>
      <c r="AT7" s="7"/>
      <c r="AU7" s="7"/>
      <c r="AV7" s="7"/>
      <c r="AW7" s="6"/>
      <c r="AX7" s="5"/>
      <c r="AY7" s="7"/>
      <c r="AZ7" s="7"/>
      <c r="BA7" s="7"/>
      <c r="BB7" s="7"/>
      <c r="BC7" s="6"/>
      <c r="BD7" s="5"/>
      <c r="BE7" s="6"/>
      <c r="BF7" s="6"/>
      <c r="BG7" s="6"/>
      <c r="BH7" s="6"/>
    </row>
    <row r="8" spans="1:60" x14ac:dyDescent="0.25">
      <c r="D8" s="7"/>
      <c r="E8" s="6"/>
      <c r="F8" s="5"/>
      <c r="G8" s="6"/>
      <c r="H8" s="7"/>
      <c r="I8" s="5"/>
      <c r="J8" s="6"/>
      <c r="K8" s="7"/>
      <c r="L8" s="6"/>
      <c r="M8" s="6"/>
      <c r="N8" s="5"/>
      <c r="O8" s="6"/>
      <c r="P8" s="5"/>
      <c r="Q8" s="6"/>
      <c r="R8" s="7"/>
      <c r="S8" s="6"/>
      <c r="T8" s="6"/>
      <c r="U8" s="5"/>
      <c r="V8" s="5"/>
      <c r="W8" s="6"/>
      <c r="X8" s="6"/>
      <c r="Y8" s="6"/>
      <c r="Z8" s="6"/>
      <c r="AA8" s="6"/>
      <c r="AB8" s="7"/>
      <c r="AC8" s="6"/>
      <c r="AD8" s="5"/>
      <c r="AE8" s="6"/>
      <c r="AF8" s="5"/>
      <c r="AG8" s="5"/>
      <c r="AH8" s="7"/>
      <c r="AI8" s="6"/>
      <c r="AJ8" s="6"/>
      <c r="AK8" s="6"/>
      <c r="AL8" s="7"/>
      <c r="AM8" s="7"/>
      <c r="AN8" s="6"/>
      <c r="AO8" s="5"/>
      <c r="AP8" s="5"/>
      <c r="AQ8" s="5"/>
      <c r="AR8" s="5"/>
      <c r="AS8" s="6"/>
      <c r="AT8" s="7"/>
      <c r="AU8" s="6"/>
      <c r="AV8" s="6"/>
      <c r="AW8" s="7"/>
      <c r="AX8" s="7"/>
      <c r="AY8" s="7"/>
      <c r="AZ8" s="6"/>
      <c r="BA8" s="6"/>
      <c r="BB8" s="7"/>
      <c r="BC8" s="5"/>
      <c r="BD8" s="6"/>
      <c r="BE8" s="7"/>
      <c r="BF8" s="6"/>
      <c r="BG8" s="7"/>
      <c r="BH8" s="7"/>
    </row>
    <row r="9" spans="1:60" x14ac:dyDescent="0.25">
      <c r="D9" s="5"/>
      <c r="E9" s="5"/>
      <c r="F9" s="6"/>
      <c r="G9" s="7"/>
      <c r="H9" s="5"/>
      <c r="I9" s="5"/>
      <c r="J9" s="7"/>
      <c r="K9" s="5"/>
      <c r="L9" s="6"/>
      <c r="M9" s="6"/>
      <c r="N9" s="5"/>
      <c r="O9" s="6"/>
      <c r="P9" s="6"/>
      <c r="Q9" s="5"/>
      <c r="R9" s="5"/>
      <c r="S9" s="7"/>
      <c r="T9" s="5"/>
      <c r="U9" s="5"/>
      <c r="V9" s="7"/>
      <c r="W9" s="7"/>
      <c r="X9" s="6"/>
      <c r="Y9" s="6"/>
      <c r="Z9" s="5"/>
      <c r="AA9" s="6"/>
      <c r="AB9" s="5"/>
      <c r="AC9" s="5"/>
      <c r="AD9" s="6"/>
      <c r="AE9" s="7"/>
      <c r="AF9" s="6"/>
      <c r="AG9" s="7"/>
      <c r="AH9" s="6"/>
      <c r="AI9" s="6"/>
      <c r="AJ9" s="5"/>
      <c r="AK9" s="6"/>
      <c r="AL9" s="6"/>
      <c r="AM9" s="6"/>
      <c r="AN9" s="7"/>
      <c r="AO9" s="5"/>
      <c r="AP9" s="5"/>
      <c r="AQ9" s="7"/>
      <c r="AR9" s="7"/>
      <c r="AS9" s="6"/>
      <c r="AT9" s="6"/>
      <c r="AU9" s="6"/>
      <c r="AV9" s="6"/>
      <c r="AW9" s="6"/>
      <c r="AX9" s="6"/>
      <c r="AY9" s="6"/>
      <c r="AZ9" s="7"/>
      <c r="BA9" s="5"/>
      <c r="BB9" s="5"/>
      <c r="BC9" s="6"/>
      <c r="BD9" s="5"/>
      <c r="BE9" s="5"/>
      <c r="BF9" s="5"/>
      <c r="BG9" s="7"/>
      <c r="BH9" s="6"/>
    </row>
    <row r="10" spans="1:60" x14ac:dyDescent="0.25">
      <c r="D10" s="7"/>
      <c r="E10" s="6"/>
      <c r="F10" s="5"/>
      <c r="G10" s="6"/>
      <c r="H10" s="5"/>
      <c r="I10" s="6"/>
      <c r="J10" s="5"/>
      <c r="K10" s="6"/>
      <c r="L10" s="7"/>
      <c r="M10" s="7"/>
      <c r="N10" s="6"/>
      <c r="O10" s="7"/>
      <c r="P10" s="6"/>
      <c r="Q10" s="5"/>
      <c r="R10" s="5"/>
      <c r="S10" s="5"/>
      <c r="T10" s="7"/>
      <c r="U10" s="6"/>
      <c r="V10" s="6"/>
      <c r="W10" s="5"/>
      <c r="X10" s="5"/>
      <c r="Y10" s="7"/>
      <c r="Z10" s="7"/>
      <c r="AA10" s="5"/>
      <c r="AB10" s="6"/>
      <c r="AC10" s="7"/>
      <c r="AD10" s="6"/>
      <c r="AE10" s="6"/>
      <c r="AF10" s="7"/>
      <c r="AG10" s="6"/>
      <c r="AH10" s="6"/>
      <c r="AI10" s="6"/>
      <c r="AJ10" s="5"/>
      <c r="AK10" s="6"/>
      <c r="AL10" s="6"/>
      <c r="AM10" s="6"/>
      <c r="AN10" s="6"/>
      <c r="AO10" s="6"/>
      <c r="AP10" s="5"/>
      <c r="AQ10" s="6"/>
      <c r="AR10" s="7"/>
      <c r="AS10" s="6"/>
      <c r="AT10" s="5"/>
      <c r="AU10" s="6"/>
      <c r="AV10" s="7"/>
      <c r="AW10" s="6"/>
      <c r="AX10" s="6"/>
      <c r="AY10" s="7"/>
      <c r="AZ10" s="6"/>
      <c r="BA10" s="6"/>
      <c r="BB10" s="6"/>
      <c r="BC10" s="6"/>
      <c r="BD10" s="6"/>
      <c r="BE10" s="7"/>
      <c r="BF10" s="6"/>
      <c r="BG10" s="6"/>
      <c r="BH10" s="7"/>
    </row>
    <row r="11" spans="1:60" x14ac:dyDescent="0.25">
      <c r="D11" s="6"/>
      <c r="E11" s="5"/>
      <c r="F11" s="7"/>
      <c r="G11" s="6"/>
      <c r="H11" s="6"/>
      <c r="I11" s="6"/>
      <c r="J11" s="6"/>
      <c r="K11" s="6"/>
      <c r="L11" s="5"/>
      <c r="M11" s="5"/>
      <c r="N11" s="6"/>
      <c r="O11" s="6"/>
      <c r="P11" s="7"/>
      <c r="Q11" s="6"/>
      <c r="R11" s="6"/>
      <c r="S11" s="7"/>
      <c r="T11" s="6"/>
      <c r="U11" s="6"/>
      <c r="V11" s="6"/>
      <c r="W11" s="6"/>
      <c r="X11" s="5"/>
      <c r="Y11" s="6"/>
      <c r="Z11" s="5"/>
      <c r="AA11" s="6"/>
      <c r="AB11" s="6"/>
      <c r="AC11" s="6"/>
      <c r="AD11" s="7"/>
      <c r="AE11" s="7"/>
      <c r="AF11" s="7"/>
      <c r="AG11" s="7"/>
      <c r="AH11" s="7"/>
      <c r="AI11" s="6"/>
      <c r="AJ11" s="7"/>
      <c r="AK11" s="7"/>
      <c r="AL11" s="6"/>
      <c r="AM11" s="7"/>
      <c r="AN11" s="6"/>
      <c r="AO11" s="6"/>
      <c r="AP11" s="7"/>
      <c r="AQ11" s="6"/>
      <c r="AR11" s="7"/>
      <c r="AS11" s="7"/>
      <c r="AT11" s="7"/>
      <c r="AU11" s="5"/>
      <c r="AV11" s="6"/>
      <c r="AW11" s="5"/>
      <c r="AX11" s="6"/>
      <c r="AY11" s="6"/>
      <c r="AZ11" s="7"/>
      <c r="BA11" s="7"/>
      <c r="BB11" s="7"/>
      <c r="BC11" s="5"/>
      <c r="BD11" s="7"/>
      <c r="BE11" s="5"/>
      <c r="BF11" s="5"/>
      <c r="BG11" s="6"/>
      <c r="BH11" s="7"/>
    </row>
    <row r="12" spans="1:60" x14ac:dyDescent="0.25">
      <c r="D12" s="7"/>
      <c r="E12" s="6"/>
      <c r="F12" s="6"/>
      <c r="G12" s="6"/>
      <c r="H12" s="7"/>
      <c r="I12" s="6"/>
      <c r="J12" s="5"/>
      <c r="K12" s="6"/>
      <c r="L12" s="5"/>
      <c r="M12" s="6"/>
      <c r="N12" s="7"/>
      <c r="O12" s="5"/>
      <c r="P12" s="6"/>
      <c r="Q12" s="6"/>
      <c r="R12" s="7"/>
      <c r="S12" s="7"/>
      <c r="T12" s="5"/>
      <c r="U12" s="5"/>
      <c r="V12" s="7"/>
      <c r="W12" s="5"/>
      <c r="X12" s="5"/>
      <c r="Y12" s="5"/>
      <c r="Z12" s="5"/>
      <c r="AA12" s="6"/>
      <c r="AB12" s="6"/>
      <c r="AC12" s="6"/>
      <c r="AD12" s="6"/>
      <c r="AE12" s="7"/>
      <c r="AF12" s="5"/>
      <c r="AG12" s="5"/>
      <c r="AH12" s="6"/>
      <c r="AI12" s="5"/>
      <c r="AJ12" s="5"/>
      <c r="AK12" s="6"/>
      <c r="AL12" s="7"/>
      <c r="AM12" s="5"/>
      <c r="AN12" s="5"/>
      <c r="AO12" s="5"/>
      <c r="AP12" s="6"/>
      <c r="AQ12" s="6"/>
      <c r="AR12" s="6"/>
      <c r="AS12" s="5"/>
      <c r="AT12" s="5"/>
      <c r="AU12" s="5"/>
      <c r="AV12" s="6"/>
      <c r="AW12" s="6"/>
      <c r="AX12" s="5"/>
      <c r="AY12" s="6"/>
      <c r="AZ12" s="7"/>
      <c r="BA12" s="7"/>
      <c r="BB12" s="6"/>
      <c r="BC12" s="5"/>
      <c r="BD12" s="7"/>
      <c r="BE12" s="6"/>
      <c r="BF12" s="5"/>
      <c r="BG12" s="5"/>
      <c r="BH12" s="6"/>
    </row>
    <row r="13" spans="1:60" x14ac:dyDescent="0.25">
      <c r="D13" s="5"/>
      <c r="E13" s="5"/>
      <c r="F13" s="6"/>
      <c r="G13" s="6"/>
      <c r="H13" s="5"/>
      <c r="I13" s="5"/>
      <c r="J13" s="6"/>
      <c r="K13" s="5"/>
      <c r="L13" s="6"/>
      <c r="M13" s="6"/>
      <c r="N13" s="5"/>
      <c r="O13" s="7"/>
      <c r="P13" s="6"/>
      <c r="Q13" s="5"/>
      <c r="R13" s="7"/>
      <c r="S13" s="6"/>
      <c r="T13" s="5"/>
      <c r="U13" s="5"/>
      <c r="V13" s="5"/>
      <c r="W13" s="7"/>
      <c r="X13" s="5"/>
      <c r="Y13" s="6"/>
      <c r="Z13" s="6"/>
      <c r="AA13" s="5"/>
      <c r="AB13" s="6"/>
      <c r="AC13" s="6"/>
      <c r="AD13" s="7"/>
      <c r="AE13" s="7"/>
      <c r="AF13" s="6"/>
      <c r="AG13" s="5"/>
      <c r="AH13" s="5"/>
      <c r="AI13" s="5"/>
      <c r="AJ13" s="6"/>
      <c r="AK13" s="5"/>
      <c r="AL13" s="7"/>
      <c r="AM13" s="6"/>
      <c r="AN13" s="6"/>
      <c r="AO13" s="7"/>
      <c r="AP13" s="6"/>
      <c r="AQ13" s="6"/>
      <c r="AR13" s="6"/>
      <c r="AS13" s="5"/>
      <c r="AT13" s="6"/>
      <c r="AU13" s="6"/>
      <c r="AV13" s="6"/>
      <c r="AW13" s="6"/>
      <c r="AX13" s="6"/>
      <c r="AY13" s="6"/>
      <c r="AZ13" s="6"/>
      <c r="BA13" s="6"/>
      <c r="BB13" s="7"/>
      <c r="BC13" s="7"/>
      <c r="BD13" s="6"/>
      <c r="BE13" s="5"/>
      <c r="BF13" s="7"/>
      <c r="BG13" s="6"/>
      <c r="BH13" s="7"/>
    </row>
    <row r="14" spans="1:60" x14ac:dyDescent="0.25">
      <c r="D14" s="7"/>
      <c r="E14" s="6"/>
      <c r="F14" s="7"/>
      <c r="G14" s="7"/>
      <c r="H14" s="6"/>
      <c r="I14" s="7"/>
      <c r="J14" s="5"/>
      <c r="K14" s="7"/>
      <c r="L14" s="6"/>
      <c r="M14" s="7"/>
      <c r="N14" s="5"/>
      <c r="O14" s="6"/>
      <c r="P14" s="5"/>
      <c r="Q14" s="7"/>
      <c r="R14" s="6"/>
      <c r="S14" s="7"/>
      <c r="T14" s="5"/>
      <c r="U14" s="7"/>
      <c r="V14" s="6"/>
      <c r="W14" s="5"/>
      <c r="X14" s="5"/>
      <c r="Y14" s="6"/>
      <c r="Z14" s="7"/>
      <c r="AA14" s="6"/>
      <c r="AB14" s="5"/>
      <c r="AC14" s="5"/>
      <c r="AD14" s="6"/>
      <c r="AE14" s="7"/>
      <c r="AF14" s="6"/>
      <c r="AG14" s="5"/>
      <c r="AH14" s="7"/>
      <c r="AI14" s="7"/>
      <c r="AJ14" s="6"/>
      <c r="AK14" s="7"/>
      <c r="AL14" s="5"/>
      <c r="AM14" s="7"/>
      <c r="AN14" s="6"/>
      <c r="AO14" s="6"/>
      <c r="AP14" s="6"/>
      <c r="AQ14" s="6"/>
      <c r="AR14" s="6"/>
      <c r="AS14" s="5"/>
      <c r="AT14" s="5"/>
      <c r="AU14" s="6"/>
      <c r="AV14" s="6"/>
      <c r="AW14" s="6"/>
      <c r="AX14" s="5"/>
      <c r="AY14" s="6"/>
      <c r="AZ14" s="6"/>
      <c r="BA14" s="7"/>
      <c r="BB14" s="6"/>
      <c r="BC14" s="6"/>
      <c r="BD14" s="6"/>
      <c r="BE14" s="7"/>
      <c r="BF14" s="6"/>
      <c r="BG14" s="6"/>
      <c r="BH14" s="6"/>
    </row>
    <row r="15" spans="1:60" x14ac:dyDescent="0.25">
      <c r="D15" s="7"/>
      <c r="E15" s="5"/>
      <c r="F15" s="6"/>
      <c r="G15" s="6"/>
      <c r="H15" s="5"/>
      <c r="I15" s="7"/>
      <c r="J15" s="6"/>
      <c r="K15" s="6"/>
      <c r="L15" s="5"/>
      <c r="M15" s="6"/>
      <c r="N15" s="6"/>
      <c r="O15" s="5"/>
      <c r="P15" s="6"/>
      <c r="Q15" s="7"/>
      <c r="R15" s="5"/>
      <c r="S15" s="5"/>
      <c r="T15" s="5"/>
      <c r="U15" s="6"/>
      <c r="V15" s="7"/>
      <c r="W15" s="6"/>
      <c r="X15" s="5"/>
      <c r="Y15" s="6"/>
      <c r="Z15" s="6"/>
      <c r="AA15" s="6"/>
      <c r="AB15" s="5"/>
      <c r="AC15" s="7"/>
      <c r="AD15" s="7"/>
      <c r="AE15" s="6"/>
      <c r="AF15" s="5"/>
      <c r="AG15" s="6"/>
      <c r="AH15" s="7"/>
      <c r="AI15" s="7"/>
      <c r="AJ15" s="5"/>
      <c r="AK15" s="6"/>
      <c r="AL15" s="6"/>
      <c r="AM15" s="6"/>
      <c r="AN15" s="5"/>
      <c r="AO15" s="6"/>
      <c r="AP15" s="6"/>
      <c r="AQ15" s="5"/>
      <c r="AR15" s="7"/>
      <c r="AS15" s="5"/>
      <c r="AT15" s="5"/>
      <c r="AU15" s="6"/>
      <c r="AV15" s="5"/>
      <c r="AW15" s="5"/>
      <c r="AX15" s="7"/>
      <c r="AY15" s="7"/>
      <c r="AZ15" s="5"/>
      <c r="BA15" s="7"/>
      <c r="BB15" s="5"/>
      <c r="BC15" s="7"/>
      <c r="BD15" s="5"/>
      <c r="BE15" s="6"/>
      <c r="BF15" s="6"/>
      <c r="BG15" s="6"/>
      <c r="BH15" s="6"/>
    </row>
    <row r="16" spans="1:60" x14ac:dyDescent="0.25">
      <c r="D16" s="6"/>
      <c r="E16" s="5"/>
      <c r="F16" s="6"/>
      <c r="G16" s="7"/>
      <c r="H16" s="7"/>
      <c r="I16" s="6"/>
      <c r="J16" s="6"/>
      <c r="K16" s="6"/>
      <c r="L16" s="6"/>
      <c r="M16" s="6"/>
      <c r="N16" s="7"/>
      <c r="O16" s="5"/>
      <c r="P16" s="7"/>
      <c r="Q16" s="5"/>
      <c r="R16" s="6"/>
      <c r="S16" s="6"/>
      <c r="T16" s="5"/>
      <c r="U16" s="5"/>
      <c r="V16" s="6"/>
      <c r="W16" s="7"/>
      <c r="X16" s="7"/>
      <c r="Y16" s="7"/>
      <c r="Z16" s="6"/>
      <c r="AA16" s="6"/>
      <c r="AB16" s="7"/>
      <c r="AC16" s="6"/>
      <c r="AD16" s="7"/>
      <c r="AE16" s="6"/>
      <c r="AF16" s="6"/>
      <c r="AG16" s="7"/>
      <c r="AH16" s="6"/>
      <c r="AI16" s="5"/>
      <c r="AJ16" s="6"/>
      <c r="AK16" s="7"/>
      <c r="AL16" s="6"/>
      <c r="AM16" s="6"/>
      <c r="AN16" s="6"/>
      <c r="AO16" s="6"/>
      <c r="AP16" s="6"/>
      <c r="AQ16" s="6"/>
      <c r="AR16" s="5"/>
      <c r="AS16" s="6"/>
      <c r="AT16" s="6"/>
      <c r="AU16" s="6"/>
      <c r="AV16" s="5"/>
      <c r="AW16" s="6"/>
      <c r="AX16" s="5"/>
      <c r="AY16" s="6"/>
      <c r="AZ16" s="5"/>
      <c r="BA16" s="5"/>
      <c r="BB16" s="7"/>
      <c r="BC16" s="6"/>
      <c r="BD16" s="6"/>
      <c r="BE16" s="6"/>
      <c r="BF16" s="5"/>
      <c r="BG16" s="7"/>
      <c r="BH16" s="5"/>
    </row>
    <row r="17" spans="4:60" x14ac:dyDescent="0.25">
      <c r="D17" s="6"/>
      <c r="E17" s="5"/>
      <c r="F17" s="7"/>
      <c r="G17" s="6"/>
      <c r="H17" s="6"/>
      <c r="I17" s="6"/>
      <c r="J17" s="6"/>
      <c r="K17" s="7"/>
      <c r="L17" s="6"/>
      <c r="M17" s="6"/>
      <c r="N17" s="5"/>
      <c r="O17" s="7"/>
      <c r="P17" s="7"/>
      <c r="Q17" s="5"/>
      <c r="R17" s="6"/>
      <c r="S17" s="5"/>
      <c r="T17" s="5"/>
      <c r="U17" s="5"/>
      <c r="V17" s="5"/>
      <c r="W17" s="7"/>
      <c r="X17" s="6"/>
      <c r="Y17" s="6"/>
      <c r="Z17" s="5"/>
      <c r="AA17" s="5"/>
      <c r="AB17" s="7"/>
      <c r="AC17" s="7"/>
      <c r="AD17" s="5"/>
      <c r="AE17" s="6"/>
      <c r="AF17" s="6"/>
      <c r="AG17" s="7"/>
      <c r="AH17" s="6"/>
      <c r="AI17" s="6"/>
      <c r="AJ17" s="6"/>
      <c r="AK17" s="6"/>
      <c r="AL17" s="6"/>
      <c r="AM17" s="6"/>
      <c r="AN17" s="7"/>
      <c r="AO17" s="5"/>
      <c r="AP17" s="7"/>
      <c r="AQ17" s="6"/>
      <c r="AR17" s="5"/>
      <c r="AS17" s="6"/>
      <c r="AT17" s="7"/>
      <c r="AU17" s="6"/>
      <c r="AV17" s="6"/>
      <c r="AW17" s="6"/>
      <c r="AX17" s="7"/>
      <c r="AY17" s="6"/>
      <c r="AZ17" s="7"/>
      <c r="BA17" s="6"/>
      <c r="BB17" s="5"/>
      <c r="BC17" s="6"/>
      <c r="BD17" s="7"/>
      <c r="BE17" s="7"/>
      <c r="BF17" s="6"/>
      <c r="BG17" s="7"/>
      <c r="BH17" s="6"/>
    </row>
    <row r="18" spans="4:60" x14ac:dyDescent="0.25">
      <c r="D18" s="6"/>
      <c r="E18" s="5"/>
      <c r="F18" s="7"/>
      <c r="G18" s="6"/>
      <c r="H18" s="6"/>
      <c r="I18" s="6"/>
      <c r="J18" s="7"/>
      <c r="K18" s="6"/>
      <c r="L18" s="7"/>
      <c r="M18" s="6"/>
      <c r="N18" s="5"/>
      <c r="O18" s="5"/>
      <c r="P18" s="6"/>
      <c r="Q18" s="6"/>
      <c r="R18" s="5"/>
      <c r="S18" s="6"/>
      <c r="T18" s="5"/>
      <c r="U18" s="6"/>
      <c r="V18" s="5"/>
      <c r="W18" s="6"/>
      <c r="X18" s="7"/>
      <c r="Y18" s="6"/>
      <c r="Z18" s="6"/>
      <c r="AA18" s="7"/>
      <c r="AB18" s="6"/>
      <c r="AC18" s="6"/>
      <c r="AD18" s="5"/>
      <c r="AE18" s="7"/>
      <c r="AF18" s="6"/>
      <c r="AG18" s="7"/>
      <c r="AH18" s="7"/>
      <c r="AI18" s="5"/>
      <c r="AJ18" s="6"/>
      <c r="AK18" s="7"/>
      <c r="AL18" s="7"/>
      <c r="AM18" s="5"/>
      <c r="AN18" s="5"/>
      <c r="AO18" s="6"/>
      <c r="AP18" s="6"/>
      <c r="AQ18" s="5"/>
      <c r="AR18" s="7"/>
      <c r="AS18" s="6"/>
      <c r="AT18" s="6"/>
      <c r="AU18" s="6"/>
      <c r="AV18" s="5"/>
      <c r="AW18" s="7"/>
      <c r="AX18" s="7"/>
      <c r="AY18" s="6"/>
      <c r="AZ18" s="6"/>
      <c r="BA18" s="6"/>
      <c r="BB18" s="6"/>
      <c r="BC18" s="6"/>
      <c r="BD18" s="6"/>
      <c r="BE18" s="6"/>
      <c r="BF18" s="7"/>
      <c r="BG18" s="5"/>
      <c r="BH18" s="6"/>
    </row>
    <row r="19" spans="4:60" x14ac:dyDescent="0.25">
      <c r="D19" s="6"/>
      <c r="E19" s="5"/>
      <c r="F19" s="6"/>
      <c r="G19" s="6"/>
      <c r="H19" s="6"/>
      <c r="I19" s="6"/>
      <c r="J19" s="5"/>
      <c r="K19" s="7"/>
      <c r="L19" s="7"/>
      <c r="M19" s="6"/>
      <c r="N19" s="6"/>
      <c r="O19" s="5"/>
      <c r="P19" s="6"/>
      <c r="Q19" s="6"/>
      <c r="R19" s="6"/>
      <c r="S19" s="5"/>
      <c r="T19" s="7"/>
      <c r="U19" s="7"/>
      <c r="V19" s="5"/>
      <c r="W19" s="6"/>
      <c r="X19" s="7"/>
      <c r="Y19" s="6"/>
      <c r="Z19" s="5"/>
      <c r="AA19" s="5"/>
      <c r="AB19" s="6"/>
      <c r="AC19" s="6"/>
      <c r="AD19" s="6"/>
      <c r="AE19" s="5"/>
      <c r="AF19" s="6"/>
      <c r="AG19" s="5"/>
      <c r="AH19" s="7"/>
      <c r="AI19" s="7"/>
      <c r="AJ19" s="5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5"/>
      <c r="AW19" s="5"/>
      <c r="AX19" s="7"/>
      <c r="AY19" s="6"/>
      <c r="AZ19" s="6"/>
      <c r="BA19" s="7"/>
      <c r="BB19" s="7"/>
      <c r="BC19" s="6"/>
      <c r="BD19" s="5"/>
      <c r="BE19" s="7"/>
      <c r="BF19" s="6"/>
      <c r="BG19" s="5"/>
      <c r="BH19" s="7"/>
    </row>
    <row r="20" spans="4:60" x14ac:dyDescent="0.25">
      <c r="D20" s="6"/>
      <c r="E20" s="6"/>
      <c r="F20" s="6"/>
      <c r="G20" s="5"/>
      <c r="H20" s="6"/>
      <c r="I20" s="7"/>
      <c r="J20" s="6"/>
      <c r="K20" s="6"/>
      <c r="L20" s="6"/>
      <c r="M20" s="6"/>
      <c r="N20" s="6"/>
      <c r="O20" s="7"/>
      <c r="P20" s="6"/>
      <c r="Q20" s="6"/>
      <c r="R20" s="5"/>
      <c r="S20" s="6"/>
      <c r="T20" s="6"/>
      <c r="U20" s="5"/>
      <c r="V20" s="7"/>
      <c r="W20" s="5"/>
      <c r="X20" s="5"/>
      <c r="Y20" s="7"/>
      <c r="Z20" s="5"/>
      <c r="AA20" s="6"/>
      <c r="AB20" s="6"/>
      <c r="AC20" s="6"/>
      <c r="AD20" s="5"/>
      <c r="AE20" s="6"/>
      <c r="AF20" s="7"/>
      <c r="AG20" s="7"/>
      <c r="AH20" s="6"/>
      <c r="AI20" s="6"/>
      <c r="AJ20" s="6"/>
      <c r="AK20" s="7"/>
      <c r="AL20" s="6"/>
      <c r="AM20" s="5"/>
      <c r="AN20" s="6"/>
      <c r="AO20" s="6"/>
      <c r="AP20" s="5"/>
      <c r="AQ20" s="6"/>
      <c r="AR20" s="6"/>
      <c r="AS20" s="6"/>
      <c r="AT20" s="5"/>
      <c r="AU20" s="6"/>
      <c r="AV20" s="6"/>
      <c r="AW20" s="6"/>
      <c r="AX20" s="5"/>
      <c r="AY20" s="6"/>
      <c r="AZ20" s="6"/>
      <c r="BA20" s="7"/>
      <c r="BB20" s="6"/>
      <c r="BC20" s="5"/>
      <c r="BD20" s="6"/>
      <c r="BE20" s="6"/>
      <c r="BF20" s="6"/>
      <c r="BG20" s="5"/>
      <c r="BH20" s="6"/>
    </row>
    <row r="21" spans="4:60" x14ac:dyDescent="0.25">
      <c r="D21" s="7"/>
      <c r="E21" s="5"/>
      <c r="F21" s="5"/>
      <c r="G21" s="6"/>
      <c r="H21" s="6"/>
      <c r="I21" s="5"/>
      <c r="J21" s="7"/>
      <c r="K21" s="6"/>
      <c r="L21" s="7"/>
      <c r="M21" s="6"/>
      <c r="N21" s="5"/>
      <c r="O21" s="6"/>
      <c r="P21" s="6"/>
      <c r="Q21" s="7"/>
      <c r="R21" s="6"/>
      <c r="S21" s="6"/>
      <c r="T21" s="6"/>
      <c r="U21" s="6"/>
      <c r="V21" s="5"/>
      <c r="W21" s="6"/>
      <c r="X21" s="5"/>
      <c r="Y21" s="7"/>
      <c r="Z21" s="6"/>
      <c r="AA21" s="5"/>
      <c r="AB21" s="7"/>
      <c r="AC21" s="6"/>
      <c r="AD21" s="7"/>
      <c r="AE21" s="7"/>
      <c r="AF21" s="7"/>
      <c r="AG21" s="7"/>
      <c r="AH21" s="7"/>
      <c r="AI21" s="6"/>
      <c r="AJ21" s="6"/>
      <c r="AK21" s="6"/>
      <c r="AL21" s="7"/>
      <c r="AM21" s="6"/>
      <c r="AN21" s="7"/>
      <c r="AO21" s="7"/>
      <c r="AP21" s="7"/>
      <c r="AQ21" s="5"/>
      <c r="AR21" s="5"/>
      <c r="AS21" s="5"/>
      <c r="AT21" s="6"/>
      <c r="AU21" s="6"/>
      <c r="AV21" s="6"/>
      <c r="AW21" s="5"/>
      <c r="AX21" s="5"/>
      <c r="AY21" s="7"/>
      <c r="AZ21" s="6"/>
      <c r="BA21" s="6"/>
      <c r="BB21" s="7"/>
      <c r="BC21" s="6"/>
      <c r="BD21" s="5"/>
      <c r="BE21" s="6"/>
      <c r="BF21" s="6"/>
      <c r="BG21" s="7"/>
      <c r="BH21" s="5"/>
    </row>
    <row r="22" spans="4:60" x14ac:dyDescent="0.25">
      <c r="D22" s="6"/>
      <c r="E22" s="5"/>
      <c r="F22" s="6"/>
      <c r="G22" s="6"/>
      <c r="H22" s="6"/>
      <c r="I22" s="5"/>
      <c r="J22" s="5"/>
      <c r="K22" s="5"/>
      <c r="L22" s="6"/>
      <c r="M22" s="6"/>
      <c r="N22" s="7"/>
      <c r="O22" s="6"/>
      <c r="P22" s="7"/>
      <c r="Q22" s="5"/>
      <c r="R22" s="7"/>
      <c r="S22" s="5"/>
      <c r="T22" s="6"/>
      <c r="U22" s="6"/>
      <c r="V22" s="6"/>
      <c r="W22" s="6"/>
      <c r="X22" s="7"/>
      <c r="Y22" s="5"/>
      <c r="Z22" s="5"/>
      <c r="AA22" s="6"/>
      <c r="AB22" s="7"/>
      <c r="AC22" s="6"/>
      <c r="AD22" s="6"/>
      <c r="AE22" s="5"/>
      <c r="AF22" s="6"/>
      <c r="AG22" s="7"/>
      <c r="AH22" s="5"/>
      <c r="AI22" s="5"/>
      <c r="AJ22" s="7"/>
      <c r="AK22" s="5"/>
      <c r="AL22" s="6"/>
      <c r="AM22" s="6"/>
      <c r="AN22" s="5"/>
      <c r="AO22" s="7"/>
      <c r="AP22" s="7"/>
      <c r="AQ22" s="6"/>
      <c r="AR22" s="7"/>
      <c r="AS22" s="6"/>
      <c r="AT22" s="7"/>
      <c r="AU22" s="7"/>
      <c r="AV22" s="6"/>
      <c r="AW22" s="7"/>
      <c r="AX22" s="5"/>
      <c r="AY22" s="6"/>
      <c r="AZ22" s="5"/>
      <c r="BA22" s="5"/>
      <c r="BB22" s="6"/>
      <c r="BC22" s="6"/>
      <c r="BD22" s="6"/>
      <c r="BE22" s="5"/>
      <c r="BF22" s="5"/>
      <c r="BG22" s="6"/>
      <c r="BH22" s="6"/>
    </row>
    <row r="23" spans="4:60" x14ac:dyDescent="0.25">
      <c r="D23" s="7"/>
      <c r="E23" s="7"/>
      <c r="F23" s="6"/>
      <c r="G23" s="6"/>
      <c r="H23" s="5"/>
      <c r="I23" s="5"/>
      <c r="J23" s="7"/>
      <c r="K23" s="5"/>
      <c r="L23" s="6"/>
      <c r="M23" s="5"/>
      <c r="N23" s="7"/>
      <c r="O23" s="6"/>
      <c r="P23" s="7"/>
      <c r="Q23" s="6"/>
      <c r="R23" s="6"/>
      <c r="S23" s="7"/>
      <c r="T23" s="5"/>
      <c r="U23" s="5"/>
      <c r="V23" s="7"/>
      <c r="W23" s="6"/>
      <c r="X23" s="5"/>
      <c r="Y23" s="6"/>
      <c r="Z23" s="5"/>
      <c r="AA23" s="6"/>
      <c r="AB23" s="6"/>
      <c r="AC23" s="6"/>
      <c r="AD23" s="5"/>
      <c r="AE23" s="6"/>
      <c r="AF23" s="7"/>
      <c r="AG23" s="7"/>
      <c r="AH23" s="6"/>
      <c r="AI23" s="6"/>
      <c r="AJ23" s="6"/>
      <c r="AK23" s="6"/>
      <c r="AL23" s="7"/>
      <c r="AM23" s="7"/>
      <c r="AN23" s="6"/>
      <c r="AO23" s="6"/>
      <c r="AP23" s="6"/>
      <c r="AQ23" s="5"/>
      <c r="AR23" s="6"/>
      <c r="AS23" s="6"/>
      <c r="AT23" s="6"/>
      <c r="AU23" s="7"/>
      <c r="AV23" s="7"/>
      <c r="AW23" s="5"/>
      <c r="AX23" s="6"/>
      <c r="AY23" s="6"/>
      <c r="AZ23" s="6"/>
      <c r="BA23" s="5"/>
      <c r="BB23" s="7"/>
      <c r="BC23" s="6"/>
      <c r="BD23" s="5"/>
      <c r="BE23" s="7"/>
      <c r="BF23" s="6"/>
      <c r="BG23" s="6"/>
      <c r="BH23" s="6"/>
    </row>
    <row r="24" spans="4:60" x14ac:dyDescent="0.25">
      <c r="D24" s="6"/>
      <c r="E24" s="6"/>
      <c r="F24" s="5"/>
      <c r="G24" s="5"/>
      <c r="H24" s="6"/>
      <c r="I24" s="5"/>
      <c r="J24" s="6"/>
      <c r="K24" s="5"/>
      <c r="L24" s="5"/>
      <c r="M24" s="7"/>
      <c r="N24" s="7"/>
      <c r="O24" s="5"/>
      <c r="P24" s="6"/>
      <c r="Q24" s="6"/>
      <c r="R24" s="7"/>
      <c r="S24" s="6"/>
      <c r="T24" s="7"/>
      <c r="U24" s="7"/>
      <c r="V24" s="6"/>
      <c r="W24" s="6"/>
      <c r="X24" s="5"/>
      <c r="Y24" s="6"/>
      <c r="Z24" s="6"/>
      <c r="AA24" s="6"/>
      <c r="AB24" s="6"/>
      <c r="AC24" s="6"/>
      <c r="AD24" s="5"/>
      <c r="AE24" s="5"/>
      <c r="AF24" s="6"/>
      <c r="AG24" s="7"/>
      <c r="AH24" s="7"/>
      <c r="AI24" s="7"/>
      <c r="AJ24" s="6"/>
      <c r="AK24" s="7"/>
      <c r="AL24" s="6"/>
      <c r="AM24" s="6"/>
      <c r="AN24" s="5"/>
      <c r="AO24" s="5"/>
      <c r="AP24" s="7"/>
      <c r="AQ24" s="7"/>
      <c r="AR24" s="5"/>
      <c r="AS24" s="6"/>
      <c r="AT24" s="6"/>
      <c r="AU24" s="5"/>
      <c r="AV24" s="5"/>
      <c r="AW24" s="6"/>
      <c r="AX24" s="7"/>
      <c r="AY24" s="5"/>
      <c r="AZ24" s="7"/>
      <c r="BA24" s="7"/>
      <c r="BB24" s="6"/>
      <c r="BC24" s="5"/>
      <c r="BD24" s="6"/>
      <c r="BE24" s="6"/>
      <c r="BF24" s="6"/>
      <c r="BG24" s="6"/>
      <c r="BH24" s="7"/>
    </row>
    <row r="25" spans="4:60" x14ac:dyDescent="0.25">
      <c r="D25" s="5"/>
      <c r="E25" s="6"/>
      <c r="F25" s="5"/>
      <c r="G25" s="5"/>
      <c r="H25" s="6"/>
      <c r="I25" s="5"/>
      <c r="J25" s="5"/>
      <c r="K25" s="6"/>
      <c r="L25" s="6"/>
      <c r="M25" s="5"/>
      <c r="N25" s="6"/>
      <c r="O25" s="7"/>
      <c r="P25" s="6"/>
      <c r="Q25" s="5"/>
      <c r="R25" s="5"/>
      <c r="S25" s="6"/>
      <c r="T25" s="6"/>
      <c r="U25" s="6"/>
      <c r="V25" s="6"/>
      <c r="W25" s="6"/>
      <c r="X25" s="7"/>
      <c r="Y25" s="7"/>
      <c r="Z25" s="6"/>
      <c r="AA25" s="5"/>
      <c r="AB25" s="6"/>
      <c r="AC25" s="6"/>
      <c r="AD25" s="5"/>
      <c r="AE25" s="7"/>
      <c r="AF25" s="7"/>
      <c r="AG25" s="6"/>
      <c r="AH25" s="7"/>
      <c r="AI25" s="6"/>
      <c r="AJ25" s="6"/>
      <c r="AK25" s="5"/>
      <c r="AL25" s="6"/>
      <c r="AM25" s="6"/>
      <c r="AN25" s="5"/>
      <c r="AO25" s="5"/>
      <c r="AP25" s="7"/>
      <c r="AQ25" s="7"/>
      <c r="AR25" s="6"/>
      <c r="AS25" s="6"/>
      <c r="AT25" s="6"/>
      <c r="AU25" s="6"/>
      <c r="AV25" s="6"/>
      <c r="AW25" s="6"/>
      <c r="AX25" s="6"/>
      <c r="AY25" s="7"/>
      <c r="AZ25" s="7"/>
      <c r="BA25" s="6"/>
      <c r="BB25" s="6"/>
      <c r="BC25" s="5"/>
      <c r="BD25" s="5"/>
      <c r="BE25" s="7"/>
      <c r="BF25" s="7"/>
      <c r="BG25" s="7"/>
      <c r="BH25" s="7"/>
    </row>
    <row r="26" spans="4:60" x14ac:dyDescent="0.25">
      <c r="D26" s="7"/>
      <c r="E26" s="7"/>
      <c r="F26" s="6"/>
      <c r="G26" s="5"/>
      <c r="H26" s="7"/>
      <c r="I26" s="7"/>
      <c r="J26" s="5"/>
      <c r="K26" s="6"/>
      <c r="L26" s="5"/>
      <c r="M26" s="7"/>
      <c r="N26" s="5"/>
      <c r="O26" s="6"/>
      <c r="P26" s="6"/>
      <c r="Q26" s="5"/>
      <c r="R26" s="7"/>
      <c r="S26" s="5"/>
      <c r="T26" s="7"/>
      <c r="U26" s="6"/>
      <c r="V26" s="5"/>
      <c r="W26" s="6"/>
      <c r="X26" s="7"/>
      <c r="Y26" s="6"/>
      <c r="Z26" s="6"/>
      <c r="AA26" s="5"/>
      <c r="AB26" s="6"/>
      <c r="AC26" s="6"/>
      <c r="AD26" s="6"/>
      <c r="AE26" s="6"/>
      <c r="AF26" s="5"/>
      <c r="AG26" s="6"/>
      <c r="AH26" s="7"/>
      <c r="AI26" s="7"/>
      <c r="AJ26" s="7"/>
      <c r="AK26" s="6"/>
      <c r="AL26" s="6"/>
      <c r="AM26" s="6"/>
      <c r="AN26" s="5"/>
      <c r="AO26" s="5"/>
      <c r="AP26" s="6"/>
      <c r="AQ26" s="6"/>
      <c r="AR26" s="6"/>
      <c r="AS26" s="6"/>
      <c r="AT26" s="6"/>
      <c r="AU26" s="7"/>
      <c r="AV26" s="5"/>
      <c r="AW26" s="7"/>
      <c r="AX26" s="6"/>
      <c r="AY26" s="5"/>
      <c r="AZ26" s="7"/>
      <c r="BA26" s="7"/>
      <c r="BB26" s="7"/>
      <c r="BC26" s="5"/>
      <c r="BD26" s="6"/>
      <c r="BE26" s="6"/>
      <c r="BF26" s="6"/>
      <c r="BG26" s="5"/>
      <c r="BH26" s="6"/>
    </row>
    <row r="27" spans="4:60" x14ac:dyDescent="0.25">
      <c r="D27" s="6"/>
      <c r="E27" s="7"/>
      <c r="F27" s="5"/>
      <c r="G27" s="6"/>
      <c r="H27" s="6"/>
      <c r="I27" s="7"/>
      <c r="J27" s="6"/>
      <c r="K27" s="6"/>
      <c r="L27" s="5"/>
      <c r="M27" s="7"/>
      <c r="N27" s="5"/>
      <c r="O27" s="6"/>
      <c r="P27" s="6"/>
      <c r="Q27" s="7"/>
      <c r="R27" s="7"/>
      <c r="S27" s="5"/>
      <c r="T27" s="6"/>
      <c r="U27" s="6"/>
      <c r="V27" s="7"/>
      <c r="W27" s="7"/>
      <c r="X27" s="6"/>
      <c r="Y27" s="5"/>
      <c r="Z27" s="7"/>
      <c r="AA27" s="6"/>
      <c r="AB27" s="6"/>
      <c r="AC27" s="6"/>
      <c r="AD27" s="6"/>
      <c r="AE27" s="6"/>
      <c r="AF27" s="6"/>
      <c r="AG27" s="6"/>
      <c r="AH27" s="5"/>
      <c r="AI27" s="6"/>
      <c r="AJ27" s="6"/>
      <c r="AK27" s="6"/>
      <c r="AL27" s="6"/>
      <c r="AM27" s="6"/>
      <c r="AN27" s="6"/>
      <c r="AO27" s="6"/>
      <c r="AP27" s="6"/>
      <c r="AQ27" s="5"/>
      <c r="AR27" s="6"/>
      <c r="AS27" s="6"/>
      <c r="AT27" s="6"/>
      <c r="AU27" s="7"/>
      <c r="AV27" s="7"/>
      <c r="AW27" s="6"/>
      <c r="AX27" s="5"/>
      <c r="AY27" s="5"/>
      <c r="AZ27" s="5"/>
      <c r="BA27" s="7"/>
      <c r="BB27" s="6"/>
      <c r="BC27" s="6"/>
      <c r="BD27" s="6"/>
      <c r="BE27" s="6"/>
      <c r="BF27" s="6"/>
      <c r="BG27" s="6"/>
      <c r="BH27" s="7"/>
    </row>
    <row r="28" spans="4:60" x14ac:dyDescent="0.25">
      <c r="D28" s="5"/>
      <c r="E28" s="6"/>
      <c r="F28" s="5"/>
      <c r="G28" s="5"/>
      <c r="H28" s="7"/>
      <c r="I28" s="6"/>
      <c r="J28" s="5"/>
      <c r="K28" s="5"/>
      <c r="L28" s="6"/>
      <c r="M28" s="5"/>
      <c r="N28" s="5"/>
      <c r="O28" s="6"/>
      <c r="P28" s="7"/>
      <c r="Q28" s="7"/>
      <c r="R28" s="6"/>
      <c r="S28" s="6"/>
      <c r="T28" s="6"/>
      <c r="U28" s="6"/>
      <c r="V28" s="7"/>
      <c r="W28" s="7"/>
      <c r="X28" s="5"/>
      <c r="Y28" s="6"/>
      <c r="Z28" s="5"/>
      <c r="AA28" s="6"/>
      <c r="AB28" s="6"/>
      <c r="AC28" s="7"/>
      <c r="AD28" s="6"/>
      <c r="AE28" s="6"/>
      <c r="AF28" s="6"/>
      <c r="AG28" s="5"/>
      <c r="AH28" s="7"/>
      <c r="AI28" s="6"/>
      <c r="AJ28" s="6"/>
      <c r="AK28" s="5"/>
      <c r="AL28" s="5"/>
      <c r="AM28" s="7"/>
      <c r="AN28" s="5"/>
      <c r="AO28" s="6"/>
      <c r="AP28" s="6"/>
      <c r="AQ28" s="7"/>
      <c r="AR28" s="7"/>
      <c r="AS28" s="6"/>
      <c r="AT28" s="6"/>
      <c r="AU28" s="7"/>
      <c r="AV28" s="6"/>
      <c r="AW28" s="5"/>
      <c r="AX28" s="6"/>
      <c r="AY28" s="6"/>
      <c r="AZ28" s="5"/>
      <c r="BA28" s="6"/>
      <c r="BB28" s="7"/>
      <c r="BC28" s="5"/>
      <c r="BD28" s="6"/>
      <c r="BE28" s="6"/>
      <c r="BF28" s="5"/>
      <c r="BG28" s="6"/>
      <c r="BH28" s="6"/>
    </row>
    <row r="29" spans="4:60" x14ac:dyDescent="0.25">
      <c r="D29" s="7"/>
      <c r="E29" s="7"/>
      <c r="F29" s="7"/>
      <c r="G29" s="6"/>
      <c r="H29" s="6"/>
      <c r="I29" s="5"/>
      <c r="J29" s="7"/>
      <c r="K29" s="6"/>
      <c r="L29" s="5"/>
      <c r="M29" s="5"/>
      <c r="N29" s="7"/>
      <c r="O29" s="7"/>
      <c r="P29" s="6"/>
      <c r="Q29" s="7"/>
      <c r="R29" s="6"/>
      <c r="S29" s="6"/>
      <c r="T29" s="5"/>
      <c r="U29" s="7"/>
      <c r="V29" s="6"/>
      <c r="W29" s="5"/>
      <c r="X29" s="6"/>
      <c r="Y29" s="6"/>
      <c r="Z29" s="5"/>
      <c r="AA29" s="6"/>
      <c r="AB29" s="6"/>
      <c r="AC29" s="7"/>
      <c r="AD29" s="5"/>
      <c r="AE29" s="7"/>
      <c r="AF29" s="6"/>
      <c r="AG29" s="5"/>
      <c r="AH29" s="5"/>
      <c r="AI29" s="5"/>
      <c r="AJ29" s="6"/>
      <c r="AK29" s="6"/>
      <c r="AL29" s="6"/>
      <c r="AM29" s="6"/>
      <c r="AN29" s="7"/>
      <c r="AO29" s="6"/>
      <c r="AP29" s="6"/>
      <c r="AQ29" s="6"/>
      <c r="AR29" s="6"/>
      <c r="AS29" s="6"/>
      <c r="AT29" s="6"/>
      <c r="AU29" s="5"/>
      <c r="AV29" s="5"/>
      <c r="AW29" s="6"/>
      <c r="AX29" s="5"/>
      <c r="AY29" s="5"/>
      <c r="AZ29" s="5"/>
      <c r="BA29" s="6"/>
      <c r="BB29" s="6"/>
      <c r="BC29" s="6"/>
      <c r="BD29" s="7"/>
      <c r="BE29" s="6"/>
      <c r="BF29" s="5"/>
      <c r="BG29" s="6"/>
      <c r="BH29" s="7"/>
    </row>
    <row r="30" spans="4:60" x14ac:dyDescent="0.25">
      <c r="D30" s="6"/>
      <c r="E30" s="6"/>
      <c r="F30" s="6"/>
      <c r="G30" s="7"/>
      <c r="H30" s="6"/>
      <c r="I30" s="5"/>
      <c r="J30" s="6"/>
      <c r="K30" s="6"/>
      <c r="L30" s="6"/>
      <c r="M30" s="6"/>
      <c r="N30" s="5"/>
      <c r="O30" s="5"/>
      <c r="P30" s="6"/>
      <c r="Q30" s="5"/>
      <c r="R30" s="6"/>
      <c r="S30" s="6"/>
      <c r="T30" s="6"/>
      <c r="U30" s="5"/>
      <c r="V30" s="7"/>
      <c r="W30" s="7"/>
      <c r="X30" s="5"/>
      <c r="Y30" s="6"/>
      <c r="Z30" s="5"/>
      <c r="AA30" s="6"/>
      <c r="AB30" s="6"/>
      <c r="AC30" s="6"/>
      <c r="AD30" s="7"/>
      <c r="AE30" s="6"/>
      <c r="AF30" s="5"/>
      <c r="AG30" s="6"/>
      <c r="AH30" s="6"/>
      <c r="AI30" s="6"/>
      <c r="AJ30" s="7"/>
      <c r="AK30" s="5"/>
      <c r="AL30" s="5"/>
      <c r="AM30" s="7"/>
      <c r="AN30" s="6"/>
      <c r="AO30" s="5"/>
      <c r="AP30" s="6"/>
      <c r="AQ30" s="6"/>
      <c r="AR30" s="6"/>
      <c r="AS30" s="5"/>
      <c r="AT30" s="5"/>
      <c r="AU30" s="6"/>
      <c r="AV30" s="6"/>
      <c r="AW30" s="5"/>
      <c r="AX30" s="6"/>
      <c r="AY30" s="6"/>
      <c r="AZ30" s="6"/>
      <c r="BA30" s="7"/>
      <c r="BB30" s="5"/>
      <c r="BC30" s="7"/>
      <c r="BD30" s="6"/>
      <c r="BE30" s="7"/>
      <c r="BF30" s="5"/>
      <c r="BG30" s="6"/>
      <c r="BH30" s="7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98C4A-5B29-4654-BEFF-410435DD2B5A}">
  <sheetPr codeName="Hoja5"/>
  <dimension ref="B2:C18"/>
  <sheetViews>
    <sheetView tabSelected="1" workbookViewId="0">
      <selection activeCell="B19" sqref="B19"/>
    </sheetView>
  </sheetViews>
  <sheetFormatPr baseColWidth="10" defaultRowHeight="15" x14ac:dyDescent="0.25"/>
  <cols>
    <col min="2" max="2" width="16.140625" customWidth="1"/>
  </cols>
  <sheetData>
    <row r="2" spans="2:3" x14ac:dyDescent="0.25">
      <c r="B2" t="s">
        <v>52</v>
      </c>
    </row>
    <row r="4" spans="2:3" x14ac:dyDescent="0.25">
      <c r="B4" t="s">
        <v>51</v>
      </c>
    </row>
    <row r="5" spans="2:3" x14ac:dyDescent="0.25">
      <c r="B5" t="s">
        <v>49</v>
      </c>
      <c r="C5" t="s">
        <v>50</v>
      </c>
    </row>
    <row r="6" spans="2:3" x14ac:dyDescent="0.25">
      <c r="B6">
        <v>0</v>
      </c>
      <c r="C6" s="8">
        <v>0.7</v>
      </c>
    </row>
    <row r="7" spans="2:3" x14ac:dyDescent="0.25">
      <c r="B7">
        <v>1</v>
      </c>
      <c r="C7" s="8">
        <v>0.2</v>
      </c>
    </row>
    <row r="8" spans="2:3" x14ac:dyDescent="0.25">
      <c r="B8">
        <v>2</v>
      </c>
      <c r="C8" s="8">
        <v>0.1</v>
      </c>
    </row>
    <row r="10" spans="2:3" x14ac:dyDescent="0.25">
      <c r="B10" t="s">
        <v>53</v>
      </c>
    </row>
    <row r="11" spans="2:3" x14ac:dyDescent="0.25">
      <c r="B11" t="s">
        <v>54</v>
      </c>
      <c r="C11" t="s">
        <v>50</v>
      </c>
    </row>
    <row r="12" spans="2:3" x14ac:dyDescent="0.25">
      <c r="B12">
        <v>1</v>
      </c>
      <c r="C12" s="8">
        <v>0.5</v>
      </c>
    </row>
    <row r="13" spans="2:3" x14ac:dyDescent="0.25">
      <c r="B13">
        <v>2</v>
      </c>
      <c r="C13" s="8">
        <v>0.3</v>
      </c>
    </row>
    <row r="14" spans="2:3" x14ac:dyDescent="0.25">
      <c r="B14">
        <v>5</v>
      </c>
      <c r="C14" s="8">
        <v>0.2</v>
      </c>
    </row>
    <row r="16" spans="2:3" x14ac:dyDescent="0.25">
      <c r="B16" t="s">
        <v>55</v>
      </c>
    </row>
    <row r="17" spans="2:2" x14ac:dyDescent="0.25">
      <c r="B17" t="s">
        <v>56</v>
      </c>
    </row>
    <row r="18" spans="2:2" x14ac:dyDescent="0.25">
      <c r="B18" t="s">
        <v>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Hoja1</vt:lpstr>
      <vt:lpstr>Hoja2</vt:lpstr>
      <vt:lpstr>Hoja3</vt:lpstr>
      <vt:lpstr>Hoja4</vt:lpstr>
      <vt:lpstr>Hoja5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German Fernando Pantoja Benavides</dc:creator>
  <cp:lastModifiedBy>Mariana Velez Rivera</cp:lastModifiedBy>
  <dcterms:created xsi:type="dcterms:W3CDTF">2024-05-22T01:00:11Z</dcterms:created>
  <dcterms:modified xsi:type="dcterms:W3CDTF">2024-05-29T21:34:58Z</dcterms:modified>
</cp:coreProperties>
</file>