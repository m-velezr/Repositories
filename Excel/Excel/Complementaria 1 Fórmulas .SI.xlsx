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Mariana Velez\Documents\6 SEMESTRE\SAD\"/>
    </mc:Choice>
  </mc:AlternateContent>
  <xr:revisionPtr revIDLastSave="0" documentId="13_ncr:1_{ED784FEB-1644-4B74-91EB-78C2924D6EC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JERCICI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5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16" i="1"/>
  <c r="M25" i="1"/>
  <c r="Q25" i="1" s="1"/>
  <c r="M26" i="1"/>
  <c r="Q26" i="1" s="1"/>
  <c r="Q27" i="1"/>
  <c r="Q28" i="1"/>
  <c r="Q29" i="1"/>
  <c r="N25" i="1"/>
  <c r="O25" i="1"/>
  <c r="P25" i="1"/>
  <c r="N26" i="1"/>
  <c r="O26" i="1"/>
  <c r="P26" i="1"/>
  <c r="N27" i="1"/>
  <c r="O27" i="1"/>
  <c r="P27" i="1"/>
  <c r="N28" i="1"/>
  <c r="O28" i="1"/>
  <c r="P28" i="1"/>
  <c r="N29" i="1"/>
  <c r="O29" i="1"/>
  <c r="P29" i="1"/>
  <c r="M27" i="1"/>
  <c r="M28" i="1"/>
  <c r="M29" i="1"/>
  <c r="M16" i="1"/>
  <c r="M17" i="1"/>
  <c r="M18" i="1"/>
  <c r="M19" i="1"/>
  <c r="L19" i="1"/>
  <c r="L18" i="1"/>
  <c r="L17" i="1"/>
  <c r="L16" i="1"/>
</calcChain>
</file>

<file path=xl/sharedStrings.xml><?xml version="1.0" encoding="utf-8"?>
<sst xmlns="http://schemas.openxmlformats.org/spreadsheetml/2006/main" count="455" uniqueCount="64">
  <si>
    <t>IIND 2109</t>
  </si>
  <si>
    <t>Complementaria 2: Formulación</t>
  </si>
  <si>
    <t>Costo boleta preinfantil</t>
  </si>
  <si>
    <t>Costo boleta infantil</t>
  </si>
  <si>
    <t>Tabla 1</t>
  </si>
  <si>
    <t>Jardín</t>
  </si>
  <si>
    <t>Pelicula</t>
  </si>
  <si>
    <t>Dia</t>
  </si>
  <si>
    <t>Funcion</t>
  </si>
  <si>
    <t>Cantidad</t>
  </si>
  <si>
    <t>Cantidad Preinfantil</t>
  </si>
  <si>
    <t>Cantidad Infantil</t>
  </si>
  <si>
    <t>Crispetas y Gaseosas</t>
  </si>
  <si>
    <t>Combo</t>
  </si>
  <si>
    <t>Tabla 2</t>
  </si>
  <si>
    <t>Tabla 4</t>
  </si>
  <si>
    <t>Manos pintadas</t>
  </si>
  <si>
    <t>Intensamente</t>
  </si>
  <si>
    <t>30/12/2015</t>
  </si>
  <si>
    <t>AM</t>
  </si>
  <si>
    <t>Asistencia</t>
  </si>
  <si>
    <t>Costo</t>
  </si>
  <si>
    <t>Dia del mes</t>
  </si>
  <si>
    <t>PM</t>
  </si>
  <si>
    <t>Mis amigos</t>
  </si>
  <si>
    <t>12/12/2015</t>
  </si>
  <si>
    <t>La enseñanza</t>
  </si>
  <si>
    <t>El principito</t>
  </si>
  <si>
    <t>21/12/2015</t>
  </si>
  <si>
    <t>Mi campamento</t>
  </si>
  <si>
    <t>Charlie Brown</t>
  </si>
  <si>
    <t>11/12/2015</t>
  </si>
  <si>
    <t>18/12/2015</t>
  </si>
  <si>
    <t>Un buen dinosaurio</t>
  </si>
  <si>
    <t>7/12/2015</t>
  </si>
  <si>
    <t>23/12/2015</t>
  </si>
  <si>
    <t>5/12/2015</t>
  </si>
  <si>
    <t>Tabla 3</t>
  </si>
  <si>
    <t>Home</t>
  </si>
  <si>
    <t>10/12/2015</t>
  </si>
  <si>
    <t>Total Pelicula</t>
  </si>
  <si>
    <t>15/12/2015</t>
  </si>
  <si>
    <t>Película</t>
  </si>
  <si>
    <t>19/12/2015</t>
  </si>
  <si>
    <t>16/12/2015</t>
  </si>
  <si>
    <t>14/12/2015</t>
  </si>
  <si>
    <t>24/12/2015</t>
  </si>
  <si>
    <t>3/12/2015</t>
  </si>
  <si>
    <t>9/12/2015</t>
  </si>
  <si>
    <t>17/12/2015</t>
  </si>
  <si>
    <t>2/12/2015</t>
  </si>
  <si>
    <t>28/12/2015</t>
  </si>
  <si>
    <t>8/12/2015</t>
  </si>
  <si>
    <t>26/12/2015</t>
  </si>
  <si>
    <t>29/12/2015</t>
  </si>
  <si>
    <t>1/12/2015</t>
  </si>
  <si>
    <t>6/12/2015</t>
  </si>
  <si>
    <t>20/12/2015</t>
  </si>
  <si>
    <t>13/12/2015</t>
  </si>
  <si>
    <t>25/12/2015</t>
  </si>
  <si>
    <t>27/12/2015</t>
  </si>
  <si>
    <t>4/12/2015</t>
  </si>
  <si>
    <t>31/12/2015</t>
  </si>
  <si>
    <t>22/12/2015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</si>
</sst>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* #,##0.00\ _k_r_-;\-* #,##0.00\ _k_r_-;_-* &quot;-&quot;??\ _k_r_-;_-@_-"/>
    <numFmt numFmtId="165" formatCode="_-&quot;$&quot;\ * #,##0_-;\-&quot;$&quot;\ * #,##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0" fillId="2" borderId="1" xfId="0" applyFill="1" applyBorder="1"/>
    <xf numFmtId="0" fontId="4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5" fillId="2" borderId="0" xfId="0" applyFont="1" applyFill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2" borderId="0" xfId="0" applyFill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4" fillId="2" borderId="0" xfId="0" applyFont="1" applyFill="1" applyAlignment="1">
      <alignment vertical="center"/>
    </xf>
    <xf numFmtId="0" fontId="0" fillId="4" borderId="3" xfId="0" applyFill="1" applyBorder="1"/>
    <xf numFmtId="0" fontId="5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13" xfId="0" applyFill="1" applyBorder="1"/>
    <xf numFmtId="0" fontId="0" fillId="0" borderId="10" xfId="0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0" fillId="4" borderId="18" xfId="0" applyFill="1" applyBorder="1"/>
    <xf numFmtId="0" fontId="0" fillId="4" borderId="19" xfId="0" applyFill="1" applyBorder="1"/>
    <xf numFmtId="0" fontId="6" fillId="4" borderId="4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0" fillId="0" borderId="0" xfId="0" applyNumberFormat="1"/>
    <xf numFmtId="165" fontId="0" fillId="0" borderId="10" xfId="2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</cellXfs>
  <cellStyles count="3">
    <cellStyle name="Comma 2" xfId="1" xr:uid="{00000000-0005-0000-0000-000000000000}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148589</xdr:colOff>
      <xdr:row>0</xdr:row>
      <xdr:rowOff>167639</xdr:rowOff>
    </xdr:from>
    <xdr:to>
      <xdr:col>1</xdr:col>
      <xdr:colOff>1064419</xdr:colOff>
      <xdr:row>5</xdr:row>
      <xdr:rowOff>476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58" t="16753" r="6388" b="16581"/>
        <a:stretch/>
      </xdr:blipFill>
      <xdr:spPr>
        <a:xfrm>
          <a:off x="148589" y="167639"/>
          <a:ext cx="2404111" cy="735331"/>
        </a:xfrm>
        <a:prstGeom prst="rect">
          <a:avLst/>
        </a:prstGeom>
      </xdr:spPr>
    </xdr:pic>
    <xdr:clientData/>
  </xdr:twoCellAnchor>
  <xdr:twoCellAnchor>
    <xdr:from>
      <xdr:col>3</xdr:col>
      <xdr:colOff>651509</xdr:colOff>
      <xdr:row>0</xdr:row>
      <xdr:rowOff>148590</xdr:rowOff>
    </xdr:from>
    <xdr:to>
      <xdr:col>12</xdr:col>
      <xdr:colOff>1323974</xdr:colOff>
      <xdr:row>4</xdr:row>
      <xdr:rowOff>72390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118484" y="148590"/>
          <a:ext cx="7959090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4400" b="1"/>
            <a:t>Sistemas de Apoyo a la Decisión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0"/>
  <sheetViews>
    <sheetView showGridLines="0" tabSelected="1" topLeftCell="A11" zoomScale="131" zoomScaleNormal="80" workbookViewId="0">
      <selection activeCell="I25" sqref="I25"/>
    </sheetView>
  </sheetViews>
  <sheetFormatPr baseColWidth="10" defaultColWidth="0" defaultRowHeight="0" customHeight="1" zeroHeight="1" x14ac:dyDescent="0.25"/>
  <cols>
    <col min="1" max="2" width="22.42578125" bestFit="1" customWidth="1"/>
    <col min="3" max="3" width="11.5703125" bestFit="1" customWidth="1"/>
    <col min="4" max="5" width="11.42578125" customWidth="1"/>
    <col min="6" max="6" width="19.42578125" customWidth="1"/>
    <col min="7" max="7" width="15.85546875" bestFit="1" customWidth="1"/>
    <col min="8" max="8" width="19.5703125" bestFit="1" customWidth="1"/>
    <col min="9" max="10" width="11.42578125" customWidth="1"/>
    <col min="11" max="12" width="20.85546875" bestFit="1" customWidth="1"/>
    <col min="13" max="13" width="15.5703125" bestFit="1" customWidth="1"/>
    <col min="14" max="14" width="17" bestFit="1" customWidth="1"/>
    <col min="15" max="15" width="12.42578125" bestFit="1" customWidth="1"/>
    <col min="16" max="16" width="17.140625" bestFit="1" customWidth="1"/>
    <col min="17" max="17" width="14.5703125" bestFit="1" customWidth="1"/>
    <col min="18" max="18" width="11.42578125" customWidth="1"/>
    <col min="19" max="19" width="20.85546875" bestFit="1" customWidth="1"/>
    <col min="20" max="20" width="11.42578125" customWidth="1"/>
    <col min="21" max="21" width="22.5703125" bestFit="1" customWidth="1"/>
    <col min="22" max="22" width="11.42578125" customWidth="1"/>
    <col min="23" max="23" width="20.85546875" bestFit="1" customWidth="1"/>
    <col min="24" max="24" width="11.42578125" customWidth="1"/>
    <col min="25" max="31" width="0" hidden="1" customWidth="1"/>
    <col min="32" max="16384" width="11.42578125" hidden="1"/>
  </cols>
  <sheetData>
    <row r="1" spans="1:26" ht="14.4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6" ht="14.45" customHeight="1" x14ac:dyDescent="0.3">
      <c r="A2" s="3"/>
      <c r="B2" s="2"/>
      <c r="C2" s="2"/>
      <c r="D2" s="2"/>
      <c r="F2" s="2"/>
      <c r="H2" s="2"/>
      <c r="I2" s="2"/>
      <c r="J2" s="2"/>
      <c r="K2" s="2"/>
      <c r="L2" s="2"/>
      <c r="M2" s="2"/>
    </row>
    <row r="3" spans="1:26" ht="14.4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26" ht="14.4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26" ht="14.4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26" ht="15" x14ac:dyDescent="0.25">
      <c r="A6" s="2"/>
      <c r="B6" s="2"/>
      <c r="C6" s="2"/>
      <c r="D6" s="2"/>
      <c r="E6" s="8" t="s">
        <v>0</v>
      </c>
      <c r="F6" s="8"/>
      <c r="G6" s="2"/>
      <c r="H6" s="2"/>
      <c r="I6" s="2"/>
      <c r="J6" s="2"/>
      <c r="K6" s="2"/>
      <c r="L6" s="2"/>
      <c r="M6" s="2"/>
    </row>
    <row r="7" spans="1:26" ht="26.25" x14ac:dyDescent="0.4">
      <c r="A7" s="2"/>
      <c r="B7" s="2"/>
      <c r="C7" s="2"/>
      <c r="D7" s="2"/>
      <c r="E7" s="2"/>
      <c r="F7" s="4" t="s">
        <v>1</v>
      </c>
      <c r="G7" s="2"/>
      <c r="H7" s="2"/>
      <c r="I7" s="2"/>
      <c r="J7" s="2"/>
      <c r="K7" s="2"/>
      <c r="L7" s="2"/>
      <c r="M7" s="2"/>
    </row>
    <row r="8" spans="1:26" ht="14.45" customHeight="1" thickBot="1" x14ac:dyDescent="0.3">
      <c r="A8" s="5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45" customHeight="1" thickTop="1" thickBot="1" x14ac:dyDescent="0.3">
      <c r="A9" s="2"/>
      <c r="B9" s="14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"/>
      <c r="O9" s="1"/>
    </row>
    <row r="10" spans="1:26" ht="15" x14ac:dyDescent="0.25">
      <c r="A10" s="16" t="s">
        <v>2</v>
      </c>
      <c r="B10" s="17">
        <v>5000</v>
      </c>
    </row>
    <row r="11" spans="1:26" ht="15.75" thickBot="1" x14ac:dyDescent="0.3">
      <c r="A11" s="18" t="s">
        <v>3</v>
      </c>
      <c r="B11" s="19">
        <v>6500</v>
      </c>
    </row>
    <row r="12" spans="1:26" ht="15" x14ac:dyDescent="0.25">
      <c r="A12" s="37"/>
      <c r="B12" s="36"/>
    </row>
    <row r="13" spans="1:26" ht="15.75" thickBot="1" x14ac:dyDescent="0.3">
      <c r="A13" s="40" t="s">
        <v>4</v>
      </c>
      <c r="B13" s="40"/>
      <c r="C13" s="40"/>
      <c r="D13" s="40"/>
      <c r="E13" s="40"/>
      <c r="F13" s="40"/>
      <c r="G13" s="40"/>
      <c r="H13" s="40"/>
      <c r="I13" s="40"/>
    </row>
    <row r="14" spans="1:26" ht="43.5" customHeight="1" thickBot="1" x14ac:dyDescent="0.3">
      <c r="A14" s="16" t="s">
        <v>5</v>
      </c>
      <c r="B14" s="20" t="s">
        <v>6</v>
      </c>
      <c r="C14" s="20" t="s">
        <v>7</v>
      </c>
      <c r="D14" s="20" t="s">
        <v>8</v>
      </c>
      <c r="E14" s="20" t="s">
        <v>9</v>
      </c>
      <c r="F14" s="20" t="s">
        <v>10</v>
      </c>
      <c r="G14" s="20" t="s">
        <v>11</v>
      </c>
      <c r="H14" s="20" t="s">
        <v>12</v>
      </c>
      <c r="I14" s="20" t="s">
        <v>13</v>
      </c>
      <c r="K14" s="42" t="s">
        <v>14</v>
      </c>
      <c r="L14" s="42"/>
      <c r="M14" s="42"/>
      <c r="S14" s="41" t="s">
        <v>15</v>
      </c>
      <c r="T14" s="41"/>
      <c r="U14" s="41"/>
    </row>
    <row r="15" spans="1:26" ht="15" x14ac:dyDescent="0.25">
      <c r="A15" s="21" t="s">
        <v>16</v>
      </c>
      <c r="B15" s="9" t="s">
        <v>17</v>
      </c>
      <c r="C15" s="9" t="s">
        <v>18</v>
      </c>
      <c r="D15" s="9" t="s">
        <v>19</v>
      </c>
      <c r="E15" s="9">
        <v>5</v>
      </c>
      <c r="F15" s="9">
        <v>4</v>
      </c>
      <c r="G15" s="9">
        <v>1</v>
      </c>
      <c r="H15" s="9">
        <f>ROUNDDOWN(E15/3,0)+ROUNDDOWN(E15/2,0)</f>
        <v>3</v>
      </c>
      <c r="I15" s="9" t="str">
        <f>IF(OR(DAY(C15)=24,DAY(C15)=25,DAY(C15)=31),"Especial","No especial")</f>
        <v>No especial</v>
      </c>
      <c r="J15" s="38"/>
      <c r="K15" s="29" t="s">
        <v>5</v>
      </c>
      <c r="L15" s="30" t="s">
        <v>20</v>
      </c>
      <c r="M15" s="31" t="s">
        <v>21</v>
      </c>
      <c r="S15" s="34" t="s">
        <v>22</v>
      </c>
      <c r="T15" s="35" t="s">
        <v>19</v>
      </c>
      <c r="U15" s="31" t="s">
        <v>23</v>
      </c>
    </row>
    <row r="16" spans="1:26" ht="15" customHeight="1" x14ac:dyDescent="0.25">
      <c r="A16" s="21" t="s">
        <v>24</v>
      </c>
      <c r="B16" s="9" t="s">
        <v>17</v>
      </c>
      <c r="C16" s="9" t="s">
        <v>25</v>
      </c>
      <c r="D16" s="9" t="s">
        <v>19</v>
      </c>
      <c r="E16" s="9">
        <v>19</v>
      </c>
      <c r="F16" s="9">
        <v>18</v>
      </c>
      <c r="G16" s="9">
        <v>1</v>
      </c>
      <c r="H16" s="9">
        <f t="shared" ref="H16:H79" si="0">ROUNDDOWN(E16/3,0)+ROUNDDOWN(E16/2,0)</f>
        <v>15</v>
      </c>
      <c r="I16" s="9" t="str">
        <f t="shared" ref="I16:I79" si="1">IF(OR(DAY(C16)=24,DAY(C16)=25,DAY(C16)=31),"Especial","No especial")</f>
        <v>No especial</v>
      </c>
      <c r="J16" s="38"/>
      <c r="K16" s="24" t="s">
        <v>26</v>
      </c>
      <c r="L16" s="10">
        <f>COUNTIF($A$15:$A$118,$K16)</f>
        <v>20</v>
      </c>
      <c r="M16" s="39">
        <f>SUMIF($A$15:$A$118,$K16,$G$15:$G$118)*$B$11+SUMIF($A$15:$A$118,$K16,$F$15:$F$118)*$B$10</f>
        <v>1382000</v>
      </c>
      <c r="S16" s="21">
        <v>1</v>
      </c>
      <c r="T16" s="9">
        <f>SUMIFS($E$15:$E$118,$D$15:$D$118,T$15,$C$15:$C$118,$S16&amp;"/12/2015")</f>
        <v>15</v>
      </c>
      <c r="U16" s="9">
        <f>SUMIFS($E$15:$E$118,$D$15:$D$118,U$15,$C$15:$C$118,$S16&amp;"/12/2015")</f>
        <v>0</v>
      </c>
    </row>
    <row r="17" spans="1:21" ht="15" x14ac:dyDescent="0.25">
      <c r="A17" s="21" t="s">
        <v>24</v>
      </c>
      <c r="B17" s="9" t="s">
        <v>27</v>
      </c>
      <c r="C17" s="9" t="s">
        <v>28</v>
      </c>
      <c r="D17" s="9" t="s">
        <v>23</v>
      </c>
      <c r="E17" s="9">
        <v>7</v>
      </c>
      <c r="F17" s="9">
        <v>1</v>
      </c>
      <c r="G17" s="9">
        <v>6</v>
      </c>
      <c r="H17" s="9">
        <f t="shared" si="0"/>
        <v>5</v>
      </c>
      <c r="I17" s="9" t="str">
        <f t="shared" si="1"/>
        <v>No especial</v>
      </c>
      <c r="J17" s="38"/>
      <c r="K17" s="24" t="s">
        <v>29</v>
      </c>
      <c r="L17" s="10">
        <f t="shared" ref="L17:L19" si="2">COUNTIF($A$15:$A$118,$K17)</f>
        <v>28</v>
      </c>
      <c r="M17" s="39">
        <f t="shared" ref="M17:M19" si="3">SUMIF($A$15:$A$118,$K17,$G$15:$G$118)*$B$11+SUMIF($A$15:$A$118,$K17,$F$15:$F$118)*$B$10</f>
        <v>2021000</v>
      </c>
      <c r="S17" s="21">
        <v>2</v>
      </c>
      <c r="T17" s="9">
        <f t="shared" ref="T17:U46" si="4">SUMIFS($E$15:$E$118,$D$15:$D$118,T$15,$C$15:$C$118,$S17&amp;"/12/2015")</f>
        <v>13</v>
      </c>
      <c r="U17" s="9">
        <f t="shared" si="4"/>
        <v>23</v>
      </c>
    </row>
    <row r="18" spans="1:21" ht="15" x14ac:dyDescent="0.25">
      <c r="A18" s="21" t="s">
        <v>29</v>
      </c>
      <c r="B18" s="9" t="s">
        <v>30</v>
      </c>
      <c r="C18" s="9" t="s">
        <v>31</v>
      </c>
      <c r="D18" s="9" t="s">
        <v>19</v>
      </c>
      <c r="E18" s="9">
        <v>11</v>
      </c>
      <c r="F18" s="9">
        <v>2</v>
      </c>
      <c r="G18" s="9">
        <v>9</v>
      </c>
      <c r="H18" s="9">
        <f t="shared" si="0"/>
        <v>8</v>
      </c>
      <c r="I18" s="9" t="str">
        <f t="shared" si="1"/>
        <v>No especial</v>
      </c>
      <c r="J18" s="38"/>
      <c r="K18" s="24" t="s">
        <v>24</v>
      </c>
      <c r="L18" s="10">
        <f t="shared" si="2"/>
        <v>30</v>
      </c>
      <c r="M18" s="39">
        <f t="shared" si="3"/>
        <v>2162000</v>
      </c>
      <c r="S18" s="21">
        <v>3</v>
      </c>
      <c r="T18" s="9">
        <f t="shared" si="4"/>
        <v>37</v>
      </c>
      <c r="U18" s="9">
        <f t="shared" si="4"/>
        <v>0</v>
      </c>
    </row>
    <row r="19" spans="1:21" ht="15.75" thickBot="1" x14ac:dyDescent="0.3">
      <c r="A19" s="21" t="s">
        <v>24</v>
      </c>
      <c r="B19" s="9" t="s">
        <v>27</v>
      </c>
      <c r="C19" s="9" t="s">
        <v>32</v>
      </c>
      <c r="D19" s="9" t="s">
        <v>19</v>
      </c>
      <c r="E19" s="9">
        <v>18</v>
      </c>
      <c r="F19" s="9">
        <v>16</v>
      </c>
      <c r="G19" s="9">
        <v>2</v>
      </c>
      <c r="H19" s="9">
        <f t="shared" si="0"/>
        <v>15</v>
      </c>
      <c r="I19" s="9" t="str">
        <f t="shared" si="1"/>
        <v>No especial</v>
      </c>
      <c r="J19" s="38"/>
      <c r="K19" s="25" t="s">
        <v>16</v>
      </c>
      <c r="L19" s="10">
        <f t="shared" si="2"/>
        <v>26</v>
      </c>
      <c r="M19" s="39">
        <f t="shared" si="3"/>
        <v>1603000</v>
      </c>
      <c r="S19" s="21">
        <v>4</v>
      </c>
      <c r="T19" s="9">
        <f t="shared" si="4"/>
        <v>10</v>
      </c>
      <c r="U19" s="9">
        <f t="shared" si="4"/>
        <v>20</v>
      </c>
    </row>
    <row r="20" spans="1:21" ht="15" x14ac:dyDescent="0.25">
      <c r="A20" s="21" t="s">
        <v>24</v>
      </c>
      <c r="B20" s="9" t="s">
        <v>33</v>
      </c>
      <c r="C20" s="9" t="s">
        <v>34</v>
      </c>
      <c r="D20" s="9" t="s">
        <v>23</v>
      </c>
      <c r="E20" s="9">
        <v>19</v>
      </c>
      <c r="F20" s="9">
        <v>6</v>
      </c>
      <c r="G20" s="9">
        <v>13</v>
      </c>
      <c r="H20" s="9">
        <f t="shared" si="0"/>
        <v>15</v>
      </c>
      <c r="I20" s="9" t="str">
        <f t="shared" si="1"/>
        <v>No especial</v>
      </c>
      <c r="J20" s="38"/>
      <c r="S20" s="21">
        <v>5</v>
      </c>
      <c r="T20" s="9">
        <f t="shared" si="4"/>
        <v>0</v>
      </c>
      <c r="U20" s="9">
        <f t="shared" si="4"/>
        <v>12</v>
      </c>
    </row>
    <row r="21" spans="1:21" ht="15" x14ac:dyDescent="0.25">
      <c r="A21" s="21" t="s">
        <v>24</v>
      </c>
      <c r="B21" s="9" t="s">
        <v>27</v>
      </c>
      <c r="C21" s="9" t="s">
        <v>35</v>
      </c>
      <c r="D21" s="9" t="s">
        <v>23</v>
      </c>
      <c r="E21" s="9">
        <v>9</v>
      </c>
      <c r="F21" s="9">
        <v>7</v>
      </c>
      <c r="G21" s="9">
        <v>2</v>
      </c>
      <c r="H21" s="9">
        <f t="shared" si="0"/>
        <v>7</v>
      </c>
      <c r="I21" s="9" t="str">
        <f t="shared" si="1"/>
        <v>No especial</v>
      </c>
      <c r="J21" s="38"/>
      <c r="S21" s="21">
        <v>6</v>
      </c>
      <c r="T21" s="9">
        <f t="shared" si="4"/>
        <v>38</v>
      </c>
      <c r="U21" s="9">
        <f t="shared" si="4"/>
        <v>16</v>
      </c>
    </row>
    <row r="22" spans="1:21" ht="15.75" thickBot="1" x14ac:dyDescent="0.3">
      <c r="A22" s="21" t="s">
        <v>16</v>
      </c>
      <c r="B22" s="9" t="s">
        <v>27</v>
      </c>
      <c r="C22" s="9" t="s">
        <v>36</v>
      </c>
      <c r="D22" s="9" t="s">
        <v>23</v>
      </c>
      <c r="E22" s="9">
        <v>12</v>
      </c>
      <c r="F22" s="9">
        <v>12</v>
      </c>
      <c r="G22" s="9">
        <v>0</v>
      </c>
      <c r="H22" s="9">
        <f t="shared" si="0"/>
        <v>10</v>
      </c>
      <c r="I22" s="9" t="str">
        <f t="shared" si="1"/>
        <v>No especial</v>
      </c>
      <c r="J22" s="38"/>
      <c r="K22" s="41" t="s">
        <v>37</v>
      </c>
      <c r="L22" s="41"/>
      <c r="M22" s="41"/>
      <c r="N22" s="41"/>
      <c r="O22" s="41"/>
      <c r="P22" s="41"/>
      <c r="Q22" s="41"/>
      <c r="S22" s="21">
        <v>7</v>
      </c>
      <c r="T22" s="9">
        <f t="shared" si="4"/>
        <v>0</v>
      </c>
      <c r="U22" s="9">
        <f t="shared" si="4"/>
        <v>35</v>
      </c>
    </row>
    <row r="23" spans="1:21" ht="15" x14ac:dyDescent="0.25">
      <c r="A23" s="21" t="s">
        <v>24</v>
      </c>
      <c r="B23" s="9" t="s">
        <v>38</v>
      </c>
      <c r="C23" s="9" t="s">
        <v>39</v>
      </c>
      <c r="D23" s="9" t="s">
        <v>19</v>
      </c>
      <c r="E23" s="9">
        <v>5</v>
      </c>
      <c r="F23" s="9">
        <v>4</v>
      </c>
      <c r="G23" s="9">
        <v>1</v>
      </c>
      <c r="H23" s="9">
        <f t="shared" si="0"/>
        <v>3</v>
      </c>
      <c r="I23" s="9" t="str">
        <f t="shared" si="1"/>
        <v>No especial</v>
      </c>
      <c r="J23" s="38"/>
      <c r="K23" s="32"/>
      <c r="L23" s="33"/>
      <c r="M23" s="46" t="s">
        <v>5</v>
      </c>
      <c r="N23" s="47"/>
      <c r="O23" s="47"/>
      <c r="P23" s="48"/>
      <c r="Q23" s="49" t="s">
        <v>40</v>
      </c>
      <c r="S23" s="21">
        <v>8</v>
      </c>
      <c r="T23" s="9">
        <f t="shared" si="4"/>
        <v>0</v>
      </c>
      <c r="U23" s="9">
        <f t="shared" si="4"/>
        <v>38</v>
      </c>
    </row>
    <row r="24" spans="1:21" ht="15" x14ac:dyDescent="0.25">
      <c r="A24" s="21" t="s">
        <v>24</v>
      </c>
      <c r="B24" s="9" t="s">
        <v>33</v>
      </c>
      <c r="C24" s="9" t="s">
        <v>41</v>
      </c>
      <c r="D24" s="9" t="s">
        <v>23</v>
      </c>
      <c r="E24" s="9">
        <v>18</v>
      </c>
      <c r="F24" s="9">
        <v>12</v>
      </c>
      <c r="G24" s="9">
        <v>6</v>
      </c>
      <c r="H24" s="9">
        <f t="shared" si="0"/>
        <v>15</v>
      </c>
      <c r="I24" s="9" t="str">
        <f t="shared" si="1"/>
        <v>No especial</v>
      </c>
      <c r="J24" s="38"/>
      <c r="K24" s="26"/>
      <c r="L24" s="15"/>
      <c r="M24" s="13" t="s">
        <v>26</v>
      </c>
      <c r="N24" s="13" t="s">
        <v>29</v>
      </c>
      <c r="O24" s="13" t="s">
        <v>24</v>
      </c>
      <c r="P24" s="13" t="s">
        <v>16</v>
      </c>
      <c r="Q24" s="50"/>
      <c r="S24" s="21">
        <v>9</v>
      </c>
      <c r="T24" s="9">
        <f t="shared" si="4"/>
        <v>26</v>
      </c>
      <c r="U24" s="9">
        <f t="shared" si="4"/>
        <v>0</v>
      </c>
    </row>
    <row r="25" spans="1:21" ht="15" x14ac:dyDescent="0.25">
      <c r="A25" s="21" t="s">
        <v>26</v>
      </c>
      <c r="B25" s="9" t="s">
        <v>33</v>
      </c>
      <c r="C25" s="9" t="s">
        <v>39</v>
      </c>
      <c r="D25" s="9" t="s">
        <v>19</v>
      </c>
      <c r="E25" s="9">
        <v>6</v>
      </c>
      <c r="F25" s="9">
        <v>4</v>
      </c>
      <c r="G25" s="9">
        <v>2</v>
      </c>
      <c r="H25" s="9">
        <f t="shared" si="0"/>
        <v>5</v>
      </c>
      <c r="I25" s="9" t="str">
        <f t="shared" si="1"/>
        <v>No especial</v>
      </c>
      <c r="J25" s="38"/>
      <c r="K25" s="43" t="s">
        <v>42</v>
      </c>
      <c r="L25" s="12" t="s">
        <v>17</v>
      </c>
      <c r="M25" s="10">
        <f>SUMIFS($E$15:$E$118,$B$15:$B$118,$L25,$A$15:$A$118,M$24)</f>
        <v>62</v>
      </c>
      <c r="N25" s="10">
        <f t="shared" ref="N25:P25" si="5">SUMIFS($E$15:$E$118,$B$15:$B$118,$L25,$A$15:$A$118,N$24)</f>
        <v>77</v>
      </c>
      <c r="O25" s="10">
        <f t="shared" si="5"/>
        <v>61</v>
      </c>
      <c r="P25" s="10">
        <f t="shared" si="5"/>
        <v>74</v>
      </c>
      <c r="Q25" s="27">
        <f>SUM(M25:P25)</f>
        <v>274</v>
      </c>
      <c r="S25" s="21">
        <v>10</v>
      </c>
      <c r="T25" s="9">
        <f t="shared" si="4"/>
        <v>61</v>
      </c>
      <c r="U25" s="9">
        <f t="shared" si="4"/>
        <v>18</v>
      </c>
    </row>
    <row r="26" spans="1:21" ht="15" x14ac:dyDescent="0.25">
      <c r="A26" s="21" t="s">
        <v>16</v>
      </c>
      <c r="B26" s="9" t="s">
        <v>27</v>
      </c>
      <c r="C26" s="9" t="s">
        <v>43</v>
      </c>
      <c r="D26" s="9" t="s">
        <v>19</v>
      </c>
      <c r="E26" s="9">
        <v>5</v>
      </c>
      <c r="F26" s="9">
        <v>1</v>
      </c>
      <c r="G26" s="9">
        <v>4</v>
      </c>
      <c r="H26" s="9">
        <f t="shared" si="0"/>
        <v>3</v>
      </c>
      <c r="I26" s="9" t="str">
        <f t="shared" si="1"/>
        <v>No especial</v>
      </c>
      <c r="J26" s="38"/>
      <c r="K26" s="44"/>
      <c r="L26" s="12" t="s">
        <v>33</v>
      </c>
      <c r="M26" s="10">
        <f>SUMIFS($E$15:$E$118,$B$15:$B$118,$L26,$A$15:$A$118,M$24)</f>
        <v>23</v>
      </c>
      <c r="N26" s="10">
        <f t="shared" ref="M26:P29" si="6">SUMIFS($E$15:$E$118,$B$15:$B$118,$L26,$A$15:$A$118,N$24)</f>
        <v>44</v>
      </c>
      <c r="O26" s="10">
        <f t="shared" si="6"/>
        <v>98</v>
      </c>
      <c r="P26" s="10">
        <f t="shared" si="6"/>
        <v>57</v>
      </c>
      <c r="Q26" s="27">
        <f t="shared" ref="Q26:Q29" si="7">SUM(M26:P26)</f>
        <v>222</v>
      </c>
      <c r="S26" s="21">
        <v>11</v>
      </c>
      <c r="T26" s="9">
        <f t="shared" si="4"/>
        <v>34</v>
      </c>
      <c r="U26" s="9">
        <f t="shared" si="4"/>
        <v>0</v>
      </c>
    </row>
    <row r="27" spans="1:21" ht="15" x14ac:dyDescent="0.25">
      <c r="A27" s="21" t="s">
        <v>16</v>
      </c>
      <c r="B27" s="9" t="s">
        <v>30</v>
      </c>
      <c r="C27" s="9" t="s">
        <v>44</v>
      </c>
      <c r="D27" s="9" t="s">
        <v>23</v>
      </c>
      <c r="E27" s="9">
        <v>6</v>
      </c>
      <c r="F27" s="9">
        <v>4</v>
      </c>
      <c r="G27" s="9">
        <v>2</v>
      </c>
      <c r="H27" s="9">
        <f t="shared" si="0"/>
        <v>5</v>
      </c>
      <c r="I27" s="9" t="str">
        <f t="shared" si="1"/>
        <v>No especial</v>
      </c>
      <c r="J27" s="38"/>
      <c r="K27" s="44"/>
      <c r="L27" s="12" t="s">
        <v>30</v>
      </c>
      <c r="M27" s="10">
        <f t="shared" si="6"/>
        <v>80</v>
      </c>
      <c r="N27" s="10">
        <f t="shared" si="6"/>
        <v>66</v>
      </c>
      <c r="O27" s="10">
        <f t="shared" si="6"/>
        <v>75</v>
      </c>
      <c r="P27" s="10">
        <f t="shared" si="6"/>
        <v>55</v>
      </c>
      <c r="Q27" s="27">
        <f t="shared" si="7"/>
        <v>276</v>
      </c>
      <c r="S27" s="21">
        <v>12</v>
      </c>
      <c r="T27" s="9">
        <f t="shared" si="4"/>
        <v>37</v>
      </c>
      <c r="U27" s="9">
        <f t="shared" si="4"/>
        <v>48</v>
      </c>
    </row>
    <row r="28" spans="1:21" ht="15" x14ac:dyDescent="0.25">
      <c r="A28" s="21" t="s">
        <v>26</v>
      </c>
      <c r="B28" s="9" t="s">
        <v>38</v>
      </c>
      <c r="C28" s="9" t="s">
        <v>45</v>
      </c>
      <c r="D28" s="9" t="s">
        <v>19</v>
      </c>
      <c r="E28" s="9">
        <v>9</v>
      </c>
      <c r="F28" s="9">
        <v>7</v>
      </c>
      <c r="G28" s="9">
        <v>2</v>
      </c>
      <c r="H28" s="9">
        <f t="shared" si="0"/>
        <v>7</v>
      </c>
      <c r="I28" s="9" t="str">
        <f t="shared" si="1"/>
        <v>No especial</v>
      </c>
      <c r="J28" s="38"/>
      <c r="K28" s="44"/>
      <c r="L28" s="12" t="s">
        <v>38</v>
      </c>
      <c r="M28" s="10">
        <f t="shared" si="6"/>
        <v>25</v>
      </c>
      <c r="N28" s="10">
        <f t="shared" si="6"/>
        <v>42</v>
      </c>
      <c r="O28" s="10">
        <f t="shared" si="6"/>
        <v>81</v>
      </c>
      <c r="P28" s="10">
        <f t="shared" si="6"/>
        <v>39</v>
      </c>
      <c r="Q28" s="27">
        <f t="shared" si="7"/>
        <v>187</v>
      </c>
      <c r="S28" s="21">
        <v>13</v>
      </c>
      <c r="T28" s="9">
        <f t="shared" si="4"/>
        <v>40</v>
      </c>
      <c r="U28" s="9">
        <f t="shared" si="4"/>
        <v>29</v>
      </c>
    </row>
    <row r="29" spans="1:21" ht="15.75" thickBot="1" x14ac:dyDescent="0.3">
      <c r="A29" s="21" t="s">
        <v>16</v>
      </c>
      <c r="B29" s="9" t="s">
        <v>33</v>
      </c>
      <c r="C29" s="9" t="s">
        <v>46</v>
      </c>
      <c r="D29" s="9" t="s">
        <v>23</v>
      </c>
      <c r="E29" s="9">
        <v>15</v>
      </c>
      <c r="F29" s="9">
        <v>9</v>
      </c>
      <c r="G29" s="9">
        <v>6</v>
      </c>
      <c r="H29" s="9">
        <f t="shared" si="0"/>
        <v>12</v>
      </c>
      <c r="I29" s="9" t="str">
        <f t="shared" si="1"/>
        <v>Especial</v>
      </c>
      <c r="J29" s="38"/>
      <c r="K29" s="45"/>
      <c r="L29" s="28" t="s">
        <v>27</v>
      </c>
      <c r="M29" s="10">
        <f t="shared" si="6"/>
        <v>63</v>
      </c>
      <c r="N29" s="10">
        <f t="shared" si="6"/>
        <v>123</v>
      </c>
      <c r="O29" s="10">
        <f t="shared" si="6"/>
        <v>70</v>
      </c>
      <c r="P29" s="10">
        <f t="shared" si="6"/>
        <v>65</v>
      </c>
      <c r="Q29" s="27">
        <f t="shared" si="7"/>
        <v>321</v>
      </c>
      <c r="S29" s="21">
        <v>14</v>
      </c>
      <c r="T29" s="9">
        <f t="shared" si="4"/>
        <v>9</v>
      </c>
      <c r="U29" s="9">
        <f t="shared" si="4"/>
        <v>39</v>
      </c>
    </row>
    <row r="30" spans="1:21" ht="15" x14ac:dyDescent="0.25">
      <c r="A30" s="21" t="s">
        <v>29</v>
      </c>
      <c r="B30" s="9" t="s">
        <v>27</v>
      </c>
      <c r="C30" s="9" t="s">
        <v>28</v>
      </c>
      <c r="D30" s="9" t="s">
        <v>23</v>
      </c>
      <c r="E30" s="9">
        <v>16</v>
      </c>
      <c r="F30" s="9">
        <v>9</v>
      </c>
      <c r="G30" s="9">
        <v>7</v>
      </c>
      <c r="H30" s="9">
        <f t="shared" si="0"/>
        <v>13</v>
      </c>
      <c r="I30" s="9" t="str">
        <f t="shared" si="1"/>
        <v>No especial</v>
      </c>
      <c r="J30" s="38"/>
      <c r="S30" s="21">
        <v>15</v>
      </c>
      <c r="T30" s="9">
        <f t="shared" si="4"/>
        <v>0</v>
      </c>
      <c r="U30" s="9">
        <f t="shared" si="4"/>
        <v>38</v>
      </c>
    </row>
    <row r="31" spans="1:21" ht="15" x14ac:dyDescent="0.25">
      <c r="A31" s="21" t="s">
        <v>29</v>
      </c>
      <c r="B31" s="9" t="s">
        <v>30</v>
      </c>
      <c r="C31" s="9" t="s">
        <v>47</v>
      </c>
      <c r="D31" s="9" t="s">
        <v>19</v>
      </c>
      <c r="E31" s="9">
        <v>15</v>
      </c>
      <c r="F31" s="9">
        <v>4</v>
      </c>
      <c r="G31" s="9">
        <v>11</v>
      </c>
      <c r="H31" s="9">
        <f t="shared" si="0"/>
        <v>12</v>
      </c>
      <c r="I31" s="9" t="str">
        <f t="shared" si="1"/>
        <v>No especial</v>
      </c>
      <c r="J31" s="38"/>
      <c r="S31" s="21">
        <v>16</v>
      </c>
      <c r="T31" s="9">
        <f t="shared" si="4"/>
        <v>23</v>
      </c>
      <c r="U31" s="9">
        <f t="shared" si="4"/>
        <v>6</v>
      </c>
    </row>
    <row r="32" spans="1:21" ht="15" x14ac:dyDescent="0.25">
      <c r="A32" s="21" t="s">
        <v>29</v>
      </c>
      <c r="B32" s="9" t="s">
        <v>38</v>
      </c>
      <c r="C32" s="9" t="s">
        <v>31</v>
      </c>
      <c r="D32" s="9" t="s">
        <v>19</v>
      </c>
      <c r="E32" s="9">
        <v>7</v>
      </c>
      <c r="F32" s="9">
        <v>4</v>
      </c>
      <c r="G32" s="9">
        <v>3</v>
      </c>
      <c r="H32" s="9">
        <f t="shared" si="0"/>
        <v>5</v>
      </c>
      <c r="I32" s="9" t="str">
        <f t="shared" si="1"/>
        <v>No especial</v>
      </c>
      <c r="J32" s="38"/>
      <c r="S32" s="21">
        <v>17</v>
      </c>
      <c r="T32" s="9">
        <f t="shared" si="4"/>
        <v>0</v>
      </c>
      <c r="U32" s="9">
        <f t="shared" si="4"/>
        <v>16</v>
      </c>
    </row>
    <row r="33" spans="1:21" ht="15" x14ac:dyDescent="0.25">
      <c r="A33" s="21" t="s">
        <v>26</v>
      </c>
      <c r="B33" s="9" t="s">
        <v>38</v>
      </c>
      <c r="C33" s="9" t="s">
        <v>35</v>
      </c>
      <c r="D33" s="9" t="s">
        <v>19</v>
      </c>
      <c r="E33" s="9">
        <v>7</v>
      </c>
      <c r="F33" s="9">
        <v>2</v>
      </c>
      <c r="G33" s="9">
        <v>5</v>
      </c>
      <c r="H33" s="9">
        <f t="shared" si="0"/>
        <v>5</v>
      </c>
      <c r="I33" s="9" t="str">
        <f t="shared" si="1"/>
        <v>No especial</v>
      </c>
      <c r="J33" s="38"/>
      <c r="S33" s="21">
        <v>18</v>
      </c>
      <c r="T33" s="9">
        <f t="shared" si="4"/>
        <v>38</v>
      </c>
      <c r="U33" s="9">
        <f t="shared" si="4"/>
        <v>26</v>
      </c>
    </row>
    <row r="34" spans="1:21" ht="15" x14ac:dyDescent="0.25">
      <c r="A34" s="21" t="s">
        <v>24</v>
      </c>
      <c r="B34" s="9" t="s">
        <v>27</v>
      </c>
      <c r="C34" s="9" t="s">
        <v>48</v>
      </c>
      <c r="D34" s="9" t="s">
        <v>19</v>
      </c>
      <c r="E34" s="9">
        <v>14</v>
      </c>
      <c r="F34" s="9">
        <v>7</v>
      </c>
      <c r="G34" s="9">
        <v>7</v>
      </c>
      <c r="H34" s="9">
        <f t="shared" si="0"/>
        <v>11</v>
      </c>
      <c r="I34" s="9" t="str">
        <f t="shared" si="1"/>
        <v>No especial</v>
      </c>
      <c r="J34" s="38"/>
      <c r="S34" s="21">
        <v>19</v>
      </c>
      <c r="T34" s="9">
        <f t="shared" si="4"/>
        <v>19</v>
      </c>
      <c r="U34" s="9">
        <f t="shared" si="4"/>
        <v>15</v>
      </c>
    </row>
    <row r="35" spans="1:21" ht="15" x14ac:dyDescent="0.25">
      <c r="A35" s="21" t="s">
        <v>26</v>
      </c>
      <c r="B35" s="9" t="s">
        <v>27</v>
      </c>
      <c r="C35" s="9" t="s">
        <v>49</v>
      </c>
      <c r="D35" s="9" t="s">
        <v>23</v>
      </c>
      <c r="E35" s="9">
        <v>7</v>
      </c>
      <c r="F35" s="9">
        <v>7</v>
      </c>
      <c r="G35" s="9">
        <v>0</v>
      </c>
      <c r="H35" s="9">
        <f t="shared" si="0"/>
        <v>5</v>
      </c>
      <c r="I35" s="9" t="str">
        <f t="shared" si="1"/>
        <v>No especial</v>
      </c>
      <c r="J35" s="38"/>
      <c r="S35" s="21">
        <v>20</v>
      </c>
      <c r="T35" s="9">
        <f t="shared" si="4"/>
        <v>0</v>
      </c>
      <c r="U35" s="9">
        <f t="shared" si="4"/>
        <v>38</v>
      </c>
    </row>
    <row r="36" spans="1:21" ht="15" x14ac:dyDescent="0.25">
      <c r="A36" s="21" t="s">
        <v>29</v>
      </c>
      <c r="B36" s="9" t="s">
        <v>27</v>
      </c>
      <c r="C36" s="9" t="s">
        <v>31</v>
      </c>
      <c r="D36" s="9" t="s">
        <v>19</v>
      </c>
      <c r="E36" s="9">
        <v>8</v>
      </c>
      <c r="F36" s="9">
        <v>5</v>
      </c>
      <c r="G36" s="9">
        <v>3</v>
      </c>
      <c r="H36" s="9">
        <f t="shared" si="0"/>
        <v>6</v>
      </c>
      <c r="I36" s="9" t="str">
        <f t="shared" si="1"/>
        <v>No especial</v>
      </c>
      <c r="J36" s="38"/>
      <c r="S36" s="21">
        <v>21</v>
      </c>
      <c r="T36" s="9">
        <f t="shared" si="4"/>
        <v>0</v>
      </c>
      <c r="U36" s="9">
        <f t="shared" si="4"/>
        <v>47</v>
      </c>
    </row>
    <row r="37" spans="1:21" ht="15" x14ac:dyDescent="0.25">
      <c r="A37" s="21" t="s">
        <v>24</v>
      </c>
      <c r="B37" s="9" t="s">
        <v>17</v>
      </c>
      <c r="C37" s="9" t="s">
        <v>43</v>
      </c>
      <c r="D37" s="9" t="s">
        <v>23</v>
      </c>
      <c r="E37" s="9">
        <v>10</v>
      </c>
      <c r="F37" s="9">
        <v>9</v>
      </c>
      <c r="G37" s="9">
        <v>1</v>
      </c>
      <c r="H37" s="9">
        <f t="shared" si="0"/>
        <v>8</v>
      </c>
      <c r="I37" s="9" t="str">
        <f t="shared" si="1"/>
        <v>No especial</v>
      </c>
      <c r="J37" s="38"/>
      <c r="S37" s="21">
        <v>22</v>
      </c>
      <c r="T37" s="9">
        <f t="shared" si="4"/>
        <v>12</v>
      </c>
      <c r="U37" s="9">
        <f t="shared" si="4"/>
        <v>14</v>
      </c>
    </row>
    <row r="38" spans="1:21" ht="15" x14ac:dyDescent="0.25">
      <c r="A38" s="21" t="s">
        <v>16</v>
      </c>
      <c r="B38" s="9" t="s">
        <v>17</v>
      </c>
      <c r="C38" s="9" t="s">
        <v>50</v>
      </c>
      <c r="D38" s="9" t="s">
        <v>23</v>
      </c>
      <c r="E38" s="9">
        <v>16</v>
      </c>
      <c r="F38" s="9">
        <v>11</v>
      </c>
      <c r="G38" s="9">
        <v>5</v>
      </c>
      <c r="H38" s="9">
        <f t="shared" si="0"/>
        <v>13</v>
      </c>
      <c r="I38" s="9" t="str">
        <f t="shared" si="1"/>
        <v>No especial</v>
      </c>
      <c r="J38" s="38"/>
      <c r="S38" s="21">
        <v>23</v>
      </c>
      <c r="T38" s="9">
        <f t="shared" si="4"/>
        <v>20</v>
      </c>
      <c r="U38" s="9">
        <f t="shared" si="4"/>
        <v>18</v>
      </c>
    </row>
    <row r="39" spans="1:21" ht="15" x14ac:dyDescent="0.25">
      <c r="A39" s="21" t="s">
        <v>24</v>
      </c>
      <c r="B39" s="9" t="s">
        <v>30</v>
      </c>
      <c r="C39" s="9" t="s">
        <v>51</v>
      </c>
      <c r="D39" s="9" t="s">
        <v>23</v>
      </c>
      <c r="E39" s="9">
        <v>8</v>
      </c>
      <c r="F39" s="9">
        <v>3</v>
      </c>
      <c r="G39" s="9">
        <v>5</v>
      </c>
      <c r="H39" s="9">
        <f t="shared" si="0"/>
        <v>6</v>
      </c>
      <c r="I39" s="9" t="str">
        <f t="shared" si="1"/>
        <v>No especial</v>
      </c>
      <c r="J39" s="38"/>
      <c r="S39" s="21">
        <v>24</v>
      </c>
      <c r="T39" s="9">
        <f t="shared" si="4"/>
        <v>5</v>
      </c>
      <c r="U39" s="9">
        <f t="shared" si="4"/>
        <v>76</v>
      </c>
    </row>
    <row r="40" spans="1:21" ht="15" x14ac:dyDescent="0.25">
      <c r="A40" s="21" t="s">
        <v>29</v>
      </c>
      <c r="B40" s="9" t="s">
        <v>27</v>
      </c>
      <c r="C40" s="9" t="s">
        <v>35</v>
      </c>
      <c r="D40" s="9" t="s">
        <v>19</v>
      </c>
      <c r="E40" s="9">
        <v>13</v>
      </c>
      <c r="F40" s="9">
        <v>3</v>
      </c>
      <c r="G40" s="9">
        <v>10</v>
      </c>
      <c r="H40" s="9">
        <f t="shared" si="0"/>
        <v>10</v>
      </c>
      <c r="I40" s="9" t="str">
        <f t="shared" si="1"/>
        <v>No especial</v>
      </c>
      <c r="J40" s="38"/>
      <c r="S40" s="21">
        <v>25</v>
      </c>
      <c r="T40" s="9">
        <f t="shared" si="4"/>
        <v>13</v>
      </c>
      <c r="U40" s="9">
        <f t="shared" si="4"/>
        <v>37</v>
      </c>
    </row>
    <row r="41" spans="1:21" ht="15" x14ac:dyDescent="0.25">
      <c r="A41" s="21" t="s">
        <v>29</v>
      </c>
      <c r="B41" s="9" t="s">
        <v>38</v>
      </c>
      <c r="C41" s="9" t="s">
        <v>52</v>
      </c>
      <c r="D41" s="9" t="s">
        <v>23</v>
      </c>
      <c r="E41" s="9">
        <v>20</v>
      </c>
      <c r="F41" s="9">
        <v>6</v>
      </c>
      <c r="G41" s="9">
        <v>14</v>
      </c>
      <c r="H41" s="9">
        <f t="shared" si="0"/>
        <v>16</v>
      </c>
      <c r="I41" s="9" t="str">
        <f t="shared" si="1"/>
        <v>No especial</v>
      </c>
      <c r="J41" s="38"/>
      <c r="S41" s="21">
        <v>26</v>
      </c>
      <c r="T41" s="9">
        <f t="shared" si="4"/>
        <v>9</v>
      </c>
      <c r="U41" s="9">
        <f t="shared" si="4"/>
        <v>13</v>
      </c>
    </row>
    <row r="42" spans="1:21" ht="15" x14ac:dyDescent="0.25">
      <c r="A42" s="21" t="s">
        <v>29</v>
      </c>
      <c r="B42" s="9" t="s">
        <v>30</v>
      </c>
      <c r="C42" s="9" t="s">
        <v>45</v>
      </c>
      <c r="D42" s="9" t="s">
        <v>23</v>
      </c>
      <c r="E42" s="9">
        <v>15</v>
      </c>
      <c r="F42" s="9">
        <v>7</v>
      </c>
      <c r="G42" s="9">
        <v>8</v>
      </c>
      <c r="H42" s="9">
        <f t="shared" si="0"/>
        <v>12</v>
      </c>
      <c r="I42" s="9" t="str">
        <f t="shared" si="1"/>
        <v>No especial</v>
      </c>
      <c r="J42" s="38"/>
      <c r="S42" s="21">
        <v>27</v>
      </c>
      <c r="T42" s="9">
        <f t="shared" si="4"/>
        <v>17</v>
      </c>
      <c r="U42" s="9">
        <f t="shared" si="4"/>
        <v>33</v>
      </c>
    </row>
    <row r="43" spans="1:21" ht="15" x14ac:dyDescent="0.25">
      <c r="A43" s="21" t="s">
        <v>24</v>
      </c>
      <c r="B43" s="9" t="s">
        <v>33</v>
      </c>
      <c r="C43" s="9" t="s">
        <v>53</v>
      </c>
      <c r="D43" s="9" t="s">
        <v>19</v>
      </c>
      <c r="E43" s="9">
        <v>9</v>
      </c>
      <c r="F43" s="9">
        <v>6</v>
      </c>
      <c r="G43" s="9">
        <v>3</v>
      </c>
      <c r="H43" s="9">
        <f t="shared" si="0"/>
        <v>7</v>
      </c>
      <c r="I43" s="9" t="str">
        <f t="shared" si="1"/>
        <v>No especial</v>
      </c>
      <c r="J43" s="38"/>
      <c r="S43" s="21">
        <v>28</v>
      </c>
      <c r="T43" s="9">
        <f t="shared" si="4"/>
        <v>18</v>
      </c>
      <c r="U43" s="9">
        <f t="shared" si="4"/>
        <v>20</v>
      </c>
    </row>
    <row r="44" spans="1:21" ht="15" x14ac:dyDescent="0.25">
      <c r="A44" s="21" t="s">
        <v>24</v>
      </c>
      <c r="B44" s="9" t="s">
        <v>30</v>
      </c>
      <c r="C44" s="9" t="s">
        <v>34</v>
      </c>
      <c r="D44" s="9" t="s">
        <v>23</v>
      </c>
      <c r="E44" s="9">
        <v>16</v>
      </c>
      <c r="F44" s="9">
        <v>7</v>
      </c>
      <c r="G44" s="9">
        <v>9</v>
      </c>
      <c r="H44" s="9">
        <f t="shared" si="0"/>
        <v>13</v>
      </c>
      <c r="I44" s="9" t="str">
        <f t="shared" si="1"/>
        <v>No especial</v>
      </c>
      <c r="J44" s="38"/>
      <c r="S44" s="21">
        <v>29</v>
      </c>
      <c r="T44" s="9">
        <f t="shared" si="4"/>
        <v>6</v>
      </c>
      <c r="U44" s="9">
        <f t="shared" si="4"/>
        <v>58</v>
      </c>
    </row>
    <row r="45" spans="1:21" ht="15" x14ac:dyDescent="0.25">
      <c r="A45" s="21" t="s">
        <v>26</v>
      </c>
      <c r="B45" s="9" t="s">
        <v>17</v>
      </c>
      <c r="C45" s="9" t="s">
        <v>46</v>
      </c>
      <c r="D45" s="9" t="s">
        <v>23</v>
      </c>
      <c r="E45" s="9">
        <v>20</v>
      </c>
      <c r="F45" s="9">
        <v>18</v>
      </c>
      <c r="G45" s="9">
        <v>2</v>
      </c>
      <c r="H45" s="9">
        <f t="shared" si="0"/>
        <v>16</v>
      </c>
      <c r="I45" s="9" t="str">
        <f t="shared" si="1"/>
        <v>Especial</v>
      </c>
      <c r="J45" s="38"/>
      <c r="S45" s="21">
        <v>30</v>
      </c>
      <c r="T45" s="9">
        <f t="shared" si="4"/>
        <v>25</v>
      </c>
      <c r="U45" s="9">
        <f t="shared" si="4"/>
        <v>11</v>
      </c>
    </row>
    <row r="46" spans="1:21" ht="15.75" thickBot="1" x14ac:dyDescent="0.3">
      <c r="A46" s="21" t="s">
        <v>24</v>
      </c>
      <c r="B46" s="9" t="s">
        <v>38</v>
      </c>
      <c r="C46" s="9" t="s">
        <v>28</v>
      </c>
      <c r="D46" s="9" t="s">
        <v>23</v>
      </c>
      <c r="E46" s="9">
        <v>8</v>
      </c>
      <c r="F46" s="9">
        <v>3</v>
      </c>
      <c r="G46" s="9">
        <v>5</v>
      </c>
      <c r="H46" s="9">
        <f t="shared" si="0"/>
        <v>6</v>
      </c>
      <c r="I46" s="9" t="str">
        <f t="shared" si="1"/>
        <v>No especial</v>
      </c>
      <c r="J46" s="38"/>
      <c r="S46" s="22">
        <v>31</v>
      </c>
      <c r="T46" s="9">
        <f t="shared" si="4"/>
        <v>0</v>
      </c>
      <c r="U46" s="9">
        <f t="shared" si="4"/>
        <v>11</v>
      </c>
    </row>
    <row r="47" spans="1:21" ht="15" x14ac:dyDescent="0.25">
      <c r="A47" s="21" t="s">
        <v>24</v>
      </c>
      <c r="B47" s="9" t="s">
        <v>33</v>
      </c>
      <c r="C47" s="9" t="s">
        <v>54</v>
      </c>
      <c r="D47" s="9" t="s">
        <v>19</v>
      </c>
      <c r="E47" s="9">
        <v>6</v>
      </c>
      <c r="F47" s="9">
        <v>3</v>
      </c>
      <c r="G47" s="9">
        <v>3</v>
      </c>
      <c r="H47" s="9">
        <f t="shared" si="0"/>
        <v>5</v>
      </c>
      <c r="I47" s="9" t="str">
        <f t="shared" si="1"/>
        <v>No especial</v>
      </c>
      <c r="J47" s="38"/>
    </row>
    <row r="48" spans="1:21" ht="15" x14ac:dyDescent="0.25">
      <c r="A48" s="21" t="s">
        <v>16</v>
      </c>
      <c r="B48" s="9" t="s">
        <v>30</v>
      </c>
      <c r="C48" s="9" t="s">
        <v>46</v>
      </c>
      <c r="D48" s="9" t="s">
        <v>23</v>
      </c>
      <c r="E48" s="9">
        <v>10</v>
      </c>
      <c r="F48" s="9">
        <v>1</v>
      </c>
      <c r="G48" s="9">
        <v>9</v>
      </c>
      <c r="H48" s="9">
        <f t="shared" si="0"/>
        <v>8</v>
      </c>
      <c r="I48" s="9" t="str">
        <f t="shared" si="1"/>
        <v>Especial</v>
      </c>
      <c r="J48" s="38"/>
    </row>
    <row r="49" spans="1:10" ht="15" x14ac:dyDescent="0.25">
      <c r="A49" s="21" t="s">
        <v>24</v>
      </c>
      <c r="B49" s="9" t="s">
        <v>38</v>
      </c>
      <c r="C49" s="9" t="s">
        <v>31</v>
      </c>
      <c r="D49" s="9" t="s">
        <v>19</v>
      </c>
      <c r="E49" s="9">
        <v>8</v>
      </c>
      <c r="F49" s="9">
        <v>5</v>
      </c>
      <c r="G49" s="9">
        <v>3</v>
      </c>
      <c r="H49" s="9">
        <f t="shared" si="0"/>
        <v>6</v>
      </c>
      <c r="I49" s="9" t="str">
        <f t="shared" si="1"/>
        <v>No especial</v>
      </c>
      <c r="J49" s="38"/>
    </row>
    <row r="50" spans="1:10" ht="15" x14ac:dyDescent="0.25">
      <c r="A50" s="21" t="s">
        <v>16</v>
      </c>
      <c r="B50" s="9" t="s">
        <v>33</v>
      </c>
      <c r="C50" s="9" t="s">
        <v>47</v>
      </c>
      <c r="D50" s="9" t="s">
        <v>19</v>
      </c>
      <c r="E50" s="9">
        <v>11</v>
      </c>
      <c r="F50" s="9">
        <v>4</v>
      </c>
      <c r="G50" s="9">
        <v>7</v>
      </c>
      <c r="H50" s="9">
        <f t="shared" si="0"/>
        <v>8</v>
      </c>
      <c r="I50" s="9" t="str">
        <f t="shared" si="1"/>
        <v>No especial</v>
      </c>
      <c r="J50" s="38"/>
    </row>
    <row r="51" spans="1:10" ht="15" x14ac:dyDescent="0.25">
      <c r="A51" s="21" t="s">
        <v>16</v>
      </c>
      <c r="B51" s="9" t="s">
        <v>33</v>
      </c>
      <c r="C51" s="9" t="s">
        <v>55</v>
      </c>
      <c r="D51" s="9" t="s">
        <v>19</v>
      </c>
      <c r="E51" s="9">
        <v>15</v>
      </c>
      <c r="F51" s="9">
        <v>10</v>
      </c>
      <c r="G51" s="9">
        <v>5</v>
      </c>
      <c r="H51" s="9">
        <f t="shared" si="0"/>
        <v>12</v>
      </c>
      <c r="I51" s="9" t="str">
        <f t="shared" si="1"/>
        <v>No especial</v>
      </c>
      <c r="J51" s="38"/>
    </row>
    <row r="52" spans="1:10" ht="15" x14ac:dyDescent="0.25">
      <c r="A52" s="21" t="s">
        <v>16</v>
      </c>
      <c r="B52" s="9" t="s">
        <v>27</v>
      </c>
      <c r="C52" s="9" t="s">
        <v>56</v>
      </c>
      <c r="D52" s="9" t="s">
        <v>19</v>
      </c>
      <c r="E52" s="9">
        <v>6</v>
      </c>
      <c r="F52" s="9">
        <v>5</v>
      </c>
      <c r="G52" s="9">
        <v>1</v>
      </c>
      <c r="H52" s="9">
        <f t="shared" si="0"/>
        <v>5</v>
      </c>
      <c r="I52" s="9" t="str">
        <f t="shared" si="1"/>
        <v>No especial</v>
      </c>
      <c r="J52" s="38"/>
    </row>
    <row r="53" spans="1:10" ht="15" x14ac:dyDescent="0.25">
      <c r="A53" s="21" t="s">
        <v>29</v>
      </c>
      <c r="B53" s="9" t="s">
        <v>27</v>
      </c>
      <c r="C53" s="9" t="s">
        <v>50</v>
      </c>
      <c r="D53" s="9" t="s">
        <v>23</v>
      </c>
      <c r="E53" s="9">
        <v>7</v>
      </c>
      <c r="F53" s="9">
        <v>6</v>
      </c>
      <c r="G53" s="9">
        <v>1</v>
      </c>
      <c r="H53" s="9">
        <f t="shared" si="0"/>
        <v>5</v>
      </c>
      <c r="I53" s="9" t="str">
        <f t="shared" si="1"/>
        <v>No especial</v>
      </c>
      <c r="J53" s="38"/>
    </row>
    <row r="54" spans="1:10" ht="15" x14ac:dyDescent="0.25">
      <c r="A54" s="21" t="s">
        <v>16</v>
      </c>
      <c r="B54" s="9" t="s">
        <v>17</v>
      </c>
      <c r="C54" s="9" t="s">
        <v>39</v>
      </c>
      <c r="D54" s="9" t="s">
        <v>19</v>
      </c>
      <c r="E54" s="9">
        <v>10</v>
      </c>
      <c r="F54" s="9">
        <v>5</v>
      </c>
      <c r="G54" s="9">
        <v>5</v>
      </c>
      <c r="H54" s="9">
        <f t="shared" si="0"/>
        <v>8</v>
      </c>
      <c r="I54" s="9" t="str">
        <f t="shared" si="1"/>
        <v>No especial</v>
      </c>
      <c r="J54" s="38"/>
    </row>
    <row r="55" spans="1:10" ht="15" x14ac:dyDescent="0.25">
      <c r="A55" s="21" t="s">
        <v>24</v>
      </c>
      <c r="B55" s="9" t="s">
        <v>38</v>
      </c>
      <c r="C55" s="9" t="s">
        <v>25</v>
      </c>
      <c r="D55" s="9" t="s">
        <v>23</v>
      </c>
      <c r="E55" s="9">
        <v>20</v>
      </c>
      <c r="F55" s="9">
        <v>8</v>
      </c>
      <c r="G55" s="9">
        <v>12</v>
      </c>
      <c r="H55" s="9">
        <f t="shared" si="0"/>
        <v>16</v>
      </c>
      <c r="I55" s="9" t="str">
        <f t="shared" si="1"/>
        <v>No especial</v>
      </c>
      <c r="J55" s="38"/>
    </row>
    <row r="56" spans="1:10" ht="15" x14ac:dyDescent="0.25">
      <c r="A56" s="21" t="s">
        <v>16</v>
      </c>
      <c r="B56" s="9" t="s">
        <v>30</v>
      </c>
      <c r="C56" s="9" t="s">
        <v>46</v>
      </c>
      <c r="D56" s="9" t="s">
        <v>23</v>
      </c>
      <c r="E56" s="9">
        <v>19</v>
      </c>
      <c r="F56" s="9">
        <v>10</v>
      </c>
      <c r="G56" s="9">
        <v>9</v>
      </c>
      <c r="H56" s="9">
        <f t="shared" si="0"/>
        <v>15</v>
      </c>
      <c r="I56" s="9" t="str">
        <f t="shared" si="1"/>
        <v>Especial</v>
      </c>
      <c r="J56" s="38"/>
    </row>
    <row r="57" spans="1:10" ht="15" x14ac:dyDescent="0.25">
      <c r="A57" s="21" t="s">
        <v>24</v>
      </c>
      <c r="B57" s="9" t="s">
        <v>30</v>
      </c>
      <c r="C57" s="9" t="s">
        <v>25</v>
      </c>
      <c r="D57" s="9" t="s">
        <v>23</v>
      </c>
      <c r="E57" s="9">
        <v>20</v>
      </c>
      <c r="F57" s="9">
        <v>1</v>
      </c>
      <c r="G57" s="9">
        <v>19</v>
      </c>
      <c r="H57" s="9">
        <f t="shared" si="0"/>
        <v>16</v>
      </c>
      <c r="I57" s="9" t="str">
        <f t="shared" si="1"/>
        <v>No especial</v>
      </c>
      <c r="J57" s="38"/>
    </row>
    <row r="58" spans="1:10" ht="15" x14ac:dyDescent="0.25">
      <c r="A58" s="21" t="s">
        <v>16</v>
      </c>
      <c r="B58" s="9" t="s">
        <v>38</v>
      </c>
      <c r="C58" s="9" t="s">
        <v>25</v>
      </c>
      <c r="D58" s="9" t="s">
        <v>19</v>
      </c>
      <c r="E58" s="9">
        <v>9</v>
      </c>
      <c r="F58" s="9">
        <v>4</v>
      </c>
      <c r="G58" s="9">
        <v>5</v>
      </c>
      <c r="H58" s="9">
        <f t="shared" si="0"/>
        <v>7</v>
      </c>
      <c r="I58" s="9" t="str">
        <f t="shared" si="1"/>
        <v>No especial</v>
      </c>
      <c r="J58" s="38"/>
    </row>
    <row r="59" spans="1:10" ht="15" x14ac:dyDescent="0.25">
      <c r="A59" s="21" t="s">
        <v>29</v>
      </c>
      <c r="B59" s="9" t="s">
        <v>17</v>
      </c>
      <c r="C59" s="9" t="s">
        <v>57</v>
      </c>
      <c r="D59" s="9" t="s">
        <v>23</v>
      </c>
      <c r="E59" s="9">
        <v>20</v>
      </c>
      <c r="F59" s="9">
        <v>19</v>
      </c>
      <c r="G59" s="9">
        <v>1</v>
      </c>
      <c r="H59" s="9">
        <f t="shared" si="0"/>
        <v>16</v>
      </c>
      <c r="I59" s="9" t="str">
        <f t="shared" si="1"/>
        <v>No especial</v>
      </c>
      <c r="J59" s="38"/>
    </row>
    <row r="60" spans="1:10" ht="15" x14ac:dyDescent="0.25">
      <c r="A60" s="21" t="s">
        <v>26</v>
      </c>
      <c r="B60" s="9" t="s">
        <v>30</v>
      </c>
      <c r="C60" s="9" t="s">
        <v>54</v>
      </c>
      <c r="D60" s="9" t="s">
        <v>23</v>
      </c>
      <c r="E60" s="9">
        <v>20</v>
      </c>
      <c r="F60" s="9">
        <v>18</v>
      </c>
      <c r="G60" s="9">
        <v>2</v>
      </c>
      <c r="H60" s="9">
        <f t="shared" si="0"/>
        <v>16</v>
      </c>
      <c r="I60" s="9" t="str">
        <f t="shared" si="1"/>
        <v>No especial</v>
      </c>
      <c r="J60" s="38"/>
    </row>
    <row r="61" spans="1:10" ht="15" x14ac:dyDescent="0.25">
      <c r="A61" s="21" t="s">
        <v>16</v>
      </c>
      <c r="B61" s="9" t="s">
        <v>27</v>
      </c>
      <c r="C61" s="9" t="s">
        <v>46</v>
      </c>
      <c r="D61" s="9" t="s">
        <v>23</v>
      </c>
      <c r="E61" s="9">
        <v>12</v>
      </c>
      <c r="F61" s="9">
        <v>2</v>
      </c>
      <c r="G61" s="9">
        <v>10</v>
      </c>
      <c r="H61" s="9">
        <f t="shared" si="0"/>
        <v>10</v>
      </c>
      <c r="I61" s="9" t="str">
        <f t="shared" si="1"/>
        <v>Especial</v>
      </c>
      <c r="J61" s="38"/>
    </row>
    <row r="62" spans="1:10" ht="15" x14ac:dyDescent="0.25">
      <c r="A62" s="21" t="s">
        <v>26</v>
      </c>
      <c r="B62" s="9" t="s">
        <v>17</v>
      </c>
      <c r="C62" s="9" t="s">
        <v>52</v>
      </c>
      <c r="D62" s="9" t="s">
        <v>23</v>
      </c>
      <c r="E62" s="9">
        <v>18</v>
      </c>
      <c r="F62" s="9">
        <v>12</v>
      </c>
      <c r="G62" s="9">
        <v>6</v>
      </c>
      <c r="H62" s="9">
        <f t="shared" si="0"/>
        <v>15</v>
      </c>
      <c r="I62" s="9" t="str">
        <f t="shared" si="1"/>
        <v>No especial</v>
      </c>
      <c r="J62" s="38"/>
    </row>
    <row r="63" spans="1:10" ht="15" x14ac:dyDescent="0.25">
      <c r="A63" s="21" t="s">
        <v>29</v>
      </c>
      <c r="B63" s="9" t="s">
        <v>27</v>
      </c>
      <c r="C63" s="9" t="s">
        <v>18</v>
      </c>
      <c r="D63" s="9" t="s">
        <v>19</v>
      </c>
      <c r="E63" s="9">
        <v>20</v>
      </c>
      <c r="F63" s="9">
        <v>7</v>
      </c>
      <c r="G63" s="9">
        <v>13</v>
      </c>
      <c r="H63" s="9">
        <f t="shared" si="0"/>
        <v>16</v>
      </c>
      <c r="I63" s="9" t="str">
        <f t="shared" si="1"/>
        <v>No especial</v>
      </c>
      <c r="J63" s="38"/>
    </row>
    <row r="64" spans="1:10" ht="15" x14ac:dyDescent="0.25">
      <c r="A64" s="21" t="s">
        <v>26</v>
      </c>
      <c r="B64" s="9" t="s">
        <v>17</v>
      </c>
      <c r="C64" s="9" t="s">
        <v>53</v>
      </c>
      <c r="D64" s="9" t="s">
        <v>23</v>
      </c>
      <c r="E64" s="9">
        <v>5</v>
      </c>
      <c r="F64" s="9">
        <v>5</v>
      </c>
      <c r="G64" s="9">
        <v>0</v>
      </c>
      <c r="H64" s="9">
        <f t="shared" si="0"/>
        <v>3</v>
      </c>
      <c r="I64" s="9" t="str">
        <f t="shared" si="1"/>
        <v>No especial</v>
      </c>
      <c r="J64" s="38"/>
    </row>
    <row r="65" spans="1:10" ht="15" x14ac:dyDescent="0.25">
      <c r="A65" s="21" t="s">
        <v>26</v>
      </c>
      <c r="B65" s="9" t="s">
        <v>30</v>
      </c>
      <c r="C65" s="9" t="s">
        <v>51</v>
      </c>
      <c r="D65" s="9" t="s">
        <v>23</v>
      </c>
      <c r="E65" s="9">
        <v>12</v>
      </c>
      <c r="F65" s="9">
        <v>6</v>
      </c>
      <c r="G65" s="9">
        <v>6</v>
      </c>
      <c r="H65" s="9">
        <f t="shared" si="0"/>
        <v>10</v>
      </c>
      <c r="I65" s="9" t="str">
        <f t="shared" si="1"/>
        <v>No especial</v>
      </c>
      <c r="J65" s="38"/>
    </row>
    <row r="66" spans="1:10" ht="15" x14ac:dyDescent="0.25">
      <c r="A66" s="21" t="s">
        <v>24</v>
      </c>
      <c r="B66" s="9" t="s">
        <v>30</v>
      </c>
      <c r="C66" s="9" t="s">
        <v>54</v>
      </c>
      <c r="D66" s="9" t="s">
        <v>23</v>
      </c>
      <c r="E66" s="9">
        <v>18</v>
      </c>
      <c r="F66" s="9">
        <v>13</v>
      </c>
      <c r="G66" s="9">
        <v>5</v>
      </c>
      <c r="H66" s="9">
        <f t="shared" si="0"/>
        <v>15</v>
      </c>
      <c r="I66" s="9" t="str">
        <f t="shared" si="1"/>
        <v>No especial</v>
      </c>
      <c r="J66" s="38"/>
    </row>
    <row r="67" spans="1:10" ht="15" x14ac:dyDescent="0.25">
      <c r="A67" s="21" t="s">
        <v>24</v>
      </c>
      <c r="B67" s="9" t="s">
        <v>27</v>
      </c>
      <c r="C67" s="9" t="s">
        <v>58</v>
      </c>
      <c r="D67" s="9" t="s">
        <v>19</v>
      </c>
      <c r="E67" s="9">
        <v>11</v>
      </c>
      <c r="F67" s="9">
        <v>5</v>
      </c>
      <c r="G67" s="9">
        <v>6</v>
      </c>
      <c r="H67" s="9">
        <f t="shared" si="0"/>
        <v>8</v>
      </c>
      <c r="I67" s="9" t="str">
        <f t="shared" si="1"/>
        <v>No especial</v>
      </c>
      <c r="J67" s="38"/>
    </row>
    <row r="68" spans="1:10" ht="15" x14ac:dyDescent="0.25">
      <c r="A68" s="21" t="s">
        <v>29</v>
      </c>
      <c r="B68" s="9" t="s">
        <v>27</v>
      </c>
      <c r="C68" s="9" t="s">
        <v>32</v>
      </c>
      <c r="D68" s="9" t="s">
        <v>23</v>
      </c>
      <c r="E68" s="9">
        <v>17</v>
      </c>
      <c r="F68" s="9">
        <v>1</v>
      </c>
      <c r="G68" s="9">
        <v>16</v>
      </c>
      <c r="H68" s="9">
        <f t="shared" si="0"/>
        <v>13</v>
      </c>
      <c r="I68" s="9" t="str">
        <f t="shared" si="1"/>
        <v>No especial</v>
      </c>
      <c r="J68" s="38"/>
    </row>
    <row r="69" spans="1:10" ht="15" x14ac:dyDescent="0.25">
      <c r="A69" s="21" t="s">
        <v>26</v>
      </c>
      <c r="B69" s="9" t="s">
        <v>27</v>
      </c>
      <c r="C69" s="9" t="s">
        <v>44</v>
      </c>
      <c r="D69" s="9" t="s">
        <v>19</v>
      </c>
      <c r="E69" s="9">
        <v>18</v>
      </c>
      <c r="F69" s="9">
        <v>9</v>
      </c>
      <c r="G69" s="9">
        <v>9</v>
      </c>
      <c r="H69" s="9">
        <f t="shared" si="0"/>
        <v>15</v>
      </c>
      <c r="I69" s="9" t="str">
        <f t="shared" si="1"/>
        <v>No especial</v>
      </c>
      <c r="J69" s="38"/>
    </row>
    <row r="70" spans="1:10" ht="15" x14ac:dyDescent="0.25">
      <c r="A70" s="21" t="s">
        <v>26</v>
      </c>
      <c r="B70" s="9" t="s">
        <v>17</v>
      </c>
      <c r="C70" s="9" t="s">
        <v>56</v>
      </c>
      <c r="D70" s="9" t="s">
        <v>23</v>
      </c>
      <c r="E70" s="9">
        <v>10</v>
      </c>
      <c r="F70" s="9">
        <v>9</v>
      </c>
      <c r="G70" s="9">
        <v>1</v>
      </c>
      <c r="H70" s="9">
        <f t="shared" si="0"/>
        <v>8</v>
      </c>
      <c r="I70" s="9" t="str">
        <f t="shared" si="1"/>
        <v>No especial</v>
      </c>
      <c r="J70" s="38"/>
    </row>
    <row r="71" spans="1:10" ht="15" x14ac:dyDescent="0.25">
      <c r="A71" s="21" t="s">
        <v>24</v>
      </c>
      <c r="B71" s="9" t="s">
        <v>33</v>
      </c>
      <c r="C71" s="9" t="s">
        <v>59</v>
      </c>
      <c r="D71" s="9" t="s">
        <v>19</v>
      </c>
      <c r="E71" s="9">
        <v>13</v>
      </c>
      <c r="F71" s="9">
        <v>10</v>
      </c>
      <c r="G71" s="9">
        <v>3</v>
      </c>
      <c r="H71" s="9">
        <f t="shared" si="0"/>
        <v>10</v>
      </c>
      <c r="I71" s="9" t="str">
        <f t="shared" si="1"/>
        <v>Especial</v>
      </c>
      <c r="J71" s="38"/>
    </row>
    <row r="72" spans="1:10" ht="15" x14ac:dyDescent="0.25">
      <c r="A72" s="21" t="s">
        <v>26</v>
      </c>
      <c r="B72" s="9" t="s">
        <v>17</v>
      </c>
      <c r="C72" s="9" t="s">
        <v>32</v>
      </c>
      <c r="D72" s="9" t="s">
        <v>23</v>
      </c>
      <c r="E72" s="9">
        <v>9</v>
      </c>
      <c r="F72" s="9">
        <v>3</v>
      </c>
      <c r="G72" s="9">
        <v>6</v>
      </c>
      <c r="H72" s="9">
        <f t="shared" si="0"/>
        <v>7</v>
      </c>
      <c r="I72" s="9" t="str">
        <f t="shared" si="1"/>
        <v>No especial</v>
      </c>
      <c r="J72" s="38"/>
    </row>
    <row r="73" spans="1:10" ht="15" x14ac:dyDescent="0.25">
      <c r="A73" s="21" t="s">
        <v>24</v>
      </c>
      <c r="B73" s="9" t="s">
        <v>17</v>
      </c>
      <c r="C73" s="9" t="s">
        <v>48</v>
      </c>
      <c r="D73" s="9" t="s">
        <v>19</v>
      </c>
      <c r="E73" s="9">
        <v>12</v>
      </c>
      <c r="F73" s="9">
        <v>12</v>
      </c>
      <c r="G73" s="9">
        <v>0</v>
      </c>
      <c r="H73" s="9">
        <f t="shared" si="0"/>
        <v>10</v>
      </c>
      <c r="I73" s="9" t="str">
        <f t="shared" si="1"/>
        <v>No especial</v>
      </c>
      <c r="J73" s="38"/>
    </row>
    <row r="74" spans="1:10" ht="15" x14ac:dyDescent="0.25">
      <c r="A74" s="21" t="s">
        <v>16</v>
      </c>
      <c r="B74" s="9" t="s">
        <v>38</v>
      </c>
      <c r="C74" s="9" t="s">
        <v>60</v>
      </c>
      <c r="D74" s="9" t="s">
        <v>23</v>
      </c>
      <c r="E74" s="9">
        <v>10</v>
      </c>
      <c r="F74" s="9">
        <v>8</v>
      </c>
      <c r="G74" s="9">
        <v>2</v>
      </c>
      <c r="H74" s="9">
        <f t="shared" si="0"/>
        <v>8</v>
      </c>
      <c r="I74" s="9" t="str">
        <f t="shared" si="1"/>
        <v>No especial</v>
      </c>
      <c r="J74" s="38"/>
    </row>
    <row r="75" spans="1:10" ht="15" x14ac:dyDescent="0.25">
      <c r="A75" s="21" t="s">
        <v>24</v>
      </c>
      <c r="B75" s="9" t="s">
        <v>17</v>
      </c>
      <c r="C75" s="9" t="s">
        <v>60</v>
      </c>
      <c r="D75" s="9" t="s">
        <v>19</v>
      </c>
      <c r="E75" s="9">
        <v>9</v>
      </c>
      <c r="F75" s="9">
        <v>6</v>
      </c>
      <c r="G75" s="9">
        <v>3</v>
      </c>
      <c r="H75" s="9">
        <f t="shared" si="0"/>
        <v>7</v>
      </c>
      <c r="I75" s="9" t="str">
        <f t="shared" si="1"/>
        <v>No especial</v>
      </c>
      <c r="J75" s="38"/>
    </row>
    <row r="76" spans="1:10" ht="15" x14ac:dyDescent="0.25">
      <c r="A76" s="21" t="s">
        <v>26</v>
      </c>
      <c r="B76" s="9" t="s">
        <v>38</v>
      </c>
      <c r="C76" s="9" t="s">
        <v>35</v>
      </c>
      <c r="D76" s="9" t="s">
        <v>23</v>
      </c>
      <c r="E76" s="9">
        <v>9</v>
      </c>
      <c r="F76" s="9">
        <v>9</v>
      </c>
      <c r="G76" s="9">
        <v>0</v>
      </c>
      <c r="H76" s="9">
        <f t="shared" si="0"/>
        <v>7</v>
      </c>
      <c r="I76" s="9" t="str">
        <f t="shared" si="1"/>
        <v>No especial</v>
      </c>
      <c r="J76" s="38"/>
    </row>
    <row r="77" spans="1:10" ht="15" x14ac:dyDescent="0.25">
      <c r="A77" s="21" t="s">
        <v>29</v>
      </c>
      <c r="B77" s="9" t="s">
        <v>27</v>
      </c>
      <c r="C77" s="9" t="s">
        <v>58</v>
      </c>
      <c r="D77" s="9" t="s">
        <v>23</v>
      </c>
      <c r="E77" s="9">
        <v>11</v>
      </c>
      <c r="F77" s="9">
        <v>5</v>
      </c>
      <c r="G77" s="9">
        <v>6</v>
      </c>
      <c r="H77" s="9">
        <f t="shared" si="0"/>
        <v>8</v>
      </c>
      <c r="I77" s="9" t="str">
        <f t="shared" si="1"/>
        <v>No especial</v>
      </c>
      <c r="J77" s="38"/>
    </row>
    <row r="78" spans="1:10" ht="15" x14ac:dyDescent="0.25">
      <c r="A78" s="21" t="s">
        <v>29</v>
      </c>
      <c r="B78" s="9" t="s">
        <v>27</v>
      </c>
      <c r="C78" s="9" t="s">
        <v>47</v>
      </c>
      <c r="D78" s="9" t="s">
        <v>19</v>
      </c>
      <c r="E78" s="9">
        <v>5</v>
      </c>
      <c r="F78" s="9">
        <v>4</v>
      </c>
      <c r="G78" s="9">
        <v>1</v>
      </c>
      <c r="H78" s="9">
        <f t="shared" si="0"/>
        <v>3</v>
      </c>
      <c r="I78" s="9" t="str">
        <f t="shared" si="1"/>
        <v>No especial</v>
      </c>
      <c r="J78" s="38"/>
    </row>
    <row r="79" spans="1:10" ht="15" x14ac:dyDescent="0.25">
      <c r="A79" s="21" t="s">
        <v>24</v>
      </c>
      <c r="B79" s="9" t="s">
        <v>38</v>
      </c>
      <c r="C79" s="9" t="s">
        <v>53</v>
      </c>
      <c r="D79" s="9" t="s">
        <v>23</v>
      </c>
      <c r="E79" s="9">
        <v>8</v>
      </c>
      <c r="F79" s="9">
        <v>4</v>
      </c>
      <c r="G79" s="9">
        <v>4</v>
      </c>
      <c r="H79" s="9">
        <f t="shared" si="0"/>
        <v>6</v>
      </c>
      <c r="I79" s="9" t="str">
        <f t="shared" si="1"/>
        <v>No especial</v>
      </c>
      <c r="J79" s="38"/>
    </row>
    <row r="80" spans="1:10" ht="15" x14ac:dyDescent="0.25">
      <c r="A80" s="21" t="s">
        <v>16</v>
      </c>
      <c r="B80" s="9" t="s">
        <v>27</v>
      </c>
      <c r="C80" s="9" t="s">
        <v>47</v>
      </c>
      <c r="D80" s="9" t="s">
        <v>19</v>
      </c>
      <c r="E80" s="9">
        <v>6</v>
      </c>
      <c r="F80" s="9">
        <v>4</v>
      </c>
      <c r="G80" s="9">
        <v>2</v>
      </c>
      <c r="H80" s="9">
        <f t="shared" ref="H80:H118" si="8">ROUNDDOWN(E80/3,0)+ROUNDDOWN(E80/2,0)</f>
        <v>5</v>
      </c>
      <c r="I80" s="9" t="str">
        <f t="shared" ref="I80:I118" si="9">IF(OR(DAY(C80)=24,DAY(C80)=25,DAY(C80)=31),"Especial","No especial")</f>
        <v>No especial</v>
      </c>
      <c r="J80" s="38"/>
    </row>
    <row r="81" spans="1:10" ht="15" x14ac:dyDescent="0.25">
      <c r="A81" s="21" t="s">
        <v>26</v>
      </c>
      <c r="B81" s="9" t="s">
        <v>30</v>
      </c>
      <c r="C81" s="9" t="s">
        <v>43</v>
      </c>
      <c r="D81" s="9" t="s">
        <v>23</v>
      </c>
      <c r="E81" s="9">
        <v>5</v>
      </c>
      <c r="F81" s="9">
        <v>2</v>
      </c>
      <c r="G81" s="9">
        <v>3</v>
      </c>
      <c r="H81" s="9">
        <f t="shared" si="8"/>
        <v>3</v>
      </c>
      <c r="I81" s="9" t="str">
        <f t="shared" si="9"/>
        <v>No especial</v>
      </c>
      <c r="J81" s="38"/>
    </row>
    <row r="82" spans="1:10" ht="15" x14ac:dyDescent="0.25">
      <c r="A82" s="21" t="s">
        <v>29</v>
      </c>
      <c r="B82" s="9" t="s">
        <v>17</v>
      </c>
      <c r="C82" s="9" t="s">
        <v>25</v>
      </c>
      <c r="D82" s="9" t="s">
        <v>19</v>
      </c>
      <c r="E82" s="9">
        <v>9</v>
      </c>
      <c r="F82" s="9">
        <v>1</v>
      </c>
      <c r="G82" s="9">
        <v>8</v>
      </c>
      <c r="H82" s="9">
        <f t="shared" si="8"/>
        <v>7</v>
      </c>
      <c r="I82" s="9" t="str">
        <f t="shared" si="9"/>
        <v>No especial</v>
      </c>
      <c r="J82" s="38"/>
    </row>
    <row r="83" spans="1:10" ht="15" x14ac:dyDescent="0.25">
      <c r="A83" s="21" t="s">
        <v>29</v>
      </c>
      <c r="B83" s="9" t="s">
        <v>38</v>
      </c>
      <c r="C83" s="9" t="s">
        <v>54</v>
      </c>
      <c r="D83" s="9" t="s">
        <v>23</v>
      </c>
      <c r="E83" s="9">
        <v>15</v>
      </c>
      <c r="F83" s="9">
        <v>10</v>
      </c>
      <c r="G83" s="9">
        <v>5</v>
      </c>
      <c r="H83" s="9">
        <f t="shared" si="8"/>
        <v>12</v>
      </c>
      <c r="I83" s="9" t="str">
        <f t="shared" si="9"/>
        <v>No especial</v>
      </c>
      <c r="J83" s="38"/>
    </row>
    <row r="84" spans="1:10" ht="15" x14ac:dyDescent="0.25">
      <c r="A84" s="21" t="s">
        <v>16</v>
      </c>
      <c r="B84" s="9" t="s">
        <v>27</v>
      </c>
      <c r="C84" s="9" t="s">
        <v>58</v>
      </c>
      <c r="D84" s="9" t="s">
        <v>19</v>
      </c>
      <c r="E84" s="9">
        <v>19</v>
      </c>
      <c r="F84" s="9">
        <v>15</v>
      </c>
      <c r="G84" s="9">
        <v>4</v>
      </c>
      <c r="H84" s="9">
        <f t="shared" si="8"/>
        <v>15</v>
      </c>
      <c r="I84" s="9" t="str">
        <f t="shared" si="9"/>
        <v>No especial</v>
      </c>
      <c r="J84" s="38"/>
    </row>
    <row r="85" spans="1:10" ht="15" x14ac:dyDescent="0.25">
      <c r="A85" s="21" t="s">
        <v>29</v>
      </c>
      <c r="B85" s="9" t="s">
        <v>17</v>
      </c>
      <c r="C85" s="9" t="s">
        <v>61</v>
      </c>
      <c r="D85" s="9" t="s">
        <v>19</v>
      </c>
      <c r="E85" s="9">
        <v>10</v>
      </c>
      <c r="F85" s="9">
        <v>7</v>
      </c>
      <c r="G85" s="9">
        <v>3</v>
      </c>
      <c r="H85" s="9">
        <f t="shared" si="8"/>
        <v>8</v>
      </c>
      <c r="I85" s="9" t="str">
        <f t="shared" si="9"/>
        <v>No especial</v>
      </c>
      <c r="J85" s="38"/>
    </row>
    <row r="86" spans="1:10" ht="15" x14ac:dyDescent="0.25">
      <c r="A86" s="21" t="s">
        <v>26</v>
      </c>
      <c r="B86" s="9" t="s">
        <v>30</v>
      </c>
      <c r="C86" s="9" t="s">
        <v>39</v>
      </c>
      <c r="D86" s="9" t="s">
        <v>23</v>
      </c>
      <c r="E86" s="9">
        <v>18</v>
      </c>
      <c r="F86" s="9">
        <v>16</v>
      </c>
      <c r="G86" s="9">
        <v>2</v>
      </c>
      <c r="H86" s="9">
        <f t="shared" si="8"/>
        <v>15</v>
      </c>
      <c r="I86" s="9" t="str">
        <f t="shared" si="9"/>
        <v>No especial</v>
      </c>
      <c r="J86" s="38"/>
    </row>
    <row r="87" spans="1:10" ht="15" x14ac:dyDescent="0.25">
      <c r="A87" s="21" t="s">
        <v>16</v>
      </c>
      <c r="B87" s="9" t="s">
        <v>38</v>
      </c>
      <c r="C87" s="9" t="s">
        <v>60</v>
      </c>
      <c r="D87" s="9" t="s">
        <v>23</v>
      </c>
      <c r="E87" s="9">
        <v>10</v>
      </c>
      <c r="F87" s="9">
        <v>7</v>
      </c>
      <c r="G87" s="9">
        <v>3</v>
      </c>
      <c r="H87" s="9">
        <f t="shared" si="8"/>
        <v>8</v>
      </c>
      <c r="I87" s="9" t="str">
        <f t="shared" si="9"/>
        <v>No especial</v>
      </c>
      <c r="J87" s="38"/>
    </row>
    <row r="88" spans="1:10" ht="15" x14ac:dyDescent="0.25">
      <c r="A88" s="21" t="s">
        <v>24</v>
      </c>
      <c r="B88" s="9" t="s">
        <v>33</v>
      </c>
      <c r="C88" s="9" t="s">
        <v>51</v>
      </c>
      <c r="D88" s="9" t="s">
        <v>19</v>
      </c>
      <c r="E88" s="9">
        <v>18</v>
      </c>
      <c r="F88" s="9">
        <v>14</v>
      </c>
      <c r="G88" s="9">
        <v>4</v>
      </c>
      <c r="H88" s="9">
        <f t="shared" si="8"/>
        <v>15</v>
      </c>
      <c r="I88" s="9" t="str">
        <f t="shared" si="9"/>
        <v>No especial</v>
      </c>
      <c r="J88" s="38"/>
    </row>
    <row r="89" spans="1:10" ht="15" x14ac:dyDescent="0.25">
      <c r="A89" s="21" t="s">
        <v>29</v>
      </c>
      <c r="B89" s="9" t="s">
        <v>33</v>
      </c>
      <c r="C89" s="9" t="s">
        <v>39</v>
      </c>
      <c r="D89" s="9" t="s">
        <v>19</v>
      </c>
      <c r="E89" s="9">
        <v>13</v>
      </c>
      <c r="F89" s="9">
        <v>3</v>
      </c>
      <c r="G89" s="9">
        <v>10</v>
      </c>
      <c r="H89" s="9">
        <f t="shared" si="8"/>
        <v>10</v>
      </c>
      <c r="I89" s="9" t="str">
        <f t="shared" si="9"/>
        <v>No especial</v>
      </c>
      <c r="J89" s="38"/>
    </row>
    <row r="90" spans="1:10" ht="15" x14ac:dyDescent="0.25">
      <c r="A90" s="21" t="s">
        <v>29</v>
      </c>
      <c r="B90" s="9" t="s">
        <v>27</v>
      </c>
      <c r="C90" s="9" t="s">
        <v>56</v>
      </c>
      <c r="D90" s="9" t="s">
        <v>23</v>
      </c>
      <c r="E90" s="9">
        <v>6</v>
      </c>
      <c r="F90" s="9">
        <v>6</v>
      </c>
      <c r="G90" s="9">
        <v>0</v>
      </c>
      <c r="H90" s="9">
        <f t="shared" si="8"/>
        <v>5</v>
      </c>
      <c r="I90" s="9" t="str">
        <f t="shared" si="9"/>
        <v>No especial</v>
      </c>
      <c r="J90" s="38"/>
    </row>
    <row r="91" spans="1:10" ht="15" x14ac:dyDescent="0.25">
      <c r="A91" s="21" t="s">
        <v>24</v>
      </c>
      <c r="B91" s="9" t="s">
        <v>30</v>
      </c>
      <c r="C91" s="9" t="s">
        <v>45</v>
      </c>
      <c r="D91" s="9" t="s">
        <v>23</v>
      </c>
      <c r="E91" s="9">
        <v>13</v>
      </c>
      <c r="F91" s="9">
        <v>4</v>
      </c>
      <c r="G91" s="9">
        <v>9</v>
      </c>
      <c r="H91" s="9">
        <f t="shared" si="8"/>
        <v>10</v>
      </c>
      <c r="I91" s="9" t="str">
        <f t="shared" si="9"/>
        <v>No especial</v>
      </c>
      <c r="J91" s="38"/>
    </row>
    <row r="92" spans="1:10" ht="15" x14ac:dyDescent="0.25">
      <c r="A92" s="21" t="s">
        <v>26</v>
      </c>
      <c r="B92" s="9" t="s">
        <v>30</v>
      </c>
      <c r="C92" s="9" t="s">
        <v>32</v>
      </c>
      <c r="D92" s="9" t="s">
        <v>19</v>
      </c>
      <c r="E92" s="9">
        <v>20</v>
      </c>
      <c r="F92" s="9">
        <v>13</v>
      </c>
      <c r="G92" s="9">
        <v>7</v>
      </c>
      <c r="H92" s="9">
        <f t="shared" si="8"/>
        <v>16</v>
      </c>
      <c r="I92" s="9" t="str">
        <f t="shared" si="9"/>
        <v>No especial</v>
      </c>
      <c r="J92" s="38"/>
    </row>
    <row r="93" spans="1:10" ht="15" x14ac:dyDescent="0.25">
      <c r="A93" s="21" t="s">
        <v>16</v>
      </c>
      <c r="B93" s="9" t="s">
        <v>27</v>
      </c>
      <c r="C93" s="9" t="s">
        <v>54</v>
      </c>
      <c r="D93" s="9" t="s">
        <v>23</v>
      </c>
      <c r="E93" s="9">
        <v>5</v>
      </c>
      <c r="F93" s="9">
        <v>2</v>
      </c>
      <c r="G93" s="9">
        <v>3</v>
      </c>
      <c r="H93" s="9">
        <f t="shared" si="8"/>
        <v>3</v>
      </c>
      <c r="I93" s="9" t="str">
        <f t="shared" si="9"/>
        <v>No especial</v>
      </c>
      <c r="J93" s="38"/>
    </row>
    <row r="94" spans="1:10" ht="15" x14ac:dyDescent="0.25">
      <c r="A94" s="21" t="s">
        <v>16</v>
      </c>
      <c r="B94" s="9" t="s">
        <v>17</v>
      </c>
      <c r="C94" s="9" t="s">
        <v>58</v>
      </c>
      <c r="D94" s="9" t="s">
        <v>23</v>
      </c>
      <c r="E94" s="9">
        <v>18</v>
      </c>
      <c r="F94" s="9">
        <v>12</v>
      </c>
      <c r="G94" s="9">
        <v>6</v>
      </c>
      <c r="H94" s="9">
        <f t="shared" si="8"/>
        <v>15</v>
      </c>
      <c r="I94" s="9" t="str">
        <f t="shared" si="9"/>
        <v>No especial</v>
      </c>
      <c r="J94" s="38"/>
    </row>
    <row r="95" spans="1:10" ht="15" x14ac:dyDescent="0.25">
      <c r="A95" s="21" t="s">
        <v>24</v>
      </c>
      <c r="B95" s="9" t="s">
        <v>27</v>
      </c>
      <c r="C95" s="9" t="s">
        <v>62</v>
      </c>
      <c r="D95" s="9" t="s">
        <v>23</v>
      </c>
      <c r="E95" s="9">
        <v>11</v>
      </c>
      <c r="F95" s="9">
        <v>10</v>
      </c>
      <c r="G95" s="9">
        <v>1</v>
      </c>
      <c r="H95" s="9">
        <f t="shared" si="8"/>
        <v>8</v>
      </c>
      <c r="I95" s="9" t="str">
        <f t="shared" si="9"/>
        <v>Especial</v>
      </c>
      <c r="J95" s="38"/>
    </row>
    <row r="96" spans="1:10" ht="15" x14ac:dyDescent="0.25">
      <c r="A96" s="21" t="s">
        <v>26</v>
      </c>
      <c r="B96" s="9" t="s">
        <v>27</v>
      </c>
      <c r="C96" s="9" t="s">
        <v>39</v>
      </c>
      <c r="D96" s="9" t="s">
        <v>19</v>
      </c>
      <c r="E96" s="9">
        <v>18</v>
      </c>
      <c r="F96" s="9">
        <v>3</v>
      </c>
      <c r="G96" s="9">
        <v>15</v>
      </c>
      <c r="H96" s="9">
        <f t="shared" si="8"/>
        <v>15</v>
      </c>
      <c r="I96" s="9" t="str">
        <f t="shared" si="9"/>
        <v>No especial</v>
      </c>
      <c r="J96" s="38"/>
    </row>
    <row r="97" spans="1:10" ht="15" x14ac:dyDescent="0.25">
      <c r="A97" s="21" t="s">
        <v>29</v>
      </c>
      <c r="B97" s="9" t="s">
        <v>30</v>
      </c>
      <c r="C97" s="9" t="s">
        <v>63</v>
      </c>
      <c r="D97" s="9" t="s">
        <v>23</v>
      </c>
      <c r="E97" s="9">
        <v>14</v>
      </c>
      <c r="F97" s="9">
        <v>13</v>
      </c>
      <c r="G97" s="9">
        <v>1</v>
      </c>
      <c r="H97" s="9">
        <f t="shared" si="8"/>
        <v>11</v>
      </c>
      <c r="I97" s="9" t="str">
        <f t="shared" si="9"/>
        <v>No especial</v>
      </c>
      <c r="J97" s="38"/>
    </row>
    <row r="98" spans="1:10" ht="15" x14ac:dyDescent="0.25">
      <c r="A98" s="21" t="s">
        <v>16</v>
      </c>
      <c r="B98" s="9" t="s">
        <v>30</v>
      </c>
      <c r="C98" s="9" t="s">
        <v>59</v>
      </c>
      <c r="D98" s="9" t="s">
        <v>23</v>
      </c>
      <c r="E98" s="9">
        <v>20</v>
      </c>
      <c r="F98" s="9">
        <v>20</v>
      </c>
      <c r="G98" s="9">
        <v>0</v>
      </c>
      <c r="H98" s="9">
        <f t="shared" si="8"/>
        <v>16</v>
      </c>
      <c r="I98" s="9" t="str">
        <f t="shared" si="9"/>
        <v>Especial</v>
      </c>
      <c r="J98" s="38"/>
    </row>
    <row r="99" spans="1:10" ht="15" x14ac:dyDescent="0.25">
      <c r="A99" s="21" t="s">
        <v>29</v>
      </c>
      <c r="B99" s="9" t="s">
        <v>30</v>
      </c>
      <c r="C99" s="9" t="s">
        <v>18</v>
      </c>
      <c r="D99" s="9" t="s">
        <v>23</v>
      </c>
      <c r="E99" s="9">
        <v>11</v>
      </c>
      <c r="F99" s="9">
        <v>7</v>
      </c>
      <c r="G99" s="9">
        <v>4</v>
      </c>
      <c r="H99" s="9">
        <f t="shared" si="8"/>
        <v>8</v>
      </c>
      <c r="I99" s="9" t="str">
        <f t="shared" si="9"/>
        <v>No especial</v>
      </c>
      <c r="J99" s="38"/>
    </row>
    <row r="100" spans="1:10" ht="15" x14ac:dyDescent="0.25">
      <c r="A100" s="21" t="s">
        <v>24</v>
      </c>
      <c r="B100" s="9" t="s">
        <v>38</v>
      </c>
      <c r="C100" s="9" t="s">
        <v>57</v>
      </c>
      <c r="D100" s="9" t="s">
        <v>23</v>
      </c>
      <c r="E100" s="9">
        <v>18</v>
      </c>
      <c r="F100" s="9">
        <v>12</v>
      </c>
      <c r="G100" s="9">
        <v>6</v>
      </c>
      <c r="H100" s="9">
        <f t="shared" si="8"/>
        <v>15</v>
      </c>
      <c r="I100" s="9" t="str">
        <f t="shared" si="9"/>
        <v>No especial</v>
      </c>
      <c r="J100" s="38"/>
    </row>
    <row r="101" spans="1:10" ht="15" x14ac:dyDescent="0.25">
      <c r="A101" s="21" t="s">
        <v>29</v>
      </c>
      <c r="B101" s="9" t="s">
        <v>17</v>
      </c>
      <c r="C101" s="9" t="s">
        <v>63</v>
      </c>
      <c r="D101" s="9" t="s">
        <v>19</v>
      </c>
      <c r="E101" s="9">
        <v>12</v>
      </c>
      <c r="F101" s="9">
        <v>6</v>
      </c>
      <c r="G101" s="9">
        <v>6</v>
      </c>
      <c r="H101" s="9">
        <f t="shared" si="8"/>
        <v>10</v>
      </c>
      <c r="I101" s="9" t="str">
        <f t="shared" si="9"/>
        <v>No especial</v>
      </c>
      <c r="J101" s="38"/>
    </row>
    <row r="102" spans="1:10" ht="15" x14ac:dyDescent="0.25">
      <c r="A102" s="21" t="s">
        <v>29</v>
      </c>
      <c r="B102" s="9" t="s">
        <v>33</v>
      </c>
      <c r="C102" s="9" t="s">
        <v>50</v>
      </c>
      <c r="D102" s="9" t="s">
        <v>19</v>
      </c>
      <c r="E102" s="9">
        <v>13</v>
      </c>
      <c r="F102" s="9">
        <v>13</v>
      </c>
      <c r="G102" s="9">
        <v>0</v>
      </c>
      <c r="H102" s="9">
        <f t="shared" si="8"/>
        <v>10</v>
      </c>
      <c r="I102" s="9" t="str">
        <f t="shared" si="9"/>
        <v>No especial</v>
      </c>
      <c r="J102" s="38"/>
    </row>
    <row r="103" spans="1:10" ht="15" x14ac:dyDescent="0.25">
      <c r="A103" s="21" t="s">
        <v>29</v>
      </c>
      <c r="B103" s="9" t="s">
        <v>33</v>
      </c>
      <c r="C103" s="9" t="s">
        <v>60</v>
      </c>
      <c r="D103" s="9" t="s">
        <v>23</v>
      </c>
      <c r="E103" s="9">
        <v>13</v>
      </c>
      <c r="F103" s="9">
        <v>9</v>
      </c>
      <c r="G103" s="9">
        <v>4</v>
      </c>
      <c r="H103" s="9">
        <f t="shared" si="8"/>
        <v>10</v>
      </c>
      <c r="I103" s="9" t="str">
        <f t="shared" si="9"/>
        <v>No especial</v>
      </c>
      <c r="J103" s="38"/>
    </row>
    <row r="104" spans="1:10" ht="15" x14ac:dyDescent="0.25">
      <c r="A104" s="21" t="s">
        <v>16</v>
      </c>
      <c r="B104" s="9" t="s">
        <v>17</v>
      </c>
      <c r="C104" s="9" t="s">
        <v>60</v>
      </c>
      <c r="D104" s="9" t="s">
        <v>19</v>
      </c>
      <c r="E104" s="9">
        <v>8</v>
      </c>
      <c r="F104" s="9">
        <v>7</v>
      </c>
      <c r="G104" s="9">
        <v>1</v>
      </c>
      <c r="H104" s="9">
        <f t="shared" si="8"/>
        <v>6</v>
      </c>
      <c r="I104" s="9" t="str">
        <f t="shared" si="9"/>
        <v>No especial</v>
      </c>
      <c r="J104" s="38"/>
    </row>
    <row r="105" spans="1:10" ht="15" x14ac:dyDescent="0.25">
      <c r="A105" s="21" t="s">
        <v>24</v>
      </c>
      <c r="B105" s="9" t="s">
        <v>17</v>
      </c>
      <c r="C105" s="9" t="s">
        <v>45</v>
      </c>
      <c r="D105" s="9" t="s">
        <v>23</v>
      </c>
      <c r="E105" s="9">
        <v>11</v>
      </c>
      <c r="F105" s="9">
        <v>8</v>
      </c>
      <c r="G105" s="9">
        <v>3</v>
      </c>
      <c r="H105" s="9">
        <f t="shared" si="8"/>
        <v>8</v>
      </c>
      <c r="I105" s="9" t="str">
        <f t="shared" si="9"/>
        <v>No especial</v>
      </c>
      <c r="J105" s="38"/>
    </row>
    <row r="106" spans="1:10" ht="15" x14ac:dyDescent="0.25">
      <c r="A106" s="21" t="s">
        <v>16</v>
      </c>
      <c r="B106" s="9" t="s">
        <v>17</v>
      </c>
      <c r="C106" s="9" t="s">
        <v>25</v>
      </c>
      <c r="D106" s="9" t="s">
        <v>23</v>
      </c>
      <c r="E106" s="9">
        <v>8</v>
      </c>
      <c r="F106" s="9">
        <v>7</v>
      </c>
      <c r="G106" s="9">
        <v>1</v>
      </c>
      <c r="H106" s="9">
        <f t="shared" si="8"/>
        <v>6</v>
      </c>
      <c r="I106" s="9" t="str">
        <f t="shared" si="9"/>
        <v>No especial</v>
      </c>
      <c r="J106" s="38"/>
    </row>
    <row r="107" spans="1:10" ht="15" x14ac:dyDescent="0.25">
      <c r="A107" s="21" t="s">
        <v>24</v>
      </c>
      <c r="B107" s="9" t="s">
        <v>33</v>
      </c>
      <c r="C107" s="9" t="s">
        <v>56</v>
      </c>
      <c r="D107" s="9" t="s">
        <v>19</v>
      </c>
      <c r="E107" s="9">
        <v>15</v>
      </c>
      <c r="F107" s="9">
        <v>3</v>
      </c>
      <c r="G107" s="9">
        <v>12</v>
      </c>
      <c r="H107" s="9">
        <f t="shared" si="8"/>
        <v>12</v>
      </c>
      <c r="I107" s="9" t="str">
        <f t="shared" si="9"/>
        <v>No especial</v>
      </c>
      <c r="J107" s="38"/>
    </row>
    <row r="108" spans="1:10" ht="15" x14ac:dyDescent="0.25">
      <c r="A108" s="21" t="s">
        <v>16</v>
      </c>
      <c r="B108" s="9" t="s">
        <v>38</v>
      </c>
      <c r="C108" s="9" t="s">
        <v>58</v>
      </c>
      <c r="D108" s="9" t="s">
        <v>19</v>
      </c>
      <c r="E108" s="9">
        <v>10</v>
      </c>
      <c r="F108" s="9">
        <v>6</v>
      </c>
      <c r="G108" s="9">
        <v>4</v>
      </c>
      <c r="H108" s="9">
        <f t="shared" si="8"/>
        <v>8</v>
      </c>
      <c r="I108" s="9" t="str">
        <f t="shared" si="9"/>
        <v>No especial</v>
      </c>
      <c r="J108" s="38"/>
    </row>
    <row r="109" spans="1:10" ht="15" x14ac:dyDescent="0.25">
      <c r="A109" s="21" t="s">
        <v>29</v>
      </c>
      <c r="B109" s="9" t="s">
        <v>27</v>
      </c>
      <c r="C109" s="9" t="s">
        <v>61</v>
      </c>
      <c r="D109" s="9" t="s">
        <v>23</v>
      </c>
      <c r="E109" s="9">
        <v>20</v>
      </c>
      <c r="F109" s="9">
        <v>5</v>
      </c>
      <c r="G109" s="9">
        <v>15</v>
      </c>
      <c r="H109" s="9">
        <f t="shared" si="8"/>
        <v>16</v>
      </c>
      <c r="I109" s="9" t="str">
        <f t="shared" si="9"/>
        <v>No especial</v>
      </c>
      <c r="J109" s="38"/>
    </row>
    <row r="110" spans="1:10" ht="15" x14ac:dyDescent="0.25">
      <c r="A110" s="21" t="s">
        <v>26</v>
      </c>
      <c r="B110" s="9" t="s">
        <v>30</v>
      </c>
      <c r="C110" s="9" t="s">
        <v>46</v>
      </c>
      <c r="D110" s="9" t="s">
        <v>19</v>
      </c>
      <c r="E110" s="9">
        <v>5</v>
      </c>
      <c r="F110" s="9">
        <v>5</v>
      </c>
      <c r="G110" s="9">
        <v>0</v>
      </c>
      <c r="H110" s="9">
        <f t="shared" si="8"/>
        <v>3</v>
      </c>
      <c r="I110" s="9" t="str">
        <f t="shared" si="9"/>
        <v>Especial</v>
      </c>
      <c r="J110" s="38"/>
    </row>
    <row r="111" spans="1:10" ht="15" x14ac:dyDescent="0.25">
      <c r="A111" s="21" t="s">
        <v>29</v>
      </c>
      <c r="B111" s="9" t="s">
        <v>17</v>
      </c>
      <c r="C111" s="9" t="s">
        <v>56</v>
      </c>
      <c r="D111" s="9" t="s">
        <v>19</v>
      </c>
      <c r="E111" s="9">
        <v>17</v>
      </c>
      <c r="F111" s="9">
        <v>8</v>
      </c>
      <c r="G111" s="9">
        <v>9</v>
      </c>
      <c r="H111" s="9">
        <f t="shared" si="8"/>
        <v>13</v>
      </c>
      <c r="I111" s="9" t="str">
        <f t="shared" si="9"/>
        <v>No especial</v>
      </c>
      <c r="J111" s="38"/>
    </row>
    <row r="112" spans="1:10" ht="15" x14ac:dyDescent="0.25">
      <c r="A112" s="21" t="s">
        <v>24</v>
      </c>
      <c r="B112" s="9" t="s">
        <v>38</v>
      </c>
      <c r="C112" s="9" t="s">
        <v>43</v>
      </c>
      <c r="D112" s="9" t="s">
        <v>19</v>
      </c>
      <c r="E112" s="9">
        <v>14</v>
      </c>
      <c r="F112" s="9">
        <v>10</v>
      </c>
      <c r="G112" s="9">
        <v>4</v>
      </c>
      <c r="H112" s="9">
        <f t="shared" si="8"/>
        <v>11</v>
      </c>
      <c r="I112" s="9" t="str">
        <f t="shared" si="9"/>
        <v>No especial</v>
      </c>
      <c r="J112" s="38"/>
    </row>
    <row r="113" spans="1:10" ht="15" x14ac:dyDescent="0.25">
      <c r="A113" s="21" t="s">
        <v>29</v>
      </c>
      <c r="B113" s="9" t="s">
        <v>33</v>
      </c>
      <c r="C113" s="9" t="s">
        <v>44</v>
      </c>
      <c r="D113" s="9" t="s">
        <v>19</v>
      </c>
      <c r="E113" s="9">
        <v>5</v>
      </c>
      <c r="F113" s="9">
        <v>4</v>
      </c>
      <c r="G113" s="9">
        <v>1</v>
      </c>
      <c r="H113" s="9">
        <f t="shared" si="8"/>
        <v>3</v>
      </c>
      <c r="I113" s="9" t="str">
        <f t="shared" si="9"/>
        <v>No especial</v>
      </c>
      <c r="J113" s="38"/>
    </row>
    <row r="114" spans="1:10" ht="15" x14ac:dyDescent="0.25">
      <c r="A114" s="21" t="s">
        <v>29</v>
      </c>
      <c r="B114" s="9" t="s">
        <v>17</v>
      </c>
      <c r="C114" s="9" t="s">
        <v>39</v>
      </c>
      <c r="D114" s="9" t="s">
        <v>19</v>
      </c>
      <c r="E114" s="9">
        <v>9</v>
      </c>
      <c r="F114" s="9">
        <v>4</v>
      </c>
      <c r="G114" s="9">
        <v>5</v>
      </c>
      <c r="H114" s="9">
        <f t="shared" si="8"/>
        <v>7</v>
      </c>
      <c r="I114" s="9" t="str">
        <f t="shared" si="9"/>
        <v>No especial</v>
      </c>
      <c r="J114" s="38"/>
    </row>
    <row r="115" spans="1:10" ht="15" x14ac:dyDescent="0.25">
      <c r="A115" s="21" t="s">
        <v>16</v>
      </c>
      <c r="B115" s="9" t="s">
        <v>33</v>
      </c>
      <c r="C115" s="9" t="s">
        <v>28</v>
      </c>
      <c r="D115" s="9" t="s">
        <v>23</v>
      </c>
      <c r="E115" s="9">
        <v>16</v>
      </c>
      <c r="F115" s="9">
        <v>11</v>
      </c>
      <c r="G115" s="9">
        <v>5</v>
      </c>
      <c r="H115" s="9">
        <f t="shared" si="8"/>
        <v>13</v>
      </c>
      <c r="I115" s="9" t="str">
        <f t="shared" si="9"/>
        <v>No especial</v>
      </c>
      <c r="J115" s="38"/>
    </row>
    <row r="116" spans="1:10" ht="15" x14ac:dyDescent="0.25">
      <c r="A116" s="21" t="s">
        <v>26</v>
      </c>
      <c r="B116" s="9" t="s">
        <v>33</v>
      </c>
      <c r="C116" s="9" t="s">
        <v>59</v>
      </c>
      <c r="D116" s="9" t="s">
        <v>23</v>
      </c>
      <c r="E116" s="9">
        <v>17</v>
      </c>
      <c r="F116" s="9">
        <v>9</v>
      </c>
      <c r="G116" s="9">
        <v>8</v>
      </c>
      <c r="H116" s="9">
        <f t="shared" si="8"/>
        <v>13</v>
      </c>
      <c r="I116" s="9" t="str">
        <f t="shared" si="9"/>
        <v>Especial</v>
      </c>
      <c r="J116" s="38"/>
    </row>
    <row r="117" spans="1:10" ht="15" x14ac:dyDescent="0.25">
      <c r="A117" s="21" t="s">
        <v>16</v>
      </c>
      <c r="B117" s="9" t="s">
        <v>17</v>
      </c>
      <c r="C117" s="9" t="s">
        <v>49</v>
      </c>
      <c r="D117" s="9" t="s">
        <v>23</v>
      </c>
      <c r="E117" s="9">
        <v>9</v>
      </c>
      <c r="F117" s="9">
        <v>7</v>
      </c>
      <c r="G117" s="9">
        <v>2</v>
      </c>
      <c r="H117" s="9">
        <f t="shared" si="8"/>
        <v>7</v>
      </c>
      <c r="I117" s="9" t="str">
        <f t="shared" si="9"/>
        <v>No especial</v>
      </c>
      <c r="J117" s="38"/>
    </row>
    <row r="118" spans="1:10" ht="15.75" thickBot="1" x14ac:dyDescent="0.3">
      <c r="A118" s="22" t="s">
        <v>26</v>
      </c>
      <c r="B118" s="23" t="s">
        <v>27</v>
      </c>
      <c r="C118" s="23" t="s">
        <v>41</v>
      </c>
      <c r="D118" s="23" t="s">
        <v>23</v>
      </c>
      <c r="E118" s="23">
        <v>20</v>
      </c>
      <c r="F118" s="23">
        <v>18</v>
      </c>
      <c r="G118" s="23">
        <v>2</v>
      </c>
      <c r="H118" s="9">
        <f t="shared" si="8"/>
        <v>16</v>
      </c>
      <c r="I118" s="9" t="str">
        <f t="shared" si="9"/>
        <v>No especial</v>
      </c>
      <c r="J118" s="38"/>
    </row>
    <row r="119" spans="1:10" ht="14.45" customHeight="1" x14ac:dyDescent="0.25"/>
    <row r="120" spans="1:10" ht="14.45" customHeight="1" x14ac:dyDescent="0.25"/>
  </sheetData>
  <mergeCells count="7">
    <mergeCell ref="A13:I13"/>
    <mergeCell ref="S14:U14"/>
    <mergeCell ref="K14:M14"/>
    <mergeCell ref="K22:Q22"/>
    <mergeCell ref="K25:K29"/>
    <mergeCell ref="M23:P23"/>
    <mergeCell ref="Q23:Q2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187d6d-71cf-4345-a05c-1ad4336251df" xsi:nil="true"/>
    <lcf76f155ced4ddcb4097134ff3c332f xmlns="d87bfc22-b946-4a27-992e-b569612e237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76F077D8BAE846B1BC71F9ACADFD43" ma:contentTypeVersion="16" ma:contentTypeDescription="Crear nuevo documento." ma:contentTypeScope="" ma:versionID="ead3bd53f3d2d6650aab52c999d88f4d">
  <xsd:schema xmlns:xsd="http://www.w3.org/2001/XMLSchema" xmlns:xs="http://www.w3.org/2001/XMLSchema" xmlns:p="http://schemas.microsoft.com/office/2006/metadata/properties" xmlns:ns2="d87bfc22-b946-4a27-992e-b569612e2370" xmlns:ns3="8e187d6d-71cf-4345-a05c-1ad4336251df" targetNamespace="http://schemas.microsoft.com/office/2006/metadata/properties" ma:root="true" ma:fieldsID="ab66830ee26907b9893b989f9f538f59" ns2:_="" ns3:_="">
    <xsd:import namespace="d87bfc22-b946-4a27-992e-b569612e2370"/>
    <xsd:import namespace="8e187d6d-71cf-4345-a05c-1ad4336251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bfc22-b946-4a27-992e-b569612e23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87d6d-71cf-4345-a05c-1ad4336251d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cdefce6-cd2c-4b03-9764-5f947de3a291}" ma:internalName="TaxCatchAll" ma:showField="CatchAllData" ma:web="8e187d6d-71cf-4345-a05c-1ad4336251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1DFE46-1C26-41CB-AE91-1F552F69F1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205C11-7491-4ABD-B955-52F96DE1EE81}">
  <ds:schemaRefs>
    <ds:schemaRef ds:uri="http://schemas.microsoft.com/office/2006/metadata/properties"/>
    <ds:schemaRef ds:uri="http://schemas.microsoft.com/office/infopath/2007/PartnerControls"/>
    <ds:schemaRef ds:uri="8e187d6d-71cf-4345-a05c-1ad4336251df"/>
    <ds:schemaRef ds:uri="d87bfc22-b946-4a27-992e-b569612e2370"/>
  </ds:schemaRefs>
</ds:datastoreItem>
</file>

<file path=customXml/itemProps3.xml><?xml version="1.0" encoding="utf-8"?>
<ds:datastoreItem xmlns:ds="http://schemas.openxmlformats.org/officeDocument/2006/customXml" ds:itemID="{0229C471-D226-4147-B9F9-790B60AB34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7bfc22-b946-4a27-992e-b569612e2370"/>
    <ds:schemaRef ds:uri="8e187d6d-71cf-4345-a05c-1ad4336251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JuanJoPineda</dc:creator>
  <cp:keywords/>
  <dc:description/>
  <cp:lastModifiedBy>Mariana Velez Rivera</cp:lastModifiedBy>
  <cp:revision/>
  <dcterms:created xsi:type="dcterms:W3CDTF">2015-03-01T01:11:26Z</dcterms:created>
  <dcterms:modified xsi:type="dcterms:W3CDTF">2024-02-02T18:29:45Z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0x010100DD76F077D8BAE846B1BC71F9ACADFD43</vt:lpwstr>
  </property>
  <property fmtid="{D5CDD505-2E9C-101B-9397-08002B2CF9AE}" pid="3" name="MediaServiceImageTags">
    <vt:lpwstr/>
  </property>
</Properties>
</file>