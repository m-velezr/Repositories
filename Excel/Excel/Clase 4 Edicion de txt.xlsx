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velezr_uniandes_edu_co/Documents/Documentos/Universidad/Programación/Excel/SAD-20250923T212200Z-1-001/SAD/Excel/"/>
    </mc:Choice>
  </mc:AlternateContent>
  <xr:revisionPtr revIDLastSave="35" documentId="13_ncr:1_{FA682673-00D0-4166-AB65-8878756423C8}" xr6:coauthVersionLast="47" xr6:coauthVersionMax="47" xr10:uidLastSave="{F26EA3A8-B7B6-4EED-9D9F-2F991AB5C3B7}"/>
  <bookViews>
    <workbookView xWindow="-108" yWindow="-108" windowWidth="23256" windowHeight="12456" activeTab="2" xr2:uid="{00000000-000D-0000-FFFF-FFFF00000000}"/>
  </bookViews>
  <sheets>
    <sheet name="Fecha" sheetId="3" r:id="rId1"/>
    <sheet name="Texto" sheetId="2" r:id="rId2"/>
    <sheet name="Combinación Interesant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5" l="1"/>
  <c r="D100" i="2"/>
  <c r="D97" i="2"/>
  <c r="F89" i="2"/>
  <c r="C78" i="2"/>
  <c r="C66" i="2"/>
  <c r="C59" i="2"/>
  <c r="B55" i="2"/>
  <c r="H51" i="2"/>
  <c r="H47" i="2"/>
  <c r="E43" i="2"/>
  <c r="E42" i="2"/>
  <c r="B33" i="2"/>
  <c r="C25" i="3"/>
  <c r="C20" i="3"/>
  <c r="E4" i="5"/>
  <c r="D4" i="5"/>
  <c r="D11" i="5"/>
  <c r="D12" i="5"/>
  <c r="D13" i="5"/>
  <c r="D10" i="5"/>
  <c r="B89" i="2"/>
  <c r="B90" i="2"/>
  <c r="B87" i="2"/>
  <c r="B86" i="2"/>
  <c r="C11" i="5"/>
  <c r="C12" i="5"/>
  <c r="C13" i="5"/>
  <c r="B10" i="5"/>
  <c r="C10" i="5"/>
  <c r="B11" i="5"/>
  <c r="B12" i="5"/>
  <c r="B13" i="5"/>
  <c r="A10" i="5"/>
  <c r="A11" i="5"/>
  <c r="A12" i="5"/>
  <c r="A13" i="5"/>
  <c r="D94" i="2"/>
  <c r="D95" i="2" s="1"/>
  <c r="E95" i="2" s="1"/>
  <c r="C95" i="2"/>
  <c r="C94" i="2"/>
  <c r="C80" i="2"/>
  <c r="C97" i="2"/>
  <c r="C79" i="2"/>
  <c r="B88" i="2"/>
  <c r="F80" i="2" l="1"/>
  <c r="C74" i="2"/>
  <c r="C73" i="2"/>
  <c r="C72" i="2"/>
  <c r="C68" i="2"/>
  <c r="C67" i="2"/>
  <c r="E66" i="2"/>
  <c r="D60" i="2"/>
  <c r="D59" i="2"/>
  <c r="C51" i="2"/>
  <c r="D28" i="2"/>
  <c r="B24" i="2"/>
  <c r="B20" i="2"/>
  <c r="B16" i="2"/>
  <c r="E12" i="2"/>
  <c r="E11" i="2"/>
  <c r="G11" i="2" s="1"/>
  <c r="D8" i="2"/>
  <c r="D7" i="2"/>
  <c r="C47" i="2"/>
  <c r="B32" i="2"/>
  <c r="F8" i="2"/>
  <c r="C21" i="3"/>
  <c r="C4" i="3"/>
  <c r="C6" i="3" s="1"/>
  <c r="C2" i="3"/>
  <c r="C12" i="3" s="1"/>
  <c r="D3" i="5"/>
  <c r="C16" i="3" l="1"/>
  <c r="C14" i="3"/>
  <c r="C10" i="3"/>
  <c r="C8" i="3"/>
  <c r="E89" i="2"/>
  <c r="E88" i="2"/>
  <c r="C18" i="3" l="1"/>
  <c r="E90" i="2"/>
  <c r="E87" i="2"/>
  <c r="G43" i="2"/>
  <c r="E80" i="2"/>
  <c r="E79" i="2"/>
  <c r="E78" i="2"/>
  <c r="E74" i="2"/>
  <c r="E73" i="2"/>
  <c r="E68" i="2"/>
  <c r="E67" i="2"/>
  <c r="D33" i="2"/>
  <c r="D34" i="2"/>
  <c r="H28" i="2"/>
  <c r="D24" i="2"/>
  <c r="D16" i="2"/>
  <c r="D35" i="2"/>
  <c r="C28" i="3" l="1"/>
  <c r="C29" i="3"/>
  <c r="G42" i="2"/>
  <c r="E86" i="2"/>
  <c r="D55" i="2" l="1"/>
  <c r="G51" i="2"/>
  <c r="G47" i="2"/>
  <c r="E72" i="2"/>
  <c r="D32" i="2"/>
  <c r="D20" i="2"/>
  <c r="G12" i="2"/>
  <c r="F7" i="2"/>
</calcChain>
</file>

<file path=xl/sharedStrings.xml><?xml version="1.0" encoding="utf-8"?>
<sst xmlns="http://schemas.openxmlformats.org/spreadsheetml/2006/main" count="365" uniqueCount="193">
  <si>
    <t>Concatenar</t>
  </si>
  <si>
    <t>Derecha</t>
  </si>
  <si>
    <t>Izquierda</t>
  </si>
  <si>
    <t>Espacios</t>
  </si>
  <si>
    <t>Extrae</t>
  </si>
  <si>
    <t>Hallar</t>
  </si>
  <si>
    <t>Sustituir</t>
  </si>
  <si>
    <t>Encontrar</t>
  </si>
  <si>
    <t>Largo</t>
  </si>
  <si>
    <t>Mayúscula</t>
  </si>
  <si>
    <t>Minúscula</t>
  </si>
  <si>
    <t>Reemplazar</t>
  </si>
  <si>
    <t>Igual</t>
  </si>
  <si>
    <t>Repetir</t>
  </si>
  <si>
    <t>Guten</t>
  </si>
  <si>
    <t>Morgen</t>
  </si>
  <si>
    <t>Hallo</t>
  </si>
  <si>
    <t xml:space="preserve"> Este es un mensaje calidoso </t>
  </si>
  <si>
    <t xml:space="preserve"> Este es un</t>
  </si>
  <si>
    <t>hay muchos espacio s</t>
  </si>
  <si>
    <t>Me gusta estudiar y el ron</t>
  </si>
  <si>
    <t>nO pUEdO creEr QUE alguien pierda el curso</t>
  </si>
  <si>
    <t>holi</t>
  </si>
  <si>
    <t>No mE gRIte</t>
  </si>
  <si>
    <t>NO ME GRITE</t>
  </si>
  <si>
    <t>no me grite</t>
  </si>
  <si>
    <t>holiholiholi</t>
  </si>
  <si>
    <t>Ahora</t>
  </si>
  <si>
    <t>Año</t>
  </si>
  <si>
    <t>Mes</t>
  </si>
  <si>
    <t>Día</t>
  </si>
  <si>
    <t>Hora</t>
  </si>
  <si>
    <t>Minuto</t>
  </si>
  <si>
    <t>Segundo</t>
  </si>
  <si>
    <t>Fechanumero</t>
  </si>
  <si>
    <t>DiasSemana</t>
  </si>
  <si>
    <t>Hoy</t>
  </si>
  <si>
    <t>Dias</t>
  </si>
  <si>
    <t>Fecha</t>
  </si>
  <si>
    <t>&amp;</t>
  </si>
  <si>
    <t>Unir dos o más cadenas de caracteres</t>
  </si>
  <si>
    <t>CONCATENAR()</t>
  </si>
  <si>
    <t>Germán</t>
  </si>
  <si>
    <t>Pantoja</t>
  </si>
  <si>
    <t>Germán Pantoja</t>
  </si>
  <si>
    <t>MAYUSC()</t>
  </si>
  <si>
    <t>Convierte una cadena de texto en mayúsculas</t>
  </si>
  <si>
    <t>MINUSC()</t>
  </si>
  <si>
    <t>Convierte una cadena de texto en minúsculas</t>
  </si>
  <si>
    <t>ESPACIOS()</t>
  </si>
  <si>
    <t>Cuando halla espacios entre letras deja solo uno, de lo contrario borra todos</t>
  </si>
  <si>
    <t>LARGO()</t>
  </si>
  <si>
    <t>Determina el número de caracteres de una cadena de texto</t>
  </si>
  <si>
    <t>Las más intuitivas y fáciles</t>
  </si>
  <si>
    <t>Funciones MUY útiles</t>
  </si>
  <si>
    <t>DERECHA()</t>
  </si>
  <si>
    <t>Devuelve los últimos n caracteres de una cadena de texto</t>
  </si>
  <si>
    <t xml:space="preserve"> calidoso </t>
  </si>
  <si>
    <t>IZQUIERDA()</t>
  </si>
  <si>
    <t>Devuelve los primeros n caracteres de una cadena de texto</t>
  </si>
  <si>
    <t>EXTRAE()</t>
  </si>
  <si>
    <t>Extrae n caracteres de una cadena de texto desde una posición inicial</t>
  </si>
  <si>
    <t>HALLAR()</t>
  </si>
  <si>
    <t>Devuelve la posición del inicio de una cadena de texto que está dentro de otra cadena de texto</t>
  </si>
  <si>
    <t>Funciones que deberían saber que existen</t>
  </si>
  <si>
    <t>ENCONTRAR()</t>
  </si>
  <si>
    <t>NO DISTINGUE MINÚSCULAS Y MAYÚSCULAS</t>
  </si>
  <si>
    <t>SI DISTINGUE MINÚSCULAS Y MAYÚSCULAS</t>
  </si>
  <si>
    <t>posición "o"</t>
  </si>
  <si>
    <t>SUSTITUIR()</t>
  </si>
  <si>
    <t>Cambia una cadena de texto por otra dentro de una cadena de texto</t>
  </si>
  <si>
    <t>REEMPLAZAR()</t>
  </si>
  <si>
    <t>REPETIR()</t>
  </si>
  <si>
    <t>chau</t>
  </si>
  <si>
    <t>IGUAL()</t>
  </si>
  <si>
    <t>Repite cadenas de texto n veces</t>
  </si>
  <si>
    <t>Determina si dos cadenas de texto son iguales</t>
  </si>
  <si>
    <t>=</t>
  </si>
  <si>
    <t>AHORA()</t>
  </si>
  <si>
    <t>AÑO()</t>
  </si>
  <si>
    <t>Devuelve el año de una fecha</t>
  </si>
  <si>
    <t>Devuelve el mes de una fecha</t>
  </si>
  <si>
    <t>Devuelve el día de una fecha</t>
  </si>
  <si>
    <t>Devuelve la hora de una fecha</t>
  </si>
  <si>
    <t>Devuelve el minuto de una fecha</t>
  </si>
  <si>
    <t>Devuelve el segundo de una fecha</t>
  </si>
  <si>
    <t>MES()</t>
  </si>
  <si>
    <t>DIA()</t>
  </si>
  <si>
    <t>HORA()</t>
  </si>
  <si>
    <t>MINUTO()</t>
  </si>
  <si>
    <t>SEGUNDO()</t>
  </si>
  <si>
    <t>Se obtiene la fecha actual, la fecha de ahora CON HORA</t>
  </si>
  <si>
    <t>Se obtiene la fecha actual SIN HORA</t>
  </si>
  <si>
    <t>HOY()</t>
  </si>
  <si>
    <t>DIASEM()</t>
  </si>
  <si>
    <t>FECHA()</t>
  </si>
  <si>
    <t>Devuelve la fecha indicada con el año, mes y día</t>
  </si>
  <si>
    <t>Hallo, Guten Morgen.</t>
  </si>
  <si>
    <t>FECHANUMERO()</t>
  </si>
  <si>
    <t>Crea una codificación de los días de la semana de una semañana de 0 a 7.</t>
  </si>
  <si>
    <t>Convierte un texto al número de una fecha</t>
  </si>
  <si>
    <t>Cambie a formato de fecha</t>
  </si>
  <si>
    <t>DIAS()</t>
  </si>
  <si>
    <t>Determina el número de dias entre dos fechas</t>
  </si>
  <si>
    <t>31-Dic-2019</t>
  </si>
  <si>
    <t>2-Ene-2021</t>
  </si>
  <si>
    <t>Restar las fechas</t>
  </si>
  <si>
    <t>Nombre Propio</t>
  </si>
  <si>
    <t>NOMPROPIO()</t>
  </si>
  <si>
    <t>No Me Grite</t>
  </si>
  <si>
    <t>Pone el carácter inicial de una palabra en mayúscula y los demás caracteres de la palabra en minúsculas</t>
  </si>
  <si>
    <t>The Strokes</t>
  </si>
  <si>
    <t xml:space="preserve">The Strokes </t>
  </si>
  <si>
    <t xml:space="preserve"> The  Strokes</t>
  </si>
  <si>
    <t>Me gusta el Ron y el ron</t>
  </si>
  <si>
    <t>Yo no quiero hacer esto</t>
  </si>
  <si>
    <t xml:space="preserve"> hacer esto</t>
  </si>
  <si>
    <t>¿Cómo es?¿Cómo sería?</t>
  </si>
  <si>
    <t>¿Cómo sería?</t>
  </si>
  <si>
    <t>Yo no</t>
  </si>
  <si>
    <t>¿Cómo es?</t>
  </si>
  <si>
    <t>mensaje</t>
  </si>
  <si>
    <t>quiero</t>
  </si>
  <si>
    <t>SIMILAR A HALLAR() PERO SI DISTINGUE MINÚSCULAS Y MAYÚSCULAS</t>
  </si>
  <si>
    <t>Me gusta el Ron y estudiar</t>
  </si>
  <si>
    <t>Posición de:</t>
  </si>
  <si>
    <t>Calabacín</t>
  </si>
  <si>
    <t>primera "a"</t>
  </si>
  <si>
    <t>Barco</t>
  </si>
  <si>
    <t>"r"</t>
  </si>
  <si>
    <t>"vac"</t>
  </si>
  <si>
    <t>A</t>
  </si>
  <si>
    <t>n</t>
  </si>
  <si>
    <t>i</t>
  </si>
  <si>
    <t>m</t>
  </si>
  <si>
    <t>a</t>
  </si>
  <si>
    <t>l</t>
  </si>
  <si>
    <t>$</t>
  </si>
  <si>
    <t>V</t>
  </si>
  <si>
    <t>v</t>
  </si>
  <si>
    <t>e</t>
  </si>
  <si>
    <t>d</t>
  </si>
  <si>
    <t>%</t>
  </si>
  <si>
    <t>C</t>
  </si>
  <si>
    <t>o</t>
  </si>
  <si>
    <t>r</t>
  </si>
  <si>
    <t>H</t>
  </si>
  <si>
    <t>P</t>
  </si>
  <si>
    <t>s</t>
  </si>
  <si>
    <t>.</t>
  </si>
  <si>
    <t>G</t>
  </si>
  <si>
    <t>t</t>
  </si>
  <si>
    <t>M</t>
  </si>
  <si>
    <t>ó</t>
  </si>
  <si>
    <t>D</t>
  </si>
  <si>
    <t>p</t>
  </si>
  <si>
    <t>N</t>
  </si>
  <si>
    <t>g</t>
  </si>
  <si>
    <t>u</t>
  </si>
  <si>
    <t>y</t>
  </si>
  <si>
    <t>Combinación IZQUIERDA(), DERECHA(), EXTRAE(), HALLAR() y LARGO()</t>
  </si>
  <si>
    <t>Separar en columnas, con fórmulas arrastrables (sin ayuda de "Texto en Columnas")</t>
  </si>
  <si>
    <t>(</t>
  </si>
  <si>
    <t>segunda "a"</t>
  </si>
  <si>
    <t>tercera "a"</t>
  </si>
  <si>
    <t>Animal$Vivienda%Color$Hora</t>
  </si>
  <si>
    <t>Perro$Casa%Verde$0.5</t>
  </si>
  <si>
    <t>Gato$Apartamento%Negro$0.6</t>
  </si>
  <si>
    <t>Cuy$Mansión%Dorado$0.25</t>
  </si>
  <si>
    <t>Animal(Vivienda(Color?Hora</t>
  </si>
  <si>
    <t>Perro(Casa(Verde?0.5</t>
  </si>
  <si>
    <t>Gato(Apartamento(Negro?0.6</t>
  </si>
  <si>
    <t>Cuy(Mansión(Dorado?0.25</t>
  </si>
  <si>
    <t>?</t>
  </si>
  <si>
    <t>La vicio vaca loca</t>
  </si>
  <si>
    <t>c</t>
  </si>
  <si>
    <t>b</t>
  </si>
  <si>
    <t>í</t>
  </si>
  <si>
    <t>Hallar anidados</t>
  </si>
  <si>
    <t>reemplazar y hallar</t>
  </si>
  <si>
    <t>VALOR</t>
  </si>
  <si>
    <t>44792_Hola</t>
  </si>
  <si>
    <t>+0</t>
  </si>
  <si>
    <t>Mi Edad es 20 años</t>
  </si>
  <si>
    <t>Tome el valor de la edad y súmele 10</t>
  </si>
  <si>
    <t>Extraer el número</t>
  </si>
  <si>
    <t>hola20hola</t>
  </si>
  <si>
    <t>cuenta las posiciones de derecha a izquierda</t>
  </si>
  <si>
    <t>cuenta posiciones de izquierda a derecha</t>
  </si>
  <si>
    <t>Yo q no quiero hacer esto</t>
  </si>
  <si>
    <t xml:space="preserve"> es?¿Cómo</t>
  </si>
  <si>
    <t xml:space="preserve">      hay     muchos espacio    s      </t>
  </si>
  <si>
    <t>Me gusta el Ron y el ron ron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</si>
</sst>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2" fontId="0" fillId="3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1" xfId="0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1" xfId="0" applyFill="1" applyBorder="1"/>
    <xf numFmtId="0" fontId="0" fillId="1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6" workbookViewId="0">
      <selection activeCell="C26" sqref="C26"/>
    </sheetView>
  </sheetViews>
  <sheetFormatPr baseColWidth="10" defaultColWidth="11.44140625" defaultRowHeight="14.4" x14ac:dyDescent="0.3"/>
  <cols>
    <col min="1" max="1" width="21.88671875" style="1" bestFit="1" customWidth="1"/>
    <col min="2" max="2" width="16.33203125" style="1" bestFit="1" customWidth="1"/>
    <col min="3" max="3" width="39.44140625" style="1" bestFit="1" customWidth="1"/>
    <col min="4" max="4" width="15.6640625" style="1" bestFit="1" customWidth="1"/>
    <col min="5" max="5" width="12.88671875" style="1" customWidth="1"/>
    <col min="6" max="7" width="11.44140625" style="1"/>
    <col min="8" max="8" width="13.5546875" style="1" bestFit="1" customWidth="1"/>
    <col min="9" max="16384" width="11.44140625" style="1"/>
  </cols>
  <sheetData>
    <row r="1" spans="1:8" s="5" customFormat="1" x14ac:dyDescent="0.3">
      <c r="A1" s="4"/>
    </row>
    <row r="2" spans="1:8" x14ac:dyDescent="0.3">
      <c r="A2" s="39" t="s">
        <v>27</v>
      </c>
      <c r="B2" s="16" t="s">
        <v>78</v>
      </c>
      <c r="C2" s="24">
        <f ca="1">NOW()</f>
        <v>45934.440091203702</v>
      </c>
      <c r="D2" s="14" t="s">
        <v>91</v>
      </c>
      <c r="H2" s="68"/>
    </row>
    <row r="3" spans="1:8" x14ac:dyDescent="0.3">
      <c r="A3" s="7"/>
      <c r="C3" s="48"/>
      <c r="D3" s="14"/>
    </row>
    <row r="4" spans="1:8" x14ac:dyDescent="0.3">
      <c r="A4" s="39" t="s">
        <v>36</v>
      </c>
      <c r="B4" s="16" t="s">
        <v>93</v>
      </c>
      <c r="C4" s="10">
        <f ca="1">TODAY()</f>
        <v>45934</v>
      </c>
      <c r="D4" s="14" t="s">
        <v>92</v>
      </c>
    </row>
    <row r="5" spans="1:8" x14ac:dyDescent="0.3">
      <c r="A5" s="7"/>
      <c r="D5" s="14"/>
    </row>
    <row r="6" spans="1:8" x14ac:dyDescent="0.3">
      <c r="A6" s="23" t="s">
        <v>28</v>
      </c>
      <c r="B6" s="16" t="s">
        <v>79</v>
      </c>
      <c r="C6" s="3">
        <f ca="1">YEAR(C4)</f>
        <v>2025</v>
      </c>
      <c r="D6" s="14" t="s">
        <v>80</v>
      </c>
    </row>
    <row r="7" spans="1:8" x14ac:dyDescent="0.3">
      <c r="A7" s="7"/>
      <c r="D7" s="14"/>
    </row>
    <row r="8" spans="1:8" x14ac:dyDescent="0.3">
      <c r="A8" s="23" t="s">
        <v>29</v>
      </c>
      <c r="B8" s="16" t="s">
        <v>86</v>
      </c>
      <c r="C8" s="3">
        <f ca="1">MONTH(C4)</f>
        <v>10</v>
      </c>
      <c r="D8" s="14" t="s">
        <v>81</v>
      </c>
    </row>
    <row r="9" spans="1:8" x14ac:dyDescent="0.3">
      <c r="A9" s="7"/>
      <c r="D9" s="14"/>
    </row>
    <row r="10" spans="1:8" x14ac:dyDescent="0.3">
      <c r="A10" s="23" t="s">
        <v>30</v>
      </c>
      <c r="B10" s="16" t="s">
        <v>87</v>
      </c>
      <c r="C10" s="3">
        <f ca="1">DAY(C4)</f>
        <v>4</v>
      </c>
      <c r="D10" s="14" t="s">
        <v>82</v>
      </c>
    </row>
    <row r="11" spans="1:8" x14ac:dyDescent="0.3">
      <c r="A11" s="7"/>
      <c r="D11" s="14"/>
    </row>
    <row r="12" spans="1:8" x14ac:dyDescent="0.3">
      <c r="A12" s="23" t="s">
        <v>31</v>
      </c>
      <c r="B12" s="16" t="s">
        <v>88</v>
      </c>
      <c r="C12" s="3">
        <f ca="1">HOUR(C2)</f>
        <v>10</v>
      </c>
      <c r="D12" s="14" t="s">
        <v>83</v>
      </c>
    </row>
    <row r="13" spans="1:8" x14ac:dyDescent="0.3">
      <c r="A13" s="7"/>
      <c r="D13" s="14"/>
    </row>
    <row r="14" spans="1:8" x14ac:dyDescent="0.3">
      <c r="A14" s="23" t="s">
        <v>32</v>
      </c>
      <c r="B14" s="16" t="s">
        <v>89</v>
      </c>
      <c r="C14" s="3">
        <f ca="1">MINUTE(C2)</f>
        <v>33</v>
      </c>
      <c r="D14" s="14" t="s">
        <v>84</v>
      </c>
    </row>
    <row r="15" spans="1:8" x14ac:dyDescent="0.3">
      <c r="A15" s="7"/>
      <c r="D15" s="14"/>
    </row>
    <row r="16" spans="1:8" x14ac:dyDescent="0.3">
      <c r="A16" s="23" t="s">
        <v>33</v>
      </c>
      <c r="B16" s="16" t="s">
        <v>90</v>
      </c>
      <c r="C16" s="3">
        <f ca="1">SECOND(C2)</f>
        <v>44</v>
      </c>
      <c r="D16" s="14" t="s">
        <v>85</v>
      </c>
    </row>
    <row r="17" spans="1:4" x14ac:dyDescent="0.3">
      <c r="A17" s="7"/>
      <c r="D17" s="14"/>
    </row>
    <row r="18" spans="1:4" x14ac:dyDescent="0.3">
      <c r="A18" s="40" t="s">
        <v>38</v>
      </c>
      <c r="B18" s="16" t="s">
        <v>95</v>
      </c>
      <c r="C18" s="10">
        <f ca="1">DATE(C6,C8,C10)</f>
        <v>45934</v>
      </c>
      <c r="D18" s="14" t="s">
        <v>96</v>
      </c>
    </row>
    <row r="19" spans="1:4" x14ac:dyDescent="0.3">
      <c r="A19" s="7"/>
    </row>
    <row r="20" spans="1:4" x14ac:dyDescent="0.3">
      <c r="A20" s="41" t="s">
        <v>35</v>
      </c>
      <c r="B20" s="16" t="s">
        <v>94</v>
      </c>
      <c r="C20" s="3">
        <f>WEEKDAY(C21,2)</f>
        <v>2</v>
      </c>
      <c r="D20" s="14" t="s">
        <v>99</v>
      </c>
    </row>
    <row r="21" spans="1:4" s="9" customFormat="1" ht="15" thickBot="1" x14ac:dyDescent="0.35">
      <c r="A21" s="8"/>
      <c r="C21" s="53">
        <f>DATE(2024,12,31)</f>
        <v>45657</v>
      </c>
    </row>
    <row r="22" spans="1:4" x14ac:dyDescent="0.3">
      <c r="A22" s="7"/>
      <c r="D22" s="25"/>
    </row>
    <row r="23" spans="1:4" x14ac:dyDescent="0.3">
      <c r="A23" s="6" t="s">
        <v>34</v>
      </c>
      <c r="B23" s="16" t="s">
        <v>98</v>
      </c>
      <c r="C23" s="14" t="s">
        <v>100</v>
      </c>
    </row>
    <row r="24" spans="1:4" x14ac:dyDescent="0.3">
      <c r="A24" s="7"/>
      <c r="D24" s="11"/>
    </row>
    <row r="25" spans="1:4" x14ac:dyDescent="0.3">
      <c r="A25" s="7"/>
      <c r="B25" s="27" t="s">
        <v>104</v>
      </c>
      <c r="C25" s="38">
        <f>DATEVALUE(B25)</f>
        <v>43830</v>
      </c>
    </row>
    <row r="26" spans="1:4" x14ac:dyDescent="0.3">
      <c r="A26" s="7"/>
      <c r="B26" s="27" t="s">
        <v>105</v>
      </c>
      <c r="C26" s="42"/>
      <c r="D26" s="14" t="s">
        <v>101</v>
      </c>
    </row>
    <row r="28" spans="1:4" x14ac:dyDescent="0.3">
      <c r="A28" s="41" t="s">
        <v>37</v>
      </c>
      <c r="B28" s="16" t="s">
        <v>102</v>
      </c>
      <c r="C28" s="3">
        <f ca="1">_xlfn.DAYS(C18,C21)</f>
        <v>277</v>
      </c>
      <c r="D28" s="14" t="s">
        <v>103</v>
      </c>
    </row>
    <row r="29" spans="1:4" x14ac:dyDescent="0.3">
      <c r="C29" s="3">
        <f ca="1">C18-C21</f>
        <v>277</v>
      </c>
      <c r="D29" s="26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"/>
  <sheetViews>
    <sheetView topLeftCell="A93" zoomScale="130" zoomScaleNormal="100" workbookViewId="0">
      <selection activeCell="D101" sqref="D101"/>
    </sheetView>
  </sheetViews>
  <sheetFormatPr baseColWidth="10" defaultColWidth="11.44140625" defaultRowHeight="14.4" x14ac:dyDescent="0.3"/>
  <cols>
    <col min="1" max="1" width="15.6640625" style="1" customWidth="1"/>
    <col min="2" max="2" width="15" style="1" customWidth="1"/>
    <col min="3" max="3" width="17.44140625" style="1" customWidth="1"/>
    <col min="4" max="4" width="27.109375" style="1" bestFit="1" customWidth="1"/>
    <col min="5" max="7" width="13.5546875" style="1" customWidth="1"/>
    <col min="8" max="8" width="34.21875" style="1" customWidth="1"/>
    <col min="9" max="9" width="13.5546875" style="1" customWidth="1"/>
    <col min="10" max="20" width="3.44140625" style="1" customWidth="1"/>
    <col min="21" max="16384" width="11.44140625" style="1"/>
  </cols>
  <sheetData>
    <row r="1" spans="1:7" s="15" customFormat="1" x14ac:dyDescent="0.3">
      <c r="A1" s="20" t="s">
        <v>53</v>
      </c>
    </row>
    <row r="3" spans="1:7" x14ac:dyDescent="0.3">
      <c r="A3" s="17" t="s">
        <v>0</v>
      </c>
      <c r="B3" s="16" t="s">
        <v>41</v>
      </c>
      <c r="C3" s="14" t="s">
        <v>40</v>
      </c>
    </row>
    <row r="4" spans="1:7" x14ac:dyDescent="0.3">
      <c r="B4" s="16" t="s">
        <v>39</v>
      </c>
    </row>
    <row r="6" spans="1:7" x14ac:dyDescent="0.3">
      <c r="A6" s="12" t="s">
        <v>42</v>
      </c>
      <c r="B6" s="12" t="s">
        <v>43</v>
      </c>
      <c r="D6" s="55" t="s">
        <v>44</v>
      </c>
      <c r="E6" s="55"/>
    </row>
    <row r="7" spans="1:7" x14ac:dyDescent="0.3">
      <c r="C7" s="2" t="s">
        <v>41</v>
      </c>
      <c r="D7" s="58" t="str">
        <f>CONCATENATE(A6," ",B6)</f>
        <v>Germán Pantoja</v>
      </c>
      <c r="E7" s="59"/>
      <c r="F7" s="2" t="str">
        <f>IF(D7=D6,"Bien :)","Mal :(")</f>
        <v>Bien :)</v>
      </c>
    </row>
    <row r="8" spans="1:7" x14ac:dyDescent="0.3">
      <c r="C8" s="2" t="s">
        <v>39</v>
      </c>
      <c r="D8" s="60" t="str">
        <f>A6&amp;" "&amp;B6</f>
        <v>Germán Pantoja</v>
      </c>
      <c r="E8" s="61"/>
      <c r="F8" s="2" t="str">
        <f>IF(D8=D6,"Bien :)","Mal :(")</f>
        <v>Bien :)</v>
      </c>
    </row>
    <row r="10" spans="1:7" x14ac:dyDescent="0.3">
      <c r="A10" s="12" t="s">
        <v>16</v>
      </c>
      <c r="B10" s="12" t="s">
        <v>14</v>
      </c>
      <c r="C10" s="12" t="s">
        <v>15</v>
      </c>
      <c r="E10" s="55" t="s">
        <v>97</v>
      </c>
      <c r="F10" s="55"/>
    </row>
    <row r="11" spans="1:7" x14ac:dyDescent="0.3">
      <c r="D11" s="2" t="s">
        <v>41</v>
      </c>
      <c r="E11" s="57" t="str">
        <f>CONCATENATE(A10,", ",B10," ",C10,".")</f>
        <v>Hallo, Guten Morgen.</v>
      </c>
      <c r="F11" s="57"/>
      <c r="G11" s="2" t="str">
        <f>IF(E11=E10,"Bien :)","Mal :(")</f>
        <v>Bien :)</v>
      </c>
    </row>
    <row r="12" spans="1:7" x14ac:dyDescent="0.3">
      <c r="D12" s="2" t="s">
        <v>39</v>
      </c>
      <c r="E12" s="57" t="str">
        <f>A10&amp;", "&amp;B10&amp;" "&amp;C10&amp;"."</f>
        <v>Hallo, Guten Morgen.</v>
      </c>
      <c r="F12" s="57"/>
      <c r="G12" s="2" t="str">
        <f>IF(E12=E10,"Bien :)","Mal :(")</f>
        <v>Bien :)</v>
      </c>
    </row>
    <row r="14" spans="1:7" x14ac:dyDescent="0.3">
      <c r="A14" s="17" t="s">
        <v>9</v>
      </c>
      <c r="B14" s="16" t="s">
        <v>45</v>
      </c>
      <c r="C14" s="14" t="s">
        <v>46</v>
      </c>
    </row>
    <row r="16" spans="1:7" x14ac:dyDescent="0.3">
      <c r="A16" s="19" t="s">
        <v>23</v>
      </c>
      <c r="B16" s="3" t="str">
        <f>UPPER(A16)</f>
        <v>NO ME GRITE</v>
      </c>
      <c r="C16" s="2" t="s">
        <v>24</v>
      </c>
      <c r="D16" s="2" t="str">
        <f>IF(C16=B16,"Bien :)","Mal :(")</f>
        <v>Bien :)</v>
      </c>
      <c r="F16" s="18"/>
    </row>
    <row r="18" spans="1:8" x14ac:dyDescent="0.3">
      <c r="A18" s="17" t="s">
        <v>10</v>
      </c>
      <c r="B18" s="16" t="s">
        <v>47</v>
      </c>
      <c r="C18" s="14" t="s">
        <v>48</v>
      </c>
      <c r="D18" s="18"/>
      <c r="G18" s="62"/>
      <c r="H18" s="62"/>
    </row>
    <row r="19" spans="1:8" x14ac:dyDescent="0.3">
      <c r="G19" s="18"/>
    </row>
    <row r="20" spans="1:8" x14ac:dyDescent="0.3">
      <c r="A20" s="19" t="s">
        <v>23</v>
      </c>
      <c r="B20" s="3" t="str">
        <f>LOWER(A20)</f>
        <v>no me grite</v>
      </c>
      <c r="C20" s="2" t="s">
        <v>25</v>
      </c>
      <c r="D20" s="2" t="str">
        <f>IF(C20=B20,"Bien :)","Mal :(")</f>
        <v>Bien :)</v>
      </c>
    </row>
    <row r="22" spans="1:8" x14ac:dyDescent="0.3">
      <c r="A22" s="17" t="s">
        <v>107</v>
      </c>
      <c r="B22" s="16" t="s">
        <v>108</v>
      </c>
      <c r="C22" s="14" t="s">
        <v>110</v>
      </c>
    </row>
    <row r="24" spans="1:8" x14ac:dyDescent="0.3">
      <c r="A24" s="19" t="s">
        <v>23</v>
      </c>
      <c r="B24" s="3" t="str">
        <f>PROPER(A24)</f>
        <v>No Me Grite</v>
      </c>
      <c r="C24" s="2" t="s">
        <v>109</v>
      </c>
      <c r="D24" s="2" t="str">
        <f>IF(C24=B24,"Bien :)","Mal :(")</f>
        <v>Bien :)</v>
      </c>
    </row>
    <row r="26" spans="1:8" x14ac:dyDescent="0.3">
      <c r="A26" s="17" t="s">
        <v>3</v>
      </c>
      <c r="B26" s="16" t="s">
        <v>49</v>
      </c>
      <c r="C26" s="14" t="s">
        <v>50</v>
      </c>
    </row>
    <row r="28" spans="1:8" x14ac:dyDescent="0.3">
      <c r="A28" s="56" t="s">
        <v>191</v>
      </c>
      <c r="B28" s="56"/>
      <c r="C28" s="56"/>
      <c r="D28" s="57" t="str">
        <f>TRIM(A28)</f>
        <v>hay muchos espacio s</v>
      </c>
      <c r="E28" s="57"/>
      <c r="F28" s="55" t="s">
        <v>19</v>
      </c>
      <c r="G28" s="55"/>
      <c r="H28" s="2" t="str">
        <f>IF(F28=D28,"Bien :)","Mal :(")</f>
        <v>Bien :)</v>
      </c>
    </row>
    <row r="30" spans="1:8" x14ac:dyDescent="0.3">
      <c r="A30" s="17" t="s">
        <v>8</v>
      </c>
      <c r="B30" s="16" t="s">
        <v>51</v>
      </c>
      <c r="C30" s="14" t="s">
        <v>52</v>
      </c>
      <c r="D30" s="18"/>
      <c r="E30" s="18"/>
      <c r="G30" s="18"/>
      <c r="H30" s="18"/>
    </row>
    <row r="32" spans="1:8" x14ac:dyDescent="0.3">
      <c r="A32" s="19" t="s">
        <v>22</v>
      </c>
      <c r="B32" s="3">
        <f>LEN(A32)</f>
        <v>4</v>
      </c>
      <c r="C32" s="2">
        <v>4</v>
      </c>
      <c r="D32" s="2" t="str">
        <f>IF(C32=B32,"Bien :)","Mal :(")</f>
        <v>Bien :)</v>
      </c>
    </row>
    <row r="33" spans="1:8" x14ac:dyDescent="0.3">
      <c r="A33" s="12" t="s">
        <v>111</v>
      </c>
      <c r="B33" s="3">
        <f>LEN(A33)</f>
        <v>11</v>
      </c>
      <c r="C33" s="2">
        <v>11</v>
      </c>
      <c r="D33" s="2" t="str">
        <f>IF(B33=C33,"Bien :)","Mal :(")</f>
        <v>Bien :)</v>
      </c>
    </row>
    <row r="34" spans="1:8" x14ac:dyDescent="0.3">
      <c r="A34" s="12" t="s">
        <v>113</v>
      </c>
      <c r="B34" s="3"/>
      <c r="C34" s="2">
        <v>13</v>
      </c>
      <c r="D34" s="2" t="str">
        <f t="shared" ref="D34:D35" si="0">IF(B34=C34,"Bien :)","Mal :(")</f>
        <v>Mal :(</v>
      </c>
    </row>
    <row r="35" spans="1:8" x14ac:dyDescent="0.3">
      <c r="A35" s="12" t="s">
        <v>112</v>
      </c>
      <c r="B35" s="3"/>
      <c r="C35" s="2">
        <v>12</v>
      </c>
      <c r="D35" s="2" t="str">
        <f t="shared" si="0"/>
        <v>Mal :(</v>
      </c>
    </row>
    <row r="37" spans="1:8" s="22" customFormat="1" x14ac:dyDescent="0.3">
      <c r="A37" s="20" t="s">
        <v>64</v>
      </c>
    </row>
    <row r="39" spans="1:8" x14ac:dyDescent="0.3">
      <c r="A39" s="17" t="s">
        <v>7</v>
      </c>
      <c r="B39" s="16" t="s">
        <v>65</v>
      </c>
      <c r="C39" s="14" t="s">
        <v>63</v>
      </c>
    </row>
    <row r="40" spans="1:8" x14ac:dyDescent="0.3">
      <c r="C40" s="14" t="s">
        <v>123</v>
      </c>
    </row>
    <row r="41" spans="1:8" x14ac:dyDescent="0.3">
      <c r="A41" s="56" t="s">
        <v>21</v>
      </c>
      <c r="B41" s="56"/>
      <c r="C41" s="56"/>
      <c r="E41" s="28" t="s">
        <v>68</v>
      </c>
    </row>
    <row r="42" spans="1:8" x14ac:dyDescent="0.3">
      <c r="D42" s="2" t="s">
        <v>65</v>
      </c>
      <c r="E42" s="3">
        <f>FIND("O",A41)</f>
        <v>2</v>
      </c>
      <c r="F42" s="2">
        <v>42</v>
      </c>
      <c r="G42" s="21" t="str">
        <f>IF(F42=E42,"Bien :)","Mal :(")</f>
        <v>Mal :(</v>
      </c>
    </row>
    <row r="43" spans="1:8" x14ac:dyDescent="0.3">
      <c r="D43" s="2" t="s">
        <v>62</v>
      </c>
      <c r="E43" s="3">
        <f>SEARCH("o",A41)</f>
        <v>2</v>
      </c>
      <c r="F43" s="2">
        <v>2</v>
      </c>
      <c r="G43" s="21" t="str">
        <f>IF(F43=E43,"Bien :)","Mal :(")</f>
        <v>Bien :)</v>
      </c>
    </row>
    <row r="45" spans="1:8" x14ac:dyDescent="0.3">
      <c r="A45" s="17" t="s">
        <v>6</v>
      </c>
      <c r="B45" s="16" t="s">
        <v>69</v>
      </c>
      <c r="C45" s="14" t="s">
        <v>70</v>
      </c>
      <c r="G45" s="18"/>
      <c r="H45" s="18"/>
    </row>
    <row r="46" spans="1:8" x14ac:dyDescent="0.3">
      <c r="G46" s="18"/>
      <c r="H46" s="18"/>
    </row>
    <row r="47" spans="1:8" x14ac:dyDescent="0.3">
      <c r="A47" s="56" t="s">
        <v>192</v>
      </c>
      <c r="B47" s="56"/>
      <c r="C47" s="58" t="str">
        <f>SUBSTITUTE(A47, "el ron","estudiar")</f>
        <v>Me gusta el Ron y estudiar ron ron</v>
      </c>
      <c r="D47" s="59"/>
      <c r="E47" s="63" t="s">
        <v>124</v>
      </c>
      <c r="F47" s="64"/>
      <c r="G47" s="2" t="str">
        <f>IF(E47=C47,"Bien :)","Mal :(")</f>
        <v>Mal :(</v>
      </c>
      <c r="H47" s="1" t="str">
        <f>SUBSTITUTE(A47,"ron","est")</f>
        <v>Me gusta el Ron y el est est est</v>
      </c>
    </row>
    <row r="49" spans="1:8" x14ac:dyDescent="0.3">
      <c r="A49" s="17" t="s">
        <v>11</v>
      </c>
      <c r="B49" s="16" t="s">
        <v>71</v>
      </c>
      <c r="C49" s="14" t="s">
        <v>70</v>
      </c>
    </row>
    <row r="51" spans="1:8" x14ac:dyDescent="0.3">
      <c r="A51" s="56" t="s">
        <v>114</v>
      </c>
      <c r="B51" s="56"/>
      <c r="C51" s="58" t="str">
        <f>REPLACE(A51,SEARCH("el Ron",A51),LEN("el Ron"),"estudiar")</f>
        <v>Me gusta estudiar y el ron</v>
      </c>
      <c r="D51" s="59"/>
      <c r="E51" s="55" t="s">
        <v>20</v>
      </c>
      <c r="F51" s="55"/>
      <c r="G51" s="2" t="str">
        <f>IF(E51=C51,"Bien :)","Mal :(")</f>
        <v>Bien :)</v>
      </c>
      <c r="H51" s="1" t="str">
        <f>REPLACE(A51,FIND("el ron",A51),LEN("el ron"),"estudiarrr")</f>
        <v>Me gusta el Ron y estudiarrr</v>
      </c>
    </row>
    <row r="53" spans="1:8" x14ac:dyDescent="0.3">
      <c r="A53" s="17" t="s">
        <v>13</v>
      </c>
      <c r="B53" s="16" t="s">
        <v>72</v>
      </c>
      <c r="C53" s="14" t="s">
        <v>75</v>
      </c>
    </row>
    <row r="55" spans="1:8" x14ac:dyDescent="0.3">
      <c r="A55" s="12" t="s">
        <v>22</v>
      </c>
      <c r="B55" s="3" t="str">
        <f>REPT(A55,3)</f>
        <v>holiholiholi</v>
      </c>
      <c r="C55" s="2" t="s">
        <v>26</v>
      </c>
      <c r="D55" s="21" t="str">
        <f>IF(C55=B55,"Bien :)","Mal :(")</f>
        <v>Bien :)</v>
      </c>
    </row>
    <row r="57" spans="1:8" x14ac:dyDescent="0.3">
      <c r="A57" s="17" t="s">
        <v>12</v>
      </c>
      <c r="B57" s="16" t="s">
        <v>74</v>
      </c>
      <c r="C57" s="14" t="s">
        <v>76</v>
      </c>
    </row>
    <row r="59" spans="1:8" x14ac:dyDescent="0.3">
      <c r="A59" s="12" t="s">
        <v>73</v>
      </c>
      <c r="B59" s="12" t="s">
        <v>73</v>
      </c>
      <c r="C59" s="2" t="b">
        <f>EXACT(A59,B59)</f>
        <v>1</v>
      </c>
      <c r="D59" s="3" t="b">
        <f>EXACT(A59,B59)</f>
        <v>1</v>
      </c>
      <c r="F59" s="14" t="s">
        <v>67</v>
      </c>
    </row>
    <row r="60" spans="1:8" x14ac:dyDescent="0.3">
      <c r="C60" s="2" t="s">
        <v>77</v>
      </c>
      <c r="D60" s="3" t="b">
        <f>A59=B59</f>
        <v>1</v>
      </c>
      <c r="F60" s="14" t="s">
        <v>66</v>
      </c>
    </row>
    <row r="61" spans="1:8" x14ac:dyDescent="0.3">
      <c r="F61" s="14"/>
    </row>
    <row r="62" spans="1:8" s="15" customFormat="1" x14ac:dyDescent="0.3">
      <c r="A62" s="20" t="s">
        <v>54</v>
      </c>
    </row>
    <row r="64" spans="1:8" x14ac:dyDescent="0.3">
      <c r="A64" s="17" t="s">
        <v>1</v>
      </c>
      <c r="B64" s="16" t="s">
        <v>55</v>
      </c>
      <c r="C64" s="14" t="s">
        <v>56</v>
      </c>
    </row>
    <row r="65" spans="1:6" x14ac:dyDescent="0.3">
      <c r="C65" s="1" t="s">
        <v>187</v>
      </c>
    </row>
    <row r="66" spans="1:6" x14ac:dyDescent="0.3">
      <c r="A66" s="56" t="s">
        <v>17</v>
      </c>
      <c r="B66" s="56"/>
      <c r="C66" s="3" t="str">
        <f>RIGHT(A66,10)</f>
        <v xml:space="preserve"> calidoso </v>
      </c>
      <c r="D66" s="2" t="s">
        <v>57</v>
      </c>
      <c r="E66" s="2" t="str">
        <f>IF(D66=C66,"Bien :)","Mal :(")</f>
        <v>Bien :)</v>
      </c>
    </row>
    <row r="67" spans="1:6" x14ac:dyDescent="0.3">
      <c r="A67" s="56" t="s">
        <v>115</v>
      </c>
      <c r="B67" s="56"/>
      <c r="C67" s="3" t="str">
        <f>RIGHT(A67,LEN(" hacer esto"))</f>
        <v xml:space="preserve"> hacer esto</v>
      </c>
      <c r="D67" s="2" t="s">
        <v>116</v>
      </c>
      <c r="E67" s="2" t="str">
        <f t="shared" ref="E67:E68" si="1">IF(D67=C67,"Bien :)","Mal :(")</f>
        <v>Bien :)</v>
      </c>
    </row>
    <row r="68" spans="1:6" x14ac:dyDescent="0.3">
      <c r="A68" s="56" t="s">
        <v>117</v>
      </c>
      <c r="B68" s="56"/>
      <c r="C68" s="3" t="str">
        <f>RIGHT(A68,LEN("¿como seria?"))</f>
        <v>¿Cómo sería?</v>
      </c>
      <c r="D68" s="2" t="s">
        <v>118</v>
      </c>
      <c r="E68" s="2" t="str">
        <f t="shared" si="1"/>
        <v>Bien :)</v>
      </c>
    </row>
    <row r="70" spans="1:6" x14ac:dyDescent="0.3">
      <c r="A70" s="17" t="s">
        <v>2</v>
      </c>
      <c r="B70" s="16" t="s">
        <v>58</v>
      </c>
      <c r="C70" s="14" t="s">
        <v>59</v>
      </c>
    </row>
    <row r="71" spans="1:6" x14ac:dyDescent="0.3">
      <c r="C71" s="1" t="s">
        <v>188</v>
      </c>
    </row>
    <row r="72" spans="1:6" x14ac:dyDescent="0.3">
      <c r="A72" s="56" t="s">
        <v>17</v>
      </c>
      <c r="B72" s="56"/>
      <c r="C72" s="3" t="str">
        <f>LEFT(A72,11)</f>
        <v xml:space="preserve"> Este es un</v>
      </c>
      <c r="D72" s="2" t="s">
        <v>18</v>
      </c>
      <c r="E72" s="2" t="str">
        <f>IF(D72=C72,"Bien :)","Mal :(")</f>
        <v>Bien :)</v>
      </c>
    </row>
    <row r="73" spans="1:6" x14ac:dyDescent="0.3">
      <c r="A73" s="56" t="s">
        <v>115</v>
      </c>
      <c r="B73" s="56"/>
      <c r="C73" s="3" t="str">
        <f>LEFT(A73,LEN("yo no"))</f>
        <v>Yo no</v>
      </c>
      <c r="D73" s="2" t="s">
        <v>119</v>
      </c>
      <c r="E73" s="2" t="str">
        <f t="shared" ref="E73:E74" si="2">IF(D73=C73,"Bien :)","Mal :(")</f>
        <v>Bien :)</v>
      </c>
    </row>
    <row r="74" spans="1:6" x14ac:dyDescent="0.3">
      <c r="A74" s="56" t="s">
        <v>117</v>
      </c>
      <c r="B74" s="56"/>
      <c r="C74" s="3" t="str">
        <f>LEFT(A74,LEN("¿Cómo es?"))</f>
        <v>¿Cómo es?</v>
      </c>
      <c r="D74" s="2" t="s">
        <v>120</v>
      </c>
      <c r="E74" s="2" t="str">
        <f t="shared" si="2"/>
        <v>Bien :)</v>
      </c>
    </row>
    <row r="76" spans="1:6" x14ac:dyDescent="0.3">
      <c r="A76" s="17" t="s">
        <v>4</v>
      </c>
      <c r="B76" s="16" t="s">
        <v>60</v>
      </c>
      <c r="C76" s="14" t="s">
        <v>61</v>
      </c>
    </row>
    <row r="78" spans="1:6" x14ac:dyDescent="0.3">
      <c r="A78" s="56" t="s">
        <v>17</v>
      </c>
      <c r="B78" s="56"/>
      <c r="C78" s="3" t="str">
        <f>MID(A78,13,7)</f>
        <v>mensaje</v>
      </c>
      <c r="D78" s="2" t="s">
        <v>121</v>
      </c>
      <c r="E78" s="2" t="str">
        <f>IF(D78=C78,"Bien :)","Mal :(")</f>
        <v>Bien :)</v>
      </c>
    </row>
    <row r="79" spans="1:6" x14ac:dyDescent="0.3">
      <c r="A79" s="56" t="s">
        <v>189</v>
      </c>
      <c r="B79" s="56"/>
      <c r="C79" s="3" t="str">
        <f>MID(A79,SEARCH("Quiero",A79),LEN("quiero"))</f>
        <v>quiero</v>
      </c>
      <c r="D79" s="2" t="s">
        <v>122</v>
      </c>
      <c r="E79" s="2" t="str">
        <f t="shared" ref="E79:E80" si="3">IF(D79=C79,"Bien :)","Mal :(")</f>
        <v>Bien :)</v>
      </c>
    </row>
    <row r="80" spans="1:6" x14ac:dyDescent="0.3">
      <c r="A80" s="56" t="s">
        <v>117</v>
      </c>
      <c r="B80" s="56"/>
      <c r="C80" s="3" t="str">
        <f>MID(A80,SEARCH("e",A80),LEN(D80))</f>
        <v xml:space="preserve">es?¿Cómo </v>
      </c>
      <c r="D80" s="2" t="s">
        <v>190</v>
      </c>
      <c r="E80" s="2" t="str">
        <f t="shared" si="3"/>
        <v>Mal :(</v>
      </c>
      <c r="F80" s="1">
        <f>SEARCH("es",A80)</f>
        <v>7</v>
      </c>
    </row>
    <row r="82" spans="1:21" x14ac:dyDescent="0.3">
      <c r="A82" s="17" t="s">
        <v>5</v>
      </c>
      <c r="B82" s="16" t="s">
        <v>62</v>
      </c>
      <c r="C82" s="14" t="s">
        <v>63</v>
      </c>
    </row>
    <row r="83" spans="1:21" x14ac:dyDescent="0.3">
      <c r="C83" s="14" t="s">
        <v>66</v>
      </c>
    </row>
    <row r="84" spans="1:21" x14ac:dyDescent="0.3">
      <c r="C84" s="14"/>
    </row>
    <row r="85" spans="1:21" x14ac:dyDescent="0.3">
      <c r="C85" s="14" t="s">
        <v>125</v>
      </c>
    </row>
    <row r="86" spans="1:21" x14ac:dyDescent="0.3">
      <c r="A86" s="12" t="s">
        <v>128</v>
      </c>
      <c r="B86" s="3">
        <f>SEARCH("r",A86)</f>
        <v>3</v>
      </c>
      <c r="C86" s="2" t="s">
        <v>129</v>
      </c>
      <c r="D86" s="2">
        <v>3</v>
      </c>
      <c r="E86" s="21" t="str">
        <f>IF(D86=B86,"Bien :)","Mal :(")</f>
        <v>Bien :)</v>
      </c>
    </row>
    <row r="87" spans="1:21" x14ac:dyDescent="0.3">
      <c r="A87" s="12" t="s">
        <v>174</v>
      </c>
      <c r="B87" s="3">
        <f>SEARCH("vac",A87)</f>
        <v>10</v>
      </c>
      <c r="C87" s="2" t="s">
        <v>130</v>
      </c>
      <c r="D87" s="2">
        <v>10</v>
      </c>
      <c r="E87" s="21" t="str">
        <f>IF(D87=B87,"Bien :)","Mal :(")</f>
        <v>Bien :)</v>
      </c>
    </row>
    <row r="88" spans="1:21" x14ac:dyDescent="0.3">
      <c r="A88" s="37" t="s">
        <v>126</v>
      </c>
      <c r="B88" s="3">
        <f>SEARCH("A",A88)</f>
        <v>2</v>
      </c>
      <c r="C88" s="2" t="s">
        <v>127</v>
      </c>
      <c r="D88" s="2">
        <v>2</v>
      </c>
      <c r="E88" s="21" t="str">
        <f>IF(D88=B88,"Bien :)","Mal :(")</f>
        <v>Bien :)</v>
      </c>
    </row>
    <row r="89" spans="1:21" x14ac:dyDescent="0.3">
      <c r="A89" s="37" t="s">
        <v>126</v>
      </c>
      <c r="B89" s="3">
        <f>SEARCH("a",A89,B88+1)</f>
        <v>4</v>
      </c>
      <c r="C89" s="2" t="s">
        <v>163</v>
      </c>
      <c r="D89" s="2">
        <v>4</v>
      </c>
      <c r="E89" s="21" t="str">
        <f>IF(D89=B89,"Bien :)","Mal :(")</f>
        <v>Bien :)</v>
      </c>
      <c r="F89" s="1">
        <f>SEARCH("a",A89,SEARCH("a",A89)+1)</f>
        <v>4</v>
      </c>
      <c r="K89" s="44" t="s">
        <v>143</v>
      </c>
      <c r="L89" s="43" t="s">
        <v>135</v>
      </c>
      <c r="M89" s="44" t="s">
        <v>136</v>
      </c>
      <c r="N89" s="46" t="s">
        <v>135</v>
      </c>
      <c r="O89" s="44" t="s">
        <v>176</v>
      </c>
      <c r="P89" s="47" t="s">
        <v>135</v>
      </c>
      <c r="Q89" s="44" t="s">
        <v>175</v>
      </c>
      <c r="R89" s="44" t="s">
        <v>177</v>
      </c>
      <c r="S89" s="44" t="s">
        <v>132</v>
      </c>
      <c r="U89" s="1" t="s">
        <v>178</v>
      </c>
    </row>
    <row r="90" spans="1:21" x14ac:dyDescent="0.3">
      <c r="A90" s="37" t="s">
        <v>126</v>
      </c>
      <c r="B90" s="3">
        <f>SEARCH("a",A90,B89+1)</f>
        <v>6</v>
      </c>
      <c r="C90" s="2" t="s">
        <v>164</v>
      </c>
      <c r="D90" s="2">
        <v>6</v>
      </c>
      <c r="E90" s="21" t="str">
        <f>IF(D90=B90,"Bien :)","Mal :(")</f>
        <v>Bien :)</v>
      </c>
      <c r="K90" s="44">
        <v>1</v>
      </c>
      <c r="L90" s="43">
        <v>2</v>
      </c>
      <c r="M90" s="44">
        <v>3</v>
      </c>
      <c r="N90" s="46">
        <v>4</v>
      </c>
      <c r="O90" s="44">
        <v>5</v>
      </c>
      <c r="P90" s="47">
        <v>6</v>
      </c>
      <c r="Q90" s="44">
        <v>7</v>
      </c>
      <c r="R90" s="44">
        <v>8</v>
      </c>
      <c r="S90" s="44">
        <v>9</v>
      </c>
      <c r="U90" s="1" t="s">
        <v>179</v>
      </c>
    </row>
    <row r="92" spans="1:21" s="15" customFormat="1" x14ac:dyDescent="0.3"/>
    <row r="94" spans="1:21" x14ac:dyDescent="0.3">
      <c r="A94" s="17" t="s">
        <v>180</v>
      </c>
      <c r="B94" s="50" t="s">
        <v>181</v>
      </c>
      <c r="C94" s="1" t="str">
        <f>MID(B94,1,SEARCH("_",B94)-1)</f>
        <v>44792</v>
      </c>
      <c r="D94" s="54">
        <f>C94+0</f>
        <v>44792</v>
      </c>
    </row>
    <row r="95" spans="1:21" x14ac:dyDescent="0.3">
      <c r="A95" s="49" t="s">
        <v>182</v>
      </c>
      <c r="C95" s="48" t="str">
        <f>LEFT(B94,SEARCH("_",B94)-1)</f>
        <v>44792</v>
      </c>
      <c r="D95" s="1" t="str">
        <f>"a"&amp;D94&amp;"b"</f>
        <v>a44792b</v>
      </c>
      <c r="E95" s="1" t="str">
        <f>MID(D95,SEARCH("a",D95)+1,SEARCH("b",D95)-1-SEARCH("a",D95))</f>
        <v>44792</v>
      </c>
    </row>
    <row r="97" spans="1:4" x14ac:dyDescent="0.3">
      <c r="A97" s="2" t="s">
        <v>185</v>
      </c>
      <c r="B97" s="2" t="s">
        <v>186</v>
      </c>
      <c r="C97" s="1" t="str">
        <f>MID(B97,SEARCH(20,B97),LEN(20))</f>
        <v>20</v>
      </c>
      <c r="D97" s="1" t="str">
        <f>MID(B97,SEARCH("2",B97),2)</f>
        <v>20</v>
      </c>
    </row>
    <row r="99" spans="1:4" x14ac:dyDescent="0.3">
      <c r="A99" s="55" t="s">
        <v>183</v>
      </c>
      <c r="B99" s="55"/>
    </row>
    <row r="100" spans="1:4" x14ac:dyDescent="0.3">
      <c r="A100" s="51" t="s">
        <v>184</v>
      </c>
      <c r="B100" s="51"/>
      <c r="C100" s="2"/>
      <c r="D100" s="52">
        <f>_xlfn.NUMBERVALUE(MID(A99,SEARCH("2",A99),2))+10</f>
        <v>30</v>
      </c>
    </row>
  </sheetData>
  <mergeCells count="27">
    <mergeCell ref="D6:E6"/>
    <mergeCell ref="D8:E8"/>
    <mergeCell ref="A66:B66"/>
    <mergeCell ref="G18:H18"/>
    <mergeCell ref="E10:F10"/>
    <mergeCell ref="E11:F11"/>
    <mergeCell ref="E12:F12"/>
    <mergeCell ref="A28:C28"/>
    <mergeCell ref="F28:G28"/>
    <mergeCell ref="A41:C41"/>
    <mergeCell ref="D7:E7"/>
    <mergeCell ref="A51:B51"/>
    <mergeCell ref="E51:F51"/>
    <mergeCell ref="C51:D51"/>
    <mergeCell ref="A47:B47"/>
    <mergeCell ref="E47:F47"/>
    <mergeCell ref="D28:E28"/>
    <mergeCell ref="A67:B67"/>
    <mergeCell ref="A68:B68"/>
    <mergeCell ref="A73:B73"/>
    <mergeCell ref="A74:B74"/>
    <mergeCell ref="C47:D47"/>
    <mergeCell ref="A99:B99"/>
    <mergeCell ref="A79:B79"/>
    <mergeCell ref="A80:B80"/>
    <mergeCell ref="A72:B72"/>
    <mergeCell ref="A78:B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7"/>
  <sheetViews>
    <sheetView tabSelected="1" zoomScale="145" zoomScaleNormal="145" workbookViewId="0">
      <selection activeCell="A10" sqref="A10"/>
    </sheetView>
  </sheetViews>
  <sheetFormatPr baseColWidth="10" defaultRowHeight="14.4" x14ac:dyDescent="0.3"/>
  <cols>
    <col min="8" max="34" width="2.88671875" style="29" customWidth="1"/>
  </cols>
  <sheetData>
    <row r="1" spans="1:34" x14ac:dyDescent="0.3">
      <c r="A1" s="66" t="s">
        <v>160</v>
      </c>
      <c r="B1" s="66"/>
      <c r="C1" s="66"/>
      <c r="D1" s="66"/>
      <c r="E1" s="66"/>
      <c r="F1" s="66"/>
    </row>
    <row r="3" spans="1:34" x14ac:dyDescent="0.3">
      <c r="A3" s="67" t="s">
        <v>165</v>
      </c>
      <c r="B3" s="67"/>
      <c r="C3" s="67"/>
      <c r="D3" t="str">
        <f>SUBSTITUTE(A3,"$",")",1)</f>
        <v>Animal)Vivienda%Color$Hora</v>
      </c>
      <c r="H3" s="32" t="s">
        <v>131</v>
      </c>
      <c r="I3" s="32" t="s">
        <v>132</v>
      </c>
      <c r="J3" s="32" t="s">
        <v>133</v>
      </c>
      <c r="K3" s="32" t="s">
        <v>134</v>
      </c>
      <c r="L3" s="32" t="s">
        <v>135</v>
      </c>
      <c r="M3" s="32" t="s">
        <v>136</v>
      </c>
      <c r="N3" s="33" t="s">
        <v>137</v>
      </c>
      <c r="O3" s="35" t="s">
        <v>138</v>
      </c>
      <c r="P3" s="35" t="s">
        <v>133</v>
      </c>
      <c r="Q3" s="35" t="s">
        <v>139</v>
      </c>
      <c r="R3" s="35" t="s">
        <v>133</v>
      </c>
      <c r="S3" s="35" t="s">
        <v>140</v>
      </c>
      <c r="T3" s="35" t="s">
        <v>132</v>
      </c>
      <c r="U3" s="35" t="s">
        <v>141</v>
      </c>
      <c r="V3" s="35" t="s">
        <v>135</v>
      </c>
      <c r="W3" s="33" t="s">
        <v>142</v>
      </c>
      <c r="X3" s="34" t="s">
        <v>143</v>
      </c>
      <c r="Y3" s="34" t="s">
        <v>144</v>
      </c>
      <c r="Z3" s="34" t="s">
        <v>136</v>
      </c>
      <c r="AA3" s="34" t="s">
        <v>144</v>
      </c>
      <c r="AB3" s="34" t="s">
        <v>145</v>
      </c>
      <c r="AC3" s="33" t="s">
        <v>137</v>
      </c>
      <c r="AD3" s="36" t="s">
        <v>146</v>
      </c>
      <c r="AE3" s="36" t="s">
        <v>144</v>
      </c>
      <c r="AF3" s="36" t="s">
        <v>145</v>
      </c>
      <c r="AG3" s="36" t="s">
        <v>135</v>
      </c>
    </row>
    <row r="4" spans="1:34" x14ac:dyDescent="0.3">
      <c r="A4" s="67" t="s">
        <v>166</v>
      </c>
      <c r="B4" s="67"/>
      <c r="C4" s="67"/>
      <c r="D4">
        <f>SEARCH("$",SUBSTITUTE(A4,"$", "/",1))</f>
        <v>17</v>
      </c>
      <c r="E4" t="str">
        <f>SUBSTITUTE(A4,"$", "/",1)</f>
        <v>Perro/Casa%Verde$0.5</v>
      </c>
      <c r="H4" s="29">
        <v>1</v>
      </c>
      <c r="I4" s="29">
        <v>2</v>
      </c>
      <c r="J4" s="29">
        <v>3</v>
      </c>
      <c r="K4" s="29">
        <v>4</v>
      </c>
      <c r="L4" s="29">
        <v>5</v>
      </c>
      <c r="M4" s="29">
        <v>6</v>
      </c>
      <c r="N4" s="33">
        <v>7</v>
      </c>
      <c r="O4" s="29">
        <v>8</v>
      </c>
      <c r="P4" s="29">
        <v>9</v>
      </c>
      <c r="Q4" s="29">
        <v>10</v>
      </c>
      <c r="R4" s="29">
        <v>11</v>
      </c>
      <c r="S4" s="29">
        <v>12</v>
      </c>
      <c r="T4" s="29">
        <v>13</v>
      </c>
      <c r="U4" s="29">
        <v>14</v>
      </c>
      <c r="V4" s="29">
        <v>15</v>
      </c>
      <c r="W4" s="33">
        <v>16</v>
      </c>
      <c r="X4" s="29">
        <v>17</v>
      </c>
      <c r="Y4" s="29">
        <v>18</v>
      </c>
      <c r="Z4" s="29">
        <v>19</v>
      </c>
      <c r="AA4" s="29">
        <v>20</v>
      </c>
      <c r="AB4" s="29">
        <v>21</v>
      </c>
      <c r="AC4" s="33">
        <v>22</v>
      </c>
      <c r="AD4" s="29">
        <v>23</v>
      </c>
      <c r="AE4" s="29">
        <v>24</v>
      </c>
      <c r="AF4" s="29">
        <v>25</v>
      </c>
      <c r="AG4" s="33">
        <v>26</v>
      </c>
    </row>
    <row r="5" spans="1:34" x14ac:dyDescent="0.3">
      <c r="A5" s="67" t="s">
        <v>167</v>
      </c>
      <c r="B5" s="67"/>
      <c r="C5" s="67"/>
    </row>
    <row r="6" spans="1:34" x14ac:dyDescent="0.3">
      <c r="A6" s="67" t="s">
        <v>168</v>
      </c>
      <c r="B6" s="67"/>
      <c r="C6" s="67"/>
      <c r="H6" s="32" t="s">
        <v>147</v>
      </c>
      <c r="I6" s="32" t="s">
        <v>140</v>
      </c>
      <c r="J6" s="32" t="s">
        <v>145</v>
      </c>
      <c r="K6" s="32" t="s">
        <v>145</v>
      </c>
      <c r="L6" s="32" t="s">
        <v>144</v>
      </c>
      <c r="M6" s="33" t="s">
        <v>137</v>
      </c>
      <c r="N6" s="35" t="s">
        <v>143</v>
      </c>
      <c r="O6" s="35" t="s">
        <v>135</v>
      </c>
      <c r="P6" s="35" t="s">
        <v>148</v>
      </c>
      <c r="Q6" s="35" t="s">
        <v>135</v>
      </c>
      <c r="R6" s="33" t="s">
        <v>142</v>
      </c>
      <c r="S6" s="34" t="s">
        <v>138</v>
      </c>
      <c r="T6" s="34" t="s">
        <v>140</v>
      </c>
      <c r="U6" s="34" t="s">
        <v>145</v>
      </c>
      <c r="V6" s="34" t="s">
        <v>141</v>
      </c>
      <c r="W6" s="34" t="s">
        <v>140</v>
      </c>
      <c r="X6" s="33" t="s">
        <v>137</v>
      </c>
      <c r="Y6" s="36">
        <v>0</v>
      </c>
      <c r="Z6" s="36" t="s">
        <v>149</v>
      </c>
      <c r="AA6" s="36">
        <v>5</v>
      </c>
    </row>
    <row r="7" spans="1:34" x14ac:dyDescent="0.3">
      <c r="H7" s="29">
        <v>1</v>
      </c>
      <c r="I7" s="29">
        <v>2</v>
      </c>
      <c r="J7" s="29">
        <v>3</v>
      </c>
      <c r="K7" s="29">
        <v>4</v>
      </c>
      <c r="L7" s="29">
        <v>5</v>
      </c>
      <c r="M7" s="33">
        <v>6</v>
      </c>
      <c r="N7" s="29">
        <v>7</v>
      </c>
      <c r="O7" s="29">
        <v>8</v>
      </c>
      <c r="P7" s="29">
        <v>9</v>
      </c>
      <c r="Q7" s="29">
        <v>10</v>
      </c>
      <c r="R7" s="33">
        <v>11</v>
      </c>
      <c r="S7" s="29">
        <v>12</v>
      </c>
      <c r="T7" s="29">
        <v>13</v>
      </c>
      <c r="U7" s="29">
        <v>14</v>
      </c>
      <c r="V7" s="29">
        <v>15</v>
      </c>
      <c r="W7" s="29">
        <v>16</v>
      </c>
      <c r="X7" s="33">
        <v>17</v>
      </c>
      <c r="Y7" s="29">
        <v>18</v>
      </c>
      <c r="Z7" s="29">
        <v>19</v>
      </c>
      <c r="AA7" s="33">
        <v>20</v>
      </c>
    </row>
    <row r="8" spans="1:34" x14ac:dyDescent="0.3">
      <c r="A8" t="s">
        <v>161</v>
      </c>
    </row>
    <row r="9" spans="1:34" x14ac:dyDescent="0.3">
      <c r="H9" s="32" t="s">
        <v>150</v>
      </c>
      <c r="I9" s="32" t="s">
        <v>135</v>
      </c>
      <c r="J9" s="32" t="s">
        <v>151</v>
      </c>
      <c r="K9" s="32" t="s">
        <v>144</v>
      </c>
      <c r="L9" s="33" t="s">
        <v>137</v>
      </c>
      <c r="M9" s="35" t="s">
        <v>131</v>
      </c>
      <c r="N9" s="35" t="s">
        <v>155</v>
      </c>
      <c r="O9" s="35" t="s">
        <v>135</v>
      </c>
      <c r="P9" s="35" t="s">
        <v>145</v>
      </c>
      <c r="Q9" s="35" t="s">
        <v>151</v>
      </c>
      <c r="R9" s="35" t="s">
        <v>135</v>
      </c>
      <c r="S9" s="35" t="s">
        <v>134</v>
      </c>
      <c r="T9" s="35" t="s">
        <v>140</v>
      </c>
      <c r="U9" s="35" t="s">
        <v>132</v>
      </c>
      <c r="V9" s="35" t="s">
        <v>151</v>
      </c>
      <c r="W9" s="35" t="s">
        <v>144</v>
      </c>
      <c r="X9" s="33" t="s">
        <v>142</v>
      </c>
      <c r="Y9" s="34" t="s">
        <v>156</v>
      </c>
      <c r="Z9" s="34" t="s">
        <v>140</v>
      </c>
      <c r="AA9" s="34" t="s">
        <v>157</v>
      </c>
      <c r="AB9" s="34" t="s">
        <v>145</v>
      </c>
      <c r="AC9" s="34" t="s">
        <v>144</v>
      </c>
      <c r="AD9" s="33" t="s">
        <v>137</v>
      </c>
      <c r="AE9" s="36">
        <v>0</v>
      </c>
      <c r="AF9" s="36" t="s">
        <v>149</v>
      </c>
      <c r="AG9" s="36">
        <v>6</v>
      </c>
    </row>
    <row r="10" spans="1:34" x14ac:dyDescent="0.3">
      <c r="A10" s="13" t="str">
        <f>LEFT(A3,SEARCH("$",A3)-1)</f>
        <v>Animal</v>
      </c>
      <c r="B10" s="13" t="str">
        <f>+MID(A3,SEARCH("$",A3)+1,SEARCH("%",A3)-1-SEARCH("$",A3))</f>
        <v>Vivienda</v>
      </c>
      <c r="C10" s="13" t="str">
        <f>MID(A3,SEARCH("%",A3)+1,LEN("COLOR"))</f>
        <v>Color</v>
      </c>
      <c r="D10" s="13" t="str">
        <f>RIGHT(A3,LEN(A3)-SEARCH("$",A3,SEARCH("$",A3)+1))</f>
        <v>Hora</v>
      </c>
      <c r="H10" s="29">
        <v>1</v>
      </c>
      <c r="I10" s="29">
        <v>2</v>
      </c>
      <c r="J10" s="29">
        <v>3</v>
      </c>
      <c r="K10" s="29">
        <v>4</v>
      </c>
      <c r="L10" s="33">
        <v>5</v>
      </c>
      <c r="M10" s="29">
        <v>6</v>
      </c>
      <c r="N10" s="29">
        <v>7</v>
      </c>
      <c r="O10" s="29">
        <v>8</v>
      </c>
      <c r="P10" s="29">
        <v>9</v>
      </c>
      <c r="Q10" s="29">
        <v>10</v>
      </c>
      <c r="R10" s="29">
        <v>11</v>
      </c>
      <c r="S10" s="29">
        <v>12</v>
      </c>
      <c r="T10" s="29">
        <v>13</v>
      </c>
      <c r="U10" s="29">
        <v>14</v>
      </c>
      <c r="V10" s="29">
        <v>15</v>
      </c>
      <c r="W10" s="29">
        <v>16</v>
      </c>
      <c r="X10" s="33">
        <v>17</v>
      </c>
      <c r="Y10" s="29">
        <v>18</v>
      </c>
      <c r="Z10" s="29">
        <v>19</v>
      </c>
      <c r="AA10" s="29">
        <v>20</v>
      </c>
      <c r="AB10" s="29">
        <v>21</v>
      </c>
      <c r="AC10" s="29">
        <v>22</v>
      </c>
      <c r="AD10" s="33">
        <v>23</v>
      </c>
      <c r="AE10" s="29">
        <v>24</v>
      </c>
      <c r="AF10" s="29">
        <v>25</v>
      </c>
      <c r="AG10" s="33">
        <v>26</v>
      </c>
    </row>
    <row r="11" spans="1:34" x14ac:dyDescent="0.3">
      <c r="A11" s="13" t="str">
        <f t="shared" ref="A11:A13" si="0">LEFT(A4,SEARCH("$",A4)-1)</f>
        <v>Perro</v>
      </c>
      <c r="B11" s="13" t="str">
        <f t="shared" ref="B11:B13" si="1">+MID(A4,SEARCH("$",A4)+1,SEARCH("%",A4)-1-SEARCH("$",A4))</f>
        <v>Casa</v>
      </c>
      <c r="C11" s="13" t="str">
        <f t="shared" ref="C11:C13" si="2">MID(A4,SEARCH("%",A4)+1,LEN("COLOR"))</f>
        <v>Verde</v>
      </c>
      <c r="D11" s="13" t="str">
        <f t="shared" ref="D11:D13" si="3">RIGHT(A4,LEN(A4)-SEARCH("$",A4,SEARCH("$",A4)+1))</f>
        <v>0.5</v>
      </c>
    </row>
    <row r="12" spans="1:34" x14ac:dyDescent="0.3">
      <c r="A12" s="13" t="str">
        <f t="shared" si="0"/>
        <v>Gato</v>
      </c>
      <c r="B12" s="13" t="str">
        <f t="shared" si="1"/>
        <v>Apartamento</v>
      </c>
      <c r="C12" s="13" t="str">
        <f t="shared" si="2"/>
        <v>Negro</v>
      </c>
      <c r="D12" s="13" t="str">
        <f t="shared" si="3"/>
        <v>0.6</v>
      </c>
      <c r="H12" s="32" t="s">
        <v>143</v>
      </c>
      <c r="I12" s="32" t="s">
        <v>158</v>
      </c>
      <c r="J12" s="32" t="s">
        <v>159</v>
      </c>
      <c r="K12" s="33" t="s">
        <v>137</v>
      </c>
      <c r="L12" s="35" t="s">
        <v>152</v>
      </c>
      <c r="M12" s="35" t="s">
        <v>135</v>
      </c>
      <c r="N12" s="35" t="s">
        <v>132</v>
      </c>
      <c r="O12" s="35" t="s">
        <v>148</v>
      </c>
      <c r="P12" s="35" t="s">
        <v>133</v>
      </c>
      <c r="Q12" s="35" t="s">
        <v>153</v>
      </c>
      <c r="R12" s="35" t="s">
        <v>132</v>
      </c>
      <c r="S12" s="33" t="s">
        <v>142</v>
      </c>
      <c r="T12" s="34" t="s">
        <v>154</v>
      </c>
      <c r="U12" s="34" t="s">
        <v>144</v>
      </c>
      <c r="V12" s="34" t="s">
        <v>145</v>
      </c>
      <c r="W12" s="34" t="s">
        <v>135</v>
      </c>
      <c r="X12" s="34" t="s">
        <v>141</v>
      </c>
      <c r="Y12" s="34" t="s">
        <v>144</v>
      </c>
      <c r="Z12" s="33" t="s">
        <v>137</v>
      </c>
      <c r="AA12" s="36">
        <v>0</v>
      </c>
      <c r="AB12" s="36" t="s">
        <v>149</v>
      </c>
      <c r="AC12" s="36">
        <v>2</v>
      </c>
      <c r="AD12" s="36">
        <v>5</v>
      </c>
    </row>
    <row r="13" spans="1:34" x14ac:dyDescent="0.3">
      <c r="A13" s="13" t="str">
        <f t="shared" si="0"/>
        <v>Cuy</v>
      </c>
      <c r="B13" s="13" t="str">
        <f t="shared" si="1"/>
        <v>Mansión</v>
      </c>
      <c r="C13" s="13" t="str">
        <f t="shared" si="2"/>
        <v>Dorad</v>
      </c>
      <c r="D13" s="13" t="str">
        <f t="shared" si="3"/>
        <v>0.25</v>
      </c>
      <c r="H13" s="29">
        <v>1</v>
      </c>
      <c r="I13" s="29">
        <v>2</v>
      </c>
      <c r="J13" s="29">
        <v>3</v>
      </c>
      <c r="K13" s="33">
        <v>4</v>
      </c>
      <c r="L13" s="29">
        <v>5</v>
      </c>
      <c r="M13" s="29">
        <v>6</v>
      </c>
      <c r="N13" s="29">
        <v>7</v>
      </c>
      <c r="O13" s="29">
        <v>8</v>
      </c>
      <c r="P13" s="29">
        <v>9</v>
      </c>
      <c r="Q13" s="29">
        <v>10</v>
      </c>
      <c r="R13" s="29">
        <v>11</v>
      </c>
      <c r="S13" s="33">
        <v>12</v>
      </c>
      <c r="T13" s="29">
        <v>13</v>
      </c>
      <c r="U13" s="29">
        <v>14</v>
      </c>
      <c r="V13" s="29">
        <v>15</v>
      </c>
      <c r="W13" s="29">
        <v>16</v>
      </c>
      <c r="X13" s="29">
        <v>17</v>
      </c>
      <c r="Y13" s="29">
        <v>18</v>
      </c>
      <c r="Z13" s="33">
        <v>19</v>
      </c>
      <c r="AA13" s="29">
        <v>20</v>
      </c>
      <c r="AB13" s="29">
        <v>21</v>
      </c>
      <c r="AC13" s="29">
        <v>22</v>
      </c>
      <c r="AD13" s="33">
        <v>23</v>
      </c>
    </row>
    <row r="15" spans="1:34" s="30" customFormat="1" x14ac:dyDescent="0.3"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</row>
    <row r="17" spans="1:33" x14ac:dyDescent="0.3">
      <c r="A17" s="65" t="s">
        <v>169</v>
      </c>
      <c r="B17" s="65"/>
      <c r="C17" s="65"/>
      <c r="H17" s="32" t="s">
        <v>131</v>
      </c>
      <c r="I17" s="32" t="s">
        <v>132</v>
      </c>
      <c r="J17" s="32" t="s">
        <v>133</v>
      </c>
      <c r="K17" s="32" t="s">
        <v>134</v>
      </c>
      <c r="L17" s="32" t="s">
        <v>135</v>
      </c>
      <c r="M17" s="32" t="s">
        <v>136</v>
      </c>
      <c r="N17" s="33" t="s">
        <v>162</v>
      </c>
      <c r="O17" s="35" t="s">
        <v>138</v>
      </c>
      <c r="P17" s="35" t="s">
        <v>133</v>
      </c>
      <c r="Q17" s="35" t="s">
        <v>139</v>
      </c>
      <c r="R17" s="35" t="s">
        <v>133</v>
      </c>
      <c r="S17" s="35" t="s">
        <v>140</v>
      </c>
      <c r="T17" s="35" t="s">
        <v>132</v>
      </c>
      <c r="U17" s="35" t="s">
        <v>141</v>
      </c>
      <c r="V17" s="35" t="s">
        <v>135</v>
      </c>
      <c r="W17" s="33" t="s">
        <v>162</v>
      </c>
      <c r="X17" s="34" t="s">
        <v>143</v>
      </c>
      <c r="Y17" s="34" t="s">
        <v>144</v>
      </c>
      <c r="Z17" s="34" t="s">
        <v>136</v>
      </c>
      <c r="AA17" s="34" t="s">
        <v>144</v>
      </c>
      <c r="AB17" s="34" t="s">
        <v>145</v>
      </c>
      <c r="AC17" s="33" t="s">
        <v>173</v>
      </c>
      <c r="AD17" s="36" t="s">
        <v>146</v>
      </c>
      <c r="AE17" s="36" t="s">
        <v>144</v>
      </c>
      <c r="AF17" s="36" t="s">
        <v>145</v>
      </c>
      <c r="AG17" s="36" t="s">
        <v>135</v>
      </c>
    </row>
    <row r="18" spans="1:33" x14ac:dyDescent="0.3">
      <c r="A18" s="65" t="s">
        <v>170</v>
      </c>
      <c r="B18" s="65"/>
      <c r="C18" s="65"/>
      <c r="H18" s="29">
        <v>1</v>
      </c>
      <c r="I18" s="29">
        <v>2</v>
      </c>
      <c r="J18" s="29">
        <v>3</v>
      </c>
      <c r="K18" s="29">
        <v>4</v>
      </c>
      <c r="L18" s="29">
        <v>5</v>
      </c>
      <c r="M18" s="29">
        <v>6</v>
      </c>
      <c r="N18" s="33">
        <v>7</v>
      </c>
      <c r="O18" s="29">
        <v>8</v>
      </c>
      <c r="P18" s="29">
        <v>9</v>
      </c>
      <c r="Q18" s="29">
        <v>10</v>
      </c>
      <c r="R18" s="29">
        <v>11</v>
      </c>
      <c r="S18" s="29">
        <v>12</v>
      </c>
      <c r="T18" s="29">
        <v>13</v>
      </c>
      <c r="U18" s="29">
        <v>14</v>
      </c>
      <c r="V18" s="29">
        <v>15</v>
      </c>
      <c r="W18" s="33">
        <v>16</v>
      </c>
      <c r="X18" s="29">
        <v>17</v>
      </c>
      <c r="Y18" s="29">
        <v>18</v>
      </c>
      <c r="Z18" s="29">
        <v>19</v>
      </c>
      <c r="AA18" s="29">
        <v>20</v>
      </c>
      <c r="AB18" s="29">
        <v>21</v>
      </c>
      <c r="AC18" s="33">
        <v>22</v>
      </c>
      <c r="AD18" s="29">
        <v>23</v>
      </c>
      <c r="AE18" s="29">
        <v>24</v>
      </c>
      <c r="AF18" s="29">
        <v>25</v>
      </c>
      <c r="AG18" s="33">
        <v>26</v>
      </c>
    </row>
    <row r="19" spans="1:33" x14ac:dyDescent="0.3">
      <c r="A19" s="65" t="s">
        <v>171</v>
      </c>
      <c r="B19" s="65"/>
      <c r="C19" s="65"/>
    </row>
    <row r="20" spans="1:33" x14ac:dyDescent="0.3">
      <c r="A20" s="65" t="s">
        <v>172</v>
      </c>
      <c r="B20" s="65"/>
      <c r="C20" s="65"/>
      <c r="H20" s="32" t="s">
        <v>147</v>
      </c>
      <c r="I20" s="32" t="s">
        <v>140</v>
      </c>
      <c r="J20" s="32" t="s">
        <v>145</v>
      </c>
      <c r="K20" s="32" t="s">
        <v>145</v>
      </c>
      <c r="L20" s="32" t="s">
        <v>144</v>
      </c>
      <c r="M20" s="33" t="s">
        <v>162</v>
      </c>
      <c r="N20" s="35" t="s">
        <v>143</v>
      </c>
      <c r="O20" s="35" t="s">
        <v>135</v>
      </c>
      <c r="P20" s="35" t="s">
        <v>148</v>
      </c>
      <c r="Q20" s="35" t="s">
        <v>135</v>
      </c>
      <c r="R20" s="33" t="s">
        <v>162</v>
      </c>
      <c r="S20" s="34" t="s">
        <v>138</v>
      </c>
      <c r="T20" s="34" t="s">
        <v>140</v>
      </c>
      <c r="U20" s="34" t="s">
        <v>145</v>
      </c>
      <c r="V20" s="34" t="s">
        <v>141</v>
      </c>
      <c r="W20" s="34" t="s">
        <v>140</v>
      </c>
      <c r="X20" s="33" t="s">
        <v>173</v>
      </c>
      <c r="Y20" s="36">
        <v>0</v>
      </c>
      <c r="Z20" s="36" t="s">
        <v>149</v>
      </c>
      <c r="AA20" s="36">
        <v>5</v>
      </c>
    </row>
    <row r="21" spans="1:33" x14ac:dyDescent="0.3">
      <c r="H21" s="29">
        <v>1</v>
      </c>
      <c r="I21" s="29">
        <v>2</v>
      </c>
      <c r="J21" s="29">
        <v>3</v>
      </c>
      <c r="K21" s="29">
        <v>4</v>
      </c>
      <c r="L21" s="29">
        <v>5</v>
      </c>
      <c r="M21" s="33">
        <v>6</v>
      </c>
      <c r="N21" s="29">
        <v>7</v>
      </c>
      <c r="O21" s="29">
        <v>8</v>
      </c>
      <c r="P21" s="29">
        <v>9</v>
      </c>
      <c r="Q21" s="29">
        <v>10</v>
      </c>
      <c r="R21" s="33">
        <v>11</v>
      </c>
      <c r="S21" s="29">
        <v>12</v>
      </c>
      <c r="T21" s="29">
        <v>13</v>
      </c>
      <c r="U21" s="29">
        <v>14</v>
      </c>
      <c r="V21" s="29">
        <v>15</v>
      </c>
      <c r="W21" s="29">
        <v>16</v>
      </c>
      <c r="X21" s="33">
        <v>17</v>
      </c>
      <c r="Y21" s="29">
        <v>18</v>
      </c>
      <c r="Z21" s="29">
        <v>19</v>
      </c>
      <c r="AA21" s="33">
        <v>20</v>
      </c>
    </row>
    <row r="22" spans="1:33" x14ac:dyDescent="0.3">
      <c r="A22" t="s">
        <v>161</v>
      </c>
    </row>
    <row r="23" spans="1:33" x14ac:dyDescent="0.3">
      <c r="H23" s="32" t="s">
        <v>150</v>
      </c>
      <c r="I23" s="32" t="s">
        <v>135</v>
      </c>
      <c r="J23" s="32" t="s">
        <v>151</v>
      </c>
      <c r="K23" s="32" t="s">
        <v>144</v>
      </c>
      <c r="L23" s="33" t="s">
        <v>162</v>
      </c>
      <c r="M23" s="35" t="s">
        <v>131</v>
      </c>
      <c r="N23" s="35" t="s">
        <v>155</v>
      </c>
      <c r="O23" s="35" t="s">
        <v>135</v>
      </c>
      <c r="P23" s="35" t="s">
        <v>145</v>
      </c>
      <c r="Q23" s="35" t="s">
        <v>151</v>
      </c>
      <c r="R23" s="35" t="s">
        <v>135</v>
      </c>
      <c r="S23" s="35" t="s">
        <v>134</v>
      </c>
      <c r="T23" s="35" t="s">
        <v>140</v>
      </c>
      <c r="U23" s="35" t="s">
        <v>132</v>
      </c>
      <c r="V23" s="35" t="s">
        <v>151</v>
      </c>
      <c r="W23" s="35" t="s">
        <v>144</v>
      </c>
      <c r="X23" s="33" t="s">
        <v>162</v>
      </c>
      <c r="Y23" s="34" t="s">
        <v>156</v>
      </c>
      <c r="Z23" s="34" t="s">
        <v>140</v>
      </c>
      <c r="AA23" s="34" t="s">
        <v>157</v>
      </c>
      <c r="AB23" s="34" t="s">
        <v>145</v>
      </c>
      <c r="AC23" s="34" t="s">
        <v>144</v>
      </c>
      <c r="AD23" s="33" t="s">
        <v>173</v>
      </c>
      <c r="AE23" s="36">
        <v>0</v>
      </c>
      <c r="AF23" s="36" t="s">
        <v>149</v>
      </c>
      <c r="AG23" s="36">
        <v>6</v>
      </c>
    </row>
    <row r="24" spans="1:33" x14ac:dyDescent="0.3">
      <c r="A24" s="13" t="str">
        <f>MID(A17,1,SEARCH("(",A17)-1)</f>
        <v>Animal</v>
      </c>
      <c r="B24" s="13"/>
      <c r="C24" s="13"/>
      <c r="D24" s="45"/>
      <c r="H24" s="29">
        <v>1</v>
      </c>
      <c r="I24" s="29">
        <v>2</v>
      </c>
      <c r="J24" s="29">
        <v>3</v>
      </c>
      <c r="K24" s="29">
        <v>4</v>
      </c>
      <c r="L24" s="33">
        <v>5</v>
      </c>
      <c r="M24" s="29">
        <v>6</v>
      </c>
      <c r="N24" s="29">
        <v>7</v>
      </c>
      <c r="O24" s="29">
        <v>8</v>
      </c>
      <c r="P24" s="29">
        <v>9</v>
      </c>
      <c r="Q24" s="29">
        <v>10</v>
      </c>
      <c r="R24" s="29">
        <v>11</v>
      </c>
      <c r="S24" s="29">
        <v>12</v>
      </c>
      <c r="T24" s="29">
        <v>13</v>
      </c>
      <c r="U24" s="29">
        <v>14</v>
      </c>
      <c r="V24" s="29">
        <v>15</v>
      </c>
      <c r="W24" s="29">
        <v>16</v>
      </c>
      <c r="X24" s="33">
        <v>17</v>
      </c>
      <c r="Y24" s="29">
        <v>18</v>
      </c>
      <c r="Z24" s="29">
        <v>19</v>
      </c>
      <c r="AA24" s="29">
        <v>20</v>
      </c>
      <c r="AB24" s="29">
        <v>21</v>
      </c>
      <c r="AC24" s="29">
        <v>22</v>
      </c>
      <c r="AD24" s="33">
        <v>23</v>
      </c>
      <c r="AE24" s="29">
        <v>24</v>
      </c>
      <c r="AF24" s="29">
        <v>25</v>
      </c>
      <c r="AG24" s="33">
        <v>26</v>
      </c>
    </row>
    <row r="25" spans="1:33" x14ac:dyDescent="0.3">
      <c r="A25" s="13"/>
      <c r="B25" s="13"/>
      <c r="C25" s="13"/>
      <c r="D25" s="45"/>
    </row>
    <row r="26" spans="1:33" x14ac:dyDescent="0.3">
      <c r="A26" s="13"/>
      <c r="B26" s="13"/>
      <c r="C26" s="13"/>
      <c r="D26" s="45"/>
      <c r="H26" s="32" t="s">
        <v>143</v>
      </c>
      <c r="I26" s="32" t="s">
        <v>158</v>
      </c>
      <c r="J26" s="32" t="s">
        <v>159</v>
      </c>
      <c r="K26" s="33" t="s">
        <v>162</v>
      </c>
      <c r="L26" s="35" t="s">
        <v>152</v>
      </c>
      <c r="M26" s="35" t="s">
        <v>135</v>
      </c>
      <c r="N26" s="35" t="s">
        <v>132</v>
      </c>
      <c r="O26" s="35" t="s">
        <v>148</v>
      </c>
      <c r="P26" s="35" t="s">
        <v>133</v>
      </c>
      <c r="Q26" s="35" t="s">
        <v>153</v>
      </c>
      <c r="R26" s="35" t="s">
        <v>132</v>
      </c>
      <c r="S26" s="33" t="s">
        <v>162</v>
      </c>
      <c r="T26" s="34" t="s">
        <v>154</v>
      </c>
      <c r="U26" s="34" t="s">
        <v>144</v>
      </c>
      <c r="V26" s="34" t="s">
        <v>145</v>
      </c>
      <c r="W26" s="34" t="s">
        <v>135</v>
      </c>
      <c r="X26" s="34" t="s">
        <v>141</v>
      </c>
      <c r="Y26" s="34" t="s">
        <v>144</v>
      </c>
      <c r="Z26" s="33" t="s">
        <v>173</v>
      </c>
      <c r="AA26" s="36">
        <v>0</v>
      </c>
      <c r="AB26" s="36" t="s">
        <v>149</v>
      </c>
      <c r="AC26" s="36">
        <v>2</v>
      </c>
      <c r="AD26" s="36">
        <v>5</v>
      </c>
    </row>
    <row r="27" spans="1:33" x14ac:dyDescent="0.3">
      <c r="A27" s="13"/>
      <c r="B27" s="13"/>
      <c r="C27" s="13"/>
      <c r="D27" s="45"/>
      <c r="H27" s="29">
        <v>1</v>
      </c>
      <c r="I27" s="29">
        <v>2</v>
      </c>
      <c r="J27" s="29">
        <v>3</v>
      </c>
      <c r="K27" s="33">
        <v>4</v>
      </c>
      <c r="L27" s="29">
        <v>5</v>
      </c>
      <c r="M27" s="29">
        <v>6</v>
      </c>
      <c r="N27" s="29">
        <v>7</v>
      </c>
      <c r="O27" s="29">
        <v>8</v>
      </c>
      <c r="P27" s="29">
        <v>9</v>
      </c>
      <c r="Q27" s="29">
        <v>10</v>
      </c>
      <c r="R27" s="29">
        <v>11</v>
      </c>
      <c r="S27" s="33">
        <v>12</v>
      </c>
      <c r="T27" s="29">
        <v>13</v>
      </c>
      <c r="U27" s="29">
        <v>14</v>
      </c>
      <c r="V27" s="29">
        <v>15</v>
      </c>
      <c r="W27" s="29">
        <v>16</v>
      </c>
      <c r="X27" s="29">
        <v>17</v>
      </c>
      <c r="Y27" s="29">
        <v>18</v>
      </c>
      <c r="Z27" s="33">
        <v>19</v>
      </c>
      <c r="AA27" s="29">
        <v>20</v>
      </c>
      <c r="AB27" s="29">
        <v>21</v>
      </c>
      <c r="AC27" s="29">
        <v>22</v>
      </c>
      <c r="AD27" s="33">
        <v>23</v>
      </c>
    </row>
  </sheetData>
  <mergeCells count="9">
    <mergeCell ref="A17:C17"/>
    <mergeCell ref="A18:C18"/>
    <mergeCell ref="A19:C19"/>
    <mergeCell ref="A20:C20"/>
    <mergeCell ref="A1:F1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Fecha</vt:lpstr>
      <vt:lpstr>Texto</vt:lpstr>
      <vt:lpstr>Combinación Interesante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Mariana Velez Rivera</cp:lastModifiedBy>
  <dcterms:created xsi:type="dcterms:W3CDTF">2020-01-24T22:00:24Z</dcterms:created>
  <dcterms:modified xsi:type="dcterms:W3CDTF">2025-10-04T15:33:50Z</dcterms:modified>
</cp:coreProperties>
</file>