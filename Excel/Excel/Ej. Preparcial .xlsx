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na Velez\Documents\6 SEMESTRE\SAD\Excel\"/>
    </mc:Choice>
  </mc:AlternateContent>
  <xr:revisionPtr revIDLastSave="0" documentId="13_ncr:1_{9FB6EFFD-C710-4569-8414-B440DF11D003}" xr6:coauthVersionLast="47" xr6:coauthVersionMax="47" xr10:uidLastSave="{00000000-0000-0000-0000-000000000000}"/>
  <bookViews>
    <workbookView xWindow="5340" yWindow="2655" windowWidth="11805" windowHeight="10440" activeTab="1" xr2:uid="{89B8A25E-897D-4EB8-9AEA-517742E3ABD6}"/>
  </bookViews>
  <sheets>
    <sheet name="Hoja1" sheetId="1" r:id="rId1"/>
    <sheet name="Hoja2" sheetId="2" r:id="rId2"/>
  </sheets>
  <definedNames>
    <definedName name="_xlnm._FilterDatabase" localSheetId="0" hidden="1">Hoja1!$B$5:$E$5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2" l="1" a="1"/>
  <c r="J7" i="2" s="1"/>
  <c r="I7" i="2" a="1"/>
  <c r="I7" i="2" s="1"/>
  <c r="H17" i="2" a="1"/>
  <c r="H17" i="2" l="1"/>
  <c r="G6" i="2" l="1" a="1"/>
  <c r="G6" i="2" s="1"/>
  <c r="G5" i="2"/>
  <c r="K5" i="1"/>
  <c r="K4" i="1"/>
  <c r="I9" i="1"/>
  <c r="D14" i="2"/>
  <c r="A14" i="2" a="1"/>
  <c r="A14" i="2" s="1"/>
  <c r="D17" i="2"/>
  <c r="D15" i="2"/>
  <c r="D16" i="2"/>
  <c r="D18" i="2"/>
  <c r="I7" i="1"/>
  <c r="H7" i="1" l="1"/>
  <c r="G11" i="1" a="1"/>
  <c r="G11" i="1" s="1"/>
  <c r="G10" i="1"/>
  <c r="G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<sst xmlns="http://schemas.openxmlformats.org/spreadsheetml/2006/main" count="44" uniqueCount="24">
  <si>
    <t>nombre</t>
  </si>
  <si>
    <t xml:space="preserve">vivienda </t>
  </si>
  <si>
    <t>edad</t>
  </si>
  <si>
    <t>promedio</t>
  </si>
  <si>
    <t>Juan</t>
  </si>
  <si>
    <t>Pepe</t>
  </si>
  <si>
    <t>Pepa</t>
  </si>
  <si>
    <t>Juana</t>
  </si>
  <si>
    <t>casa</t>
  </si>
  <si>
    <t>Hasbleydy</t>
  </si>
  <si>
    <t>apartamento</t>
  </si>
  <si>
    <t>B</t>
  </si>
  <si>
    <t>vivienda</t>
  </si>
  <si>
    <t>D</t>
  </si>
  <si>
    <t>Promedio</t>
  </si>
  <si>
    <t>E</t>
  </si>
  <si>
    <t>C</t>
  </si>
  <si>
    <t>FC1 : Matricial</t>
  </si>
  <si>
    <t>Colorear toda la fila de los registros que en su nombre hay al menos una e o su edad es mayor a 4</t>
  </si>
  <si>
    <t>FC2: no matricial</t>
  </si>
  <si>
    <t>Matricial</t>
  </si>
  <si>
    <t>No matricial</t>
  </si>
  <si>
    <t>Afa</t>
  </si>
  <si>
    <t>Cuantos registros cumple la condicion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</si>
</sst>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</cellXfs>
  <cellStyles count="1">
    <cellStyle name="Normal" xfId="0" builtinId="0"/>
  </cellStyles>
  <dxfs count="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9C11-BBD2-472C-99BB-3FFF81F06975}">
  <dimension ref="A2:K13"/>
  <sheetViews>
    <sheetView workbookViewId="0">
      <selection activeCell="I7" sqref="I7"/>
    </sheetView>
  </sheetViews>
  <sheetFormatPr baseColWidth="10" defaultRowHeight="15" x14ac:dyDescent="0.25"/>
  <cols>
    <col min="2" max="2" width="15.28515625" customWidth="1"/>
  </cols>
  <sheetData>
    <row r="2" spans="1:11" x14ac:dyDescent="0.25">
      <c r="G2" t="s">
        <v>0</v>
      </c>
      <c r="H2" t="s">
        <v>11</v>
      </c>
    </row>
    <row r="3" spans="1:11" x14ac:dyDescent="0.25">
      <c r="G3" t="s">
        <v>12</v>
      </c>
      <c r="H3" t="s">
        <v>16</v>
      </c>
    </row>
    <row r="4" spans="1:11" x14ac:dyDescent="0.25">
      <c r="G4" t="s">
        <v>2</v>
      </c>
      <c r="H4" t="s">
        <v>13</v>
      </c>
      <c r="J4" t="s">
        <v>22</v>
      </c>
      <c r="K4">
        <f>SEARCH("a",J4)</f>
        <v>1</v>
      </c>
    </row>
    <row r="5" spans="1:11" x14ac:dyDescent="0.25">
      <c r="A5" s="1"/>
      <c r="B5" t="s">
        <v>0</v>
      </c>
      <c r="C5" t="s">
        <v>1</v>
      </c>
      <c r="D5" t="s">
        <v>2</v>
      </c>
      <c r="E5" t="s">
        <v>3</v>
      </c>
      <c r="G5" t="s">
        <v>14</v>
      </c>
      <c r="H5" t="s">
        <v>15</v>
      </c>
      <c r="K5">
        <f>FIND("a",J4)</f>
        <v>3</v>
      </c>
    </row>
    <row r="6" spans="1:11" x14ac:dyDescent="0.25">
      <c r="A6">
        <v>1</v>
      </c>
      <c r="B6" t="s">
        <v>4</v>
      </c>
      <c r="C6" t="s">
        <v>8</v>
      </c>
      <c r="D6">
        <v>5</v>
      </c>
      <c r="E6">
        <v>9</v>
      </c>
    </row>
    <row r="7" spans="1:11" x14ac:dyDescent="0.25">
      <c r="A7">
        <v>2</v>
      </c>
      <c r="B7" t="s">
        <v>5</v>
      </c>
      <c r="C7" t="s">
        <v>10</v>
      </c>
      <c r="D7">
        <v>3</v>
      </c>
      <c r="E7" s="2">
        <v>5</v>
      </c>
      <c r="G7" t="s">
        <v>2</v>
      </c>
      <c r="H7">
        <f ca="1">AVERAGE(OFFSET(A5, ROW(D6)-ROW(A5),MATCH(G7,A5:E5,0)-COLUMN(A5),ROW(D10)-ROW(D5),1))</f>
        <v>3.2</v>
      </c>
      <c r="I7">
        <f ca="1">AVERAGE(INDIRECT(VLOOKUP(G7,G2:H5,2,FALSE)&amp;"6:"&amp;VLOOKUP(G7,G2:H5,2,FALSE)&amp;"10"))</f>
        <v>3.2</v>
      </c>
    </row>
    <row r="8" spans="1:11" x14ac:dyDescent="0.25">
      <c r="A8">
        <v>3</v>
      </c>
      <c r="B8" t="s">
        <v>6</v>
      </c>
      <c r="C8" s="3" t="s">
        <v>8</v>
      </c>
      <c r="D8">
        <v>5</v>
      </c>
      <c r="E8" s="4">
        <v>1</v>
      </c>
    </row>
    <row r="9" spans="1:11" x14ac:dyDescent="0.25">
      <c r="A9">
        <v>4</v>
      </c>
      <c r="B9" t="s">
        <v>7</v>
      </c>
      <c r="C9" t="s">
        <v>10</v>
      </c>
      <c r="D9">
        <v>2</v>
      </c>
      <c r="E9">
        <v>4</v>
      </c>
      <c r="G9">
        <f ca="1">OFFSET(A5,2,4,1,1)</f>
        <v>5</v>
      </c>
      <c r="I9" t="str">
        <f>HLOOKUP(G4,G4:H5,2,FALSE)</f>
        <v>Promedio</v>
      </c>
    </row>
    <row r="10" spans="1:11" x14ac:dyDescent="0.25">
      <c r="A10">
        <v>5</v>
      </c>
      <c r="B10" t="s">
        <v>9</v>
      </c>
      <c r="C10" t="s">
        <v>8</v>
      </c>
      <c r="D10">
        <v>1</v>
      </c>
      <c r="E10">
        <v>2</v>
      </c>
      <c r="G10">
        <f ca="1">OFFSET(C8,0,2,1,1)</f>
        <v>1</v>
      </c>
    </row>
    <row r="11" spans="1:11" x14ac:dyDescent="0.25">
      <c r="G11" cm="1">
        <f t="array" aca="1" ref="G11:G13" ca="1">OFFSET(A5,ROW(E7)-ROW(A5),COLUMN(E7)-COLUMN(A5),3,1)</f>
        <v>5</v>
      </c>
    </row>
    <row r="12" spans="1:11" x14ac:dyDescent="0.25">
      <c r="G12">
        <f ca="1"/>
        <v>1</v>
      </c>
    </row>
    <row r="13" spans="1:11" x14ac:dyDescent="0.25">
      <c r="G13">
        <f ca="1"/>
        <v>4</v>
      </c>
    </row>
  </sheetData>
  <dataValidations count="1">
    <dataValidation type="list" allowBlank="1" showInputMessage="1" showErrorMessage="1" sqref="G7" xr:uid="{1A025031-A529-442C-8EE1-7BF9553F4421}">
      <formula1>$B$5:$E$5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ECA5F-669A-4178-823C-6A080D790D61}">
  <dimension ref="A1:K21"/>
  <sheetViews>
    <sheetView tabSelected="1" topLeftCell="C1" workbookViewId="0">
      <selection activeCell="H18" sqref="H18"/>
    </sheetView>
  </sheetViews>
  <sheetFormatPr baseColWidth="10" defaultRowHeight="15" x14ac:dyDescent="0.25"/>
  <sheetData>
    <row r="1" spans="1:11" x14ac:dyDescent="0.25">
      <c r="A1" t="s">
        <v>18</v>
      </c>
    </row>
    <row r="2" spans="1:11" x14ac:dyDescent="0.25">
      <c r="A2" t="s">
        <v>23</v>
      </c>
      <c r="G2" t="s">
        <v>17</v>
      </c>
    </row>
    <row r="3" spans="1:11" x14ac:dyDescent="0.25">
      <c r="G3" t="s">
        <v>19</v>
      </c>
    </row>
    <row r="4" spans="1:11" x14ac:dyDescent="0.25">
      <c r="B4" s="5" t="s">
        <v>0</v>
      </c>
      <c r="C4" s="5" t="s">
        <v>1</v>
      </c>
      <c r="D4" s="5" t="s">
        <v>2</v>
      </c>
      <c r="E4" s="5" t="s">
        <v>3</v>
      </c>
    </row>
    <row r="5" spans="1:11" x14ac:dyDescent="0.25">
      <c r="B5" s="5" t="s">
        <v>4</v>
      </c>
      <c r="C5" s="5" t="s">
        <v>8</v>
      </c>
      <c r="D5" s="5">
        <v>5</v>
      </c>
      <c r="E5" s="5">
        <v>9</v>
      </c>
      <c r="G5">
        <f>COUNTIF(B5:B9,"*e*")+COUNTIF(D5:D9,"&gt;4")-COUNTIFS(B5:B9,"*e*",D5:D9,"&gt;4")</f>
        <v>4</v>
      </c>
    </row>
    <row r="6" spans="1:11" x14ac:dyDescent="0.25">
      <c r="B6" s="5" t="s">
        <v>5</v>
      </c>
      <c r="C6" s="5" t="s">
        <v>10</v>
      </c>
      <c r="D6" s="5">
        <v>3</v>
      </c>
      <c r="E6" s="5">
        <v>5</v>
      </c>
      <c r="G6" cm="1">
        <f t="array" ref="G6">SUM(IF(IF(IFERROR(SEARCH("e",B5:B9),0),1,0)+IF(D5:D9&gt;4,1,0),IF(IF(IFERROR(SEARCH("e",B5:B9),0),1,0)+IF(D5:D9&gt;4,1,0)&gt;1,1,1),0))</f>
        <v>4</v>
      </c>
    </row>
    <row r="7" spans="1:11" x14ac:dyDescent="0.25">
      <c r="B7" s="5" t="s">
        <v>6</v>
      </c>
      <c r="C7" s="5" t="s">
        <v>8</v>
      </c>
      <c r="D7" s="5">
        <v>5</v>
      </c>
      <c r="E7" s="5">
        <v>1</v>
      </c>
      <c r="I7" t="b" cm="1">
        <f t="array" ref="I7:I9">IF(D5:D7=3,E5:E7)</f>
        <v>0</v>
      </c>
      <c r="J7" cm="1">
        <f t="array" ref="J7:K8">IF(D5:E5=9,D6:E7,0)</f>
        <v>0</v>
      </c>
      <c r="K7">
        <v>5</v>
      </c>
    </row>
    <row r="8" spans="1:11" x14ac:dyDescent="0.25">
      <c r="B8" s="5" t="s">
        <v>7</v>
      </c>
      <c r="C8" s="5" t="s">
        <v>10</v>
      </c>
      <c r="D8" s="5">
        <v>2</v>
      </c>
      <c r="E8" s="5">
        <v>4</v>
      </c>
      <c r="I8">
        <v>5</v>
      </c>
      <c r="J8">
        <v>0</v>
      </c>
      <c r="K8">
        <v>1</v>
      </c>
    </row>
    <row r="9" spans="1:11" x14ac:dyDescent="0.25">
      <c r="B9" s="5" t="s">
        <v>9</v>
      </c>
      <c r="C9" s="5" t="s">
        <v>8</v>
      </c>
      <c r="D9" s="5">
        <v>1</v>
      </c>
      <c r="E9" s="5">
        <v>2</v>
      </c>
      <c r="I9" t="b">
        <v>0</v>
      </c>
    </row>
    <row r="10" spans="1:11" x14ac:dyDescent="0.25">
      <c r="B10" s="5"/>
      <c r="C10" s="5"/>
      <c r="D10" s="5"/>
      <c r="E10" s="5"/>
      <c r="H10" s="5"/>
      <c r="I10" s="5"/>
      <c r="J10" s="5"/>
      <c r="K10" s="5"/>
    </row>
    <row r="11" spans="1:11" x14ac:dyDescent="0.25">
      <c r="I11" s="5"/>
      <c r="J11" s="5"/>
      <c r="K11" s="5"/>
    </row>
    <row r="12" spans="1:11" x14ac:dyDescent="0.25">
      <c r="A12" t="s">
        <v>20</v>
      </c>
      <c r="D12" t="s">
        <v>21</v>
      </c>
      <c r="H12" s="5"/>
      <c r="I12" s="5"/>
      <c r="J12" s="5"/>
      <c r="K12" s="5"/>
    </row>
    <row r="13" spans="1:11" x14ac:dyDescent="0.25">
      <c r="H13" s="5"/>
      <c r="I13" s="5"/>
      <c r="J13" s="5"/>
      <c r="K13" s="5"/>
    </row>
    <row r="14" spans="1:11" x14ac:dyDescent="0.25">
      <c r="A14" cm="1">
        <f t="array" ref="A14:A18">IF(IFERROR(SEARCH("e",$B$5:$B$9),0)+IF($D$5:$D$9&gt;4,1,0),1,0)</f>
        <v>1</v>
      </c>
      <c r="D14">
        <f>IF(IFERROR(SEARCH("e",$B5),0)+IF($D5&gt;4,1,0),1,0)</f>
        <v>1</v>
      </c>
      <c r="H14" s="5"/>
      <c r="I14" s="5"/>
      <c r="J14" s="5"/>
      <c r="K14" s="5"/>
    </row>
    <row r="15" spans="1:11" x14ac:dyDescent="0.25">
      <c r="A15">
        <v>1</v>
      </c>
      <c r="D15">
        <f t="shared" ref="D15:D18" si="0">IF(IFERROR(SEARCH("e",B6),0)+IF(D6&gt;4,1,0),1,0)</f>
        <v>1</v>
      </c>
      <c r="H15" s="5"/>
      <c r="I15" s="5"/>
      <c r="J15" s="5"/>
      <c r="K15" s="5"/>
    </row>
    <row r="16" spans="1:11" x14ac:dyDescent="0.25">
      <c r="A16">
        <v>1</v>
      </c>
      <c r="D16">
        <f t="shared" si="0"/>
        <v>1</v>
      </c>
    </row>
    <row r="17" spans="1:8" x14ac:dyDescent="0.25">
      <c r="A17">
        <v>0</v>
      </c>
      <c r="D17">
        <f>IF(IFERROR(SEARCH("e",B8),0)+IF(D8&gt;4,1,0),1,0)</f>
        <v>0</v>
      </c>
      <c r="H17" s="5" t="e" cm="1">
        <f t="array" aca="1" ref="H17" ca="1">INDIRECT("    'Hoja1'!G3:G5")</f>
        <v>#REF!</v>
      </c>
    </row>
    <row r="18" spans="1:8" x14ac:dyDescent="0.25">
      <c r="A18">
        <v>1</v>
      </c>
      <c r="D18">
        <f t="shared" si="0"/>
        <v>1</v>
      </c>
      <c r="H18" s="5"/>
    </row>
    <row r="19" spans="1:8" x14ac:dyDescent="0.25">
      <c r="H19" s="5"/>
    </row>
    <row r="20" spans="1:8" x14ac:dyDescent="0.25">
      <c r="H20" s="5"/>
    </row>
    <row r="21" spans="1:8" x14ac:dyDescent="0.25">
      <c r="H21" s="5"/>
    </row>
  </sheetData>
  <conditionalFormatting sqref="B5:E9">
    <cfRule type="expression" dxfId="1" priority="2">
      <formula>IF(IFERROR(SEARCH("e",$B5),0)+IF($D5&gt;4,1,0),1,0)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Velez Rivera</dc:creator>
  <cp:lastModifiedBy>Mariana Velez Rivera</cp:lastModifiedBy>
  <dcterms:created xsi:type="dcterms:W3CDTF">2024-03-08T13:01:41Z</dcterms:created>
  <dcterms:modified xsi:type="dcterms:W3CDTF">2024-03-09T14:42:09Z</dcterms:modified>
</cp:coreProperties>
</file>