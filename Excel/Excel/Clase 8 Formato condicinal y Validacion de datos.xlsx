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uniandes-my.sharepoint.com/personal/m_velezr_uniandes_edu_co/Documents/Documentos/Universidad/Programación/Excel/SAD-20250923T212200Z-1-001/SAD/Excel/"/>
    </mc:Choice>
  </mc:AlternateContent>
  <xr:revisionPtr revIDLastSave="111" documentId="13_ncr:1_{33F0E8BF-3817-4E41-8068-1991E1FC5781}" xr6:coauthVersionLast="47" xr6:coauthVersionMax="47" xr10:uidLastSave="{47E335A3-BC85-4177-A360-E84E8643F0C1}"/>
  <bookViews>
    <workbookView xWindow="-108" yWindow="-108" windowWidth="23256" windowHeight="12456" activeTab="4" xr2:uid="{00000000-000D-0000-FFFF-FFFF00000000}"/>
  </bookViews>
  <sheets>
    <sheet name="Formato Condicional" sheetId="2" r:id="rId1"/>
    <sheet name="FC avanzado" sheetId="6" r:id="rId2"/>
    <sheet name="Validación de Datos" sheetId="1" r:id="rId3"/>
    <sheet name="Ejercicios" sheetId="5" r:id="rId4"/>
    <sheet name="Ejercicios 2" sheetId="7" r:id="rId5"/>
  </sheets>
  <definedNames>
    <definedName name="_xlnm._FilterDatabase" localSheetId="1" hidden="1">'FC avanzado'!$B$7:$E$7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5" l="1"/>
  <c r="W8" i="6" a="1"/>
  <c r="W8" i="6" s="1"/>
  <c r="G8" i="6" a="1"/>
  <c r="G8" i="6" s="1"/>
  <c r="V8" i="6" a="1"/>
  <c r="V8" i="6" s="1"/>
  <c r="U8" i="6" a="1"/>
  <c r="U8" i="6" s="1"/>
  <c r="X8" i="6" a="1"/>
  <c r="X8" i="6" s="1"/>
  <c r="L12" i="6"/>
  <c r="G12" i="6" a="1"/>
  <c r="G12" i="6" s="1"/>
  <c r="X9" i="6" a="1"/>
  <c r="X9" i="6" s="1"/>
  <c r="X10" i="6" a="1"/>
  <c r="X10" i="6"/>
  <c r="X11" i="6" a="1"/>
  <c r="X11" i="6"/>
  <c r="X12" i="6" a="1"/>
  <c r="X12" i="6"/>
  <c r="X13" i="6" a="1"/>
  <c r="X13" i="6"/>
  <c r="X14" i="6" a="1"/>
  <c r="X14" i="6"/>
  <c r="X15" i="6" a="1"/>
  <c r="X15" i="6" s="1"/>
  <c r="X16" i="6" a="1"/>
  <c r="X16" i="6"/>
  <c r="X17" i="6" a="1"/>
  <c r="X17" i="6"/>
  <c r="X18" i="6" a="1"/>
  <c r="X18" i="6"/>
  <c r="X19" i="6" a="1"/>
  <c r="X19" i="6"/>
  <c r="X20" i="6" a="1"/>
  <c r="X20" i="6"/>
  <c r="X21" i="6" a="1"/>
  <c r="X21" i="6" s="1"/>
  <c r="X22" i="6" a="1"/>
  <c r="X22" i="6"/>
  <c r="X23" i="6" a="1"/>
  <c r="X23" i="6"/>
  <c r="X24" i="6" a="1"/>
  <c r="X24" i="6"/>
  <c r="X25" i="6" a="1"/>
  <c r="X25" i="6"/>
  <c r="X26" i="6" a="1"/>
  <c r="X26" i="6"/>
  <c r="X27" i="6" a="1"/>
  <c r="X27" i="6" s="1"/>
  <c r="X28" i="6" a="1"/>
  <c r="X28" i="6"/>
  <c r="X29" i="6" a="1"/>
  <c r="X29" i="6"/>
  <c r="X30" i="6" a="1"/>
  <c r="X30" i="6"/>
  <c r="X31" i="6" a="1"/>
  <c r="X31" i="6"/>
  <c r="X32" i="6" a="1"/>
  <c r="X32" i="6"/>
  <c r="X33" i="6" a="1"/>
  <c r="X33" i="6" s="1"/>
  <c r="X34" i="6" a="1"/>
  <c r="X34" i="6"/>
  <c r="X35" i="6" a="1"/>
  <c r="X35" i="6"/>
  <c r="X36" i="6" a="1"/>
  <c r="X36" i="6"/>
  <c r="X37" i="6" a="1"/>
  <c r="X37" i="6"/>
  <c r="X38" i="6" a="1"/>
  <c r="X38" i="6"/>
  <c r="X39" i="6" a="1"/>
  <c r="X39" i="6" s="1"/>
  <c r="X40" i="6" a="1"/>
  <c r="X40" i="6"/>
  <c r="X41" i="6" a="1"/>
  <c r="X41" i="6"/>
  <c r="X42" i="6" a="1"/>
  <c r="X42" i="6"/>
  <c r="X43" i="6" a="1"/>
  <c r="X43" i="6"/>
  <c r="X44" i="6" a="1"/>
  <c r="X44" i="6"/>
  <c r="X45" i="6" a="1"/>
  <c r="X45" i="6" s="1"/>
  <c r="X46" i="6" a="1"/>
  <c r="X46" i="6"/>
  <c r="X47" i="6" a="1"/>
  <c r="X47" i="6"/>
  <c r="X48" i="6" a="1"/>
  <c r="X48" i="6"/>
  <c r="X49" i="6" a="1"/>
  <c r="X49" i="6"/>
  <c r="X50" i="6" a="1"/>
  <c r="X50" i="6"/>
  <c r="X51" i="6" a="1"/>
  <c r="X51" i="6" s="1"/>
  <c r="X52" i="6" a="1"/>
  <c r="X52" i="6"/>
  <c r="X53" i="6" a="1"/>
  <c r="X53" i="6"/>
  <c r="X54" i="6" a="1"/>
  <c r="X54" i="6"/>
  <c r="X55" i="6" a="1"/>
  <c r="X55" i="6" s="1"/>
  <c r="X56" i="6" a="1"/>
  <c r="X56" i="6"/>
  <c r="X57" i="6" a="1"/>
  <c r="X57" i="6" s="1"/>
  <c r="X58" i="6" a="1"/>
  <c r="X58" i="6"/>
  <c r="X59" i="6" a="1"/>
  <c r="X59" i="6"/>
  <c r="X60" i="6" a="1"/>
  <c r="X60" i="6"/>
  <c r="X61" i="6" a="1"/>
  <c r="X61" i="6"/>
  <c r="X62" i="6" a="1"/>
  <c r="X62" i="6"/>
  <c r="X63" i="6" a="1"/>
  <c r="X63" i="6" s="1"/>
  <c r="X64" i="6" a="1"/>
  <c r="X64" i="6"/>
  <c r="X65" i="6" a="1"/>
  <c r="X65" i="6"/>
  <c r="X66" i="6" a="1"/>
  <c r="X66" i="6" s="1"/>
  <c r="X67" i="6" a="1"/>
  <c r="X67" i="6"/>
  <c r="X68" i="6" a="1"/>
  <c r="X68" i="6"/>
  <c r="X69" i="6" a="1"/>
  <c r="X69" i="6" s="1"/>
  <c r="X70" i="6" a="1"/>
  <c r="X70" i="6"/>
  <c r="X71" i="6" a="1"/>
  <c r="X71" i="6" s="1"/>
  <c r="R2" i="6"/>
  <c r="G9" i="6" a="1"/>
  <c r="G9" i="6" s="1"/>
  <c r="G10" i="6" a="1"/>
  <c r="G10" i="6"/>
  <c r="G11" i="6" a="1"/>
  <c r="G11" i="6" s="1"/>
  <c r="G13" i="6" a="1"/>
  <c r="G13" i="6" s="1"/>
  <c r="G14" i="6" a="1"/>
  <c r="G14" i="6" s="1"/>
  <c r="G15" i="6" a="1"/>
  <c r="G15" i="6" s="1"/>
  <c r="G16" i="6" a="1"/>
  <c r="G16" i="6" s="1"/>
  <c r="G17" i="6" a="1"/>
  <c r="G17" i="6" s="1"/>
  <c r="G18" i="6" a="1"/>
  <c r="G18" i="6" s="1"/>
  <c r="G19" i="6" a="1"/>
  <c r="G19" i="6" s="1"/>
  <c r="G20" i="6" a="1"/>
  <c r="G20" i="6" s="1"/>
  <c r="G21" i="6" a="1"/>
  <c r="G21" i="6" s="1"/>
  <c r="G22" i="6" a="1"/>
  <c r="G22" i="6" s="1"/>
  <c r="G23" i="6" a="1"/>
  <c r="G23" i="6" s="1"/>
  <c r="G24" i="6" a="1"/>
  <c r="G24" i="6" s="1"/>
  <c r="G25" i="6" a="1"/>
  <c r="G25" i="6" s="1"/>
  <c r="G26" i="6" a="1"/>
  <c r="G26" i="6" s="1"/>
  <c r="G27" i="6" a="1"/>
  <c r="G27" i="6" s="1"/>
  <c r="G28" i="6" a="1"/>
  <c r="G28" i="6" s="1"/>
  <c r="G29" i="6" a="1"/>
  <c r="G29" i="6" s="1"/>
  <c r="G30" i="6" a="1"/>
  <c r="G30" i="6" s="1"/>
  <c r="G31" i="6" a="1"/>
  <c r="G31" i="6" s="1"/>
  <c r="G32" i="6" a="1"/>
  <c r="G32" i="6" s="1"/>
  <c r="G33" i="6" a="1"/>
  <c r="G33" i="6" s="1"/>
  <c r="G34" i="6" a="1"/>
  <c r="G34" i="6" s="1"/>
  <c r="G35" i="6" a="1"/>
  <c r="G35" i="6" s="1"/>
  <c r="G36" i="6" a="1"/>
  <c r="G36" i="6" s="1"/>
  <c r="G37" i="6" a="1"/>
  <c r="G37" i="6" s="1"/>
  <c r="G38" i="6" a="1"/>
  <c r="G38" i="6" s="1"/>
  <c r="G39" i="6" a="1"/>
  <c r="G39" i="6" s="1"/>
  <c r="G40" i="6" a="1"/>
  <c r="G40" i="6" s="1"/>
  <c r="G41" i="6" a="1"/>
  <c r="G41" i="6" s="1"/>
  <c r="G42" i="6" a="1"/>
  <c r="G42" i="6" s="1"/>
  <c r="G43" i="6" a="1"/>
  <c r="G43" i="6" s="1"/>
  <c r="G44" i="6" a="1"/>
  <c r="G44" i="6" s="1"/>
  <c r="G45" i="6" a="1"/>
  <c r="G45" i="6" s="1"/>
  <c r="G46" i="6" a="1"/>
  <c r="G46" i="6" s="1"/>
  <c r="G47" i="6" a="1"/>
  <c r="G47" i="6" s="1"/>
  <c r="G48" i="6" a="1"/>
  <c r="G48" i="6" s="1"/>
  <c r="G49" i="6" a="1"/>
  <c r="G49" i="6" s="1"/>
  <c r="G50" i="6" a="1"/>
  <c r="G50" i="6" s="1"/>
  <c r="G51" i="6" a="1"/>
  <c r="G51" i="6" s="1"/>
  <c r="G52" i="6" a="1"/>
  <c r="G52" i="6" s="1"/>
  <c r="G53" i="6" a="1"/>
  <c r="G53" i="6" s="1"/>
  <c r="G54" i="6" a="1"/>
  <c r="G54" i="6" s="1"/>
  <c r="G55" i="6" a="1"/>
  <c r="G55" i="6" s="1"/>
  <c r="G56" i="6" a="1"/>
  <c r="G56" i="6" s="1"/>
  <c r="G57" i="6" a="1"/>
  <c r="G57" i="6" s="1"/>
  <c r="G58" i="6" a="1"/>
  <c r="G58" i="6" s="1"/>
  <c r="G59" i="6" a="1"/>
  <c r="G59" i="6" s="1"/>
  <c r="G60" i="6" a="1"/>
  <c r="G60" i="6" s="1"/>
  <c r="G61" i="6" a="1"/>
  <c r="G61" i="6" s="1"/>
  <c r="G62" i="6" a="1"/>
  <c r="G62" i="6" s="1"/>
  <c r="G63" i="6" a="1"/>
  <c r="G63" i="6" s="1"/>
  <c r="G64" i="6" a="1"/>
  <c r="G64" i="6" s="1"/>
  <c r="G65" i="6" a="1"/>
  <c r="G65" i="6" s="1"/>
  <c r="G66" i="6" a="1"/>
  <c r="G66" i="6" s="1"/>
  <c r="G67" i="6" a="1"/>
  <c r="G67" i="6" s="1"/>
  <c r="G68" i="6" a="1"/>
  <c r="G68" i="6" s="1"/>
  <c r="G69" i="6" a="1"/>
  <c r="G69" i="6" s="1"/>
  <c r="G70" i="6" a="1"/>
  <c r="G70" i="6"/>
  <c r="G71" i="6" a="1"/>
  <c r="G71" i="6" s="1"/>
  <c r="H8" i="6"/>
  <c r="I9" i="6"/>
  <c r="I10" i="6"/>
  <c r="I11" i="6"/>
  <c r="I12" i="6"/>
  <c r="I13" i="6"/>
  <c r="I14" i="6"/>
  <c r="I15" i="6"/>
  <c r="I16" i="6"/>
  <c r="I17" i="6"/>
  <c r="I18" i="6"/>
  <c r="I19" i="6"/>
  <c r="I20" i="6"/>
  <c r="I21" i="6"/>
  <c r="I22" i="6"/>
  <c r="I23" i="6"/>
  <c r="I24" i="6"/>
  <c r="I25" i="6"/>
  <c r="I26" i="6"/>
  <c r="I8" i="6"/>
  <c r="K9" i="6"/>
  <c r="K10" i="6"/>
  <c r="K11" i="6"/>
  <c r="K12" i="6"/>
  <c r="K13" i="6"/>
  <c r="K14" i="6"/>
  <c r="K15" i="6"/>
  <c r="K16" i="6"/>
  <c r="K17" i="6"/>
  <c r="K18" i="6"/>
  <c r="K19" i="6"/>
  <c r="K20" i="6"/>
  <c r="K21" i="6"/>
  <c r="K22" i="6"/>
  <c r="K23" i="6"/>
  <c r="K24" i="6"/>
  <c r="K25" i="6"/>
  <c r="K26" i="6"/>
  <c r="K8" i="6"/>
  <c r="J8" i="6" a="1"/>
  <c r="J8" i="6" s="1"/>
  <c r="J9" i="6" a="1"/>
  <c r="J9" i="6" s="1"/>
  <c r="L9" i="6" s="1"/>
  <c r="J10" i="6" a="1"/>
  <c r="J10" i="6" s="1"/>
  <c r="L10" i="6" s="1"/>
  <c r="J11" i="6" a="1"/>
  <c r="J11" i="6" s="1"/>
  <c r="L11" i="6" s="1"/>
  <c r="J12" i="6" a="1"/>
  <c r="J12" i="6" s="1"/>
  <c r="J13" i="6" a="1"/>
  <c r="J13" i="6" s="1"/>
  <c r="J14" i="6" a="1"/>
  <c r="J14" i="6" s="1"/>
  <c r="L14" i="6" s="1"/>
  <c r="J15" i="6" a="1"/>
  <c r="J15" i="6" s="1"/>
  <c r="L15" i="6" s="1"/>
  <c r="J16" i="6" a="1"/>
  <c r="J16" i="6" s="1"/>
  <c r="J17" i="6" a="1"/>
  <c r="J17" i="6" s="1"/>
  <c r="L17" i="6" s="1"/>
  <c r="J18" i="6" a="1"/>
  <c r="J18" i="6" s="1"/>
  <c r="L18" i="6" s="1"/>
  <c r="J19" i="6" a="1"/>
  <c r="J19" i="6" s="1"/>
  <c r="L19" i="6" s="1"/>
  <c r="J20" i="6" a="1"/>
  <c r="J20" i="6" s="1"/>
  <c r="J21" i="6" a="1"/>
  <c r="J21" i="6" s="1"/>
  <c r="L21" i="6" s="1"/>
  <c r="J22" i="6" a="1"/>
  <c r="J22" i="6" s="1"/>
  <c r="L22" i="6" s="1"/>
  <c r="J23" i="6" a="1"/>
  <c r="J23" i="6" s="1"/>
  <c r="L23" i="6" s="1"/>
  <c r="J24" i="6" a="1"/>
  <c r="J24" i="6" s="1"/>
  <c r="J25" i="6" a="1"/>
  <c r="J25" i="6" s="1"/>
  <c r="L25" i="6" s="1"/>
  <c r="J26" i="6" a="1"/>
  <c r="J26" i="6" s="1"/>
  <c r="L26" i="6" s="1"/>
  <c r="H9" i="6"/>
  <c r="H10" i="6"/>
  <c r="H11" i="6"/>
  <c r="H12" i="6"/>
  <c r="H13" i="6"/>
  <c r="H14" i="6"/>
  <c r="H15" i="6"/>
  <c r="H16" i="6"/>
  <c r="H17" i="6"/>
  <c r="H18" i="6"/>
  <c r="H19" i="6"/>
  <c r="H20" i="6"/>
  <c r="H21" i="6"/>
  <c r="H22" i="6"/>
  <c r="H23" i="6"/>
  <c r="H24" i="6"/>
  <c r="H25" i="6"/>
  <c r="H26" i="6"/>
  <c r="L13" i="6" l="1"/>
  <c r="L24" i="6"/>
  <c r="L20" i="6"/>
  <c r="L16" i="6"/>
  <c r="L8"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<sst xmlns="http://schemas.openxmlformats.org/spreadsheetml/2006/main" count="621" uniqueCount="179">
  <si>
    <t>Su edad (letra)</t>
  </si>
  <si>
    <t>Su edad (número)</t>
  </si>
  <si>
    <t>Atura</t>
  </si>
  <si>
    <t>Nombre</t>
  </si>
  <si>
    <t>Nombres</t>
  </si>
  <si>
    <t>Config</t>
  </si>
  <si>
    <t>In</t>
  </si>
  <si>
    <t>Introduzca su edad en letras, por favor</t>
  </si>
  <si>
    <t>Título</t>
  </si>
  <si>
    <t>Edad</t>
  </si>
  <si>
    <t>Err.Alto</t>
  </si>
  <si>
    <t>Altura</t>
  </si>
  <si>
    <t>Introduzca su altura en metros</t>
  </si>
  <si>
    <t>Solo escoja de la lista, no es tan difícil!</t>
  </si>
  <si>
    <t>Seleccione su nombre de la lista</t>
  </si>
  <si>
    <t>Fecha</t>
  </si>
  <si>
    <t>Fecha mayor igual al 1 de enero de 2020</t>
  </si>
  <si>
    <t>Err.Adver</t>
  </si>
  <si>
    <t>Err.Info</t>
  </si>
  <si>
    <t>Hora</t>
  </si>
  <si>
    <t>Que no sea entre 8 a.m. y las 10 a.m.</t>
  </si>
  <si>
    <t>Introduzca una hora por favor</t>
  </si>
  <si>
    <t>Personalizado</t>
  </si>
  <si>
    <t>Que no muestre nada en datos de entrada</t>
  </si>
  <si>
    <t>Que no muestre nada cuando haya error</t>
  </si>
  <si>
    <t>Números</t>
  </si>
  <si>
    <t>Enero</t>
  </si>
  <si>
    <t>Febrero</t>
  </si>
  <si>
    <t>Marzo</t>
  </si>
  <si>
    <t>Abril</t>
  </si>
  <si>
    <t>Mayo</t>
  </si>
  <si>
    <t>Junio</t>
  </si>
  <si>
    <t>Julio</t>
  </si>
  <si>
    <t>Agosto</t>
  </si>
  <si>
    <t>Septiembre</t>
  </si>
  <si>
    <t>Octubre</t>
  </si>
  <si>
    <t>Noviembre</t>
  </si>
  <si>
    <t>Gastos con el o la ex</t>
  </si>
  <si>
    <t>Mes</t>
  </si>
  <si>
    <t>Muestre el gasto en barras dentro de la celda</t>
  </si>
  <si>
    <t>Metidas de pata</t>
  </si>
  <si>
    <t>Número de citas</t>
  </si>
  <si>
    <t>¿Duerme bien?</t>
  </si>
  <si>
    <t>¿Buena vida social?</t>
  </si>
  <si>
    <t>¿Va bien en los estudios?</t>
  </si>
  <si>
    <t>No</t>
  </si>
  <si>
    <t>Si</t>
  </si>
  <si>
    <t>Objeto</t>
  </si>
  <si>
    <t>dia</t>
  </si>
  <si>
    <t>Cantidad</t>
  </si>
  <si>
    <t>Venta</t>
  </si>
  <si>
    <t>arena</t>
  </si>
  <si>
    <t>cemento</t>
  </si>
  <si>
    <t>triturado</t>
  </si>
  <si>
    <t>Ganancia</t>
  </si>
  <si>
    <t>MARIA</t>
  </si>
  <si>
    <t>DANIEL</t>
  </si>
  <si>
    <t>SANDRA</t>
  </si>
  <si>
    <t>MANUELA</t>
  </si>
  <si>
    <t>JUAN</t>
  </si>
  <si>
    <t>MATEO</t>
  </si>
  <si>
    <t>NICOLAS</t>
  </si>
  <si>
    <t>HARRY</t>
  </si>
  <si>
    <t>MARIO</t>
  </si>
  <si>
    <t>PABLO</t>
  </si>
  <si>
    <t>SANTIAGO</t>
  </si>
  <si>
    <t>MARCO</t>
  </si>
  <si>
    <t>DIANA</t>
  </si>
  <si>
    <t>YIRIS</t>
  </si>
  <si>
    <t>NATALIA</t>
  </si>
  <si>
    <t>ALEJANDRO</t>
  </si>
  <si>
    <t>LOUISE</t>
  </si>
  <si>
    <t>SERGIO</t>
  </si>
  <si>
    <t>VALERIA</t>
  </si>
  <si>
    <t>OSCAR</t>
  </si>
  <si>
    <t>ANDRES</t>
  </si>
  <si>
    <t>DANIELA</t>
  </si>
  <si>
    <t>JONATHAN</t>
  </si>
  <si>
    <t>FELIPE</t>
  </si>
  <si>
    <t>la lista está a la derecha</t>
  </si>
  <si>
    <t>Azul</t>
  </si>
  <si>
    <t>Rojo</t>
  </si>
  <si>
    <t>Prenda</t>
  </si>
  <si>
    <t>Color</t>
  </si>
  <si>
    <t>No hay título ni mensaje de entrada</t>
  </si>
  <si>
    <t>Entre mínimo 5 y 100 caracteres</t>
  </si>
  <si>
    <t>Entre 0 y 100</t>
  </si>
  <si>
    <t>La altura no debe ser menor que 1</t>
  </si>
  <si>
    <t>Escoja de la lista de nombres que está a la derecha (Col H)</t>
  </si>
  <si>
    <t>Elija el error como ud prefiera</t>
  </si>
  <si>
    <t>Resaltar en verde los mayores a 60</t>
  </si>
  <si>
    <t>Resaltar en rojo los menores de 40</t>
  </si>
  <si>
    <t>Resaltar en amarillo los valores duplicados</t>
  </si>
  <si>
    <t>Resaltar en café valores iguales a 45</t>
  </si>
  <si>
    <t>Resaltar en azul los 3 números más bajos</t>
  </si>
  <si>
    <t>Casilla</t>
  </si>
  <si>
    <t>Los colores de mayor a menor dominancia son: rojo, amarillo, verde, azul y café.</t>
  </si>
  <si>
    <t>Resaltar en azul si el valor justo anterior es mayor</t>
  </si>
  <si>
    <t>Resalte en rojo si el valor es mayor que el de la casilla</t>
  </si>
  <si>
    <t>Pintar la celda de rojo si todas son "Si", de lo contrario pintarlo verde</t>
  </si>
  <si>
    <t>Resalte en amarillo los valores duplicados</t>
  </si>
  <si>
    <t>Si la suma del número actual con el anterior es mayor o igual a 100 resalte el valor actual de verde</t>
  </si>
  <si>
    <t>La dominancia de los colores de mayor a menor es amarillo, verde, azul y rojo</t>
  </si>
  <si>
    <t>Verde</t>
  </si>
  <si>
    <t>Muestre íconos en las celdas de "Metida de pata". Si es menor o igual a 3, muestre un chulo; si es 4, muestre una advertencia (!), de lo contrario una x</t>
  </si>
  <si>
    <t>Muestre el número de citas en escala de  2colores: verde para valor alto y rojo para valor bajo</t>
  </si>
  <si>
    <t>Mostrar las ganancias en formato de barras</t>
  </si>
  <si>
    <t>Mostrar la cantidad de objetos en formato de 2 escalas: rojo para el máximo y azul para el mínimo</t>
  </si>
  <si>
    <t>Colorear toda la fila de la tabla de los registros cuya cantidad sea mayor al valor mínimo y menor al valor máximo</t>
  </si>
  <si>
    <t>Valor mínimo</t>
  </si>
  <si>
    <t>Valor máximo</t>
  </si>
  <si>
    <t>martillo</t>
  </si>
  <si>
    <t>tornillo</t>
  </si>
  <si>
    <t>clavo</t>
  </si>
  <si>
    <t>cal</t>
  </si>
  <si>
    <t>nivel</t>
  </si>
  <si>
    <t>espátula</t>
  </si>
  <si>
    <t>mazo</t>
  </si>
  <si>
    <t>regla</t>
  </si>
  <si>
    <t>pesa</t>
  </si>
  <si>
    <t>alicate</t>
  </si>
  <si>
    <t>llave</t>
  </si>
  <si>
    <t>Introduzca su edad en números</t>
  </si>
  <si>
    <t>Vamos! No es tan difícil</t>
  </si>
  <si>
    <t>Intente otra vez</t>
  </si>
  <si>
    <t>¿Qué le sucede? Lea bien!</t>
  </si>
  <si>
    <t>Oh diantres! Ha habido un error</t>
  </si>
  <si>
    <t>Colorear toda la fila de la tabla de los registros cuyo nombre de objeto tenga un número de caracteres mayor al promedio del número de caracteres de los nombres de los objetos</t>
  </si>
  <si>
    <t>Mesa</t>
  </si>
  <si>
    <t>Silla</t>
  </si>
  <si>
    <t>Alfombra</t>
  </si>
  <si>
    <t>Celular</t>
  </si>
  <si>
    <t>Billetera</t>
  </si>
  <si>
    <t>Tapabocas</t>
  </si>
  <si>
    <t>Llaves</t>
  </si>
  <si>
    <t>Reloj</t>
  </si>
  <si>
    <t>Camisa</t>
  </si>
  <si>
    <t>Pantalla</t>
  </si>
  <si>
    <t>Libro</t>
  </si>
  <si>
    <t>Cuaderno</t>
  </si>
  <si>
    <t>Lápiz</t>
  </si>
  <si>
    <t>Lapicero</t>
  </si>
  <si>
    <t>Colores</t>
  </si>
  <si>
    <t>Audífonos</t>
  </si>
  <si>
    <t>Cosa</t>
  </si>
  <si>
    <t>Árbol</t>
  </si>
  <si>
    <t>Nevera</t>
  </si>
  <si>
    <t>Sofá</t>
  </si>
  <si>
    <t>Id</t>
  </si>
  <si>
    <t>Amarillo</t>
  </si>
  <si>
    <t>Negro</t>
  </si>
  <si>
    <t>Blanco</t>
  </si>
  <si>
    <t>Naranja</t>
  </si>
  <si>
    <t>Morado</t>
  </si>
  <si>
    <t>Coloree de rojo todas las filas de la tabla en que se cumplan las siguientes condiciones</t>
  </si>
  <si>
    <t>1. La fecha fue un lunes o un martes</t>
  </si>
  <si>
    <t>2. La cantidad de caracteres del color es mayor al promedio de la cantidad de los colores ó el penúltimo carácter es "r"</t>
  </si>
  <si>
    <t>Color 1</t>
  </si>
  <si>
    <t>Color 2</t>
  </si>
  <si>
    <t>Color 3</t>
  </si>
  <si>
    <t>Permite introducir información, únicamente si los colores son los colores patrios de Colombia y están en orden (Amarillo, Azul, Rojo)</t>
  </si>
  <si>
    <t>Resalte de rojo los colores primos</t>
  </si>
  <si>
    <t>Los formatos condicionales también funcionan con fórmulas arrastrables</t>
  </si>
  <si>
    <t>Formato condicional -&gt; Si(falso,verd), Arrastrables, 1 solo valor (no matriciales, a no ser de que den solo 1 valor)</t>
  </si>
  <si>
    <t>Lunes</t>
  </si>
  <si>
    <t>Martes</t>
  </si>
  <si>
    <t>Cantidad de caracteres</t>
  </si>
  <si>
    <t>r</t>
  </si>
  <si>
    <t>Resulatdo</t>
  </si>
  <si>
    <t>RF</t>
  </si>
  <si>
    <t>1 valor</t>
  </si>
  <si>
    <t>Arrastrable</t>
  </si>
  <si>
    <t>Si puede ser matricial</t>
  </si>
  <si>
    <t>Se fija Columa</t>
  </si>
  <si>
    <t>1,1,2</t>
  </si>
  <si>
    <t>Lunes o Martes</t>
  </si>
  <si>
    <t>Cant caracteres mayor al prom</t>
  </si>
  <si>
    <t>Result</t>
  </si>
  <si>
    <t xml:space="preserve">max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</si>
</sst>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quot;$&quot;* #,##0_-;\-&quot;$&quot;* #,##0_-;_-&quot;$&quot;* &quot;-&quot;??_-;_-@_-"/>
    <numFmt numFmtId="166" formatCode="&quot;$&quot;#,##0.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44">
    <xf numFmtId="0" fontId="0" fillId="0" borderId="0" xfId="0"/>
    <xf numFmtId="0" fontId="0" fillId="2" borderId="1" xfId="0" applyFill="1" applyBorder="1"/>
    <xf numFmtId="0" fontId="0" fillId="3" borderId="1" xfId="0" applyFill="1" applyBorder="1"/>
    <xf numFmtId="0" fontId="2" fillId="3" borderId="1" xfId="0" applyFont="1" applyFill="1" applyBorder="1"/>
    <xf numFmtId="0" fontId="0" fillId="0" borderId="1" xfId="0" applyBorder="1"/>
    <xf numFmtId="0" fontId="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xf numFmtId="0" fontId="0" fillId="0" borderId="6" xfId="0" applyBorder="1"/>
    <xf numFmtId="0" fontId="0" fillId="0" borderId="7" xfId="0" applyBorder="1"/>
    <xf numFmtId="0" fontId="0" fillId="0" borderId="1" xfId="0" applyBorder="1" applyAlignment="1">
      <alignment horizontal="center"/>
    </xf>
    <xf numFmtId="165" fontId="0" fillId="0" borderId="1" xfId="1" applyNumberFormat="1" applyFont="1" applyBorder="1" applyAlignment="1">
      <alignment horizontal="center"/>
    </xf>
    <xf numFmtId="0" fontId="0" fillId="0" borderId="8" xfId="0" applyBorder="1"/>
    <xf numFmtId="0" fontId="0" fillId="0" borderId="9" xfId="0" applyBorder="1" applyAlignment="1">
      <alignment horizontal="center"/>
    </xf>
    <xf numFmtId="0" fontId="2" fillId="0" borderId="9" xfId="0" applyFont="1" applyBorder="1" applyAlignment="1">
      <alignment horizontal="center"/>
    </xf>
    <xf numFmtId="0" fontId="2" fillId="0" borderId="1" xfId="0" applyFont="1" applyBorder="1" applyAlignment="1">
      <alignment horizontal="center"/>
    </xf>
    <xf numFmtId="0" fontId="3" fillId="0" borderId="0" xfId="0" applyFont="1"/>
    <xf numFmtId="166" fontId="0" fillId="0" borderId="0" xfId="0" applyNumberFormat="1"/>
    <xf numFmtId="14" fontId="0" fillId="0" borderId="1" xfId="0" applyNumberFormat="1" applyBorder="1" applyAlignment="1">
      <alignment horizontal="center"/>
    </xf>
    <xf numFmtId="164" fontId="0" fillId="0" borderId="0" xfId="1" applyFont="1"/>
    <xf numFmtId="0" fontId="0" fillId="3" borderId="1" xfId="0" applyFill="1" applyBorder="1" applyAlignment="1">
      <alignment horizontal="center"/>
    </xf>
    <xf numFmtId="0" fontId="2" fillId="3" borderId="1" xfId="0" applyFont="1" applyFill="1" applyBorder="1" applyAlignment="1">
      <alignment horizontal="center"/>
    </xf>
    <xf numFmtId="14" fontId="0" fillId="3" borderId="1" xfId="0" applyNumberFormat="1" applyFill="1" applyBorder="1"/>
    <xf numFmtId="0" fontId="0" fillId="3" borderId="1" xfId="1" applyNumberFormat="1" applyFont="1" applyFill="1" applyBorder="1"/>
    <xf numFmtId="0" fontId="0" fillId="0" borderId="1" xfId="0" applyBorder="1" applyAlignment="1">
      <alignment horizontal="center" vertical="center"/>
    </xf>
    <xf numFmtId="14" fontId="0" fillId="0" borderId="0" xfId="0" applyNumberFormat="1"/>
    <xf numFmtId="0" fontId="0" fillId="0" borderId="0" xfId="0" applyAlignment="1">
      <alignment horizontal="left"/>
    </xf>
    <xf numFmtId="0" fontId="0" fillId="4" borderId="0" xfId="0" applyFill="1"/>
    <xf numFmtId="0" fontId="2" fillId="0" borderId="12" xfId="0" applyFont="1" applyBorder="1" applyAlignment="1">
      <alignment horizontal="center"/>
    </xf>
    <xf numFmtId="0" fontId="2" fillId="0" borderId="13" xfId="0" applyFont="1" applyBorder="1" applyAlignment="1">
      <alignment horizontal="center"/>
    </xf>
    <xf numFmtId="0" fontId="0" fillId="0" borderId="1"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center" vertical="center"/>
    </xf>
    <xf numFmtId="0" fontId="2" fillId="0" borderId="1" xfId="0" applyFont="1" applyFill="1" applyBorder="1" applyAlignment="1">
      <alignment horizontal="center"/>
    </xf>
    <xf numFmtId="0" fontId="2" fillId="0" borderId="13" xfId="0" applyFont="1" applyFill="1" applyBorder="1" applyAlignment="1">
      <alignment horizontal="center"/>
    </xf>
    <xf numFmtId="0" fontId="2" fillId="0" borderId="12" xfId="0" applyFont="1" applyFill="1" applyBorder="1" applyAlignment="1">
      <alignment horizontal="center"/>
    </xf>
    <xf numFmtId="0" fontId="0" fillId="0" borderId="1" xfId="0" applyFill="1" applyBorder="1" applyAlignment="1">
      <alignment horizontal="center"/>
    </xf>
    <xf numFmtId="14" fontId="0" fillId="0" borderId="1" xfId="0" applyNumberFormat="1" applyFill="1" applyBorder="1" applyAlignment="1">
      <alignment horizontal="center"/>
    </xf>
    <xf numFmtId="0" fontId="0" fillId="0" borderId="0" xfId="0" applyFill="1"/>
    <xf numFmtId="166" fontId="0" fillId="0" borderId="1" xfId="0" applyNumberFormat="1" applyFill="1" applyBorder="1" applyAlignment="1">
      <alignment horizontal="center"/>
    </xf>
  </cellXfs>
  <cellStyles count="2">
    <cellStyle name="Moneda" xfId="1" builtinId="4"/>
    <cellStyle name="Normal" xfId="0" builtinId="0"/>
  </cellStyles>
  <dxfs count="9">
    <dxf>
      <fill>
        <patternFill>
          <bgColor rgb="FFFFFF00"/>
        </patternFill>
      </fill>
    </dxf>
    <dxf>
      <fill>
        <patternFill>
          <bgColor rgb="FFFF0000"/>
        </patternFill>
      </fill>
    </dxf>
    <dxf>
      <fill>
        <patternFill>
          <bgColor theme="4" tint="0.39994506668294322"/>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FF00"/>
        </patternFill>
      </fill>
    </dxf>
    <dxf>
      <fill>
        <patternFill>
          <bgColor theme="7" tint="0.39994506668294322"/>
        </patternFill>
      </fill>
    </dxf>
    <dxf>
      <fill>
        <patternFill>
          <bgColor rgb="FF7030A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Ejercicios!$F$10</c:f>
              <c:strCache>
                <c:ptCount val="1"/>
                <c:pt idx="0">
                  <c:v>Ganancia</c:v>
                </c:pt>
              </c:strCache>
            </c:strRef>
          </c:tx>
          <c:spPr>
            <a:solidFill>
              <a:schemeClr val="accent1"/>
            </a:solidFill>
            <a:ln>
              <a:noFill/>
            </a:ln>
            <a:effectLst/>
          </c:spPr>
          <c:invertIfNegative val="0"/>
          <c:cat>
            <c:strRef>
              <c:f>Ejercicios!$C$11:$C$195</c:f>
              <c:strCache>
                <c:ptCount val="185"/>
                <c:pt idx="0">
                  <c:v>martillo</c:v>
                </c:pt>
                <c:pt idx="1">
                  <c:v>pesa</c:v>
                </c:pt>
                <c:pt idx="2">
                  <c:v>cal</c:v>
                </c:pt>
                <c:pt idx="3">
                  <c:v>pesa</c:v>
                </c:pt>
                <c:pt idx="4">
                  <c:v>clavo</c:v>
                </c:pt>
                <c:pt idx="5">
                  <c:v>alicate</c:v>
                </c:pt>
                <c:pt idx="6">
                  <c:v>pesa</c:v>
                </c:pt>
                <c:pt idx="7">
                  <c:v>mazo</c:v>
                </c:pt>
                <c:pt idx="8">
                  <c:v>cal</c:v>
                </c:pt>
                <c:pt idx="9">
                  <c:v>cal</c:v>
                </c:pt>
                <c:pt idx="10">
                  <c:v>arena</c:v>
                </c:pt>
                <c:pt idx="11">
                  <c:v>mazo</c:v>
                </c:pt>
                <c:pt idx="12">
                  <c:v>clavo</c:v>
                </c:pt>
                <c:pt idx="13">
                  <c:v>arena</c:v>
                </c:pt>
                <c:pt idx="14">
                  <c:v>clavo</c:v>
                </c:pt>
                <c:pt idx="15">
                  <c:v>cal</c:v>
                </c:pt>
                <c:pt idx="16">
                  <c:v>tornillo</c:v>
                </c:pt>
                <c:pt idx="17">
                  <c:v>pesa</c:v>
                </c:pt>
                <c:pt idx="18">
                  <c:v>nivel</c:v>
                </c:pt>
                <c:pt idx="19">
                  <c:v>llave</c:v>
                </c:pt>
                <c:pt idx="20">
                  <c:v>martillo</c:v>
                </c:pt>
                <c:pt idx="21">
                  <c:v>tornillo</c:v>
                </c:pt>
                <c:pt idx="22">
                  <c:v>martillo</c:v>
                </c:pt>
                <c:pt idx="23">
                  <c:v>martillo</c:v>
                </c:pt>
                <c:pt idx="24">
                  <c:v>nivel</c:v>
                </c:pt>
                <c:pt idx="25">
                  <c:v>pesa</c:v>
                </c:pt>
                <c:pt idx="26">
                  <c:v>regla</c:v>
                </c:pt>
                <c:pt idx="27">
                  <c:v>triturado</c:v>
                </c:pt>
                <c:pt idx="28">
                  <c:v>pesa</c:v>
                </c:pt>
                <c:pt idx="29">
                  <c:v>cemento</c:v>
                </c:pt>
                <c:pt idx="30">
                  <c:v>alicate</c:v>
                </c:pt>
                <c:pt idx="31">
                  <c:v>martillo</c:v>
                </c:pt>
                <c:pt idx="32">
                  <c:v>llave</c:v>
                </c:pt>
                <c:pt idx="33">
                  <c:v>regla</c:v>
                </c:pt>
                <c:pt idx="34">
                  <c:v>martillo</c:v>
                </c:pt>
                <c:pt idx="35">
                  <c:v>cal</c:v>
                </c:pt>
                <c:pt idx="36">
                  <c:v>pesa</c:v>
                </c:pt>
                <c:pt idx="37">
                  <c:v>clavo</c:v>
                </c:pt>
                <c:pt idx="38">
                  <c:v>martillo</c:v>
                </c:pt>
                <c:pt idx="39">
                  <c:v>arena</c:v>
                </c:pt>
                <c:pt idx="40">
                  <c:v>espátula</c:v>
                </c:pt>
                <c:pt idx="41">
                  <c:v>triturado</c:v>
                </c:pt>
                <c:pt idx="42">
                  <c:v>espátula</c:v>
                </c:pt>
                <c:pt idx="43">
                  <c:v>clavo</c:v>
                </c:pt>
                <c:pt idx="44">
                  <c:v>cemento</c:v>
                </c:pt>
                <c:pt idx="45">
                  <c:v>clavo</c:v>
                </c:pt>
                <c:pt idx="46">
                  <c:v>tornillo</c:v>
                </c:pt>
                <c:pt idx="47">
                  <c:v>alicate</c:v>
                </c:pt>
                <c:pt idx="48">
                  <c:v>cemento</c:v>
                </c:pt>
                <c:pt idx="49">
                  <c:v>arena</c:v>
                </c:pt>
                <c:pt idx="50">
                  <c:v>espátula</c:v>
                </c:pt>
                <c:pt idx="51">
                  <c:v>mazo</c:v>
                </c:pt>
                <c:pt idx="52">
                  <c:v>cemento</c:v>
                </c:pt>
                <c:pt idx="53">
                  <c:v>llave</c:v>
                </c:pt>
                <c:pt idx="54">
                  <c:v>cal</c:v>
                </c:pt>
                <c:pt idx="55">
                  <c:v>tornillo</c:v>
                </c:pt>
                <c:pt idx="56">
                  <c:v>mazo</c:v>
                </c:pt>
                <c:pt idx="57">
                  <c:v>martillo</c:v>
                </c:pt>
                <c:pt idx="58">
                  <c:v>cal</c:v>
                </c:pt>
                <c:pt idx="59">
                  <c:v>tornillo</c:v>
                </c:pt>
                <c:pt idx="60">
                  <c:v>triturado</c:v>
                </c:pt>
                <c:pt idx="61">
                  <c:v>cal</c:v>
                </c:pt>
                <c:pt idx="62">
                  <c:v>nivel</c:v>
                </c:pt>
                <c:pt idx="63">
                  <c:v>cemento</c:v>
                </c:pt>
                <c:pt idx="64">
                  <c:v>alicate</c:v>
                </c:pt>
                <c:pt idx="65">
                  <c:v>alicate</c:v>
                </c:pt>
                <c:pt idx="66">
                  <c:v>triturado</c:v>
                </c:pt>
                <c:pt idx="67">
                  <c:v>arena</c:v>
                </c:pt>
                <c:pt idx="68">
                  <c:v>nivel</c:v>
                </c:pt>
                <c:pt idx="69">
                  <c:v>pesa</c:v>
                </c:pt>
                <c:pt idx="70">
                  <c:v>espátula</c:v>
                </c:pt>
                <c:pt idx="71">
                  <c:v>pesa</c:v>
                </c:pt>
                <c:pt idx="72">
                  <c:v>martillo</c:v>
                </c:pt>
                <c:pt idx="73">
                  <c:v>nivel</c:v>
                </c:pt>
                <c:pt idx="74">
                  <c:v>pesa</c:v>
                </c:pt>
                <c:pt idx="75">
                  <c:v>alicate</c:v>
                </c:pt>
                <c:pt idx="76">
                  <c:v>mazo</c:v>
                </c:pt>
                <c:pt idx="77">
                  <c:v>pesa</c:v>
                </c:pt>
                <c:pt idx="78">
                  <c:v>llave</c:v>
                </c:pt>
                <c:pt idx="79">
                  <c:v>regla</c:v>
                </c:pt>
                <c:pt idx="80">
                  <c:v>triturado</c:v>
                </c:pt>
                <c:pt idx="81">
                  <c:v>martillo</c:v>
                </c:pt>
                <c:pt idx="82">
                  <c:v>arena</c:v>
                </c:pt>
                <c:pt idx="83">
                  <c:v>nivel</c:v>
                </c:pt>
                <c:pt idx="84">
                  <c:v>llave</c:v>
                </c:pt>
                <c:pt idx="85">
                  <c:v>nivel</c:v>
                </c:pt>
                <c:pt idx="86">
                  <c:v>regla</c:v>
                </c:pt>
                <c:pt idx="87">
                  <c:v>martillo</c:v>
                </c:pt>
                <c:pt idx="88">
                  <c:v>regla</c:v>
                </c:pt>
                <c:pt idx="89">
                  <c:v>llave</c:v>
                </c:pt>
                <c:pt idx="90">
                  <c:v>alicate</c:v>
                </c:pt>
                <c:pt idx="91">
                  <c:v>regla</c:v>
                </c:pt>
                <c:pt idx="92">
                  <c:v>nivel</c:v>
                </c:pt>
                <c:pt idx="93">
                  <c:v>nivel</c:v>
                </c:pt>
                <c:pt idx="94">
                  <c:v>regla</c:v>
                </c:pt>
                <c:pt idx="95">
                  <c:v>tornillo</c:v>
                </c:pt>
                <c:pt idx="96">
                  <c:v>triturado</c:v>
                </c:pt>
                <c:pt idx="97">
                  <c:v>mazo</c:v>
                </c:pt>
                <c:pt idx="98">
                  <c:v>clavo</c:v>
                </c:pt>
                <c:pt idx="99">
                  <c:v>alicate</c:v>
                </c:pt>
                <c:pt idx="100">
                  <c:v>arena</c:v>
                </c:pt>
                <c:pt idx="101">
                  <c:v>tornillo</c:v>
                </c:pt>
                <c:pt idx="102">
                  <c:v>nivel</c:v>
                </c:pt>
                <c:pt idx="103">
                  <c:v>mazo</c:v>
                </c:pt>
                <c:pt idx="104">
                  <c:v>cal</c:v>
                </c:pt>
                <c:pt idx="105">
                  <c:v>espátula</c:v>
                </c:pt>
                <c:pt idx="106">
                  <c:v>cemento</c:v>
                </c:pt>
                <c:pt idx="107">
                  <c:v>triturado</c:v>
                </c:pt>
                <c:pt idx="108">
                  <c:v>mazo</c:v>
                </c:pt>
                <c:pt idx="109">
                  <c:v>mazo</c:v>
                </c:pt>
                <c:pt idx="110">
                  <c:v>cal</c:v>
                </c:pt>
                <c:pt idx="111">
                  <c:v>cal</c:v>
                </c:pt>
                <c:pt idx="112">
                  <c:v>pesa</c:v>
                </c:pt>
                <c:pt idx="113">
                  <c:v>clavo</c:v>
                </c:pt>
                <c:pt idx="114">
                  <c:v>espátula</c:v>
                </c:pt>
                <c:pt idx="115">
                  <c:v>espátula</c:v>
                </c:pt>
                <c:pt idx="116">
                  <c:v>mazo</c:v>
                </c:pt>
                <c:pt idx="117">
                  <c:v>martillo</c:v>
                </c:pt>
                <c:pt idx="118">
                  <c:v>tornillo</c:v>
                </c:pt>
                <c:pt idx="119">
                  <c:v>nivel</c:v>
                </c:pt>
                <c:pt idx="120">
                  <c:v>nivel</c:v>
                </c:pt>
                <c:pt idx="121">
                  <c:v>martillo</c:v>
                </c:pt>
                <c:pt idx="122">
                  <c:v>cal</c:v>
                </c:pt>
                <c:pt idx="123">
                  <c:v>alicate</c:v>
                </c:pt>
                <c:pt idx="124">
                  <c:v>martillo</c:v>
                </c:pt>
                <c:pt idx="125">
                  <c:v>cal</c:v>
                </c:pt>
                <c:pt idx="126">
                  <c:v>cal</c:v>
                </c:pt>
                <c:pt idx="127">
                  <c:v>clavo</c:v>
                </c:pt>
                <c:pt idx="128">
                  <c:v>tornillo</c:v>
                </c:pt>
                <c:pt idx="129">
                  <c:v>espátula</c:v>
                </c:pt>
                <c:pt idx="130">
                  <c:v>tornillo</c:v>
                </c:pt>
                <c:pt idx="131">
                  <c:v>nivel</c:v>
                </c:pt>
                <c:pt idx="132">
                  <c:v>nivel</c:v>
                </c:pt>
                <c:pt idx="133">
                  <c:v>mazo</c:v>
                </c:pt>
                <c:pt idx="134">
                  <c:v>clavo</c:v>
                </c:pt>
                <c:pt idx="135">
                  <c:v>martillo</c:v>
                </c:pt>
                <c:pt idx="136">
                  <c:v>martillo</c:v>
                </c:pt>
                <c:pt idx="137">
                  <c:v>tornillo</c:v>
                </c:pt>
                <c:pt idx="138">
                  <c:v>alicate</c:v>
                </c:pt>
                <c:pt idx="139">
                  <c:v>pesa</c:v>
                </c:pt>
                <c:pt idx="140">
                  <c:v>nivel</c:v>
                </c:pt>
                <c:pt idx="141">
                  <c:v>cal</c:v>
                </c:pt>
                <c:pt idx="142">
                  <c:v>nivel</c:v>
                </c:pt>
                <c:pt idx="143">
                  <c:v>llave</c:v>
                </c:pt>
                <c:pt idx="144">
                  <c:v>llave</c:v>
                </c:pt>
                <c:pt idx="145">
                  <c:v>clavo</c:v>
                </c:pt>
                <c:pt idx="146">
                  <c:v>cemento</c:v>
                </c:pt>
                <c:pt idx="147">
                  <c:v>triturado</c:v>
                </c:pt>
                <c:pt idx="148">
                  <c:v>nivel</c:v>
                </c:pt>
                <c:pt idx="149">
                  <c:v>tornillo</c:v>
                </c:pt>
                <c:pt idx="150">
                  <c:v>cemento</c:v>
                </c:pt>
                <c:pt idx="151">
                  <c:v>arena</c:v>
                </c:pt>
                <c:pt idx="152">
                  <c:v>alicate</c:v>
                </c:pt>
                <c:pt idx="153">
                  <c:v>regla</c:v>
                </c:pt>
                <c:pt idx="154">
                  <c:v>cemento</c:v>
                </c:pt>
                <c:pt idx="155">
                  <c:v>cal</c:v>
                </c:pt>
                <c:pt idx="156">
                  <c:v>espátula</c:v>
                </c:pt>
                <c:pt idx="157">
                  <c:v>nivel</c:v>
                </c:pt>
                <c:pt idx="158">
                  <c:v>espátula</c:v>
                </c:pt>
                <c:pt idx="159">
                  <c:v>cemento</c:v>
                </c:pt>
                <c:pt idx="160">
                  <c:v>tornillo</c:v>
                </c:pt>
                <c:pt idx="161">
                  <c:v>espátula</c:v>
                </c:pt>
                <c:pt idx="162">
                  <c:v>triturado</c:v>
                </c:pt>
                <c:pt idx="163">
                  <c:v>pesa</c:v>
                </c:pt>
                <c:pt idx="164">
                  <c:v>llave</c:v>
                </c:pt>
                <c:pt idx="165">
                  <c:v>nivel</c:v>
                </c:pt>
                <c:pt idx="166">
                  <c:v>martillo</c:v>
                </c:pt>
                <c:pt idx="167">
                  <c:v>cal</c:v>
                </c:pt>
                <c:pt idx="168">
                  <c:v>arena</c:v>
                </c:pt>
                <c:pt idx="169">
                  <c:v>pesa</c:v>
                </c:pt>
                <c:pt idx="170">
                  <c:v>arena</c:v>
                </c:pt>
                <c:pt idx="171">
                  <c:v>llave</c:v>
                </c:pt>
                <c:pt idx="172">
                  <c:v>nivel</c:v>
                </c:pt>
                <c:pt idx="173">
                  <c:v>mazo</c:v>
                </c:pt>
                <c:pt idx="174">
                  <c:v>alicate</c:v>
                </c:pt>
                <c:pt idx="175">
                  <c:v>tornillo</c:v>
                </c:pt>
                <c:pt idx="176">
                  <c:v>tornillo</c:v>
                </c:pt>
                <c:pt idx="177">
                  <c:v>mazo</c:v>
                </c:pt>
                <c:pt idx="178">
                  <c:v>pesa</c:v>
                </c:pt>
                <c:pt idx="179">
                  <c:v>cal</c:v>
                </c:pt>
                <c:pt idx="180">
                  <c:v>mazo</c:v>
                </c:pt>
                <c:pt idx="181">
                  <c:v>nivel</c:v>
                </c:pt>
                <c:pt idx="182">
                  <c:v>clavo</c:v>
                </c:pt>
                <c:pt idx="183">
                  <c:v>tornillo</c:v>
                </c:pt>
                <c:pt idx="184">
                  <c:v>nivel</c:v>
                </c:pt>
              </c:strCache>
            </c:strRef>
          </c:cat>
          <c:val>
            <c:numRef>
              <c:f>Ejercicios!$F$11:$F$195</c:f>
              <c:numCache>
                <c:formatCode>"$"#,##0.00</c:formatCode>
                <c:ptCount val="185"/>
                <c:pt idx="0">
                  <c:v>158760</c:v>
                </c:pt>
                <c:pt idx="1">
                  <c:v>88200</c:v>
                </c:pt>
                <c:pt idx="2">
                  <c:v>12600</c:v>
                </c:pt>
                <c:pt idx="3">
                  <c:v>8424</c:v>
                </c:pt>
                <c:pt idx="4">
                  <c:v>79380</c:v>
                </c:pt>
                <c:pt idx="5">
                  <c:v>50400</c:v>
                </c:pt>
                <c:pt idx="6">
                  <c:v>90720</c:v>
                </c:pt>
                <c:pt idx="7">
                  <c:v>63000</c:v>
                </c:pt>
                <c:pt idx="8">
                  <c:v>184960</c:v>
                </c:pt>
                <c:pt idx="9">
                  <c:v>18900</c:v>
                </c:pt>
                <c:pt idx="10">
                  <c:v>107100</c:v>
                </c:pt>
                <c:pt idx="11">
                  <c:v>14976</c:v>
                </c:pt>
                <c:pt idx="12">
                  <c:v>12600</c:v>
                </c:pt>
                <c:pt idx="13">
                  <c:v>11232</c:v>
                </c:pt>
                <c:pt idx="14">
                  <c:v>80920</c:v>
                </c:pt>
                <c:pt idx="15">
                  <c:v>3744</c:v>
                </c:pt>
                <c:pt idx="16">
                  <c:v>12600</c:v>
                </c:pt>
                <c:pt idx="17">
                  <c:v>936</c:v>
                </c:pt>
                <c:pt idx="18">
                  <c:v>124740</c:v>
                </c:pt>
                <c:pt idx="19">
                  <c:v>44100</c:v>
                </c:pt>
                <c:pt idx="20">
                  <c:v>138720</c:v>
                </c:pt>
                <c:pt idx="21">
                  <c:v>138720</c:v>
                </c:pt>
                <c:pt idx="22">
                  <c:v>15912</c:v>
                </c:pt>
                <c:pt idx="23">
                  <c:v>13104</c:v>
                </c:pt>
                <c:pt idx="24">
                  <c:v>11232</c:v>
                </c:pt>
                <c:pt idx="25">
                  <c:v>81900</c:v>
                </c:pt>
                <c:pt idx="26">
                  <c:v>44100</c:v>
                </c:pt>
                <c:pt idx="27">
                  <c:v>936</c:v>
                </c:pt>
                <c:pt idx="28">
                  <c:v>10296</c:v>
                </c:pt>
                <c:pt idx="29">
                  <c:v>44100</c:v>
                </c:pt>
                <c:pt idx="30">
                  <c:v>158760</c:v>
                </c:pt>
                <c:pt idx="31">
                  <c:v>56700</c:v>
                </c:pt>
                <c:pt idx="32">
                  <c:v>12600</c:v>
                </c:pt>
                <c:pt idx="33">
                  <c:v>80920</c:v>
                </c:pt>
                <c:pt idx="34">
                  <c:v>31500</c:v>
                </c:pt>
                <c:pt idx="35">
                  <c:v>44100</c:v>
                </c:pt>
                <c:pt idx="36">
                  <c:v>50400</c:v>
                </c:pt>
                <c:pt idx="37">
                  <c:v>6300</c:v>
                </c:pt>
                <c:pt idx="38">
                  <c:v>50400</c:v>
                </c:pt>
                <c:pt idx="39">
                  <c:v>46240</c:v>
                </c:pt>
                <c:pt idx="40">
                  <c:v>181440</c:v>
                </c:pt>
                <c:pt idx="41">
                  <c:v>56700</c:v>
                </c:pt>
                <c:pt idx="42">
                  <c:v>170100</c:v>
                </c:pt>
                <c:pt idx="43">
                  <c:v>14040</c:v>
                </c:pt>
                <c:pt idx="44">
                  <c:v>8424</c:v>
                </c:pt>
                <c:pt idx="45">
                  <c:v>68040</c:v>
                </c:pt>
                <c:pt idx="46">
                  <c:v>173400</c:v>
                </c:pt>
                <c:pt idx="47">
                  <c:v>56700</c:v>
                </c:pt>
                <c:pt idx="48">
                  <c:v>181440</c:v>
                </c:pt>
                <c:pt idx="49">
                  <c:v>115600.00000000001</c:v>
                </c:pt>
                <c:pt idx="50">
                  <c:v>192780</c:v>
                </c:pt>
                <c:pt idx="51">
                  <c:v>11340</c:v>
                </c:pt>
                <c:pt idx="52">
                  <c:v>18900</c:v>
                </c:pt>
                <c:pt idx="53">
                  <c:v>102060</c:v>
                </c:pt>
                <c:pt idx="54">
                  <c:v>138720</c:v>
                </c:pt>
                <c:pt idx="55">
                  <c:v>127160.00000000001</c:v>
                </c:pt>
                <c:pt idx="56">
                  <c:v>37800</c:v>
                </c:pt>
                <c:pt idx="57">
                  <c:v>173400</c:v>
                </c:pt>
                <c:pt idx="58">
                  <c:v>115600.00000000001</c:v>
                </c:pt>
                <c:pt idx="59">
                  <c:v>936</c:v>
                </c:pt>
                <c:pt idx="60">
                  <c:v>31500</c:v>
                </c:pt>
                <c:pt idx="61">
                  <c:v>79380</c:v>
                </c:pt>
                <c:pt idx="62">
                  <c:v>113400</c:v>
                </c:pt>
                <c:pt idx="63">
                  <c:v>10296</c:v>
                </c:pt>
                <c:pt idx="64">
                  <c:v>46240</c:v>
                </c:pt>
                <c:pt idx="65">
                  <c:v>57800.000000000007</c:v>
                </c:pt>
                <c:pt idx="66">
                  <c:v>80920</c:v>
                </c:pt>
                <c:pt idx="67">
                  <c:v>14976</c:v>
                </c:pt>
                <c:pt idx="68">
                  <c:v>150280</c:v>
                </c:pt>
                <c:pt idx="69">
                  <c:v>115600.00000000001</c:v>
                </c:pt>
                <c:pt idx="70">
                  <c:v>18900</c:v>
                </c:pt>
                <c:pt idx="71">
                  <c:v>115600.00000000001</c:v>
                </c:pt>
                <c:pt idx="72">
                  <c:v>22680</c:v>
                </c:pt>
                <c:pt idx="73">
                  <c:v>57800.000000000007</c:v>
                </c:pt>
                <c:pt idx="74">
                  <c:v>14976</c:v>
                </c:pt>
                <c:pt idx="75">
                  <c:v>92480</c:v>
                </c:pt>
                <c:pt idx="76">
                  <c:v>23120</c:v>
                </c:pt>
                <c:pt idx="77">
                  <c:v>170100</c:v>
                </c:pt>
                <c:pt idx="78">
                  <c:v>13104</c:v>
                </c:pt>
                <c:pt idx="79">
                  <c:v>81900</c:v>
                </c:pt>
                <c:pt idx="80">
                  <c:v>37800</c:v>
                </c:pt>
                <c:pt idx="81">
                  <c:v>6552</c:v>
                </c:pt>
                <c:pt idx="82">
                  <c:v>90720</c:v>
                </c:pt>
                <c:pt idx="83">
                  <c:v>100800</c:v>
                </c:pt>
                <c:pt idx="84">
                  <c:v>181440</c:v>
                </c:pt>
                <c:pt idx="85">
                  <c:v>81900</c:v>
                </c:pt>
                <c:pt idx="86">
                  <c:v>88200</c:v>
                </c:pt>
                <c:pt idx="87">
                  <c:v>8424</c:v>
                </c:pt>
                <c:pt idx="88">
                  <c:v>5616</c:v>
                </c:pt>
                <c:pt idx="89">
                  <c:v>181440</c:v>
                </c:pt>
                <c:pt idx="90">
                  <c:v>181440</c:v>
                </c:pt>
                <c:pt idx="91">
                  <c:v>115600.00000000001</c:v>
                </c:pt>
                <c:pt idx="92">
                  <c:v>5616</c:v>
                </c:pt>
                <c:pt idx="93">
                  <c:v>3744</c:v>
                </c:pt>
                <c:pt idx="94">
                  <c:v>6300</c:v>
                </c:pt>
                <c:pt idx="95">
                  <c:v>94500</c:v>
                </c:pt>
                <c:pt idx="96">
                  <c:v>124740</c:v>
                </c:pt>
                <c:pt idx="97">
                  <c:v>22680</c:v>
                </c:pt>
                <c:pt idx="98">
                  <c:v>192780</c:v>
                </c:pt>
                <c:pt idx="99">
                  <c:v>100800</c:v>
                </c:pt>
                <c:pt idx="100">
                  <c:v>68040</c:v>
                </c:pt>
                <c:pt idx="101">
                  <c:v>7488</c:v>
                </c:pt>
                <c:pt idx="102">
                  <c:v>113400</c:v>
                </c:pt>
                <c:pt idx="103">
                  <c:v>12600</c:v>
                </c:pt>
                <c:pt idx="104">
                  <c:v>3744</c:v>
                </c:pt>
                <c:pt idx="105">
                  <c:v>23120</c:v>
                </c:pt>
                <c:pt idx="106">
                  <c:v>34680</c:v>
                </c:pt>
                <c:pt idx="107">
                  <c:v>81900</c:v>
                </c:pt>
                <c:pt idx="108">
                  <c:v>63000</c:v>
                </c:pt>
                <c:pt idx="109">
                  <c:v>13104</c:v>
                </c:pt>
                <c:pt idx="110">
                  <c:v>3744</c:v>
                </c:pt>
                <c:pt idx="111">
                  <c:v>12600</c:v>
                </c:pt>
                <c:pt idx="112">
                  <c:v>34020</c:v>
                </c:pt>
                <c:pt idx="113">
                  <c:v>127160.00000000001</c:v>
                </c:pt>
                <c:pt idx="114">
                  <c:v>12168</c:v>
                </c:pt>
                <c:pt idx="115">
                  <c:v>15912</c:v>
                </c:pt>
                <c:pt idx="116">
                  <c:v>34680</c:v>
                </c:pt>
                <c:pt idx="117">
                  <c:v>37800</c:v>
                </c:pt>
                <c:pt idx="118">
                  <c:v>107100</c:v>
                </c:pt>
                <c:pt idx="119">
                  <c:v>46240</c:v>
                </c:pt>
                <c:pt idx="120">
                  <c:v>23120</c:v>
                </c:pt>
                <c:pt idx="121">
                  <c:v>173400</c:v>
                </c:pt>
                <c:pt idx="122">
                  <c:v>147420</c:v>
                </c:pt>
                <c:pt idx="123">
                  <c:v>44100</c:v>
                </c:pt>
                <c:pt idx="124">
                  <c:v>1872</c:v>
                </c:pt>
                <c:pt idx="125">
                  <c:v>13104</c:v>
                </c:pt>
                <c:pt idx="126">
                  <c:v>11340</c:v>
                </c:pt>
                <c:pt idx="127">
                  <c:v>192780</c:v>
                </c:pt>
                <c:pt idx="128">
                  <c:v>2808</c:v>
                </c:pt>
                <c:pt idx="129">
                  <c:v>69360</c:v>
                </c:pt>
                <c:pt idx="130">
                  <c:v>107100</c:v>
                </c:pt>
                <c:pt idx="131">
                  <c:v>80920</c:v>
                </c:pt>
                <c:pt idx="132">
                  <c:v>11560</c:v>
                </c:pt>
                <c:pt idx="133">
                  <c:v>102060</c:v>
                </c:pt>
                <c:pt idx="134">
                  <c:v>11232</c:v>
                </c:pt>
                <c:pt idx="135">
                  <c:v>92480</c:v>
                </c:pt>
                <c:pt idx="136">
                  <c:v>173400</c:v>
                </c:pt>
                <c:pt idx="137">
                  <c:v>81900</c:v>
                </c:pt>
                <c:pt idx="138">
                  <c:v>158760</c:v>
                </c:pt>
                <c:pt idx="139">
                  <c:v>46240</c:v>
                </c:pt>
                <c:pt idx="140">
                  <c:v>44100</c:v>
                </c:pt>
                <c:pt idx="141">
                  <c:v>12168</c:v>
                </c:pt>
                <c:pt idx="142">
                  <c:v>9360</c:v>
                </c:pt>
                <c:pt idx="143">
                  <c:v>46240</c:v>
                </c:pt>
                <c:pt idx="144">
                  <c:v>161840</c:v>
                </c:pt>
                <c:pt idx="145">
                  <c:v>44100</c:v>
                </c:pt>
                <c:pt idx="146">
                  <c:v>12600</c:v>
                </c:pt>
                <c:pt idx="147">
                  <c:v>57800.000000000007</c:v>
                </c:pt>
                <c:pt idx="148">
                  <c:v>81900</c:v>
                </c:pt>
                <c:pt idx="149">
                  <c:v>90720</c:v>
                </c:pt>
                <c:pt idx="150">
                  <c:v>88200</c:v>
                </c:pt>
                <c:pt idx="151">
                  <c:v>6552</c:v>
                </c:pt>
                <c:pt idx="152">
                  <c:v>56700</c:v>
                </c:pt>
                <c:pt idx="153">
                  <c:v>138720</c:v>
                </c:pt>
                <c:pt idx="154">
                  <c:v>92480</c:v>
                </c:pt>
                <c:pt idx="155">
                  <c:v>69300</c:v>
                </c:pt>
                <c:pt idx="156">
                  <c:v>50400</c:v>
                </c:pt>
                <c:pt idx="157">
                  <c:v>161840</c:v>
                </c:pt>
                <c:pt idx="158">
                  <c:v>115600.00000000001</c:v>
                </c:pt>
                <c:pt idx="159">
                  <c:v>936</c:v>
                </c:pt>
                <c:pt idx="160">
                  <c:v>150280</c:v>
                </c:pt>
                <c:pt idx="161">
                  <c:v>56700</c:v>
                </c:pt>
                <c:pt idx="162">
                  <c:v>173400</c:v>
                </c:pt>
                <c:pt idx="163">
                  <c:v>173400</c:v>
                </c:pt>
                <c:pt idx="164">
                  <c:v>88200</c:v>
                </c:pt>
                <c:pt idx="165">
                  <c:v>192780</c:v>
                </c:pt>
                <c:pt idx="166">
                  <c:v>69360</c:v>
                </c:pt>
                <c:pt idx="167">
                  <c:v>100800</c:v>
                </c:pt>
                <c:pt idx="168">
                  <c:v>12600</c:v>
                </c:pt>
                <c:pt idx="169">
                  <c:v>184960</c:v>
                </c:pt>
                <c:pt idx="170">
                  <c:v>107100</c:v>
                </c:pt>
                <c:pt idx="171">
                  <c:v>11340</c:v>
                </c:pt>
                <c:pt idx="172">
                  <c:v>81900</c:v>
                </c:pt>
                <c:pt idx="173">
                  <c:v>75600</c:v>
                </c:pt>
                <c:pt idx="174">
                  <c:v>147420</c:v>
                </c:pt>
                <c:pt idx="175">
                  <c:v>127160.00000000001</c:v>
                </c:pt>
                <c:pt idx="176">
                  <c:v>8424</c:v>
                </c:pt>
                <c:pt idx="177">
                  <c:v>184960</c:v>
                </c:pt>
                <c:pt idx="178">
                  <c:v>4680</c:v>
                </c:pt>
                <c:pt idx="179">
                  <c:v>8424</c:v>
                </c:pt>
                <c:pt idx="180">
                  <c:v>90720</c:v>
                </c:pt>
                <c:pt idx="181">
                  <c:v>6300</c:v>
                </c:pt>
                <c:pt idx="182">
                  <c:v>8424</c:v>
                </c:pt>
                <c:pt idx="183">
                  <c:v>136080</c:v>
                </c:pt>
                <c:pt idx="184">
                  <c:v>6552</c:v>
                </c:pt>
              </c:numCache>
            </c:numRef>
          </c:val>
          <c:extLst>
            <c:ext xmlns:c16="http://schemas.microsoft.com/office/drawing/2014/chart" uri="{C3380CC4-5D6E-409C-BE32-E72D297353CC}">
              <c16:uniqueId val="{00000001-72C1-43F7-8CA4-90C18404EF77}"/>
            </c:ext>
          </c:extLst>
        </c:ser>
        <c:dLbls>
          <c:showLegendKey val="0"/>
          <c:showVal val="0"/>
          <c:showCatName val="0"/>
          <c:showSerName val="0"/>
          <c:showPercent val="0"/>
          <c:showBubbleSize val="0"/>
        </c:dLbls>
        <c:gapWidth val="150"/>
        <c:overlap val="100"/>
        <c:axId val="748230672"/>
        <c:axId val="748230192"/>
      </c:barChart>
      <c:catAx>
        <c:axId val="748230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48230192"/>
        <c:crosses val="autoZero"/>
        <c:auto val="1"/>
        <c:lblAlgn val="ctr"/>
        <c:lblOffset val="100"/>
        <c:noMultiLvlLbl val="0"/>
      </c:catAx>
      <c:valAx>
        <c:axId val="748230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4823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45720</xdr:colOff>
      <xdr:row>11</xdr:row>
      <xdr:rowOff>49530</xdr:rowOff>
    </xdr:from>
    <xdr:to>
      <xdr:col>17</xdr:col>
      <xdr:colOff>563880</xdr:colOff>
      <xdr:row>28</xdr:row>
      <xdr:rowOff>30480</xdr:rowOff>
    </xdr:to>
    <xdr:graphicFrame macro="">
      <xdr:nvGraphicFramePr>
        <xdr:cNvPr id="2" name="Gráfico 1">
          <a:extLst>
            <a:ext uri="{FF2B5EF4-FFF2-40B4-BE49-F238E27FC236}">
              <a16:creationId xmlns:a16="http://schemas.microsoft.com/office/drawing/2014/main" id="{01BB14D5-9118-6BED-EFB2-0020309ED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
  <sheetViews>
    <sheetView topLeftCell="A33" zoomScale="97" zoomScaleNormal="100" workbookViewId="0">
      <selection activeCell="E17" sqref="E17"/>
    </sheetView>
  </sheetViews>
  <sheetFormatPr baseColWidth="10" defaultRowHeight="14.4" x14ac:dyDescent="0.3"/>
  <cols>
    <col min="2" max="2" width="18.88671875" bestFit="1" customWidth="1"/>
    <col min="3" max="3" width="15.33203125" customWidth="1"/>
    <col min="4" max="4" width="15.109375" bestFit="1" customWidth="1"/>
  </cols>
  <sheetData>
    <row r="1" spans="1:13" s="8" customFormat="1" x14ac:dyDescent="0.3">
      <c r="A1" s="5" t="s">
        <v>25</v>
      </c>
      <c r="J1" s="5" t="s">
        <v>25</v>
      </c>
    </row>
    <row r="2" spans="1:13" x14ac:dyDescent="0.3">
      <c r="A2" s="6">
        <v>7</v>
      </c>
      <c r="C2" t="s">
        <v>90</v>
      </c>
      <c r="J2" s="6">
        <v>7</v>
      </c>
      <c r="L2" t="s">
        <v>95</v>
      </c>
      <c r="M2" s="2">
        <v>50</v>
      </c>
    </row>
    <row r="3" spans="1:13" x14ac:dyDescent="0.3">
      <c r="A3" s="6">
        <v>63</v>
      </c>
      <c r="C3" t="s">
        <v>91</v>
      </c>
      <c r="J3" s="6">
        <v>63</v>
      </c>
      <c r="L3" t="s">
        <v>98</v>
      </c>
    </row>
    <row r="4" spans="1:13" x14ac:dyDescent="0.3">
      <c r="A4" s="6">
        <v>63</v>
      </c>
      <c r="C4" t="s">
        <v>93</v>
      </c>
      <c r="J4" s="6">
        <v>63</v>
      </c>
      <c r="L4" t="s">
        <v>97</v>
      </c>
    </row>
    <row r="5" spans="1:13" x14ac:dyDescent="0.3">
      <c r="A5" s="6">
        <v>29</v>
      </c>
      <c r="C5" t="s">
        <v>92</v>
      </c>
      <c r="J5" s="6">
        <v>29</v>
      </c>
      <c r="L5" t="s">
        <v>100</v>
      </c>
    </row>
    <row r="6" spans="1:13" x14ac:dyDescent="0.3">
      <c r="A6" s="6">
        <v>21</v>
      </c>
      <c r="C6" t="s">
        <v>94</v>
      </c>
      <c r="J6" s="6">
        <v>21</v>
      </c>
      <c r="L6" s="28" t="s">
        <v>101</v>
      </c>
    </row>
    <row r="7" spans="1:13" x14ac:dyDescent="0.3">
      <c r="A7" s="6">
        <v>95</v>
      </c>
      <c r="J7" s="6">
        <v>95</v>
      </c>
    </row>
    <row r="8" spans="1:13" x14ac:dyDescent="0.3">
      <c r="A8" s="6">
        <v>27</v>
      </c>
      <c r="C8" t="s">
        <v>96</v>
      </c>
      <c r="J8" s="6">
        <v>27</v>
      </c>
      <c r="L8" t="s">
        <v>102</v>
      </c>
    </row>
    <row r="9" spans="1:13" x14ac:dyDescent="0.3">
      <c r="A9" s="6">
        <v>30</v>
      </c>
      <c r="J9" s="6">
        <v>30</v>
      </c>
    </row>
    <row r="10" spans="1:13" x14ac:dyDescent="0.3">
      <c r="A10" s="6">
        <v>7</v>
      </c>
      <c r="J10" s="6">
        <v>7</v>
      </c>
      <c r="L10" t="s">
        <v>163</v>
      </c>
    </row>
    <row r="11" spans="1:13" x14ac:dyDescent="0.3">
      <c r="A11" s="6">
        <v>45</v>
      </c>
      <c r="J11" s="6">
        <v>45</v>
      </c>
    </row>
    <row r="12" spans="1:13" x14ac:dyDescent="0.3">
      <c r="A12" s="6">
        <v>40</v>
      </c>
      <c r="J12" s="6">
        <v>40</v>
      </c>
    </row>
    <row r="13" spans="1:13" x14ac:dyDescent="0.3">
      <c r="A13" s="6">
        <v>86</v>
      </c>
      <c r="J13" s="6">
        <v>86</v>
      </c>
    </row>
    <row r="14" spans="1:13" x14ac:dyDescent="0.3">
      <c r="A14" s="6">
        <v>76</v>
      </c>
      <c r="J14" s="6">
        <v>76</v>
      </c>
    </row>
    <row r="15" spans="1:13" x14ac:dyDescent="0.3">
      <c r="A15" s="6">
        <v>32</v>
      </c>
      <c r="J15" s="6">
        <v>32</v>
      </c>
    </row>
    <row r="16" spans="1:13" x14ac:dyDescent="0.3">
      <c r="A16" s="6">
        <v>75</v>
      </c>
      <c r="J16" s="6">
        <v>75</v>
      </c>
    </row>
    <row r="17" spans="1:10" x14ac:dyDescent="0.3">
      <c r="A17" s="6">
        <v>35</v>
      </c>
      <c r="J17" s="6">
        <v>35</v>
      </c>
    </row>
    <row r="18" spans="1:10" x14ac:dyDescent="0.3">
      <c r="A18" s="6">
        <v>53</v>
      </c>
      <c r="J18" s="6">
        <v>53</v>
      </c>
    </row>
    <row r="19" spans="1:10" x14ac:dyDescent="0.3">
      <c r="A19" s="6">
        <v>50</v>
      </c>
      <c r="J19" s="6">
        <v>50</v>
      </c>
    </row>
    <row r="20" spans="1:10" x14ac:dyDescent="0.3">
      <c r="A20" s="6">
        <v>87</v>
      </c>
      <c r="J20" s="6">
        <v>87</v>
      </c>
    </row>
    <row r="21" spans="1:10" ht="15" thickBot="1" x14ac:dyDescent="0.35">
      <c r="A21" s="7">
        <v>6</v>
      </c>
      <c r="J21" s="7">
        <v>6</v>
      </c>
    </row>
    <row r="22" spans="1:10" s="10" customFormat="1" ht="15" thickBot="1" x14ac:dyDescent="0.35">
      <c r="A22" s="9"/>
    </row>
    <row r="23" spans="1:10" s="8" customFormat="1" x14ac:dyDescent="0.3">
      <c r="A23" s="13"/>
    </row>
    <row r="24" spans="1:10" x14ac:dyDescent="0.3">
      <c r="A24" s="15" t="s">
        <v>38</v>
      </c>
      <c r="B24" s="16" t="s">
        <v>37</v>
      </c>
      <c r="C24" s="16" t="s">
        <v>41</v>
      </c>
      <c r="D24" s="16" t="s">
        <v>40</v>
      </c>
      <c r="F24" t="s">
        <v>39</v>
      </c>
    </row>
    <row r="25" spans="1:10" x14ac:dyDescent="0.3">
      <c r="A25" s="14" t="s">
        <v>26</v>
      </c>
      <c r="B25" s="12">
        <v>313000</v>
      </c>
      <c r="C25" s="11">
        <v>4</v>
      </c>
      <c r="D25" s="11">
        <v>2</v>
      </c>
      <c r="F25" t="s">
        <v>105</v>
      </c>
    </row>
    <row r="26" spans="1:10" x14ac:dyDescent="0.3">
      <c r="A26" s="14" t="s">
        <v>27</v>
      </c>
      <c r="B26" s="12">
        <v>828000</v>
      </c>
      <c r="C26" s="11">
        <v>10</v>
      </c>
      <c r="D26" s="11">
        <v>6</v>
      </c>
      <c r="F26" t="s">
        <v>104</v>
      </c>
    </row>
    <row r="27" spans="1:10" x14ac:dyDescent="0.3">
      <c r="A27" s="14" t="s">
        <v>28</v>
      </c>
      <c r="B27" s="12">
        <v>721000</v>
      </c>
      <c r="C27" s="11">
        <v>2</v>
      </c>
      <c r="D27" s="11">
        <v>5</v>
      </c>
    </row>
    <row r="28" spans="1:10" x14ac:dyDescent="0.3">
      <c r="A28" s="14" t="s">
        <v>29</v>
      </c>
      <c r="B28" s="12">
        <v>1089000</v>
      </c>
      <c r="C28" s="11">
        <v>8</v>
      </c>
      <c r="D28" s="11">
        <v>6</v>
      </c>
    </row>
    <row r="29" spans="1:10" x14ac:dyDescent="0.3">
      <c r="A29" s="14" t="s">
        <v>30</v>
      </c>
      <c r="B29" s="12">
        <v>723000</v>
      </c>
      <c r="C29" s="11">
        <v>12</v>
      </c>
      <c r="D29" s="11">
        <v>4</v>
      </c>
    </row>
    <row r="30" spans="1:10" x14ac:dyDescent="0.3">
      <c r="A30" s="14" t="s">
        <v>31</v>
      </c>
      <c r="B30" s="12">
        <v>847000</v>
      </c>
      <c r="C30" s="11">
        <v>7</v>
      </c>
      <c r="D30" s="11">
        <v>7</v>
      </c>
    </row>
    <row r="31" spans="1:10" x14ac:dyDescent="0.3">
      <c r="A31" s="14" t="s">
        <v>32</v>
      </c>
      <c r="B31" s="12">
        <v>1116000</v>
      </c>
      <c r="C31" s="11">
        <v>6</v>
      </c>
      <c r="D31" s="11">
        <v>7</v>
      </c>
    </row>
    <row r="32" spans="1:10" x14ac:dyDescent="0.3">
      <c r="A32" s="14" t="s">
        <v>33</v>
      </c>
      <c r="B32" s="12">
        <v>823000</v>
      </c>
      <c r="C32" s="11">
        <v>4</v>
      </c>
      <c r="D32" s="11">
        <v>6</v>
      </c>
    </row>
    <row r="33" spans="1:12" x14ac:dyDescent="0.3">
      <c r="A33" s="14" t="s">
        <v>34</v>
      </c>
      <c r="B33" s="12">
        <v>709000</v>
      </c>
      <c r="C33" s="11">
        <v>2</v>
      </c>
      <c r="D33" s="11">
        <v>7</v>
      </c>
    </row>
    <row r="34" spans="1:12" x14ac:dyDescent="0.3">
      <c r="A34" s="14" t="s">
        <v>35</v>
      </c>
      <c r="B34" s="12">
        <v>1022000</v>
      </c>
      <c r="C34" s="11">
        <v>3</v>
      </c>
      <c r="D34" s="11">
        <v>4</v>
      </c>
    </row>
    <row r="35" spans="1:12" x14ac:dyDescent="0.3">
      <c r="A35" s="14" t="s">
        <v>36</v>
      </c>
      <c r="B35" s="12">
        <v>758000</v>
      </c>
      <c r="C35" s="11">
        <v>7</v>
      </c>
      <c r="D35" s="11">
        <v>5</v>
      </c>
    </row>
    <row r="36" spans="1:12" s="10" customFormat="1" ht="15" thickBot="1" x14ac:dyDescent="0.35">
      <c r="A36" s="9"/>
    </row>
    <row r="38" spans="1:12" x14ac:dyDescent="0.3">
      <c r="A38" s="31" t="s">
        <v>42</v>
      </c>
      <c r="B38" s="31"/>
      <c r="C38" s="2"/>
      <c r="L38" s="17" t="s">
        <v>46</v>
      </c>
    </row>
    <row r="39" spans="1:12" x14ac:dyDescent="0.3">
      <c r="A39" s="31" t="s">
        <v>43</v>
      </c>
      <c r="B39" s="31"/>
      <c r="C39" s="2"/>
      <c r="E39" t="s">
        <v>99</v>
      </c>
      <c r="L39" s="17" t="s">
        <v>45</v>
      </c>
    </row>
    <row r="40" spans="1:12" x14ac:dyDescent="0.3">
      <c r="A40" s="31" t="s">
        <v>44</v>
      </c>
      <c r="B40" s="31"/>
      <c r="C40" s="2"/>
      <c r="E40" s="4"/>
    </row>
  </sheetData>
  <mergeCells count="3">
    <mergeCell ref="A38:B38"/>
    <mergeCell ref="A39:B39"/>
    <mergeCell ref="A40:B40"/>
  </mergeCells>
  <phoneticPr fontId="4" type="noConversion"/>
  <conditionalFormatting sqref="A2:A21">
    <cfRule type="duplicateValues" dxfId="8" priority="1"/>
    <cfRule type="cellIs" dxfId="7" priority="2" operator="greaterThan">
      <formula>60</formula>
    </cfRule>
  </conditionalFormatting>
  <conditionalFormatting sqref="J2:J21">
    <cfRule type="expression" dxfId="6" priority="5">
      <formula>IF(COUNTIF($J$2:$J$21,J2)&gt;1,1,0)</formula>
    </cfRule>
    <cfRule type="expression" dxfId="5" priority="7">
      <formula>IF(J1&gt;J2,1,0)</formula>
    </cfRule>
    <cfRule type="expression" dxfId="4" priority="11">
      <formula>IF(J2&gt;$M$2,1,0)</formula>
    </cfRule>
  </conditionalFormatting>
  <conditionalFormatting sqref="J3">
    <cfRule type="expression" dxfId="3" priority="9">
      <formula>IF($J$2&gt;$J$3,$J$3,0)</formula>
    </cfRule>
  </conditionalFormatting>
  <conditionalFormatting sqref="M12">
    <cfRule type="expression" dxfId="2" priority="10">
      <formula>IF($J$2&gt;$J$3,1,0)</formula>
    </cfRule>
  </conditionalFormatting>
  <dataValidations count="1">
    <dataValidation type="list" allowBlank="1" showInputMessage="1" showErrorMessage="1" sqref="C38:C40" xr:uid="{00000000-0002-0000-0000-000000000000}">
      <formula1>$L$38:$L$39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Z71"/>
  <sheetViews>
    <sheetView topLeftCell="M19" zoomScale="97" workbookViewId="0">
      <selection activeCell="T30" sqref="T30:X31"/>
    </sheetView>
  </sheetViews>
  <sheetFormatPr baseColWidth="10" defaultRowHeight="14.4" x14ac:dyDescent="0.3"/>
  <cols>
    <col min="10" max="10" width="21.33203125" bestFit="1" customWidth="1"/>
    <col min="22" max="22" width="27" bestFit="1" customWidth="1"/>
  </cols>
  <sheetData>
    <row r="1" spans="2:26" x14ac:dyDescent="0.3">
      <c r="B1" t="s">
        <v>162</v>
      </c>
    </row>
    <row r="2" spans="2:26" x14ac:dyDescent="0.3">
      <c r="M2" t="s">
        <v>170</v>
      </c>
      <c r="Q2">
        <v>1</v>
      </c>
      <c r="R2">
        <f>WEEKDAY(R8,2)</f>
        <v>5</v>
      </c>
    </row>
    <row r="3" spans="2:26" x14ac:dyDescent="0.3">
      <c r="B3" s="27" t="s">
        <v>154</v>
      </c>
      <c r="M3" t="s">
        <v>171</v>
      </c>
    </row>
    <row r="4" spans="2:26" x14ac:dyDescent="0.3">
      <c r="B4" t="s">
        <v>155</v>
      </c>
      <c r="M4" t="s">
        <v>172</v>
      </c>
    </row>
    <row r="5" spans="2:26" x14ac:dyDescent="0.3">
      <c r="B5" t="s">
        <v>156</v>
      </c>
      <c r="M5" t="s">
        <v>173</v>
      </c>
    </row>
    <row r="7" spans="2:26" x14ac:dyDescent="0.3">
      <c r="B7" s="16" t="s">
        <v>148</v>
      </c>
      <c r="C7" s="16" t="s">
        <v>83</v>
      </c>
      <c r="D7" s="16" t="s">
        <v>15</v>
      </c>
      <c r="E7" s="16" t="s">
        <v>144</v>
      </c>
      <c r="F7" s="16" t="s">
        <v>49</v>
      </c>
      <c r="G7" s="30" t="s">
        <v>169</v>
      </c>
      <c r="H7" s="29" t="s">
        <v>164</v>
      </c>
      <c r="I7" s="29" t="s">
        <v>165</v>
      </c>
      <c r="J7" s="29" t="s">
        <v>166</v>
      </c>
      <c r="K7" s="29" t="s">
        <v>167</v>
      </c>
      <c r="L7" s="29" t="s">
        <v>168</v>
      </c>
      <c r="P7" s="37" t="s">
        <v>148</v>
      </c>
      <c r="Q7" s="37" t="s">
        <v>83</v>
      </c>
      <c r="R7" s="37" t="s">
        <v>15</v>
      </c>
      <c r="S7" s="37" t="s">
        <v>144</v>
      </c>
      <c r="T7" s="37" t="s">
        <v>49</v>
      </c>
      <c r="U7" s="39" t="s">
        <v>175</v>
      </c>
      <c r="V7" s="39" t="s">
        <v>176</v>
      </c>
      <c r="W7" s="39" t="s">
        <v>177</v>
      </c>
      <c r="X7" s="39"/>
      <c r="Y7" s="39"/>
      <c r="Z7" s="39"/>
    </row>
    <row r="8" spans="2:26" x14ac:dyDescent="0.3">
      <c r="B8" s="11">
        <v>1</v>
      </c>
      <c r="C8" s="11" t="s">
        <v>153</v>
      </c>
      <c r="D8" s="19">
        <v>44568</v>
      </c>
      <c r="E8" s="11" t="s">
        <v>132</v>
      </c>
      <c r="F8" s="11">
        <v>2</v>
      </c>
      <c r="G8" cm="1">
        <f t="array" ref="G8">IF(((IF(WEEKDAY($D8,2)=1,1,0)+IF(WEEKDAY($D8,2)=2,1,0))*(IF(LEN($C8)&gt;AVERAGE(LEN($C$8:$C$71)),1,0)+IF(MID($C8,LEN($C8)-1,1)="r",1,0))),1,0)</f>
        <v>0</v>
      </c>
      <c r="H8">
        <f>IF(WEEKDAY(D8,2)=1,1,0)</f>
        <v>0</v>
      </c>
      <c r="I8">
        <f>IF(WEEKDAY(D8,2)=2,1,0)</f>
        <v>0</v>
      </c>
      <c r="J8" cm="1">
        <f t="array" ref="J8">IF(LEN(C8)&gt;AVERAGE(LEN($C$8:$C$71)),1,0)</f>
        <v>1</v>
      </c>
      <c r="K8">
        <f>IF(MID(E8,LEN(E8)-1,1)="r",1,0)</f>
        <v>1</v>
      </c>
      <c r="L8">
        <f>IF((H8+I8)*(J8+K8),1,0)</f>
        <v>0</v>
      </c>
      <c r="P8" s="40">
        <v>1</v>
      </c>
      <c r="Q8" s="40" t="s">
        <v>153</v>
      </c>
      <c r="R8" s="41">
        <v>44568</v>
      </c>
      <c r="S8" s="40" t="s">
        <v>132</v>
      </c>
      <c r="T8" s="40">
        <v>2</v>
      </c>
      <c r="U8" s="42" cm="1">
        <f t="array" ref="U8:U71">IF(WEEKDAY(R8:R71,2)=1,1,IF(WEEKDAY(R8:R71,2)=2,1,0))</f>
        <v>0</v>
      </c>
      <c r="V8" s="42" cm="1">
        <f t="array" ref="V8:V71">IF(LEN(Q8:Q71)&gt;AVERAGE(LEN(Q8:Q71)),1,IF(MID(Q8:Q71,LEN(Q8:Q71)-1,1)="r",1,0))</f>
        <v>1</v>
      </c>
      <c r="W8" s="42" cm="1">
        <f t="array" ref="W8:W71">IF(IF(WEEKDAY($R8:$R71,2)=1,1,IF(WEEKDAY($R8:$R71,2)=2,1,0))*IF(LEN($Q8:$Q71)&gt;AVERAGE(LEN($Q8:$Q71)),1,IF(MID($Q8:$Q71,LEN($Q8:$Q71)-1,1)="r",1,0))&gt;0,1,0)</f>
        <v>0</v>
      </c>
      <c r="X8" s="42" cm="1">
        <f t="array" ref="X8">IF(((IF(WEEKDAY($D8,2)=1,1,0)+IF(WEEKDAY($D8,2)=2,1,0))*(IF(LEN($C8)&gt;AVERAGE(LEN($C$8:$C$71)),1,0)+IF(MID($C8,LEN($C8)-1,1)="r",1,0))),1,0)</f>
        <v>0</v>
      </c>
      <c r="Y8" s="42"/>
      <c r="Z8" s="42"/>
    </row>
    <row r="9" spans="2:26" x14ac:dyDescent="0.3">
      <c r="B9" s="11">
        <v>2</v>
      </c>
      <c r="C9" s="11" t="s">
        <v>150</v>
      </c>
      <c r="D9" s="19">
        <v>44554</v>
      </c>
      <c r="E9" s="11" t="s">
        <v>137</v>
      </c>
      <c r="F9" s="11">
        <v>3</v>
      </c>
      <c r="G9" cm="1">
        <f t="array" ref="G9">IF(((IF(WEEKDAY(D9,2)=1,1,0)+IF(WEEKDAY(D9,2)=2,1,0))*(IF(LEN(C9)&gt;AVERAGE(LEN($C$8:$C$71)),1,0)+IF(MID(C9,LEN(C9)-1,1)="r",1,0))),1,0)</f>
        <v>0</v>
      </c>
      <c r="H9">
        <f t="shared" ref="H9:H26" si="0">IF(WEEKDAY(D9,2)=1,1,0)</f>
        <v>0</v>
      </c>
      <c r="I9">
        <f t="shared" ref="I9:I26" si="1">IF(WEEKDAY(D9,2)=2,1,0)</f>
        <v>0</v>
      </c>
      <c r="J9" cm="1">
        <f t="array" ref="J9">IF(LEN(C9)&gt;AVERAGE(LEN($C$8:$C$71)),1,0)</f>
        <v>0</v>
      </c>
      <c r="K9">
        <f t="shared" ref="K9:K26" si="2">IF(MID(E9,LEN(E9)-1,1)="r",1,0)</f>
        <v>0</v>
      </c>
      <c r="L9">
        <f t="shared" ref="L9:L26" si="3">IF((H9+I9)*(J9+K9),1,0)</f>
        <v>0</v>
      </c>
      <c r="P9" s="40">
        <v>2</v>
      </c>
      <c r="Q9" s="40" t="s">
        <v>150</v>
      </c>
      <c r="R9" s="41">
        <v>44554</v>
      </c>
      <c r="S9" s="40" t="s">
        <v>137</v>
      </c>
      <c r="T9" s="40">
        <v>3</v>
      </c>
      <c r="U9" s="42">
        <v>0</v>
      </c>
      <c r="V9" s="42">
        <v>1</v>
      </c>
      <c r="W9" s="42">
        <v>0</v>
      </c>
      <c r="X9" s="42" cm="1">
        <f t="array" ref="X9">IF(((IF(WEEKDAY($D9,2)=1,1,0)+IF(WEEKDAY($D9,2)=2,1,0))*(IF(LEN($C9)&gt;AVERAGE(LEN($C$8:$C$71)),1,0)+IF(MID($C9,LEN($C9)-1,1)="r",1,0))),1,0)</f>
        <v>0</v>
      </c>
      <c r="Y9" s="42"/>
      <c r="Z9" s="42"/>
    </row>
    <row r="10" spans="2:26" x14ac:dyDescent="0.3">
      <c r="B10" s="11">
        <v>3</v>
      </c>
      <c r="C10" s="11" t="s">
        <v>152</v>
      </c>
      <c r="D10" s="19">
        <v>44602</v>
      </c>
      <c r="E10" s="11" t="s">
        <v>128</v>
      </c>
      <c r="F10" s="11">
        <v>4</v>
      </c>
      <c r="G10" cm="1">
        <f t="array" ref="G10">IF(((IF(WEEKDAY(D10,2)=1,1,0)+IF(WEEKDAY(D10,2)=2,1,0))*(IF(LEN(C10)&gt;AVERAGE(LEN($C$8:$C$71)),1,0)+IF(MID(C10,LEN(C10)-1,1)="r",1,0))),1,0)</f>
        <v>0</v>
      </c>
      <c r="H10">
        <f t="shared" si="0"/>
        <v>0</v>
      </c>
      <c r="I10">
        <f t="shared" si="1"/>
        <v>0</v>
      </c>
      <c r="J10" cm="1">
        <f t="array" ref="J10">IF(LEN(C10)&gt;AVERAGE(LEN($C$8:$C$71)),1,0)</f>
        <v>1</v>
      </c>
      <c r="K10">
        <f t="shared" si="2"/>
        <v>0</v>
      </c>
      <c r="L10">
        <f t="shared" si="3"/>
        <v>0</v>
      </c>
      <c r="P10" s="40">
        <v>3</v>
      </c>
      <c r="Q10" s="40" t="s">
        <v>152</v>
      </c>
      <c r="R10" s="41">
        <v>44602</v>
      </c>
      <c r="S10" s="40" t="s">
        <v>128</v>
      </c>
      <c r="T10" s="40">
        <v>4</v>
      </c>
      <c r="U10" s="42">
        <v>0</v>
      </c>
      <c r="V10" s="42">
        <v>1</v>
      </c>
      <c r="W10" s="42">
        <v>0</v>
      </c>
      <c r="X10" s="42" cm="1">
        <f t="array" ref="X10">IF(((IF(WEEKDAY($D10,2)=1,1,0)+IF(WEEKDAY($D10,2)=2,1,0))*(IF(LEN($C10)&gt;AVERAGE(LEN($C$8:$C$71)),1,0)+IF(MID($C10,LEN($C10)-1,1)="r",1,0))),1,0)</f>
        <v>0</v>
      </c>
      <c r="Y10" s="42"/>
      <c r="Z10" s="42"/>
    </row>
    <row r="11" spans="2:26" x14ac:dyDescent="0.3">
      <c r="B11" s="11">
        <v>4</v>
      </c>
      <c r="C11" s="11" t="s">
        <v>103</v>
      </c>
      <c r="D11" s="19">
        <v>44555</v>
      </c>
      <c r="E11" s="11" t="s">
        <v>138</v>
      </c>
      <c r="F11" s="11">
        <v>2</v>
      </c>
      <c r="G11" cm="1">
        <f t="array" ref="G11">IF(((IF(WEEKDAY(D11,2)=1,1,0)+IF(WEEKDAY(D11,2)=2,1,0))*(IF(LEN(C11)&gt;AVERAGE(LEN($C$8:$C$71)),1,0)+IF(MID(C11,LEN(C11)-1,1)="r",1,0))),1,0)</f>
        <v>0</v>
      </c>
      <c r="H11">
        <f t="shared" si="0"/>
        <v>0</v>
      </c>
      <c r="I11">
        <f t="shared" si="1"/>
        <v>0</v>
      </c>
      <c r="J11" cm="1">
        <f t="array" ref="J11">IF(LEN(C11)&gt;AVERAGE(LEN($C$8:$C$71)),1,0)</f>
        <v>0</v>
      </c>
      <c r="K11">
        <f t="shared" si="2"/>
        <v>1</v>
      </c>
      <c r="L11">
        <f t="shared" si="3"/>
        <v>0</v>
      </c>
      <c r="P11" s="40">
        <v>4</v>
      </c>
      <c r="Q11" s="40" t="s">
        <v>103</v>
      </c>
      <c r="R11" s="41">
        <v>44555</v>
      </c>
      <c r="S11" s="40" t="s">
        <v>138</v>
      </c>
      <c r="T11" s="40">
        <v>2</v>
      </c>
      <c r="U11" s="42">
        <v>0</v>
      </c>
      <c r="V11" s="42">
        <v>0</v>
      </c>
      <c r="W11" s="42">
        <v>0</v>
      </c>
      <c r="X11" s="42" cm="1">
        <f t="array" ref="X11">IF(((IF(WEEKDAY($D11,2)=1,1,0)+IF(WEEKDAY($D11,2)=2,1,0))*(IF(LEN($C11)&gt;AVERAGE(LEN($C$8:$C$71)),1,0)+IF(MID($C11,LEN($C11)-1,1)="r",1,0))),1,0)</f>
        <v>0</v>
      </c>
      <c r="Y11" s="42"/>
      <c r="Z11" s="42"/>
    </row>
    <row r="12" spans="2:26" x14ac:dyDescent="0.3">
      <c r="B12" s="11">
        <v>5</v>
      </c>
      <c r="C12" s="11" t="s">
        <v>151</v>
      </c>
      <c r="D12" s="19">
        <v>44551</v>
      </c>
      <c r="E12" s="11" t="s">
        <v>134</v>
      </c>
      <c r="F12" s="11">
        <v>1</v>
      </c>
      <c r="G12" cm="1">
        <f t="array" ref="G12">IF(((IF(WEEKDAY(D12,2)=1,1,0)+IF(WEEKDAY(D12,2)=2,1,0))*(IF(LEN(C12)&gt;AVERAGE(LEN($C$8:$C$71)),1,0)+IF(MID(C12,LEN(C12)-1,1)="r",1,0))),1,0)</f>
        <v>1</v>
      </c>
      <c r="H12">
        <f t="shared" si="0"/>
        <v>0</v>
      </c>
      <c r="I12">
        <f t="shared" si="1"/>
        <v>1</v>
      </c>
      <c r="J12" cm="1">
        <f t="array" ref="J12">IF(LEN(C12)&gt;AVERAGE(LEN($C$8:$C$71)),1,0)</f>
        <v>1</v>
      </c>
      <c r="K12">
        <f t="shared" si="2"/>
        <v>0</v>
      </c>
      <c r="L12">
        <f>IF((H12+I12)*(J12+K12),1,0)</f>
        <v>1</v>
      </c>
      <c r="P12" s="40">
        <v>5</v>
      </c>
      <c r="Q12" s="40" t="s">
        <v>151</v>
      </c>
      <c r="R12" s="41">
        <v>44551</v>
      </c>
      <c r="S12" s="40" t="s">
        <v>134</v>
      </c>
      <c r="T12" s="40">
        <v>1</v>
      </c>
      <c r="U12" s="42">
        <v>1</v>
      </c>
      <c r="V12" s="42">
        <v>1</v>
      </c>
      <c r="W12" s="42">
        <v>1</v>
      </c>
      <c r="X12" s="42" cm="1">
        <f t="array" ref="X12">IF(((IF(WEEKDAY($D12,2)=1,1,0)+IF(WEEKDAY($D12,2)=2,1,0))*(IF(LEN($C12)&gt;AVERAGE(LEN($C$8:$C$71)),1,0)+IF(MID($C12,LEN($C12)-1,1)="r",1,0))),1,0)</f>
        <v>1</v>
      </c>
      <c r="Y12" s="42"/>
      <c r="Z12" s="42"/>
    </row>
    <row r="13" spans="2:26" x14ac:dyDescent="0.3">
      <c r="B13" s="11">
        <v>6</v>
      </c>
      <c r="C13" s="11" t="s">
        <v>152</v>
      </c>
      <c r="D13" s="19">
        <v>44586</v>
      </c>
      <c r="E13" s="11" t="s">
        <v>131</v>
      </c>
      <c r="F13" s="11">
        <v>3</v>
      </c>
      <c r="G13" cm="1">
        <f t="array" ref="G13">IF(((IF(WEEKDAY(D13,2)=1,1,0)+IF(WEEKDAY(D13,2)=2,1,0))*(IF(LEN(C13)&gt;AVERAGE(LEN($C$8:$C$71)),1,0)+IF(MID(C13,LEN(C13)-1,1)="r",1,0))),1,0)</f>
        <v>1</v>
      </c>
      <c r="H13">
        <f t="shared" si="0"/>
        <v>0</v>
      </c>
      <c r="I13">
        <f t="shared" si="1"/>
        <v>1</v>
      </c>
      <c r="J13" cm="1">
        <f t="array" ref="J13">IF(LEN(C13)&gt;AVERAGE(LEN($C$8:$C$71)),1,0)</f>
        <v>1</v>
      </c>
      <c r="K13">
        <f t="shared" si="2"/>
        <v>0</v>
      </c>
      <c r="L13">
        <f t="shared" si="3"/>
        <v>1</v>
      </c>
      <c r="P13" s="40">
        <v>6</v>
      </c>
      <c r="Q13" s="40" t="s">
        <v>152</v>
      </c>
      <c r="R13" s="41">
        <v>44586</v>
      </c>
      <c r="S13" s="40" t="s">
        <v>131</v>
      </c>
      <c r="T13" s="40">
        <v>3</v>
      </c>
      <c r="U13" s="42">
        <v>1</v>
      </c>
      <c r="V13" s="42">
        <v>1</v>
      </c>
      <c r="W13" s="42">
        <v>1</v>
      </c>
      <c r="X13" s="42" cm="1">
        <f t="array" ref="X13">IF(((IF(WEEKDAY($D13,2)=1,1,0)+IF(WEEKDAY($D13,2)=2,1,0))*(IF(LEN($C13)&gt;AVERAGE(LEN($C$8:$C$71)),1,0)+IF(MID($C13,LEN($C13)-1,1)="r",1,0))),1,0)</f>
        <v>1</v>
      </c>
      <c r="Y13" s="42"/>
      <c r="Z13" s="42"/>
    </row>
    <row r="14" spans="2:26" x14ac:dyDescent="0.3">
      <c r="B14" s="11">
        <v>7</v>
      </c>
      <c r="C14" s="11" t="s">
        <v>103</v>
      </c>
      <c r="D14" s="19">
        <v>44587</v>
      </c>
      <c r="E14" s="11" t="s">
        <v>132</v>
      </c>
      <c r="F14" s="11">
        <v>3</v>
      </c>
      <c r="G14" cm="1">
        <f t="array" ref="G14">IF(((IF(WEEKDAY(D14,2)=1,1,0)+IF(WEEKDAY(D14,2)=2,1,0))*(IF(LEN(C14)&gt;AVERAGE(LEN($C$8:$C$71)),1,0)+IF(MID(C14,LEN(C14)-1,1)="r",1,0))),1,0)</f>
        <v>0</v>
      </c>
      <c r="H14">
        <f t="shared" si="0"/>
        <v>0</v>
      </c>
      <c r="I14">
        <f t="shared" si="1"/>
        <v>0</v>
      </c>
      <c r="J14" cm="1">
        <f t="array" ref="J14">IF(LEN(C14)&gt;AVERAGE(LEN($C$8:$C$71)),1,0)</f>
        <v>0</v>
      </c>
      <c r="K14">
        <f t="shared" si="2"/>
        <v>1</v>
      </c>
      <c r="L14">
        <f t="shared" si="3"/>
        <v>0</v>
      </c>
      <c r="P14" s="40">
        <v>7</v>
      </c>
      <c r="Q14" s="40" t="s">
        <v>103</v>
      </c>
      <c r="R14" s="41">
        <v>44587</v>
      </c>
      <c r="S14" s="40" t="s">
        <v>132</v>
      </c>
      <c r="T14" s="40">
        <v>3</v>
      </c>
      <c r="U14" s="42">
        <v>0</v>
      </c>
      <c r="V14" s="42">
        <v>0</v>
      </c>
      <c r="W14" s="42">
        <v>0</v>
      </c>
      <c r="X14" s="42" cm="1">
        <f t="array" ref="X14">IF(((IF(WEEKDAY($D14,2)=1,1,0)+IF(WEEKDAY($D14,2)=2,1,0))*(IF(LEN($C14)&gt;AVERAGE(LEN($C$8:$C$71)),1,0)+IF(MID($C14,LEN($C14)-1,1)="r",1,0))),1,0)</f>
        <v>0</v>
      </c>
      <c r="Y14" s="42"/>
      <c r="Z14" s="42"/>
    </row>
    <row r="15" spans="2:26" x14ac:dyDescent="0.3">
      <c r="B15" s="11">
        <v>8</v>
      </c>
      <c r="C15" s="11" t="s">
        <v>149</v>
      </c>
      <c r="D15" s="19">
        <v>44582</v>
      </c>
      <c r="E15" s="11" t="s">
        <v>147</v>
      </c>
      <c r="F15" s="11">
        <v>3</v>
      </c>
      <c r="G15" cm="1">
        <f t="array" ref="G15">IF(((IF(WEEKDAY(D15,2)=1,1,0)+IF(WEEKDAY(D15,2)=2,1,0))*(IF(LEN(C15)&gt;AVERAGE(LEN($C$8:$C$71)),1,0)+IF(MID(C15,LEN(C15)-1,1)="r",1,0))),1,0)</f>
        <v>0</v>
      </c>
      <c r="H15">
        <f t="shared" si="0"/>
        <v>0</v>
      </c>
      <c r="I15">
        <f t="shared" si="1"/>
        <v>0</v>
      </c>
      <c r="J15" cm="1">
        <f t="array" ref="J15">IF(LEN(C15)&gt;AVERAGE(LEN($C$8:$C$71)),1,0)</f>
        <v>1</v>
      </c>
      <c r="K15">
        <f t="shared" si="2"/>
        <v>0</v>
      </c>
      <c r="L15">
        <f t="shared" si="3"/>
        <v>0</v>
      </c>
      <c r="P15" s="40">
        <v>8</v>
      </c>
      <c r="Q15" s="40" t="s">
        <v>149</v>
      </c>
      <c r="R15" s="41">
        <v>44582</v>
      </c>
      <c r="S15" s="40" t="s">
        <v>147</v>
      </c>
      <c r="T15" s="40">
        <v>3</v>
      </c>
      <c r="U15" s="42">
        <v>0</v>
      </c>
      <c r="V15" s="42">
        <v>1</v>
      </c>
      <c r="W15" s="42">
        <v>0</v>
      </c>
      <c r="X15" s="42" cm="1">
        <f t="array" ref="X15">IF(((IF(WEEKDAY($D15,2)=1,1,0)+IF(WEEKDAY($D15,2)=2,1,0))*(IF(LEN($C15)&gt;AVERAGE(LEN($C$8:$C$71)),1,0)+IF(MID($C15,LEN($C15)-1,1)="r",1,0))),1,0)</f>
        <v>0</v>
      </c>
      <c r="Y15" s="42"/>
      <c r="Z15" s="42"/>
    </row>
    <row r="16" spans="2:26" x14ac:dyDescent="0.3">
      <c r="B16" s="11">
        <v>9</v>
      </c>
      <c r="C16" s="11" t="s">
        <v>103</v>
      </c>
      <c r="D16" s="19">
        <v>44599</v>
      </c>
      <c r="E16" s="11" t="s">
        <v>145</v>
      </c>
      <c r="F16" s="11">
        <v>3</v>
      </c>
      <c r="G16" cm="1">
        <f t="array" ref="G16">IF(((IF(WEEKDAY(D16,2)=1,1,0)+IF(WEEKDAY(D16,2)=2,1,0))*(IF(LEN(C16)&gt;AVERAGE(LEN($C$8:$C$71)),1,0)+IF(MID(C16,LEN(C16)-1,1)="r",1,0))),1,0)</f>
        <v>0</v>
      </c>
      <c r="H16">
        <f t="shared" si="0"/>
        <v>1</v>
      </c>
      <c r="I16">
        <f t="shared" si="1"/>
        <v>0</v>
      </c>
      <c r="J16" cm="1">
        <f t="array" ref="J16">IF(LEN(C16)&gt;AVERAGE(LEN($C$8:$C$71)),1,0)</f>
        <v>0</v>
      </c>
      <c r="K16">
        <f t="shared" si="2"/>
        <v>0</v>
      </c>
      <c r="L16">
        <f t="shared" si="3"/>
        <v>0</v>
      </c>
      <c r="P16" s="40">
        <v>9</v>
      </c>
      <c r="Q16" s="40" t="s">
        <v>103</v>
      </c>
      <c r="R16" s="41">
        <v>44599</v>
      </c>
      <c r="S16" s="40" t="s">
        <v>145</v>
      </c>
      <c r="T16" s="40">
        <v>3</v>
      </c>
      <c r="U16" s="42">
        <v>1</v>
      </c>
      <c r="V16" s="42">
        <v>0</v>
      </c>
      <c r="W16" s="42">
        <v>0</v>
      </c>
      <c r="X16" s="42" cm="1">
        <f t="array" ref="X16">IF(((IF(WEEKDAY($D16,2)=1,1,0)+IF(WEEKDAY($D16,2)=2,1,0))*(IF(LEN($C16)&gt;AVERAGE(LEN($C$8:$C$71)),1,0)+IF(MID($C16,LEN($C16)-1,1)="r",1,0))),1,0)</f>
        <v>0</v>
      </c>
      <c r="Y16" s="42"/>
      <c r="Z16" s="42"/>
    </row>
    <row r="17" spans="2:26" x14ac:dyDescent="0.3">
      <c r="B17" s="11">
        <v>10</v>
      </c>
      <c r="C17" s="11" t="s">
        <v>103</v>
      </c>
      <c r="D17" s="19">
        <v>44604</v>
      </c>
      <c r="E17" s="11" t="s">
        <v>130</v>
      </c>
      <c r="F17" s="11">
        <v>4</v>
      </c>
      <c r="G17" cm="1">
        <f t="array" ref="G17">IF(((IF(WEEKDAY(D17,2)=1,1,0)+IF(WEEKDAY(D17,2)=2,1,0))*(IF(LEN(C17)&gt;AVERAGE(LEN($C$8:$C$71)),1,0)+IF(MID(C17,LEN(C17)-1,1)="r",1,0))),1,0)</f>
        <v>0</v>
      </c>
      <c r="H17">
        <f t="shared" si="0"/>
        <v>0</v>
      </c>
      <c r="I17">
        <f t="shared" si="1"/>
        <v>0</v>
      </c>
      <c r="J17" cm="1">
        <f t="array" ref="J17">IF(LEN(C17)&gt;AVERAGE(LEN($C$8:$C$71)),1,0)</f>
        <v>0</v>
      </c>
      <c r="K17">
        <f t="shared" si="2"/>
        <v>1</v>
      </c>
      <c r="L17">
        <f t="shared" si="3"/>
        <v>0</v>
      </c>
      <c r="P17" s="40">
        <v>10</v>
      </c>
      <c r="Q17" s="40" t="s">
        <v>103</v>
      </c>
      <c r="R17" s="41">
        <v>44604</v>
      </c>
      <c r="S17" s="40" t="s">
        <v>130</v>
      </c>
      <c r="T17" s="40">
        <v>4</v>
      </c>
      <c r="U17" s="42">
        <v>0</v>
      </c>
      <c r="V17" s="42">
        <v>0</v>
      </c>
      <c r="W17" s="42">
        <v>0</v>
      </c>
      <c r="X17" s="42" cm="1">
        <f t="array" ref="X17">IF(((IF(WEEKDAY($D17,2)=1,1,0)+IF(WEEKDAY($D17,2)=2,1,0))*(IF(LEN($C17)&gt;AVERAGE(LEN($C$8:$C$71)),1,0)+IF(MID($C17,LEN($C17)-1,1)="r",1,0))),1,0)</f>
        <v>0</v>
      </c>
      <c r="Y17" s="42"/>
      <c r="Z17" s="42"/>
    </row>
    <row r="18" spans="2:26" x14ac:dyDescent="0.3">
      <c r="B18" s="11">
        <v>11</v>
      </c>
      <c r="C18" s="11" t="s">
        <v>151</v>
      </c>
      <c r="D18" s="19">
        <v>44547</v>
      </c>
      <c r="E18" s="11" t="s">
        <v>130</v>
      </c>
      <c r="F18" s="11">
        <v>3</v>
      </c>
      <c r="G18" cm="1">
        <f t="array" ref="G18">IF(((IF(WEEKDAY(D18,2)=1,1,0)+IF(WEEKDAY(D18,2)=2,1,0))*(IF(LEN(C18)&gt;AVERAGE(LEN($C$8:$C$71)),1,0)+IF(MID(C18,LEN(C18)-1,1)="r",1,0))),1,0)</f>
        <v>0</v>
      </c>
      <c r="H18">
        <f t="shared" si="0"/>
        <v>0</v>
      </c>
      <c r="I18">
        <f t="shared" si="1"/>
        <v>0</v>
      </c>
      <c r="J18" cm="1">
        <f t="array" ref="J18">IF(LEN(C18)&gt;AVERAGE(LEN($C$8:$C$71)),1,0)</f>
        <v>1</v>
      </c>
      <c r="K18">
        <f t="shared" si="2"/>
        <v>1</v>
      </c>
      <c r="L18">
        <f t="shared" si="3"/>
        <v>0</v>
      </c>
      <c r="P18" s="40">
        <v>11</v>
      </c>
      <c r="Q18" s="40" t="s">
        <v>151</v>
      </c>
      <c r="R18" s="41">
        <v>44547</v>
      </c>
      <c r="S18" s="40" t="s">
        <v>130</v>
      </c>
      <c r="T18" s="40">
        <v>3</v>
      </c>
      <c r="U18" s="42">
        <v>0</v>
      </c>
      <c r="V18" s="42">
        <v>1</v>
      </c>
      <c r="W18" s="42">
        <v>0</v>
      </c>
      <c r="X18" s="42" cm="1">
        <f t="array" ref="X18">IF(((IF(WEEKDAY($D18,2)=1,1,0)+IF(WEEKDAY($D18,2)=2,1,0))*(IF(LEN($C18)&gt;AVERAGE(LEN($C$8:$C$71)),1,0)+IF(MID($C18,LEN($C18)-1,1)="r",1,0))),1,0)</f>
        <v>0</v>
      </c>
      <c r="Y18" s="42"/>
      <c r="Z18" s="42"/>
    </row>
    <row r="19" spans="2:26" x14ac:dyDescent="0.3">
      <c r="B19" s="11">
        <v>12</v>
      </c>
      <c r="C19" s="11" t="s">
        <v>150</v>
      </c>
      <c r="D19" s="19">
        <v>44596</v>
      </c>
      <c r="E19" s="11" t="s">
        <v>141</v>
      </c>
      <c r="F19" s="11">
        <v>4</v>
      </c>
      <c r="G19" cm="1">
        <f t="array" ref="G19">IF(((IF(WEEKDAY(D19,2)=1,1,0)+IF(WEEKDAY(D19,2)=2,1,0))*(IF(LEN(C19)&gt;AVERAGE(LEN($C$8:$C$71)),1,0)+IF(MID(C19,LEN(C19)-1,1)="r",1,0))),1,0)</f>
        <v>0</v>
      </c>
      <c r="H19">
        <f t="shared" si="0"/>
        <v>0</v>
      </c>
      <c r="I19">
        <f t="shared" si="1"/>
        <v>0</v>
      </c>
      <c r="J19" cm="1">
        <f t="array" ref="J19">IF(LEN(C19)&gt;AVERAGE(LEN($C$8:$C$71)),1,0)</f>
        <v>0</v>
      </c>
      <c r="K19">
        <f t="shared" si="2"/>
        <v>1</v>
      </c>
      <c r="L19">
        <f t="shared" si="3"/>
        <v>0</v>
      </c>
      <c r="P19" s="40">
        <v>12</v>
      </c>
      <c r="Q19" s="40" t="s">
        <v>150</v>
      </c>
      <c r="R19" s="41">
        <v>44596</v>
      </c>
      <c r="S19" s="40" t="s">
        <v>141</v>
      </c>
      <c r="T19" s="40">
        <v>4</v>
      </c>
      <c r="U19" s="42">
        <v>0</v>
      </c>
      <c r="V19" s="42">
        <v>1</v>
      </c>
      <c r="W19" s="42">
        <v>0</v>
      </c>
      <c r="X19" s="42" cm="1">
        <f t="array" ref="X19">IF(((IF(WEEKDAY($D19,2)=1,1,0)+IF(WEEKDAY($D19,2)=2,1,0))*(IF(LEN($C19)&gt;AVERAGE(LEN($C$8:$C$71)),1,0)+IF(MID($C19,LEN($C19)-1,1)="r",1,0))),1,0)</f>
        <v>0</v>
      </c>
      <c r="Y19" s="42"/>
      <c r="Z19" s="42"/>
    </row>
    <row r="20" spans="2:26" x14ac:dyDescent="0.3">
      <c r="B20" s="11">
        <v>13</v>
      </c>
      <c r="C20" s="11" t="s">
        <v>149</v>
      </c>
      <c r="D20" s="19">
        <v>44575</v>
      </c>
      <c r="E20" s="11" t="s">
        <v>139</v>
      </c>
      <c r="F20" s="11">
        <v>2</v>
      </c>
      <c r="G20" cm="1">
        <f t="array" ref="G20">IF(((IF(WEEKDAY(D20,2)=1,1,0)+IF(WEEKDAY(D20,2)=2,1,0))*(IF(LEN(C20)&gt;AVERAGE(LEN($C$8:$C$71)),1,0)+IF(MID(C20,LEN(C20)-1,1)="r",1,0))),1,0)</f>
        <v>0</v>
      </c>
      <c r="H20">
        <f t="shared" si="0"/>
        <v>0</v>
      </c>
      <c r="I20">
        <f t="shared" si="1"/>
        <v>0</v>
      </c>
      <c r="J20" cm="1">
        <f t="array" ref="J20">IF(LEN(C20)&gt;AVERAGE(LEN($C$8:$C$71)),1,0)</f>
        <v>1</v>
      </c>
      <c r="K20">
        <f t="shared" si="2"/>
        <v>0</v>
      </c>
      <c r="L20">
        <f t="shared" si="3"/>
        <v>0</v>
      </c>
      <c r="P20" s="40">
        <v>13</v>
      </c>
      <c r="Q20" s="40" t="s">
        <v>149</v>
      </c>
      <c r="R20" s="41">
        <v>44575</v>
      </c>
      <c r="S20" s="40" t="s">
        <v>139</v>
      </c>
      <c r="T20" s="40">
        <v>2</v>
      </c>
      <c r="U20" s="42">
        <v>0</v>
      </c>
      <c r="V20" s="42">
        <v>1</v>
      </c>
      <c r="W20" s="42">
        <v>0</v>
      </c>
      <c r="X20" s="42" cm="1">
        <f t="array" ref="X20">IF(((IF(WEEKDAY($D20,2)=1,1,0)+IF(WEEKDAY($D20,2)=2,1,0))*(IF(LEN($C20)&gt;AVERAGE(LEN($C$8:$C$71)),1,0)+IF(MID($C20,LEN($C20)-1,1)="r",1,0))),1,0)</f>
        <v>0</v>
      </c>
      <c r="Y20" s="42"/>
      <c r="Z20" s="42"/>
    </row>
    <row r="21" spans="2:26" x14ac:dyDescent="0.3">
      <c r="B21" s="11">
        <v>14</v>
      </c>
      <c r="C21" s="11" t="s">
        <v>80</v>
      </c>
      <c r="D21" s="19">
        <v>44578</v>
      </c>
      <c r="E21" s="11" t="s">
        <v>142</v>
      </c>
      <c r="F21" s="11">
        <v>3</v>
      </c>
      <c r="G21" cm="1">
        <f t="array" ref="G21">IF(((IF(WEEKDAY(D21,2)=1,1,0)+IF(WEEKDAY(D21,2)=2,1,0))*(IF(LEN(C21)&gt;AVERAGE(LEN($C$8:$C$71)),1,0)+IF(MID(C21,LEN(C21)-1,1)="r",1,0))),1,0)</f>
        <v>0</v>
      </c>
      <c r="H21">
        <f t="shared" si="0"/>
        <v>1</v>
      </c>
      <c r="I21">
        <f t="shared" si="1"/>
        <v>0</v>
      </c>
      <c r="J21" cm="1">
        <f t="array" ref="J21">IF(LEN(C21)&gt;AVERAGE(LEN($C$8:$C$71)),1,0)</f>
        <v>0</v>
      </c>
      <c r="K21">
        <f t="shared" si="2"/>
        <v>0</v>
      </c>
      <c r="L21">
        <f t="shared" si="3"/>
        <v>0</v>
      </c>
      <c r="P21" s="40">
        <v>14</v>
      </c>
      <c r="Q21" s="40" t="s">
        <v>80</v>
      </c>
      <c r="R21" s="41">
        <v>44578</v>
      </c>
      <c r="S21" s="40" t="s">
        <v>142</v>
      </c>
      <c r="T21" s="40">
        <v>3</v>
      </c>
      <c r="U21" s="42">
        <v>1</v>
      </c>
      <c r="V21" s="42">
        <v>0</v>
      </c>
      <c r="W21" s="42">
        <v>0</v>
      </c>
      <c r="X21" s="42" cm="1">
        <f t="array" ref="X21">IF(((IF(WEEKDAY($D21,2)=1,1,0)+IF(WEEKDAY($D21,2)=2,1,0))*(IF(LEN($C21)&gt;AVERAGE(LEN($C$8:$C$71)),1,0)+IF(MID($C21,LEN($C21)-1,1)="r",1,0))),1,0)</f>
        <v>0</v>
      </c>
      <c r="Y21" s="42"/>
      <c r="Z21" s="42"/>
    </row>
    <row r="22" spans="2:26" x14ac:dyDescent="0.3">
      <c r="B22" s="11">
        <v>15</v>
      </c>
      <c r="C22" s="11" t="s">
        <v>150</v>
      </c>
      <c r="D22" s="19">
        <v>44584</v>
      </c>
      <c r="E22" s="11" t="s">
        <v>129</v>
      </c>
      <c r="F22" s="11">
        <v>3</v>
      </c>
      <c r="G22" cm="1">
        <f t="array" ref="G22">IF(((IF(WEEKDAY(D22,2)=1,1,0)+IF(WEEKDAY(D22,2)=2,1,0))*(IF(LEN(C22)&gt;AVERAGE(LEN($C$8:$C$71)),1,0)+IF(MID(C22,LEN(C22)-1,1)="r",1,0))),1,0)</f>
        <v>0</v>
      </c>
      <c r="H22">
        <f t="shared" si="0"/>
        <v>0</v>
      </c>
      <c r="I22">
        <f t="shared" si="1"/>
        <v>0</v>
      </c>
      <c r="J22" cm="1">
        <f t="array" ref="J22">IF(LEN(C22)&gt;AVERAGE(LEN($C$8:$C$71)),1,0)</f>
        <v>0</v>
      </c>
      <c r="K22">
        <f t="shared" si="2"/>
        <v>0</v>
      </c>
      <c r="L22">
        <f t="shared" si="3"/>
        <v>0</v>
      </c>
      <c r="P22" s="40">
        <v>15</v>
      </c>
      <c r="Q22" s="40" t="s">
        <v>150</v>
      </c>
      <c r="R22" s="41">
        <v>44584</v>
      </c>
      <c r="S22" s="40" t="s">
        <v>129</v>
      </c>
      <c r="T22" s="40">
        <v>3</v>
      </c>
      <c r="U22" s="42">
        <v>0</v>
      </c>
      <c r="V22" s="42">
        <v>1</v>
      </c>
      <c r="W22" s="42">
        <v>0</v>
      </c>
      <c r="X22" s="42" cm="1">
        <f t="array" ref="X22">IF(((IF(WEEKDAY($D22,2)=1,1,0)+IF(WEEKDAY($D22,2)=2,1,0))*(IF(LEN($C22)&gt;AVERAGE(LEN($C$8:$C$71)),1,0)+IF(MID($C22,LEN($C22)-1,1)="r",1,0))),1,0)</f>
        <v>0</v>
      </c>
      <c r="Y22" s="42"/>
      <c r="Z22" s="42"/>
    </row>
    <row r="23" spans="2:26" x14ac:dyDescent="0.3">
      <c r="B23" s="11">
        <v>16</v>
      </c>
      <c r="C23" s="11" t="s">
        <v>153</v>
      </c>
      <c r="D23" s="19">
        <v>44581</v>
      </c>
      <c r="E23" s="11" t="s">
        <v>146</v>
      </c>
      <c r="F23" s="11">
        <v>1</v>
      </c>
      <c r="G23" cm="1">
        <f t="array" ref="G23">IF(((IF(WEEKDAY(D23,2)=1,1,0)+IF(WEEKDAY(D23,2)=2,1,0))*(IF(LEN(C23)&gt;AVERAGE(LEN($C$8:$C$71)),1,0)+IF(MID(C23,LEN(C23)-1,1)="r",1,0))),1,0)</f>
        <v>0</v>
      </c>
      <c r="H23">
        <f t="shared" si="0"/>
        <v>0</v>
      </c>
      <c r="I23">
        <f t="shared" si="1"/>
        <v>0</v>
      </c>
      <c r="J23" cm="1">
        <f t="array" ref="J23">IF(LEN(C23)&gt;AVERAGE(LEN($C$8:$C$71)),1,0)</f>
        <v>1</v>
      </c>
      <c r="K23">
        <f t="shared" si="2"/>
        <v>1</v>
      </c>
      <c r="L23">
        <f t="shared" si="3"/>
        <v>0</v>
      </c>
      <c r="P23" s="40">
        <v>16</v>
      </c>
      <c r="Q23" s="40" t="s">
        <v>153</v>
      </c>
      <c r="R23" s="41">
        <v>44581</v>
      </c>
      <c r="S23" s="40" t="s">
        <v>146</v>
      </c>
      <c r="T23" s="40">
        <v>1</v>
      </c>
      <c r="U23" s="42">
        <v>0</v>
      </c>
      <c r="V23" s="42">
        <v>1</v>
      </c>
      <c r="W23" s="42">
        <v>0</v>
      </c>
      <c r="X23" s="42" cm="1">
        <f t="array" ref="X23">IF(((IF(WEEKDAY($D23,2)=1,1,0)+IF(WEEKDAY($D23,2)=2,1,0))*(IF(LEN($C23)&gt;AVERAGE(LEN($C$8:$C$71)),1,0)+IF(MID($C23,LEN($C23)-1,1)="r",1,0))),1,0)</f>
        <v>0</v>
      </c>
      <c r="Y23" s="42"/>
      <c r="Z23" s="42"/>
    </row>
    <row r="24" spans="2:26" x14ac:dyDescent="0.3">
      <c r="B24" s="11">
        <v>17</v>
      </c>
      <c r="C24" s="11" t="s">
        <v>149</v>
      </c>
      <c r="D24" s="19">
        <v>44607</v>
      </c>
      <c r="E24" s="11" t="s">
        <v>133</v>
      </c>
      <c r="F24" s="11">
        <v>1</v>
      </c>
      <c r="G24" cm="1">
        <f t="array" ref="G24">IF(((IF(WEEKDAY(D24,2)=1,1,0)+IF(WEEKDAY(D24,2)=2,1,0))*(IF(LEN(C24)&gt;AVERAGE(LEN($C$8:$C$71)),1,0)+IF(MID(C24,LEN(C24)-1,1)="r",1,0))),1,0)</f>
        <v>1</v>
      </c>
      <c r="H24">
        <f t="shared" si="0"/>
        <v>0</v>
      </c>
      <c r="I24">
        <f t="shared" si="1"/>
        <v>1</v>
      </c>
      <c r="J24" cm="1">
        <f t="array" ref="J24">IF(LEN(C24)&gt;AVERAGE(LEN($C$8:$C$71)),1,0)</f>
        <v>1</v>
      </c>
      <c r="K24">
        <f t="shared" si="2"/>
        <v>0</v>
      </c>
      <c r="L24">
        <f t="shared" si="3"/>
        <v>1</v>
      </c>
      <c r="P24" s="40">
        <v>17</v>
      </c>
      <c r="Q24" s="40" t="s">
        <v>149</v>
      </c>
      <c r="R24" s="41">
        <v>44607</v>
      </c>
      <c r="S24" s="40" t="s">
        <v>133</v>
      </c>
      <c r="T24" s="40">
        <v>1</v>
      </c>
      <c r="U24" s="42">
        <v>1</v>
      </c>
      <c r="V24" s="42">
        <v>1</v>
      </c>
      <c r="W24" s="42">
        <v>1</v>
      </c>
      <c r="X24" s="42" cm="1">
        <f t="array" ref="X24">IF(((IF(WEEKDAY($D24,2)=1,1,0)+IF(WEEKDAY($D24,2)=2,1,0))*(IF(LEN($C24)&gt;AVERAGE(LEN($C$8:$C$71)),1,0)+IF(MID($C24,LEN($C24)-1,1)="r",1,0))),1,0)</f>
        <v>1</v>
      </c>
      <c r="Y24" s="42"/>
      <c r="Z24" s="42"/>
    </row>
    <row r="25" spans="2:26" x14ac:dyDescent="0.3">
      <c r="B25" s="11">
        <v>18</v>
      </c>
      <c r="C25" s="11" t="s">
        <v>151</v>
      </c>
      <c r="D25" s="19">
        <v>44601</v>
      </c>
      <c r="E25" s="11" t="s">
        <v>147</v>
      </c>
      <c r="F25" s="11">
        <v>1</v>
      </c>
      <c r="G25" cm="1">
        <f t="array" ref="G25">IF(((IF(WEEKDAY(D25,2)=1,1,0)+IF(WEEKDAY(D25,2)=2,1,0))*(IF(LEN(C25)&gt;AVERAGE(LEN($C$8:$C$71)),1,0)+IF(MID(C25,LEN(C25)-1,1)="r",1,0))),1,0)</f>
        <v>0</v>
      </c>
      <c r="H25">
        <f t="shared" si="0"/>
        <v>0</v>
      </c>
      <c r="I25">
        <f t="shared" si="1"/>
        <v>0</v>
      </c>
      <c r="J25" cm="1">
        <f t="array" ref="J25">IF(LEN(C25)&gt;AVERAGE(LEN($C$8:$C$71)),1,0)</f>
        <v>1</v>
      </c>
      <c r="K25">
        <f t="shared" si="2"/>
        <v>0</v>
      </c>
      <c r="L25">
        <f t="shared" si="3"/>
        <v>0</v>
      </c>
      <c r="P25" s="40">
        <v>18</v>
      </c>
      <c r="Q25" s="40" t="s">
        <v>151</v>
      </c>
      <c r="R25" s="41">
        <v>44601</v>
      </c>
      <c r="S25" s="40" t="s">
        <v>147</v>
      </c>
      <c r="T25" s="40">
        <v>1</v>
      </c>
      <c r="U25" s="42">
        <v>0</v>
      </c>
      <c r="V25" s="42">
        <v>1</v>
      </c>
      <c r="W25" s="42">
        <v>0</v>
      </c>
      <c r="X25" s="42" cm="1">
        <f t="array" ref="X25">IF(((IF(WEEKDAY($D25,2)=1,1,0)+IF(WEEKDAY($D25,2)=2,1,0))*(IF(LEN($C25)&gt;AVERAGE(LEN($C$8:$C$71)),1,0)+IF(MID($C25,LEN($C25)-1,1)="r",1,0))),1,0)</f>
        <v>0</v>
      </c>
      <c r="Y25" s="42"/>
      <c r="Z25" s="42"/>
    </row>
    <row r="26" spans="2:26" x14ac:dyDescent="0.3">
      <c r="B26" s="11">
        <v>19</v>
      </c>
      <c r="C26" s="11" t="s">
        <v>81</v>
      </c>
      <c r="D26" s="19">
        <v>44594</v>
      </c>
      <c r="E26" s="11" t="s">
        <v>139</v>
      </c>
      <c r="F26" s="11">
        <v>2</v>
      </c>
      <c r="G26" cm="1">
        <f t="array" ref="G26">IF(((IF(WEEKDAY(D26,2)=1,1,0)+IF(WEEKDAY(D26,2)=2,1,0))*(IF(LEN(C26)&gt;AVERAGE(LEN($C$8:$C$71)),1,0)+IF(MID(C26,LEN(C26)-1,1)="r",1,0))),1,0)</f>
        <v>0</v>
      </c>
      <c r="H26">
        <f t="shared" si="0"/>
        <v>0</v>
      </c>
      <c r="I26">
        <f t="shared" si="1"/>
        <v>0</v>
      </c>
      <c r="J26" cm="1">
        <f t="array" ref="J26">IF(LEN(C26)&gt;AVERAGE(LEN($C$8:$C$71)),1,0)</f>
        <v>0</v>
      </c>
      <c r="K26">
        <f t="shared" si="2"/>
        <v>0</v>
      </c>
      <c r="L26">
        <f t="shared" si="3"/>
        <v>0</v>
      </c>
      <c r="P26" s="40">
        <v>19</v>
      </c>
      <c r="Q26" s="40" t="s">
        <v>81</v>
      </c>
      <c r="R26" s="41">
        <v>44594</v>
      </c>
      <c r="S26" s="40" t="s">
        <v>139</v>
      </c>
      <c r="T26" s="40">
        <v>2</v>
      </c>
      <c r="U26" s="42">
        <v>0</v>
      </c>
      <c r="V26" s="42">
        <v>0</v>
      </c>
      <c r="W26" s="42">
        <v>0</v>
      </c>
      <c r="X26" s="42" cm="1">
        <f t="array" ref="X26">IF(((IF(WEEKDAY($D26,2)=1,1,0)+IF(WEEKDAY($D26,2)=2,1,0))*(IF(LEN($C26)&gt;AVERAGE(LEN($C$8:$C$71)),1,0)+IF(MID($C26,LEN($C26)-1,1)="r",1,0))),1,0)</f>
        <v>0</v>
      </c>
      <c r="Y26" s="42"/>
      <c r="Z26" s="42"/>
    </row>
    <row r="27" spans="2:26" x14ac:dyDescent="0.3">
      <c r="B27" s="11">
        <v>20</v>
      </c>
      <c r="C27" s="11" t="s">
        <v>151</v>
      </c>
      <c r="D27" s="19">
        <v>44563</v>
      </c>
      <c r="E27" s="11" t="s">
        <v>147</v>
      </c>
      <c r="F27" s="11">
        <v>4</v>
      </c>
      <c r="G27" cm="1">
        <f t="array" ref="G27">IF(((IF(WEEKDAY(D27,2)=1,1,0)+IF(WEEKDAY(D27,2)=2,1,0))*(IF(LEN(C27)&gt;AVERAGE(LEN($C$8:$C$71)),1,0)+IF(MID(C27,LEN(C27)-1,1)="r",1,0))),1,0)</f>
        <v>0</v>
      </c>
      <c r="P27" s="40">
        <v>20</v>
      </c>
      <c r="Q27" s="40" t="s">
        <v>151</v>
      </c>
      <c r="R27" s="41">
        <v>44563</v>
      </c>
      <c r="S27" s="40" t="s">
        <v>147</v>
      </c>
      <c r="T27" s="40">
        <v>4</v>
      </c>
      <c r="U27" s="42">
        <v>0</v>
      </c>
      <c r="V27" s="42">
        <v>1</v>
      </c>
      <c r="W27" s="42">
        <v>0</v>
      </c>
      <c r="X27" s="42" cm="1">
        <f t="array" ref="X27">IF(((IF(WEEKDAY($D27,2)=1,1,0)+IF(WEEKDAY($D27,2)=2,1,0))*(IF(LEN($C27)&gt;AVERAGE(LEN($C$8:$C$71)),1,0)+IF(MID($C27,LEN($C27)-1,1)="r",1,0))),1,0)</f>
        <v>0</v>
      </c>
      <c r="Y27" s="42"/>
      <c r="Z27" s="42"/>
    </row>
    <row r="28" spans="2:26" x14ac:dyDescent="0.3">
      <c r="B28" s="11">
        <v>21</v>
      </c>
      <c r="C28" s="11" t="s">
        <v>80</v>
      </c>
      <c r="D28" s="19">
        <v>44560</v>
      </c>
      <c r="E28" s="11" t="s">
        <v>143</v>
      </c>
      <c r="F28" s="11">
        <v>2</v>
      </c>
      <c r="G28" cm="1">
        <f t="array" ref="G28">IF(((IF(WEEKDAY(D28,2)=1,1,0)+IF(WEEKDAY(D28,2)=2,1,0))*(IF(LEN(C28)&gt;AVERAGE(LEN($C$8:$C$71)),1,0)+IF(MID(C28,LEN(C28)-1,1)="r",1,0))),1,0)</f>
        <v>0</v>
      </c>
      <c r="P28" s="40">
        <v>21</v>
      </c>
      <c r="Q28" s="40" t="s">
        <v>80</v>
      </c>
      <c r="R28" s="41">
        <v>44560</v>
      </c>
      <c r="S28" s="40" t="s">
        <v>143</v>
      </c>
      <c r="T28" s="40">
        <v>2</v>
      </c>
      <c r="U28" s="42">
        <v>0</v>
      </c>
      <c r="V28" s="42">
        <v>0</v>
      </c>
      <c r="W28" s="42">
        <v>0</v>
      </c>
      <c r="X28" s="42" cm="1">
        <f t="array" ref="X28">IF(((IF(WEEKDAY($D28,2)=1,1,0)+IF(WEEKDAY($D28,2)=2,1,0))*(IF(LEN($C28)&gt;AVERAGE(LEN($C$8:$C$71)),1,0)+IF(MID($C28,LEN($C28)-1,1)="r",1,0))),1,0)</f>
        <v>0</v>
      </c>
      <c r="Y28" s="42"/>
      <c r="Z28" s="42"/>
    </row>
    <row r="29" spans="2:26" x14ac:dyDescent="0.3">
      <c r="B29" s="11">
        <v>22</v>
      </c>
      <c r="C29" s="11" t="s">
        <v>152</v>
      </c>
      <c r="D29" s="19">
        <v>44580</v>
      </c>
      <c r="E29" s="11" t="s">
        <v>145</v>
      </c>
      <c r="F29" s="11">
        <v>1</v>
      </c>
      <c r="G29" cm="1">
        <f t="array" ref="G29">IF(((IF(WEEKDAY(D29,2)=1,1,0)+IF(WEEKDAY(D29,2)=2,1,0))*(IF(LEN(C29)&gt;AVERAGE(LEN($C$8:$C$71)),1,0)+IF(MID(C29,LEN(C29)-1,1)="r",1,0))),1,0)</f>
        <v>0</v>
      </c>
      <c r="P29" s="40">
        <v>22</v>
      </c>
      <c r="Q29" s="40" t="s">
        <v>152</v>
      </c>
      <c r="R29" s="41">
        <v>44580</v>
      </c>
      <c r="S29" s="40" t="s">
        <v>145</v>
      </c>
      <c r="T29" s="40">
        <v>1</v>
      </c>
      <c r="U29" s="42">
        <v>0</v>
      </c>
      <c r="V29" s="42">
        <v>1</v>
      </c>
      <c r="W29" s="42">
        <v>0</v>
      </c>
      <c r="X29" s="42" cm="1">
        <f t="array" ref="X29">IF(((IF(WEEKDAY($D29,2)=1,1,0)+IF(WEEKDAY($D29,2)=2,1,0))*(IF(LEN($C29)&gt;AVERAGE(LEN($C$8:$C$71)),1,0)+IF(MID($C29,LEN($C29)-1,1)="r",1,0))),1,0)</f>
        <v>0</v>
      </c>
      <c r="Y29" s="42"/>
      <c r="Z29" s="42"/>
    </row>
    <row r="30" spans="2:26" x14ac:dyDescent="0.3">
      <c r="B30" s="11">
        <v>23</v>
      </c>
      <c r="C30" s="11" t="s">
        <v>80</v>
      </c>
      <c r="D30" s="19">
        <v>44550</v>
      </c>
      <c r="E30" s="11" t="s">
        <v>133</v>
      </c>
      <c r="F30" s="11">
        <v>3</v>
      </c>
      <c r="G30" cm="1">
        <f t="array" ref="G30">IF(((IF(WEEKDAY(D30,2)=1,1,0)+IF(WEEKDAY(D30,2)=2,1,0))*(IF(LEN(C30)&gt;AVERAGE(LEN($C$8:$C$71)),1,0)+IF(MID(C30,LEN(C30)-1,1)="r",1,0))),1,0)</f>
        <v>0</v>
      </c>
      <c r="P30" s="40">
        <v>23</v>
      </c>
      <c r="Q30" s="40" t="s">
        <v>80</v>
      </c>
      <c r="R30" s="41">
        <v>44550</v>
      </c>
      <c r="S30" s="40" t="s">
        <v>133</v>
      </c>
      <c r="T30" s="40">
        <v>3</v>
      </c>
      <c r="U30" s="42">
        <v>1</v>
      </c>
      <c r="V30" s="42">
        <v>0</v>
      </c>
      <c r="W30" s="42">
        <v>0</v>
      </c>
      <c r="X30" s="42" cm="1">
        <f t="array" ref="X30">IF(((IF(WEEKDAY($D30,2)=1,1,0)+IF(WEEKDAY($D30,2)=2,1,0))*(IF(LEN($C30)&gt;AVERAGE(LEN($C$8:$C$71)),1,0)+IF(MID($C30,LEN($C30)-1,1)="r",1,0))),1,0)</f>
        <v>0</v>
      </c>
      <c r="Y30" s="42"/>
      <c r="Z30" s="42"/>
    </row>
    <row r="31" spans="2:26" x14ac:dyDescent="0.3">
      <c r="B31" s="11">
        <v>24</v>
      </c>
      <c r="C31" s="11" t="s">
        <v>150</v>
      </c>
      <c r="D31" s="19">
        <v>44571</v>
      </c>
      <c r="E31" s="11" t="s">
        <v>135</v>
      </c>
      <c r="F31" s="11">
        <v>2</v>
      </c>
      <c r="G31" cm="1">
        <f t="array" ref="G31">IF(((IF(WEEKDAY(D31,2)=1,1,0)+IF(WEEKDAY(D31,2)=2,1,0))*(IF(LEN(C31)&gt;AVERAGE(LEN($C$8:$C$71)),1,0)+IF(MID(C31,LEN(C31)-1,1)="r",1,0))),1,0)</f>
        <v>1</v>
      </c>
      <c r="P31" s="40">
        <v>24</v>
      </c>
      <c r="Q31" s="40" t="s">
        <v>150</v>
      </c>
      <c r="R31" s="41">
        <v>44571</v>
      </c>
      <c r="S31" s="40" t="s">
        <v>135</v>
      </c>
      <c r="T31" s="40">
        <v>2</v>
      </c>
      <c r="U31" s="42">
        <v>1</v>
      </c>
      <c r="V31" s="42">
        <v>1</v>
      </c>
      <c r="W31" s="42">
        <v>1</v>
      </c>
      <c r="X31" s="42" cm="1">
        <f t="array" ref="X31">IF(((IF(WEEKDAY($D31,2)=1,1,0)+IF(WEEKDAY($D31,2)=2,1,0))*(IF(LEN($C31)&gt;AVERAGE(LEN($C$8:$C$71)),1,0)+IF(MID($C31,LEN($C31)-1,1)="r",1,0))),1,0)</f>
        <v>1</v>
      </c>
      <c r="Y31" s="42"/>
      <c r="Z31" s="42"/>
    </row>
    <row r="32" spans="2:26" x14ac:dyDescent="0.3">
      <c r="B32" s="11">
        <v>25</v>
      </c>
      <c r="C32" s="11" t="s">
        <v>81</v>
      </c>
      <c r="D32" s="19">
        <v>44595</v>
      </c>
      <c r="E32" s="11" t="s">
        <v>140</v>
      </c>
      <c r="F32" s="11">
        <v>3</v>
      </c>
      <c r="G32" cm="1">
        <f t="array" ref="G32">IF(((IF(WEEKDAY(D32,2)=1,1,0)+IF(WEEKDAY(D32,2)=2,1,0))*(IF(LEN(C32)&gt;AVERAGE(LEN($C$8:$C$71)),1,0)+IF(MID(C32,LEN(C32)-1,1)="r",1,0))),1,0)</f>
        <v>0</v>
      </c>
      <c r="P32" s="40">
        <v>25</v>
      </c>
      <c r="Q32" s="40" t="s">
        <v>81</v>
      </c>
      <c r="R32" s="41">
        <v>44595</v>
      </c>
      <c r="S32" s="40" t="s">
        <v>140</v>
      </c>
      <c r="T32" s="40">
        <v>3</v>
      </c>
      <c r="U32" s="42">
        <v>0</v>
      </c>
      <c r="V32" s="42">
        <v>0</v>
      </c>
      <c r="W32" s="42">
        <v>0</v>
      </c>
      <c r="X32" s="42" cm="1">
        <f t="array" ref="X32">IF(((IF(WEEKDAY($D32,2)=1,1,0)+IF(WEEKDAY($D32,2)=2,1,0))*(IF(LEN($C32)&gt;AVERAGE(LEN($C$8:$C$71)),1,0)+IF(MID($C32,LEN($C32)-1,1)="r",1,0))),1,0)</f>
        <v>0</v>
      </c>
      <c r="Y32" s="42"/>
      <c r="Z32" s="42"/>
    </row>
    <row r="33" spans="2:26" x14ac:dyDescent="0.3">
      <c r="B33" s="11">
        <v>26</v>
      </c>
      <c r="C33" s="11" t="s">
        <v>80</v>
      </c>
      <c r="D33" s="19">
        <v>44557</v>
      </c>
      <c r="E33" s="11" t="s">
        <v>140</v>
      </c>
      <c r="F33" s="11">
        <v>1</v>
      </c>
      <c r="G33" cm="1">
        <f t="array" ref="G33">IF(((IF(WEEKDAY(D33,2)=1,1,0)+IF(WEEKDAY(D33,2)=2,1,0))*(IF(LEN(C33)&gt;AVERAGE(LEN($C$8:$C$71)),1,0)+IF(MID(C33,LEN(C33)-1,1)="r",1,0))),1,0)</f>
        <v>0</v>
      </c>
      <c r="P33" s="40">
        <v>26</v>
      </c>
      <c r="Q33" s="40" t="s">
        <v>80</v>
      </c>
      <c r="R33" s="41">
        <v>44557</v>
      </c>
      <c r="S33" s="40" t="s">
        <v>140</v>
      </c>
      <c r="T33" s="40">
        <v>1</v>
      </c>
      <c r="U33" s="42">
        <v>1</v>
      </c>
      <c r="V33" s="42">
        <v>0</v>
      </c>
      <c r="W33" s="42">
        <v>0</v>
      </c>
      <c r="X33" s="42" cm="1">
        <f t="array" ref="X33">IF(((IF(WEEKDAY($D33,2)=1,1,0)+IF(WEEKDAY($D33,2)=2,1,0))*(IF(LEN($C33)&gt;AVERAGE(LEN($C$8:$C$71)),1,0)+IF(MID($C33,LEN($C33)-1,1)="r",1,0))),1,0)</f>
        <v>0</v>
      </c>
      <c r="Y33" s="42"/>
      <c r="Z33" s="42"/>
    </row>
    <row r="34" spans="2:26" x14ac:dyDescent="0.3">
      <c r="B34" s="11">
        <v>27</v>
      </c>
      <c r="C34" s="11" t="s">
        <v>152</v>
      </c>
      <c r="D34" s="19">
        <v>44567</v>
      </c>
      <c r="E34" s="11" t="s">
        <v>131</v>
      </c>
      <c r="F34" s="11">
        <v>3</v>
      </c>
      <c r="G34" cm="1">
        <f t="array" ref="G34">IF(((IF(WEEKDAY(D34,2)=1,1,0)+IF(WEEKDAY(D34,2)=2,1,0))*(IF(LEN(C34)&gt;AVERAGE(LEN($C$8:$C$71)),1,0)+IF(MID(C34,LEN(C34)-1,1)="r",1,0))),1,0)</f>
        <v>0</v>
      </c>
      <c r="P34" s="40">
        <v>27</v>
      </c>
      <c r="Q34" s="40" t="s">
        <v>152</v>
      </c>
      <c r="R34" s="41">
        <v>44567</v>
      </c>
      <c r="S34" s="40" t="s">
        <v>131</v>
      </c>
      <c r="T34" s="40">
        <v>3</v>
      </c>
      <c r="U34" s="42">
        <v>0</v>
      </c>
      <c r="V34" s="42">
        <v>1</v>
      </c>
      <c r="W34" s="42">
        <v>0</v>
      </c>
      <c r="X34" s="42" cm="1">
        <f t="array" ref="X34">IF(((IF(WEEKDAY($D34,2)=1,1,0)+IF(WEEKDAY($D34,2)=2,1,0))*(IF(LEN($C34)&gt;AVERAGE(LEN($C$8:$C$71)),1,0)+IF(MID($C34,LEN($C34)-1,1)="r",1,0))),1,0)</f>
        <v>0</v>
      </c>
      <c r="Y34" s="42"/>
      <c r="Z34" s="42"/>
    </row>
    <row r="35" spans="2:26" x14ac:dyDescent="0.3">
      <c r="B35" s="11">
        <v>28</v>
      </c>
      <c r="C35" s="11" t="s">
        <v>103</v>
      </c>
      <c r="D35" s="19">
        <v>44592</v>
      </c>
      <c r="E35" s="11" t="s">
        <v>137</v>
      </c>
      <c r="F35" s="11">
        <v>4</v>
      </c>
      <c r="G35" cm="1">
        <f t="array" ref="G35">IF(((IF(WEEKDAY(D35,2)=1,1,0)+IF(WEEKDAY(D35,2)=2,1,0))*(IF(LEN(C35)&gt;AVERAGE(LEN($C$8:$C$71)),1,0)+IF(MID(C35,LEN(C35)-1,1)="r",1,0))),1,0)</f>
        <v>0</v>
      </c>
      <c r="P35" s="40">
        <v>28</v>
      </c>
      <c r="Q35" s="40" t="s">
        <v>103</v>
      </c>
      <c r="R35" s="41">
        <v>44592</v>
      </c>
      <c r="S35" s="40" t="s">
        <v>137</v>
      </c>
      <c r="T35" s="40">
        <v>4</v>
      </c>
      <c r="U35" s="42">
        <v>1</v>
      </c>
      <c r="V35" s="42">
        <v>0</v>
      </c>
      <c r="W35" s="42">
        <v>0</v>
      </c>
      <c r="X35" s="42" cm="1">
        <f t="array" ref="X35">IF(((IF(WEEKDAY($D35,2)=1,1,0)+IF(WEEKDAY($D35,2)=2,1,0))*(IF(LEN($C35)&gt;AVERAGE(LEN($C$8:$C$71)),1,0)+IF(MID($C35,LEN($C35)-1,1)="r",1,0))),1,0)</f>
        <v>0</v>
      </c>
      <c r="Y35" s="42"/>
      <c r="Z35" s="42"/>
    </row>
    <row r="36" spans="2:26" x14ac:dyDescent="0.3">
      <c r="B36" s="11">
        <v>29</v>
      </c>
      <c r="C36" s="11" t="s">
        <v>81</v>
      </c>
      <c r="D36" s="19">
        <v>44565</v>
      </c>
      <c r="E36" s="11" t="s">
        <v>129</v>
      </c>
      <c r="F36" s="11">
        <v>4</v>
      </c>
      <c r="G36" cm="1">
        <f t="array" ref="G36">IF(((IF(WEEKDAY(D36,2)=1,1,0)+IF(WEEKDAY(D36,2)=2,1,0))*(IF(LEN(C36)&gt;AVERAGE(LEN($C$8:$C$71)),1,0)+IF(MID(C36,LEN(C36)-1,1)="r",1,0))),1,0)</f>
        <v>0</v>
      </c>
      <c r="P36" s="40">
        <v>29</v>
      </c>
      <c r="Q36" s="40" t="s">
        <v>81</v>
      </c>
      <c r="R36" s="41">
        <v>44565</v>
      </c>
      <c r="S36" s="40" t="s">
        <v>129</v>
      </c>
      <c r="T36" s="40">
        <v>4</v>
      </c>
      <c r="U36" s="42">
        <v>1</v>
      </c>
      <c r="V36" s="42">
        <v>0</v>
      </c>
      <c r="W36" s="42">
        <v>0</v>
      </c>
      <c r="X36" s="42" cm="1">
        <f t="array" ref="X36">IF(((IF(WEEKDAY($D36,2)=1,1,0)+IF(WEEKDAY($D36,2)=2,1,0))*(IF(LEN($C36)&gt;AVERAGE(LEN($C$8:$C$71)),1,0)+IF(MID($C36,LEN($C36)-1,1)="r",1,0))),1,0)</f>
        <v>0</v>
      </c>
      <c r="Y36" s="42"/>
      <c r="Z36" s="42"/>
    </row>
    <row r="37" spans="2:26" x14ac:dyDescent="0.3">
      <c r="B37" s="11">
        <v>30</v>
      </c>
      <c r="C37" s="11" t="s">
        <v>153</v>
      </c>
      <c r="D37" s="19">
        <v>44583</v>
      </c>
      <c r="E37" s="11" t="s">
        <v>128</v>
      </c>
      <c r="F37" s="11">
        <v>2</v>
      </c>
      <c r="G37" cm="1">
        <f t="array" ref="G37">IF(((IF(WEEKDAY(D37,2)=1,1,0)+IF(WEEKDAY(D37,2)=2,1,0))*(IF(LEN(C37)&gt;AVERAGE(LEN($C$8:$C$71)),1,0)+IF(MID(C37,LEN(C37)-1,1)="r",1,0))),1,0)</f>
        <v>0</v>
      </c>
      <c r="P37" s="40">
        <v>30</v>
      </c>
      <c r="Q37" s="40" t="s">
        <v>153</v>
      </c>
      <c r="R37" s="41">
        <v>44583</v>
      </c>
      <c r="S37" s="40" t="s">
        <v>128</v>
      </c>
      <c r="T37" s="40">
        <v>2</v>
      </c>
      <c r="U37" s="42">
        <v>0</v>
      </c>
      <c r="V37" s="42">
        <v>1</v>
      </c>
      <c r="W37" s="42">
        <v>0</v>
      </c>
      <c r="X37" s="42" cm="1">
        <f t="array" ref="X37">IF(((IF(WEEKDAY($D37,2)=1,1,0)+IF(WEEKDAY($D37,2)=2,1,0))*(IF(LEN($C37)&gt;AVERAGE(LEN($C$8:$C$71)),1,0)+IF(MID($C37,LEN($C37)-1,1)="r",1,0))),1,0)</f>
        <v>0</v>
      </c>
      <c r="Y37" s="42"/>
      <c r="Z37" s="42"/>
    </row>
    <row r="38" spans="2:26" x14ac:dyDescent="0.3">
      <c r="B38" s="11">
        <v>31</v>
      </c>
      <c r="C38" s="11" t="s">
        <v>103</v>
      </c>
      <c r="D38" s="19">
        <v>44545</v>
      </c>
      <c r="E38" s="11" t="s">
        <v>128</v>
      </c>
      <c r="F38" s="11">
        <v>4</v>
      </c>
      <c r="G38" cm="1">
        <f t="array" ref="G38">IF(((IF(WEEKDAY(D38,2)=1,1,0)+IF(WEEKDAY(D38,2)=2,1,0))*(IF(LEN(C38)&gt;AVERAGE(LEN($C$8:$C$71)),1,0)+IF(MID(C38,LEN(C38)-1,1)="r",1,0))),1,0)</f>
        <v>0</v>
      </c>
      <c r="P38" s="40">
        <v>31</v>
      </c>
      <c r="Q38" s="40" t="s">
        <v>103</v>
      </c>
      <c r="R38" s="41">
        <v>44545</v>
      </c>
      <c r="S38" s="40" t="s">
        <v>128</v>
      </c>
      <c r="T38" s="40">
        <v>4</v>
      </c>
      <c r="U38" s="42">
        <v>0</v>
      </c>
      <c r="V38" s="42">
        <v>0</v>
      </c>
      <c r="W38" s="42">
        <v>0</v>
      </c>
      <c r="X38" s="42" cm="1">
        <f t="array" ref="X38">IF(((IF(WEEKDAY($D38,2)=1,1,0)+IF(WEEKDAY($D38,2)=2,1,0))*(IF(LEN($C38)&gt;AVERAGE(LEN($C$8:$C$71)),1,0)+IF(MID($C38,LEN($C38)-1,1)="r",1,0))),1,0)</f>
        <v>0</v>
      </c>
      <c r="Y38" s="42"/>
      <c r="Z38" s="42"/>
    </row>
    <row r="39" spans="2:26" x14ac:dyDescent="0.3">
      <c r="B39" s="11">
        <v>32</v>
      </c>
      <c r="C39" s="11" t="s">
        <v>153</v>
      </c>
      <c r="D39" s="19">
        <v>44549</v>
      </c>
      <c r="E39" s="11" t="s">
        <v>132</v>
      </c>
      <c r="F39" s="11">
        <v>2</v>
      </c>
      <c r="G39" cm="1">
        <f t="array" ref="G39">IF(((IF(WEEKDAY(D39,2)=1,1,0)+IF(WEEKDAY(D39,2)=2,1,0))*(IF(LEN(C39)&gt;AVERAGE(LEN($C$8:$C$71)),1,0)+IF(MID(C39,LEN(C39)-1,1)="r",1,0))),1,0)</f>
        <v>0</v>
      </c>
      <c r="P39" s="40">
        <v>32</v>
      </c>
      <c r="Q39" s="40" t="s">
        <v>153</v>
      </c>
      <c r="R39" s="41">
        <v>44549</v>
      </c>
      <c r="S39" s="40" t="s">
        <v>132</v>
      </c>
      <c r="T39" s="40">
        <v>2</v>
      </c>
      <c r="U39" s="42">
        <v>0</v>
      </c>
      <c r="V39" s="42">
        <v>1</v>
      </c>
      <c r="W39" s="42">
        <v>0</v>
      </c>
      <c r="X39" s="42" cm="1">
        <f t="array" ref="X39">IF(((IF(WEEKDAY($D39,2)=1,1,0)+IF(WEEKDAY($D39,2)=2,1,0))*(IF(LEN($C39)&gt;AVERAGE(LEN($C$8:$C$71)),1,0)+IF(MID($C39,LEN($C39)-1,1)="r",1,0))),1,0)</f>
        <v>0</v>
      </c>
      <c r="Y39" s="42"/>
      <c r="Z39" s="42"/>
    </row>
    <row r="40" spans="2:26" x14ac:dyDescent="0.3">
      <c r="B40" s="11">
        <v>33</v>
      </c>
      <c r="C40" s="11" t="s">
        <v>149</v>
      </c>
      <c r="D40" s="19">
        <v>44566</v>
      </c>
      <c r="E40" s="11" t="s">
        <v>130</v>
      </c>
      <c r="F40" s="11">
        <v>1</v>
      </c>
      <c r="G40" cm="1">
        <f t="array" ref="G40">IF(((IF(WEEKDAY(D40,2)=1,1,0)+IF(WEEKDAY(D40,2)=2,1,0))*(IF(LEN(C40)&gt;AVERAGE(LEN($C$8:$C$71)),1,0)+IF(MID(C40,LEN(C40)-1,1)="r",1,0))),1,0)</f>
        <v>0</v>
      </c>
      <c r="P40" s="40">
        <v>33</v>
      </c>
      <c r="Q40" s="40" t="s">
        <v>149</v>
      </c>
      <c r="R40" s="41">
        <v>44566</v>
      </c>
      <c r="S40" s="40" t="s">
        <v>130</v>
      </c>
      <c r="T40" s="40">
        <v>1</v>
      </c>
      <c r="U40" s="42">
        <v>0</v>
      </c>
      <c r="V40" s="42">
        <v>1</v>
      </c>
      <c r="W40" s="42">
        <v>0</v>
      </c>
      <c r="X40" s="42" cm="1">
        <f t="array" ref="X40">IF(((IF(WEEKDAY($D40,2)=1,1,0)+IF(WEEKDAY($D40,2)=2,1,0))*(IF(LEN($C40)&gt;AVERAGE(LEN($C$8:$C$71)),1,0)+IF(MID($C40,LEN($C40)-1,1)="r",1,0))),1,0)</f>
        <v>0</v>
      </c>
      <c r="Y40" s="42"/>
      <c r="Z40" s="42"/>
    </row>
    <row r="41" spans="2:26" x14ac:dyDescent="0.3">
      <c r="B41" s="11">
        <v>34</v>
      </c>
      <c r="C41" s="11" t="s">
        <v>80</v>
      </c>
      <c r="D41" s="19">
        <v>44570</v>
      </c>
      <c r="E41" s="11" t="s">
        <v>134</v>
      </c>
      <c r="F41" s="11">
        <v>2</v>
      </c>
      <c r="G41" cm="1">
        <f t="array" ref="G41">IF(((IF(WEEKDAY(D41,2)=1,1,0)+IF(WEEKDAY(D41,2)=2,1,0))*(IF(LEN(C41)&gt;AVERAGE(LEN($C$8:$C$71)),1,0)+IF(MID(C41,LEN(C41)-1,1)="r",1,0))),1,0)</f>
        <v>0</v>
      </c>
      <c r="P41" s="40">
        <v>34</v>
      </c>
      <c r="Q41" s="40" t="s">
        <v>80</v>
      </c>
      <c r="R41" s="41">
        <v>44570</v>
      </c>
      <c r="S41" s="40" t="s">
        <v>134</v>
      </c>
      <c r="T41" s="40">
        <v>2</v>
      </c>
      <c r="U41" s="42">
        <v>0</v>
      </c>
      <c r="V41" s="42">
        <v>0</v>
      </c>
      <c r="W41" s="42">
        <v>0</v>
      </c>
      <c r="X41" s="42" cm="1">
        <f t="array" ref="X41">IF(((IF(WEEKDAY($D41,2)=1,1,0)+IF(WEEKDAY($D41,2)=2,1,0))*(IF(LEN($C41)&gt;AVERAGE(LEN($C$8:$C$71)),1,0)+IF(MID($C41,LEN($C41)-1,1)="r",1,0))),1,0)</f>
        <v>0</v>
      </c>
      <c r="Y41" s="42"/>
      <c r="Z41" s="42"/>
    </row>
    <row r="42" spans="2:26" x14ac:dyDescent="0.3">
      <c r="B42" s="11">
        <v>35</v>
      </c>
      <c r="C42" s="11" t="s">
        <v>80</v>
      </c>
      <c r="D42" s="19">
        <v>44574</v>
      </c>
      <c r="E42" s="11" t="s">
        <v>138</v>
      </c>
      <c r="F42" s="11">
        <v>3</v>
      </c>
      <c r="G42" cm="1">
        <f t="array" ref="G42">IF(((IF(WEEKDAY(D42,2)=1,1,0)+IF(WEEKDAY(D42,2)=2,1,0))*(IF(LEN(C42)&gt;AVERAGE(LEN($C$8:$C$71)),1,0)+IF(MID(C42,LEN(C42)-1,1)="r",1,0))),1,0)</f>
        <v>0</v>
      </c>
      <c r="P42" s="40">
        <v>35</v>
      </c>
      <c r="Q42" s="40" t="s">
        <v>80</v>
      </c>
      <c r="R42" s="41">
        <v>44574</v>
      </c>
      <c r="S42" s="40" t="s">
        <v>138</v>
      </c>
      <c r="T42" s="40">
        <v>3</v>
      </c>
      <c r="U42" s="42">
        <v>0</v>
      </c>
      <c r="V42" s="42">
        <v>0</v>
      </c>
      <c r="W42" s="42">
        <v>0</v>
      </c>
      <c r="X42" s="42" cm="1">
        <f t="array" ref="X42">IF(((IF(WEEKDAY($D42,2)=1,1,0)+IF(WEEKDAY($D42,2)=2,1,0))*(IF(LEN($C42)&gt;AVERAGE(LEN($C$8:$C$71)),1,0)+IF(MID($C42,LEN($C42)-1,1)="r",1,0))),1,0)</f>
        <v>0</v>
      </c>
      <c r="Y42" s="42"/>
      <c r="Z42" s="42"/>
    </row>
    <row r="43" spans="2:26" x14ac:dyDescent="0.3">
      <c r="B43" s="11">
        <v>36</v>
      </c>
      <c r="C43" s="11" t="s">
        <v>151</v>
      </c>
      <c r="D43" s="19">
        <v>44573</v>
      </c>
      <c r="E43" s="11" t="s">
        <v>137</v>
      </c>
      <c r="F43" s="11">
        <v>2</v>
      </c>
      <c r="G43" cm="1">
        <f t="array" ref="G43">IF(((IF(WEEKDAY(D43,2)=1,1,0)+IF(WEEKDAY(D43,2)=2,1,0))*(IF(LEN(C43)&gt;AVERAGE(LEN($C$8:$C$71)),1,0)+IF(MID(C43,LEN(C43)-1,1)="r",1,0))),1,0)</f>
        <v>0</v>
      </c>
      <c r="P43" s="40">
        <v>36</v>
      </c>
      <c r="Q43" s="40" t="s">
        <v>151</v>
      </c>
      <c r="R43" s="41">
        <v>44573</v>
      </c>
      <c r="S43" s="40" t="s">
        <v>137</v>
      </c>
      <c r="T43" s="40">
        <v>2</v>
      </c>
      <c r="U43" s="42">
        <v>0</v>
      </c>
      <c r="V43" s="42">
        <v>1</v>
      </c>
      <c r="W43" s="42">
        <v>0</v>
      </c>
      <c r="X43" s="42" cm="1">
        <f t="array" ref="X43">IF(((IF(WEEKDAY($D43,2)=1,1,0)+IF(WEEKDAY($D43,2)=2,1,0))*(IF(LEN($C43)&gt;AVERAGE(LEN($C$8:$C$71)),1,0)+IF(MID($C43,LEN($C43)-1,1)="r",1,0))),1,0)</f>
        <v>0</v>
      </c>
      <c r="Y43" s="42"/>
      <c r="Z43" s="42"/>
    </row>
    <row r="44" spans="2:26" x14ac:dyDescent="0.3">
      <c r="B44" s="11">
        <v>37</v>
      </c>
      <c r="C44" s="11" t="s">
        <v>153</v>
      </c>
      <c r="D44" s="19">
        <v>44591</v>
      </c>
      <c r="E44" s="11" t="s">
        <v>136</v>
      </c>
      <c r="F44" s="11">
        <v>3</v>
      </c>
      <c r="G44" cm="1">
        <f t="array" ref="G44">IF(((IF(WEEKDAY(D44,2)=1,1,0)+IF(WEEKDAY(D44,2)=2,1,0))*(IF(LEN(C44)&gt;AVERAGE(LEN($C$8:$C$71)),1,0)+IF(MID(C44,LEN(C44)-1,1)="r",1,0))),1,0)</f>
        <v>0</v>
      </c>
      <c r="P44" s="40">
        <v>37</v>
      </c>
      <c r="Q44" s="40" t="s">
        <v>153</v>
      </c>
      <c r="R44" s="41">
        <v>44591</v>
      </c>
      <c r="S44" s="40" t="s">
        <v>136</v>
      </c>
      <c r="T44" s="40">
        <v>3</v>
      </c>
      <c r="U44" s="42">
        <v>0</v>
      </c>
      <c r="V44" s="42">
        <v>1</v>
      </c>
      <c r="W44" s="42">
        <v>0</v>
      </c>
      <c r="X44" s="42" cm="1">
        <f t="array" ref="X44">IF(((IF(WEEKDAY($D44,2)=1,1,0)+IF(WEEKDAY($D44,2)=2,1,0))*(IF(LEN($C44)&gt;AVERAGE(LEN($C$8:$C$71)),1,0)+IF(MID($C44,LEN($C44)-1,1)="r",1,0))),1,0)</f>
        <v>0</v>
      </c>
      <c r="Y44" s="42"/>
      <c r="Z44" s="42"/>
    </row>
    <row r="45" spans="2:26" x14ac:dyDescent="0.3">
      <c r="B45" s="11">
        <v>38</v>
      </c>
      <c r="C45" s="11" t="s">
        <v>81</v>
      </c>
      <c r="D45" s="19">
        <v>44598</v>
      </c>
      <c r="E45" s="11" t="s">
        <v>143</v>
      </c>
      <c r="F45" s="11">
        <v>1</v>
      </c>
      <c r="G45" cm="1">
        <f t="array" ref="G45">IF(((IF(WEEKDAY(D45,2)=1,1,0)+IF(WEEKDAY(D45,2)=2,1,0))*(IF(LEN(C45)&gt;AVERAGE(LEN($C$8:$C$71)),1,0)+IF(MID(C45,LEN(C45)-1,1)="r",1,0))),1,0)</f>
        <v>0</v>
      </c>
      <c r="P45" s="40">
        <v>38</v>
      </c>
      <c r="Q45" s="40" t="s">
        <v>81</v>
      </c>
      <c r="R45" s="41">
        <v>44598</v>
      </c>
      <c r="S45" s="40" t="s">
        <v>143</v>
      </c>
      <c r="T45" s="40">
        <v>1</v>
      </c>
      <c r="U45" s="42">
        <v>0</v>
      </c>
      <c r="V45" s="42">
        <v>0</v>
      </c>
      <c r="W45" s="42">
        <v>0</v>
      </c>
      <c r="X45" s="42" cm="1">
        <f t="array" ref="X45">IF(((IF(WEEKDAY($D45,2)=1,1,0)+IF(WEEKDAY($D45,2)=2,1,0))*(IF(LEN($C45)&gt;AVERAGE(LEN($C$8:$C$71)),1,0)+IF(MID($C45,LEN($C45)-1,1)="r",1,0))),1,0)</f>
        <v>0</v>
      </c>
      <c r="Y45" s="42"/>
      <c r="Z45" s="42"/>
    </row>
    <row r="46" spans="2:26" x14ac:dyDescent="0.3">
      <c r="B46" s="11">
        <v>39</v>
      </c>
      <c r="C46" s="11" t="s">
        <v>80</v>
      </c>
      <c r="D46" s="19">
        <v>44546</v>
      </c>
      <c r="E46" s="11" t="s">
        <v>129</v>
      </c>
      <c r="F46" s="11">
        <v>2</v>
      </c>
      <c r="G46" cm="1">
        <f t="array" ref="G46">IF(((IF(WEEKDAY(D46,2)=1,1,0)+IF(WEEKDAY(D46,2)=2,1,0))*(IF(LEN(C46)&gt;AVERAGE(LEN($C$8:$C$71)),1,0)+IF(MID(C46,LEN(C46)-1,1)="r",1,0))),1,0)</f>
        <v>0</v>
      </c>
      <c r="P46" s="40">
        <v>39</v>
      </c>
      <c r="Q46" s="40" t="s">
        <v>80</v>
      </c>
      <c r="R46" s="41">
        <v>44546</v>
      </c>
      <c r="S46" s="40" t="s">
        <v>129</v>
      </c>
      <c r="T46" s="40">
        <v>2</v>
      </c>
      <c r="U46" s="42">
        <v>0</v>
      </c>
      <c r="V46" s="42">
        <v>0</v>
      </c>
      <c r="W46" s="42">
        <v>0</v>
      </c>
      <c r="X46" s="42" cm="1">
        <f t="array" ref="X46">IF(((IF(WEEKDAY($D46,2)=1,1,0)+IF(WEEKDAY($D46,2)=2,1,0))*(IF(LEN($C46)&gt;AVERAGE(LEN($C$8:$C$71)),1,0)+IF(MID($C46,LEN($C46)-1,1)="r",1,0))),1,0)</f>
        <v>0</v>
      </c>
      <c r="Y46" s="42"/>
      <c r="Z46" s="42"/>
    </row>
    <row r="47" spans="2:26" x14ac:dyDescent="0.3">
      <c r="B47" s="11">
        <v>40</v>
      </c>
      <c r="C47" s="11" t="s">
        <v>149</v>
      </c>
      <c r="D47" s="19">
        <v>44548</v>
      </c>
      <c r="E47" s="11" t="s">
        <v>131</v>
      </c>
      <c r="F47" s="11">
        <v>3</v>
      </c>
      <c r="G47" cm="1">
        <f t="array" ref="G47">IF(((IF(WEEKDAY(D47,2)=1,1,0)+IF(WEEKDAY(D47,2)=2,1,0))*(IF(LEN(C47)&gt;AVERAGE(LEN($C$8:$C$71)),1,0)+IF(MID(C47,LEN(C47)-1,1)="r",1,0))),1,0)</f>
        <v>0</v>
      </c>
      <c r="P47" s="40">
        <v>40</v>
      </c>
      <c r="Q47" s="40" t="s">
        <v>149</v>
      </c>
      <c r="R47" s="41">
        <v>44548</v>
      </c>
      <c r="S47" s="40" t="s">
        <v>131</v>
      </c>
      <c r="T47" s="40">
        <v>3</v>
      </c>
      <c r="U47" s="42">
        <v>0</v>
      </c>
      <c r="V47" s="42">
        <v>1</v>
      </c>
      <c r="W47" s="42">
        <v>0</v>
      </c>
      <c r="X47" s="42" cm="1">
        <f t="array" ref="X47">IF(((IF(WEEKDAY($D47,2)=1,1,0)+IF(WEEKDAY($D47,2)=2,1,0))*(IF(LEN($C47)&gt;AVERAGE(LEN($C$8:$C$71)),1,0)+IF(MID($C47,LEN($C47)-1,1)="r",1,0))),1,0)</f>
        <v>0</v>
      </c>
      <c r="Y47" s="42"/>
      <c r="Z47" s="42"/>
    </row>
    <row r="48" spans="2:26" x14ac:dyDescent="0.3">
      <c r="B48" s="11">
        <v>41</v>
      </c>
      <c r="C48" s="11" t="s">
        <v>81</v>
      </c>
      <c r="D48" s="19">
        <v>44579</v>
      </c>
      <c r="E48" s="11" t="s">
        <v>143</v>
      </c>
      <c r="F48" s="11">
        <v>1</v>
      </c>
      <c r="G48" cm="1">
        <f t="array" ref="G48">IF(((IF(WEEKDAY(D48,2)=1,1,0)+IF(WEEKDAY(D48,2)=2,1,0))*(IF(LEN(C48)&gt;AVERAGE(LEN($C$8:$C$71)),1,0)+IF(MID(C48,LEN(C48)-1,1)="r",1,0))),1,0)</f>
        <v>0</v>
      </c>
      <c r="P48" s="40">
        <v>41</v>
      </c>
      <c r="Q48" s="40" t="s">
        <v>81</v>
      </c>
      <c r="R48" s="41">
        <v>44579</v>
      </c>
      <c r="S48" s="40" t="s">
        <v>143</v>
      </c>
      <c r="T48" s="40">
        <v>1</v>
      </c>
      <c r="U48" s="42">
        <v>1</v>
      </c>
      <c r="V48" s="42">
        <v>0</v>
      </c>
      <c r="W48" s="42">
        <v>0</v>
      </c>
      <c r="X48" s="42" cm="1">
        <f t="array" ref="X48">IF(((IF(WEEKDAY($D48,2)=1,1,0)+IF(WEEKDAY($D48,2)=2,1,0))*(IF(LEN($C48)&gt;AVERAGE(LEN($C$8:$C$71)),1,0)+IF(MID($C48,LEN($C48)-1,1)="r",1,0))),1,0)</f>
        <v>0</v>
      </c>
      <c r="Y48" s="42"/>
      <c r="Z48" s="42"/>
    </row>
    <row r="49" spans="2:26" x14ac:dyDescent="0.3">
      <c r="B49" s="11">
        <v>42</v>
      </c>
      <c r="C49" s="11" t="s">
        <v>81</v>
      </c>
      <c r="D49" s="19">
        <v>44590</v>
      </c>
      <c r="E49" s="11" t="s">
        <v>135</v>
      </c>
      <c r="F49" s="11">
        <v>3</v>
      </c>
      <c r="G49" cm="1">
        <f t="array" ref="G49">IF(((IF(WEEKDAY(D49,2)=1,1,0)+IF(WEEKDAY(D49,2)=2,1,0))*(IF(LEN(C49)&gt;AVERAGE(LEN($C$8:$C$71)),1,0)+IF(MID(C49,LEN(C49)-1,1)="r",1,0))),1,0)</f>
        <v>0</v>
      </c>
      <c r="P49" s="40">
        <v>42</v>
      </c>
      <c r="Q49" s="40" t="s">
        <v>81</v>
      </c>
      <c r="R49" s="41">
        <v>44590</v>
      </c>
      <c r="S49" s="40" t="s">
        <v>135</v>
      </c>
      <c r="T49" s="40">
        <v>3</v>
      </c>
      <c r="U49" s="42">
        <v>0</v>
      </c>
      <c r="V49" s="42">
        <v>0</v>
      </c>
      <c r="W49" s="42">
        <v>0</v>
      </c>
      <c r="X49" s="42" cm="1">
        <f t="array" ref="X49">IF(((IF(WEEKDAY($D49,2)=1,1,0)+IF(WEEKDAY($D49,2)=2,1,0))*(IF(LEN($C49)&gt;AVERAGE(LEN($C$8:$C$71)),1,0)+IF(MID($C49,LEN($C49)-1,1)="r",1,0))),1,0)</f>
        <v>0</v>
      </c>
      <c r="Y49" s="42"/>
      <c r="Z49" s="42"/>
    </row>
    <row r="50" spans="2:26" x14ac:dyDescent="0.3">
      <c r="B50" s="11">
        <v>43</v>
      </c>
      <c r="C50" s="11" t="s">
        <v>80</v>
      </c>
      <c r="D50" s="19">
        <v>44564</v>
      </c>
      <c r="E50" s="11" t="s">
        <v>128</v>
      </c>
      <c r="F50" s="11">
        <v>3</v>
      </c>
      <c r="G50" cm="1">
        <f t="array" ref="G50">IF(((IF(WEEKDAY(D50,2)=1,1,0)+IF(WEEKDAY(D50,2)=2,1,0))*(IF(LEN(C50)&gt;AVERAGE(LEN($C$8:$C$71)),1,0)+IF(MID(C50,LEN(C50)-1,1)="r",1,0))),1,0)</f>
        <v>0</v>
      </c>
      <c r="P50" s="40">
        <v>43</v>
      </c>
      <c r="Q50" s="40" t="s">
        <v>80</v>
      </c>
      <c r="R50" s="41">
        <v>44564</v>
      </c>
      <c r="S50" s="40" t="s">
        <v>128</v>
      </c>
      <c r="T50" s="40">
        <v>3</v>
      </c>
      <c r="U50" s="42">
        <v>1</v>
      </c>
      <c r="V50" s="42">
        <v>0</v>
      </c>
      <c r="W50" s="42">
        <v>0</v>
      </c>
      <c r="X50" s="42" cm="1">
        <f t="array" ref="X50">IF(((IF(WEEKDAY($D50,2)=1,1,0)+IF(WEEKDAY($D50,2)=2,1,0))*(IF(LEN($C50)&gt;AVERAGE(LEN($C$8:$C$71)),1,0)+IF(MID($C50,LEN($C50)-1,1)="r",1,0))),1,0)</f>
        <v>0</v>
      </c>
      <c r="Y50" s="42"/>
      <c r="Z50" s="42"/>
    </row>
    <row r="51" spans="2:26" x14ac:dyDescent="0.3">
      <c r="B51" s="11">
        <v>44</v>
      </c>
      <c r="C51" s="11" t="s">
        <v>80</v>
      </c>
      <c r="D51" s="19">
        <v>44585</v>
      </c>
      <c r="E51" s="11" t="s">
        <v>130</v>
      </c>
      <c r="F51" s="11">
        <v>2</v>
      </c>
      <c r="G51" cm="1">
        <f t="array" ref="G51">IF(((IF(WEEKDAY(D51,2)=1,1,0)+IF(WEEKDAY(D51,2)=2,1,0))*(IF(LEN(C51)&gt;AVERAGE(LEN($C$8:$C$71)),1,0)+IF(MID(C51,LEN(C51)-1,1)="r",1,0))),1,0)</f>
        <v>0</v>
      </c>
      <c r="P51" s="40">
        <v>44</v>
      </c>
      <c r="Q51" s="40" t="s">
        <v>80</v>
      </c>
      <c r="R51" s="41">
        <v>44585</v>
      </c>
      <c r="S51" s="40" t="s">
        <v>130</v>
      </c>
      <c r="T51" s="40">
        <v>2</v>
      </c>
      <c r="U51" s="42">
        <v>1</v>
      </c>
      <c r="V51" s="42">
        <v>0</v>
      </c>
      <c r="W51" s="42">
        <v>0</v>
      </c>
      <c r="X51" s="42" cm="1">
        <f t="array" ref="X51">IF(((IF(WEEKDAY($D51,2)=1,1,0)+IF(WEEKDAY($D51,2)=2,1,0))*(IF(LEN($C51)&gt;AVERAGE(LEN($C$8:$C$71)),1,0)+IF(MID($C51,LEN($C51)-1,1)="r",1,0))),1,0)</f>
        <v>0</v>
      </c>
      <c r="Y51" s="42"/>
      <c r="Z51" s="42"/>
    </row>
    <row r="52" spans="2:26" x14ac:dyDescent="0.3">
      <c r="B52" s="11">
        <v>45</v>
      </c>
      <c r="C52" s="11" t="s">
        <v>103</v>
      </c>
      <c r="D52" s="19">
        <v>44562</v>
      </c>
      <c r="E52" s="11" t="s">
        <v>146</v>
      </c>
      <c r="F52" s="11">
        <v>2</v>
      </c>
      <c r="G52" cm="1">
        <f t="array" ref="G52">IF(((IF(WEEKDAY(D52,2)=1,1,0)+IF(WEEKDAY(D52,2)=2,1,0))*(IF(LEN(C52)&gt;AVERAGE(LEN($C$8:$C$71)),1,0)+IF(MID(C52,LEN(C52)-1,1)="r",1,0))),1,0)</f>
        <v>0</v>
      </c>
      <c r="P52" s="40">
        <v>45</v>
      </c>
      <c r="Q52" s="40" t="s">
        <v>103</v>
      </c>
      <c r="R52" s="41">
        <v>44562</v>
      </c>
      <c r="S52" s="40" t="s">
        <v>146</v>
      </c>
      <c r="T52" s="40">
        <v>2</v>
      </c>
      <c r="U52" s="42">
        <v>0</v>
      </c>
      <c r="V52" s="42">
        <v>0</v>
      </c>
      <c r="W52" s="42">
        <v>0</v>
      </c>
      <c r="X52" s="42" cm="1">
        <f t="array" ref="X52">IF(((IF(WEEKDAY($D52,2)=1,1,0)+IF(WEEKDAY($D52,2)=2,1,0))*(IF(LEN($C52)&gt;AVERAGE(LEN($C$8:$C$71)),1,0)+IF(MID($C52,LEN($C52)-1,1)="r",1,0))),1,0)</f>
        <v>0</v>
      </c>
      <c r="Y52" s="42"/>
      <c r="Z52" s="42"/>
    </row>
    <row r="53" spans="2:26" x14ac:dyDescent="0.3">
      <c r="B53" s="11">
        <v>46</v>
      </c>
      <c r="C53" s="11" t="s">
        <v>150</v>
      </c>
      <c r="D53" s="19">
        <v>44576</v>
      </c>
      <c r="E53" s="11" t="s">
        <v>140</v>
      </c>
      <c r="F53" s="11">
        <v>1</v>
      </c>
      <c r="G53" cm="1">
        <f t="array" ref="G53">IF(((IF(WEEKDAY(D53,2)=1,1,0)+IF(WEEKDAY(D53,2)=2,1,0))*(IF(LEN(C53)&gt;AVERAGE(LEN($C$8:$C$71)),1,0)+IF(MID(C53,LEN(C53)-1,1)="r",1,0))),1,0)</f>
        <v>0</v>
      </c>
      <c r="P53" s="40">
        <v>46</v>
      </c>
      <c r="Q53" s="40" t="s">
        <v>150</v>
      </c>
      <c r="R53" s="41">
        <v>44576</v>
      </c>
      <c r="S53" s="40" t="s">
        <v>140</v>
      </c>
      <c r="T53" s="40">
        <v>1</v>
      </c>
      <c r="U53" s="42">
        <v>0</v>
      </c>
      <c r="V53" s="42">
        <v>1</v>
      </c>
      <c r="W53" s="42">
        <v>0</v>
      </c>
      <c r="X53" s="42" cm="1">
        <f t="array" ref="X53">IF(((IF(WEEKDAY($D53,2)=1,1,0)+IF(WEEKDAY($D53,2)=2,1,0))*(IF(LEN($C53)&gt;AVERAGE(LEN($C$8:$C$71)),1,0)+IF(MID($C53,LEN($C53)-1,1)="r",1,0))),1,0)</f>
        <v>0</v>
      </c>
      <c r="Y53" s="42"/>
      <c r="Z53" s="42"/>
    </row>
    <row r="54" spans="2:26" x14ac:dyDescent="0.3">
      <c r="B54" s="11">
        <v>47</v>
      </c>
      <c r="C54" s="11" t="s">
        <v>150</v>
      </c>
      <c r="D54" s="19">
        <v>44608</v>
      </c>
      <c r="E54" s="11" t="s">
        <v>134</v>
      </c>
      <c r="F54" s="11">
        <v>4</v>
      </c>
      <c r="G54" cm="1">
        <f t="array" ref="G54">IF(((IF(WEEKDAY(D54,2)=1,1,0)+IF(WEEKDAY(D54,2)=2,1,0))*(IF(LEN(C54)&gt;AVERAGE(LEN($C$8:$C$71)),1,0)+IF(MID(C54,LEN(C54)-1,1)="r",1,0))),1,0)</f>
        <v>0</v>
      </c>
      <c r="P54" s="40">
        <v>47</v>
      </c>
      <c r="Q54" s="40" t="s">
        <v>150</v>
      </c>
      <c r="R54" s="41">
        <v>44608</v>
      </c>
      <c r="S54" s="40" t="s">
        <v>134</v>
      </c>
      <c r="T54" s="40">
        <v>4</v>
      </c>
      <c r="U54" s="42">
        <v>0</v>
      </c>
      <c r="V54" s="42">
        <v>1</v>
      </c>
      <c r="W54" s="42">
        <v>0</v>
      </c>
      <c r="X54" s="42" cm="1">
        <f t="array" ref="X54">IF(((IF(WEEKDAY($D54,2)=1,1,0)+IF(WEEKDAY($D54,2)=2,1,0))*(IF(LEN($C54)&gt;AVERAGE(LEN($C$8:$C$71)),1,0)+IF(MID($C54,LEN($C54)-1,1)="r",1,0))),1,0)</f>
        <v>0</v>
      </c>
      <c r="Y54" s="42"/>
      <c r="Z54" s="42"/>
    </row>
    <row r="55" spans="2:26" x14ac:dyDescent="0.3">
      <c r="B55" s="11">
        <v>48</v>
      </c>
      <c r="C55" s="11" t="s">
        <v>151</v>
      </c>
      <c r="D55" s="19">
        <v>44553</v>
      </c>
      <c r="E55" s="11" t="s">
        <v>136</v>
      </c>
      <c r="F55" s="11">
        <v>4</v>
      </c>
      <c r="G55" cm="1">
        <f t="array" ref="G55">IF(((IF(WEEKDAY(D55,2)=1,1,0)+IF(WEEKDAY(D55,2)=2,1,0))*(IF(LEN(C55)&gt;AVERAGE(LEN($C$8:$C$71)),1,0)+IF(MID(C55,LEN(C55)-1,1)="r",1,0))),1,0)</f>
        <v>0</v>
      </c>
      <c r="P55" s="40">
        <v>48</v>
      </c>
      <c r="Q55" s="40" t="s">
        <v>151</v>
      </c>
      <c r="R55" s="41">
        <v>44553</v>
      </c>
      <c r="S55" s="40" t="s">
        <v>136</v>
      </c>
      <c r="T55" s="40">
        <v>4</v>
      </c>
      <c r="U55" s="42">
        <v>0</v>
      </c>
      <c r="V55" s="42">
        <v>1</v>
      </c>
      <c r="W55" s="42">
        <v>0</v>
      </c>
      <c r="X55" s="42" cm="1">
        <f t="array" ref="X55">IF(((IF(WEEKDAY($D55,2)=1,1,0)+IF(WEEKDAY($D55,2)=2,1,0))*(IF(LEN($C55)&gt;AVERAGE(LEN($C$8:$C$71)),1,0)+IF(MID($C55,LEN($C55)-1,1)="r",1,0))),1,0)</f>
        <v>0</v>
      </c>
      <c r="Y55" s="42"/>
      <c r="Z55" s="42"/>
    </row>
    <row r="56" spans="2:26" x14ac:dyDescent="0.3">
      <c r="B56" s="11">
        <v>49</v>
      </c>
      <c r="C56" s="11" t="s">
        <v>81</v>
      </c>
      <c r="D56" s="19">
        <v>44577</v>
      </c>
      <c r="E56" s="11" t="s">
        <v>141</v>
      </c>
      <c r="F56" s="11">
        <v>1</v>
      </c>
      <c r="G56" cm="1">
        <f t="array" ref="G56">IF(((IF(WEEKDAY(D56,2)=1,1,0)+IF(WEEKDAY(D56,2)=2,1,0))*(IF(LEN(C56)&gt;AVERAGE(LEN($C$8:$C$71)),1,0)+IF(MID(C56,LEN(C56)-1,1)="r",1,0))),1,0)</f>
        <v>0</v>
      </c>
      <c r="P56" s="40">
        <v>49</v>
      </c>
      <c r="Q56" s="40" t="s">
        <v>81</v>
      </c>
      <c r="R56" s="41">
        <v>44577</v>
      </c>
      <c r="S56" s="40" t="s">
        <v>141</v>
      </c>
      <c r="T56" s="40">
        <v>1</v>
      </c>
      <c r="U56" s="42">
        <v>0</v>
      </c>
      <c r="V56" s="42">
        <v>0</v>
      </c>
      <c r="W56" s="42">
        <v>0</v>
      </c>
      <c r="X56" s="42" cm="1">
        <f t="array" ref="X56">IF(((IF(WEEKDAY($D56,2)=1,1,0)+IF(WEEKDAY($D56,2)=2,1,0))*(IF(LEN($C56)&gt;AVERAGE(LEN($C$8:$C$71)),1,0)+IF(MID($C56,LEN($C56)-1,1)="r",1,0))),1,0)</f>
        <v>0</v>
      </c>
      <c r="Y56" s="42"/>
      <c r="Z56" s="42"/>
    </row>
    <row r="57" spans="2:26" x14ac:dyDescent="0.3">
      <c r="B57" s="11">
        <v>50</v>
      </c>
      <c r="C57" s="11" t="s">
        <v>103</v>
      </c>
      <c r="D57" s="19">
        <v>44605</v>
      </c>
      <c r="E57" s="11" t="s">
        <v>131</v>
      </c>
      <c r="F57" s="11">
        <v>2</v>
      </c>
      <c r="G57" cm="1">
        <f t="array" ref="G57">IF(((IF(WEEKDAY(D57,2)=1,1,0)+IF(WEEKDAY(D57,2)=2,1,0))*(IF(LEN(C57)&gt;AVERAGE(LEN($C$8:$C$71)),1,0)+IF(MID(C57,LEN(C57)-1,1)="r",1,0))),1,0)</f>
        <v>0</v>
      </c>
      <c r="P57" s="40">
        <v>50</v>
      </c>
      <c r="Q57" s="40" t="s">
        <v>103</v>
      </c>
      <c r="R57" s="41">
        <v>44605</v>
      </c>
      <c r="S57" s="40" t="s">
        <v>131</v>
      </c>
      <c r="T57" s="40">
        <v>2</v>
      </c>
      <c r="U57" s="42">
        <v>0</v>
      </c>
      <c r="V57" s="42">
        <v>0</v>
      </c>
      <c r="W57" s="42">
        <v>0</v>
      </c>
      <c r="X57" s="42" cm="1">
        <f t="array" ref="X57">IF(((IF(WEEKDAY($D57,2)=1,1,0)+IF(WEEKDAY($D57,2)=2,1,0))*(IF(LEN($C57)&gt;AVERAGE(LEN($C$8:$C$71)),1,0)+IF(MID($C57,LEN($C57)-1,1)="r",1,0))),1,0)</f>
        <v>0</v>
      </c>
      <c r="Y57" s="42"/>
      <c r="Z57" s="42"/>
    </row>
    <row r="58" spans="2:26" x14ac:dyDescent="0.3">
      <c r="B58" s="11">
        <v>51</v>
      </c>
      <c r="C58" s="11" t="s">
        <v>149</v>
      </c>
      <c r="D58" s="19">
        <v>44593</v>
      </c>
      <c r="E58" s="11" t="s">
        <v>138</v>
      </c>
      <c r="F58" s="11">
        <v>2</v>
      </c>
      <c r="G58" cm="1">
        <f t="array" ref="G58">IF(((IF(WEEKDAY(D58,2)=1,1,0)+IF(WEEKDAY(D58,2)=2,1,0))*(IF(LEN(C58)&gt;AVERAGE(LEN($C$8:$C$71)),1,0)+IF(MID(C58,LEN(C58)-1,1)="r",1,0))),1,0)</f>
        <v>1</v>
      </c>
      <c r="P58" s="40">
        <v>51</v>
      </c>
      <c r="Q58" s="40" t="s">
        <v>149</v>
      </c>
      <c r="R58" s="41">
        <v>44593</v>
      </c>
      <c r="S58" s="40" t="s">
        <v>138</v>
      </c>
      <c r="T58" s="40">
        <v>2</v>
      </c>
      <c r="U58" s="42">
        <v>1</v>
      </c>
      <c r="V58" s="42">
        <v>1</v>
      </c>
      <c r="W58" s="42">
        <v>1</v>
      </c>
      <c r="X58" s="42" cm="1">
        <f t="array" ref="X58">IF(((IF(WEEKDAY($D58,2)=1,1,0)+IF(WEEKDAY($D58,2)=2,1,0))*(IF(LEN($C58)&gt;AVERAGE(LEN($C$8:$C$71)),1,0)+IF(MID($C58,LEN($C58)-1,1)="r",1,0))),1,0)</f>
        <v>1</v>
      </c>
      <c r="Y58" s="42"/>
      <c r="Z58" s="42"/>
    </row>
    <row r="59" spans="2:26" x14ac:dyDescent="0.3">
      <c r="B59" s="11">
        <v>52</v>
      </c>
      <c r="C59" s="11" t="s">
        <v>153</v>
      </c>
      <c r="D59" s="19">
        <v>44572</v>
      </c>
      <c r="E59" s="11" t="s">
        <v>136</v>
      </c>
      <c r="F59" s="11">
        <v>2</v>
      </c>
      <c r="G59" cm="1">
        <f t="array" ref="G59">IF(((IF(WEEKDAY(D59,2)=1,1,0)+IF(WEEKDAY(D59,2)=2,1,0))*(IF(LEN(C59)&gt;AVERAGE(LEN($C$8:$C$71)),1,0)+IF(MID(C59,LEN(C59)-1,1)="r",1,0))),1,0)</f>
        <v>1</v>
      </c>
      <c r="P59" s="40">
        <v>52</v>
      </c>
      <c r="Q59" s="40" t="s">
        <v>153</v>
      </c>
      <c r="R59" s="41">
        <v>44572</v>
      </c>
      <c r="S59" s="40" t="s">
        <v>136</v>
      </c>
      <c r="T59" s="40">
        <v>2</v>
      </c>
      <c r="U59" s="42">
        <v>1</v>
      </c>
      <c r="V59" s="42">
        <v>1</v>
      </c>
      <c r="W59" s="42">
        <v>1</v>
      </c>
      <c r="X59" s="42" cm="1">
        <f t="array" ref="X59">IF(((IF(WEEKDAY($D59,2)=1,1,0)+IF(WEEKDAY($D59,2)=2,1,0))*(IF(LEN($C59)&gt;AVERAGE(LEN($C$8:$C$71)),1,0)+IF(MID($C59,LEN($C59)-1,1)="r",1,0))),1,0)</f>
        <v>1</v>
      </c>
      <c r="Y59" s="42"/>
      <c r="Z59" s="42"/>
    </row>
    <row r="60" spans="2:26" x14ac:dyDescent="0.3">
      <c r="B60" s="11">
        <v>53</v>
      </c>
      <c r="C60" s="11" t="s">
        <v>152</v>
      </c>
      <c r="D60" s="19">
        <v>44559</v>
      </c>
      <c r="E60" s="11" t="s">
        <v>142</v>
      </c>
      <c r="F60" s="11">
        <v>2</v>
      </c>
      <c r="G60" cm="1">
        <f t="array" ref="G60">IF(((IF(WEEKDAY(D60,2)=1,1,0)+IF(WEEKDAY(D60,2)=2,1,0))*(IF(LEN(C60)&gt;AVERAGE(LEN($C$8:$C$71)),1,0)+IF(MID(C60,LEN(C60)-1,1)="r",1,0))),1,0)</f>
        <v>0</v>
      </c>
      <c r="P60" s="40">
        <v>53</v>
      </c>
      <c r="Q60" s="40" t="s">
        <v>152</v>
      </c>
      <c r="R60" s="41">
        <v>44559</v>
      </c>
      <c r="S60" s="40" t="s">
        <v>142</v>
      </c>
      <c r="T60" s="40">
        <v>2</v>
      </c>
      <c r="U60" s="42">
        <v>0</v>
      </c>
      <c r="V60" s="42">
        <v>1</v>
      </c>
      <c r="W60" s="42">
        <v>0</v>
      </c>
      <c r="X60" s="42" cm="1">
        <f t="array" ref="X60">IF(((IF(WEEKDAY($D60,2)=1,1,0)+IF(WEEKDAY($D60,2)=2,1,0))*(IF(LEN($C60)&gt;AVERAGE(LEN($C$8:$C$71)),1,0)+IF(MID($C60,LEN($C60)-1,1)="r",1,0))),1,0)</f>
        <v>0</v>
      </c>
      <c r="Y60" s="42"/>
      <c r="Z60" s="42"/>
    </row>
    <row r="61" spans="2:26" x14ac:dyDescent="0.3">
      <c r="B61" s="11">
        <v>54</v>
      </c>
      <c r="C61" s="11" t="s">
        <v>153</v>
      </c>
      <c r="D61" s="19">
        <v>44588</v>
      </c>
      <c r="E61" s="11" t="s">
        <v>133</v>
      </c>
      <c r="F61" s="11">
        <v>1</v>
      </c>
      <c r="G61" cm="1">
        <f t="array" ref="G61">IF(((IF(WEEKDAY(D61,2)=1,1,0)+IF(WEEKDAY(D61,2)=2,1,0))*(IF(LEN(C61)&gt;AVERAGE(LEN($C$8:$C$71)),1,0)+IF(MID(C61,LEN(C61)-1,1)="r",1,0))),1,0)</f>
        <v>0</v>
      </c>
      <c r="P61" s="40">
        <v>54</v>
      </c>
      <c r="Q61" s="40" t="s">
        <v>153</v>
      </c>
      <c r="R61" s="41">
        <v>44588</v>
      </c>
      <c r="S61" s="40" t="s">
        <v>133</v>
      </c>
      <c r="T61" s="40">
        <v>1</v>
      </c>
      <c r="U61" s="42">
        <v>0</v>
      </c>
      <c r="V61" s="42">
        <v>1</v>
      </c>
      <c r="W61" s="42">
        <v>0</v>
      </c>
      <c r="X61" s="42" cm="1">
        <f t="array" ref="X61">IF(((IF(WEEKDAY($D61,2)=1,1,0)+IF(WEEKDAY($D61,2)=2,1,0))*(IF(LEN($C61)&gt;AVERAGE(LEN($C$8:$C$71)),1,0)+IF(MID($C61,LEN($C61)-1,1)="r",1,0))),1,0)</f>
        <v>0</v>
      </c>
      <c r="Y61" s="42"/>
      <c r="Z61" s="42"/>
    </row>
    <row r="62" spans="2:26" x14ac:dyDescent="0.3">
      <c r="B62" s="11">
        <v>55</v>
      </c>
      <c r="C62" s="11" t="s">
        <v>153</v>
      </c>
      <c r="D62" s="19">
        <v>44589</v>
      </c>
      <c r="E62" s="11" t="s">
        <v>134</v>
      </c>
      <c r="F62" s="11">
        <v>4</v>
      </c>
      <c r="G62" cm="1">
        <f t="array" ref="G62">IF(((IF(WEEKDAY(D62,2)=1,1,0)+IF(WEEKDAY(D62,2)=2,1,0))*(IF(LEN(C62)&gt;AVERAGE(LEN($C$8:$C$71)),1,0)+IF(MID(C62,LEN(C62)-1,1)="r",1,0))),1,0)</f>
        <v>0</v>
      </c>
      <c r="P62" s="40">
        <v>55</v>
      </c>
      <c r="Q62" s="40" t="s">
        <v>153</v>
      </c>
      <c r="R62" s="41">
        <v>44589</v>
      </c>
      <c r="S62" s="40" t="s">
        <v>134</v>
      </c>
      <c r="T62" s="40">
        <v>4</v>
      </c>
      <c r="U62" s="42">
        <v>0</v>
      </c>
      <c r="V62" s="42">
        <v>1</v>
      </c>
      <c r="W62" s="42">
        <v>0</v>
      </c>
      <c r="X62" s="42" cm="1">
        <f t="array" ref="X62">IF(((IF(WEEKDAY($D62,2)=1,1,0)+IF(WEEKDAY($D62,2)=2,1,0))*(IF(LEN($C62)&gt;AVERAGE(LEN($C$8:$C$71)),1,0)+IF(MID($C62,LEN($C62)-1,1)="r",1,0))),1,0)</f>
        <v>0</v>
      </c>
      <c r="Y62" s="42"/>
      <c r="Z62" s="42"/>
    </row>
    <row r="63" spans="2:26" x14ac:dyDescent="0.3">
      <c r="B63" s="11">
        <v>56</v>
      </c>
      <c r="C63" s="11" t="s">
        <v>153</v>
      </c>
      <c r="D63" s="19">
        <v>44569</v>
      </c>
      <c r="E63" s="11" t="s">
        <v>133</v>
      </c>
      <c r="F63" s="11">
        <v>4</v>
      </c>
      <c r="G63" cm="1">
        <f t="array" ref="G63">IF(((IF(WEEKDAY(D63,2)=1,1,0)+IF(WEEKDAY(D63,2)=2,1,0))*(IF(LEN(C63)&gt;AVERAGE(LEN($C$8:$C$71)),1,0)+IF(MID(C63,LEN(C63)-1,1)="r",1,0))),1,0)</f>
        <v>0</v>
      </c>
      <c r="P63" s="40">
        <v>56</v>
      </c>
      <c r="Q63" s="40" t="s">
        <v>153</v>
      </c>
      <c r="R63" s="41">
        <v>44569</v>
      </c>
      <c r="S63" s="40" t="s">
        <v>133</v>
      </c>
      <c r="T63" s="40">
        <v>4</v>
      </c>
      <c r="U63" s="42">
        <v>0</v>
      </c>
      <c r="V63" s="42">
        <v>1</v>
      </c>
      <c r="W63" s="42">
        <v>0</v>
      </c>
      <c r="X63" s="42" cm="1">
        <f t="array" ref="X63">IF(((IF(WEEKDAY($D63,2)=1,1,0)+IF(WEEKDAY($D63,2)=2,1,0))*(IF(LEN($C63)&gt;AVERAGE(LEN($C$8:$C$71)),1,0)+IF(MID($C63,LEN($C63)-1,1)="r",1,0))),1,0)</f>
        <v>0</v>
      </c>
      <c r="Y63" s="42"/>
      <c r="Z63" s="42"/>
    </row>
    <row r="64" spans="2:26" x14ac:dyDescent="0.3">
      <c r="B64" s="11">
        <v>57</v>
      </c>
      <c r="C64" s="11" t="s">
        <v>149</v>
      </c>
      <c r="D64" s="19">
        <v>44556</v>
      </c>
      <c r="E64" s="11" t="s">
        <v>139</v>
      </c>
      <c r="F64" s="11">
        <v>4</v>
      </c>
      <c r="G64" cm="1">
        <f t="array" ref="G64">IF(((IF(WEEKDAY(D64,2)=1,1,0)+IF(WEEKDAY(D64,2)=2,1,0))*(IF(LEN(C64)&gt;AVERAGE(LEN($C$8:$C$71)),1,0)+IF(MID(C64,LEN(C64)-1,1)="r",1,0))),1,0)</f>
        <v>0</v>
      </c>
      <c r="P64" s="40">
        <v>57</v>
      </c>
      <c r="Q64" s="40" t="s">
        <v>149</v>
      </c>
      <c r="R64" s="41">
        <v>44556</v>
      </c>
      <c r="S64" s="40" t="s">
        <v>139</v>
      </c>
      <c r="T64" s="40">
        <v>4</v>
      </c>
      <c r="U64" s="42">
        <v>0</v>
      </c>
      <c r="V64" s="42">
        <v>1</v>
      </c>
      <c r="W64" s="42">
        <v>0</v>
      </c>
      <c r="X64" s="42" cm="1">
        <f t="array" ref="X64">IF(((IF(WEEKDAY($D64,2)=1,1,0)+IF(WEEKDAY($D64,2)=2,1,0))*(IF(LEN($C64)&gt;AVERAGE(LEN($C$8:$C$71)),1,0)+IF(MID($C64,LEN($C64)-1,1)="r",1,0))),1,0)</f>
        <v>0</v>
      </c>
      <c r="Y64" s="42"/>
      <c r="Z64" s="42"/>
    </row>
    <row r="65" spans="2:26" x14ac:dyDescent="0.3">
      <c r="B65" s="11">
        <v>58</v>
      </c>
      <c r="C65" s="11" t="s">
        <v>152</v>
      </c>
      <c r="D65" s="19">
        <v>44606</v>
      </c>
      <c r="E65" s="11" t="s">
        <v>132</v>
      </c>
      <c r="F65" s="11">
        <v>2</v>
      </c>
      <c r="G65" cm="1">
        <f t="array" ref="G65">IF(((IF(WEEKDAY(D65,2)=1,1,0)+IF(WEEKDAY(D65,2)=2,1,0))*(IF(LEN(C65)&gt;AVERAGE(LEN($C$8:$C$71)),1,0)+IF(MID(C65,LEN(C65)-1,1)="r",1,0))),1,0)</f>
        <v>1</v>
      </c>
      <c r="P65" s="40">
        <v>58</v>
      </c>
      <c r="Q65" s="40" t="s">
        <v>152</v>
      </c>
      <c r="R65" s="41">
        <v>44606</v>
      </c>
      <c r="S65" s="40" t="s">
        <v>132</v>
      </c>
      <c r="T65" s="40">
        <v>2</v>
      </c>
      <c r="U65" s="42">
        <v>1</v>
      </c>
      <c r="V65" s="42">
        <v>1</v>
      </c>
      <c r="W65" s="42">
        <v>1</v>
      </c>
      <c r="X65" s="42" cm="1">
        <f t="array" ref="X65">IF(((IF(WEEKDAY($D65,2)=1,1,0)+IF(WEEKDAY($D65,2)=2,1,0))*(IF(LEN($C65)&gt;AVERAGE(LEN($C$8:$C$71)),1,0)+IF(MID($C65,LEN($C65)-1,1)="r",1,0))),1,0)</f>
        <v>1</v>
      </c>
      <c r="Y65" s="42"/>
      <c r="Z65" s="42"/>
    </row>
    <row r="66" spans="2:26" x14ac:dyDescent="0.3">
      <c r="B66" s="11">
        <v>59</v>
      </c>
      <c r="C66" s="11" t="s">
        <v>152</v>
      </c>
      <c r="D66" s="19">
        <v>44561</v>
      </c>
      <c r="E66" s="11" t="s">
        <v>145</v>
      </c>
      <c r="F66" s="11">
        <v>3</v>
      </c>
      <c r="G66" cm="1">
        <f t="array" ref="G66">IF(((IF(WEEKDAY(D66,2)=1,1,0)+IF(WEEKDAY(D66,2)=2,1,0))*(IF(LEN(C66)&gt;AVERAGE(LEN($C$8:$C$71)),1,0)+IF(MID(C66,LEN(C66)-1,1)="r",1,0))),1,0)</f>
        <v>0</v>
      </c>
      <c r="P66" s="40">
        <v>59</v>
      </c>
      <c r="Q66" s="40" t="s">
        <v>152</v>
      </c>
      <c r="R66" s="41">
        <v>44561</v>
      </c>
      <c r="S66" s="40" t="s">
        <v>145</v>
      </c>
      <c r="T66" s="40">
        <v>3</v>
      </c>
      <c r="U66" s="42">
        <v>0</v>
      </c>
      <c r="V66" s="42">
        <v>1</v>
      </c>
      <c r="W66" s="42">
        <v>0</v>
      </c>
      <c r="X66" s="42" cm="1">
        <f t="array" ref="X66">IF(((IF(WEEKDAY($D66,2)=1,1,0)+IF(WEEKDAY($D66,2)=2,1,0))*(IF(LEN($C66)&gt;AVERAGE(LEN($C$8:$C$71)),1,0)+IF(MID($C66,LEN($C66)-1,1)="r",1,0))),1,0)</f>
        <v>0</v>
      </c>
      <c r="Y66" s="42"/>
      <c r="Z66" s="42"/>
    </row>
    <row r="67" spans="2:26" x14ac:dyDescent="0.3">
      <c r="B67" s="11">
        <v>60</v>
      </c>
      <c r="C67" s="11" t="s">
        <v>150</v>
      </c>
      <c r="D67" s="19">
        <v>44603</v>
      </c>
      <c r="E67" s="11" t="s">
        <v>129</v>
      </c>
      <c r="F67" s="11">
        <v>1</v>
      </c>
      <c r="G67" cm="1">
        <f t="array" ref="G67">IF(((IF(WEEKDAY(D67,2)=1,1,0)+IF(WEEKDAY(D67,2)=2,1,0))*(IF(LEN(C67)&gt;AVERAGE(LEN($C$8:$C$71)),1,0)+IF(MID(C67,LEN(C67)-1,1)="r",1,0))),1,0)</f>
        <v>0</v>
      </c>
      <c r="P67" s="40">
        <v>60</v>
      </c>
      <c r="Q67" s="40" t="s">
        <v>150</v>
      </c>
      <c r="R67" s="41">
        <v>44603</v>
      </c>
      <c r="S67" s="40" t="s">
        <v>129</v>
      </c>
      <c r="T67" s="40">
        <v>1</v>
      </c>
      <c r="U67" s="42">
        <v>0</v>
      </c>
      <c r="V67" s="42">
        <v>1</v>
      </c>
      <c r="W67" s="42">
        <v>0</v>
      </c>
      <c r="X67" s="42" cm="1">
        <f t="array" ref="X67">IF(((IF(WEEKDAY($D67,2)=1,1,0)+IF(WEEKDAY($D67,2)=2,1,0))*(IF(LEN($C67)&gt;AVERAGE(LEN($C$8:$C$71)),1,0)+IF(MID($C67,LEN($C67)-1,1)="r",1,0))),1,0)</f>
        <v>0</v>
      </c>
      <c r="Y67" s="42"/>
      <c r="Z67" s="42"/>
    </row>
    <row r="68" spans="2:26" x14ac:dyDescent="0.3">
      <c r="B68" s="11">
        <v>61</v>
      </c>
      <c r="C68" s="11" t="s">
        <v>151</v>
      </c>
      <c r="D68" s="19">
        <v>44552</v>
      </c>
      <c r="E68" s="11" t="s">
        <v>135</v>
      </c>
      <c r="F68" s="11">
        <v>3</v>
      </c>
      <c r="G68" cm="1">
        <f t="array" ref="G68">IF(((IF(WEEKDAY(D68,2)=1,1,0)+IF(WEEKDAY(D68,2)=2,1,0))*(IF(LEN(C68)&gt;AVERAGE(LEN($C$8:$C$71)),1,0)+IF(MID(C68,LEN(C68)-1,1)="r",1,0))),1,0)</f>
        <v>0</v>
      </c>
      <c r="P68" s="40">
        <v>61</v>
      </c>
      <c r="Q68" s="40" t="s">
        <v>151</v>
      </c>
      <c r="R68" s="41">
        <v>44552</v>
      </c>
      <c r="S68" s="40" t="s">
        <v>135</v>
      </c>
      <c r="T68" s="40">
        <v>3</v>
      </c>
      <c r="U68" s="42">
        <v>0</v>
      </c>
      <c r="V68" s="42">
        <v>1</v>
      </c>
      <c r="W68" s="42">
        <v>0</v>
      </c>
      <c r="X68" s="42" cm="1">
        <f t="array" ref="X68">IF(((IF(WEEKDAY($D68,2)=1,1,0)+IF(WEEKDAY($D68,2)=2,1,0))*(IF(LEN($C68)&gt;AVERAGE(LEN($C$8:$C$71)),1,0)+IF(MID($C68,LEN($C68)-1,1)="r",1,0))),1,0)</f>
        <v>0</v>
      </c>
      <c r="Y68" s="42"/>
      <c r="Z68" s="42"/>
    </row>
    <row r="69" spans="2:26" x14ac:dyDescent="0.3">
      <c r="B69" s="11">
        <v>62</v>
      </c>
      <c r="C69" s="11" t="s">
        <v>103</v>
      </c>
      <c r="D69" s="19">
        <v>44600</v>
      </c>
      <c r="E69" s="11" t="s">
        <v>146</v>
      </c>
      <c r="F69" s="11">
        <v>2</v>
      </c>
      <c r="G69" cm="1">
        <f t="array" ref="G69">IF(((IF(WEEKDAY(D69,2)=1,1,0)+IF(WEEKDAY(D69,2)=2,1,0))*(IF(LEN(C69)&gt;AVERAGE(LEN($C$8:$C$71)),1,0)+IF(MID(C69,LEN(C69)-1,1)="r",1,0))),1,0)</f>
        <v>0</v>
      </c>
      <c r="P69" s="40">
        <v>62</v>
      </c>
      <c r="Q69" s="40" t="s">
        <v>103</v>
      </c>
      <c r="R69" s="41">
        <v>44600</v>
      </c>
      <c r="S69" s="40" t="s">
        <v>146</v>
      </c>
      <c r="T69" s="40">
        <v>2</v>
      </c>
      <c r="U69" s="42">
        <v>1</v>
      </c>
      <c r="V69" s="42">
        <v>0</v>
      </c>
      <c r="W69" s="42">
        <v>0</v>
      </c>
      <c r="X69" s="42" cm="1">
        <f t="array" ref="X69">IF(((IF(WEEKDAY($D69,2)=1,1,0)+IF(WEEKDAY($D69,2)=2,1,0))*(IF(LEN($C69)&gt;AVERAGE(LEN($C$8:$C$71)),1,0)+IF(MID($C69,LEN($C69)-1,1)="r",1,0))),1,0)</f>
        <v>0</v>
      </c>
      <c r="Y69" s="42"/>
      <c r="Z69" s="42"/>
    </row>
    <row r="70" spans="2:26" x14ac:dyDescent="0.3">
      <c r="B70" s="11">
        <v>63</v>
      </c>
      <c r="C70" s="11" t="s">
        <v>150</v>
      </c>
      <c r="D70" s="19">
        <v>44558</v>
      </c>
      <c r="E70" s="11" t="s">
        <v>141</v>
      </c>
      <c r="F70" s="11">
        <v>3</v>
      </c>
      <c r="G70" cm="1">
        <f t="array" ref="G70">IF(((IF(WEEKDAY(D70,2)=1,1,0)+IF(WEEKDAY(D70,2)=2,1,0))*(IF(LEN(C70)&gt;AVERAGE(LEN($C$8:$C$71)),1,0)+IF(MID(C70,LEN(C70)-1,1)="r",1,0))),1,0)</f>
        <v>1</v>
      </c>
      <c r="P70" s="40">
        <v>63</v>
      </c>
      <c r="Q70" s="40" t="s">
        <v>150</v>
      </c>
      <c r="R70" s="41">
        <v>44558</v>
      </c>
      <c r="S70" s="40" t="s">
        <v>141</v>
      </c>
      <c r="T70" s="40">
        <v>3</v>
      </c>
      <c r="U70" s="42">
        <v>1</v>
      </c>
      <c r="V70" s="42">
        <v>1</v>
      </c>
      <c r="W70" s="42">
        <v>1</v>
      </c>
      <c r="X70" s="42" cm="1">
        <f t="array" ref="X70">IF(((IF(WEEKDAY($D70,2)=1,1,0)+IF(WEEKDAY($D70,2)=2,1,0))*(IF(LEN($C70)&gt;AVERAGE(LEN($C$8:$C$71)),1,0)+IF(MID($C70,LEN($C70)-1,1)="r",1,0))),1,0)</f>
        <v>1</v>
      </c>
      <c r="Y70" s="42"/>
      <c r="Z70" s="42"/>
    </row>
    <row r="71" spans="2:26" x14ac:dyDescent="0.3">
      <c r="B71" s="11">
        <v>64</v>
      </c>
      <c r="C71" s="11" t="s">
        <v>81</v>
      </c>
      <c r="D71" s="19">
        <v>44597</v>
      </c>
      <c r="E71" s="11" t="s">
        <v>142</v>
      </c>
      <c r="F71" s="11">
        <v>1</v>
      </c>
      <c r="G71" cm="1">
        <f t="array" ref="G71">IF(((IF(WEEKDAY(D71,2)=1,1,0)+IF(WEEKDAY(D71,2)=2,1,0))*(IF(LEN(C71)&gt;AVERAGE(LEN($C$8:$C$71)),1,0)+IF(MID(C71,LEN(C71)-1,1)="r",1,0))),1,0)</f>
        <v>0</v>
      </c>
      <c r="P71" s="40">
        <v>64</v>
      </c>
      <c r="Q71" s="40" t="s">
        <v>81</v>
      </c>
      <c r="R71" s="41">
        <v>44597</v>
      </c>
      <c r="S71" s="40" t="s">
        <v>142</v>
      </c>
      <c r="T71" s="40">
        <v>1</v>
      </c>
      <c r="U71" s="42">
        <v>0</v>
      </c>
      <c r="V71" s="42">
        <v>0</v>
      </c>
      <c r="W71" s="42">
        <v>0</v>
      </c>
      <c r="X71" s="42" cm="1">
        <f t="array" ref="X71">IF(((IF(WEEKDAY($D71,2)=1,1,0)+IF(WEEKDAY($D71,2)=2,1,0))*(IF(LEN($C71)&gt;AVERAGE(LEN($C$8:$C$71)),1,0)+IF(MID($C71,LEN($C71)-1,1)="r",1,0))),1,0)</f>
        <v>0</v>
      </c>
      <c r="Y71" s="42"/>
      <c r="Z71" s="42"/>
    </row>
  </sheetData>
  <conditionalFormatting sqref="B8:L71">
    <cfRule type="expression" dxfId="1" priority="8">
      <formula>IF(((IF(WEEKDAY($D8,2)=1,1,0)+IF(WEEKDAY($D8,2)=2,1,0))*(IF(LEN($C8)&gt;AVERAGE(LEN($C$8:$C$71)),1,0)+IF(MID($C8,LEN($C8)-1,1)="r",1,0))),1,0)</formula>
    </cfRule>
  </conditionalFormatting>
  <conditionalFormatting sqref="P8:T71">
    <cfRule type="expression" dxfId="0" priority="1">
      <formula>IF(IF(WEEKDAY($R8:$R71,2)=1,1,IF(WEEKDAY($R8:$R71,2)=2,1,0))*IF(LEN($Q8:$Q71)&gt;AVERAGE(LEN($Q8:$Q71)),1,IF(MID($Q8:$Q71,LEN($Q8:$Q71)-1,1)="r",1,0))&gt;0,1,0)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38"/>
  <sheetViews>
    <sheetView workbookViewId="0">
      <selection activeCell="I12" sqref="I12"/>
    </sheetView>
  </sheetViews>
  <sheetFormatPr baseColWidth="10" defaultColWidth="9.109375" defaultRowHeight="14.4" x14ac:dyDescent="0.3"/>
  <cols>
    <col min="2" max="2" width="17" bestFit="1" customWidth="1"/>
    <col min="3" max="3" width="11.88671875" bestFit="1" customWidth="1"/>
    <col min="5" max="5" width="11.33203125" customWidth="1"/>
    <col min="6" max="6" width="55.109375" bestFit="1" customWidth="1"/>
    <col min="8" max="8" width="11.44140625" bestFit="1" customWidth="1"/>
  </cols>
  <sheetData>
    <row r="2" spans="2:8" x14ac:dyDescent="0.3">
      <c r="B2" s="4" t="s">
        <v>0</v>
      </c>
      <c r="C2" s="1"/>
      <c r="E2" s="4" t="s">
        <v>5</v>
      </c>
      <c r="F2" s="4" t="s">
        <v>85</v>
      </c>
      <c r="H2" s="3" t="s">
        <v>4</v>
      </c>
    </row>
    <row r="3" spans="2:8" x14ac:dyDescent="0.3">
      <c r="E3" s="4" t="s">
        <v>8</v>
      </c>
      <c r="F3" s="4" t="s">
        <v>9</v>
      </c>
      <c r="H3" s="4" t="s">
        <v>55</v>
      </c>
    </row>
    <row r="4" spans="2:8" x14ac:dyDescent="0.3">
      <c r="E4" s="4" t="s">
        <v>6</v>
      </c>
      <c r="F4" s="4" t="s">
        <v>7</v>
      </c>
      <c r="H4" s="4" t="s">
        <v>56</v>
      </c>
    </row>
    <row r="5" spans="2:8" x14ac:dyDescent="0.3">
      <c r="E5" s="4" t="s">
        <v>10</v>
      </c>
      <c r="F5" s="4" t="s">
        <v>123</v>
      </c>
      <c r="H5" s="4" t="s">
        <v>57</v>
      </c>
    </row>
    <row r="6" spans="2:8" x14ac:dyDescent="0.3">
      <c r="H6" s="4" t="s">
        <v>58</v>
      </c>
    </row>
    <row r="7" spans="2:8" x14ac:dyDescent="0.3">
      <c r="B7" s="4" t="s">
        <v>1</v>
      </c>
      <c r="C7" s="1"/>
      <c r="E7" s="4" t="s">
        <v>5</v>
      </c>
      <c r="F7" s="4" t="s">
        <v>86</v>
      </c>
      <c r="H7" s="4" t="s">
        <v>59</v>
      </c>
    </row>
    <row r="8" spans="2:8" x14ac:dyDescent="0.3">
      <c r="E8" s="4" t="s">
        <v>8</v>
      </c>
      <c r="F8" s="4" t="s">
        <v>9</v>
      </c>
      <c r="H8" s="4" t="s">
        <v>60</v>
      </c>
    </row>
    <row r="9" spans="2:8" x14ac:dyDescent="0.3">
      <c r="E9" s="4" t="s">
        <v>6</v>
      </c>
      <c r="F9" s="4" t="s">
        <v>122</v>
      </c>
      <c r="H9" s="4" t="s">
        <v>61</v>
      </c>
    </row>
    <row r="10" spans="2:8" x14ac:dyDescent="0.3">
      <c r="E10" s="4" t="s">
        <v>17</v>
      </c>
      <c r="F10" s="4" t="s">
        <v>124</v>
      </c>
      <c r="H10" s="4" t="s">
        <v>59</v>
      </c>
    </row>
    <row r="11" spans="2:8" x14ac:dyDescent="0.3">
      <c r="H11" s="4" t="s">
        <v>62</v>
      </c>
    </row>
    <row r="12" spans="2:8" x14ac:dyDescent="0.3">
      <c r="B12" s="4" t="s">
        <v>2</v>
      </c>
      <c r="C12" s="1">
        <v>1.01</v>
      </c>
      <c r="E12" s="4" t="s">
        <v>5</v>
      </c>
      <c r="F12" s="4" t="s">
        <v>87</v>
      </c>
      <c r="H12" s="4" t="s">
        <v>63</v>
      </c>
    </row>
    <row r="13" spans="2:8" x14ac:dyDescent="0.3">
      <c r="E13" s="4" t="s">
        <v>8</v>
      </c>
      <c r="F13" s="4" t="s">
        <v>11</v>
      </c>
      <c r="H13" s="4" t="s">
        <v>59</v>
      </c>
    </row>
    <row r="14" spans="2:8" x14ac:dyDescent="0.3">
      <c r="E14" s="4" t="s">
        <v>6</v>
      </c>
      <c r="F14" s="4" t="s">
        <v>12</v>
      </c>
      <c r="H14" s="4" t="s">
        <v>61</v>
      </c>
    </row>
    <row r="15" spans="2:8" x14ac:dyDescent="0.3">
      <c r="E15" s="4" t="s">
        <v>18</v>
      </c>
      <c r="F15" s="4" t="s">
        <v>125</v>
      </c>
      <c r="H15" s="4" t="s">
        <v>64</v>
      </c>
    </row>
    <row r="16" spans="2:8" x14ac:dyDescent="0.3">
      <c r="C16" t="s">
        <v>174</v>
      </c>
      <c r="H16" s="4" t="s">
        <v>65</v>
      </c>
    </row>
    <row r="17" spans="2:8" x14ac:dyDescent="0.3">
      <c r="B17" s="4" t="s">
        <v>3</v>
      </c>
      <c r="C17" s="1" t="s">
        <v>57</v>
      </c>
      <c r="E17" s="4" t="s">
        <v>5</v>
      </c>
      <c r="F17" s="4" t="s">
        <v>88</v>
      </c>
      <c r="H17" s="4" t="s">
        <v>56</v>
      </c>
    </row>
    <row r="18" spans="2:8" x14ac:dyDescent="0.3">
      <c r="B18" t="s">
        <v>79</v>
      </c>
      <c r="E18" s="4" t="s">
        <v>8</v>
      </c>
      <c r="F18" s="4" t="s">
        <v>3</v>
      </c>
      <c r="H18" s="4" t="s">
        <v>66</v>
      </c>
    </row>
    <row r="19" spans="2:8" x14ac:dyDescent="0.3">
      <c r="E19" s="4" t="s">
        <v>6</v>
      </c>
      <c r="F19" s="4" t="s">
        <v>14</v>
      </c>
      <c r="H19" s="4" t="s">
        <v>67</v>
      </c>
    </row>
    <row r="20" spans="2:8" x14ac:dyDescent="0.3">
      <c r="E20" s="4" t="s">
        <v>17</v>
      </c>
      <c r="F20" s="4" t="s">
        <v>13</v>
      </c>
      <c r="H20" s="4" t="s">
        <v>61</v>
      </c>
    </row>
    <row r="21" spans="2:8" x14ac:dyDescent="0.3">
      <c r="H21" s="4" t="s">
        <v>68</v>
      </c>
    </row>
    <row r="22" spans="2:8" x14ac:dyDescent="0.3">
      <c r="B22" s="4" t="s">
        <v>15</v>
      </c>
      <c r="C22" s="1"/>
      <c r="E22" s="4" t="s">
        <v>5</v>
      </c>
      <c r="F22" s="4" t="s">
        <v>16</v>
      </c>
      <c r="H22" s="4" t="s">
        <v>69</v>
      </c>
    </row>
    <row r="23" spans="2:8" x14ac:dyDescent="0.3">
      <c r="E23" s="32" t="s">
        <v>23</v>
      </c>
      <c r="F23" s="33"/>
      <c r="H23" s="4" t="s">
        <v>59</v>
      </c>
    </row>
    <row r="24" spans="2:8" x14ac:dyDescent="0.3">
      <c r="E24" s="4" t="s">
        <v>10</v>
      </c>
      <c r="F24" s="4" t="s">
        <v>126</v>
      </c>
      <c r="H24" s="4" t="s">
        <v>65</v>
      </c>
    </row>
    <row r="25" spans="2:8" x14ac:dyDescent="0.3">
      <c r="H25" s="4" t="s">
        <v>70</v>
      </c>
    </row>
    <row r="26" spans="2:8" x14ac:dyDescent="0.3">
      <c r="B26" s="4" t="s">
        <v>19</v>
      </c>
      <c r="C26" s="1"/>
      <c r="E26" s="4" t="s">
        <v>5</v>
      </c>
      <c r="F26" s="4" t="s">
        <v>20</v>
      </c>
      <c r="H26" s="4" t="s">
        <v>59</v>
      </c>
    </row>
    <row r="27" spans="2:8" x14ac:dyDescent="0.3">
      <c r="E27" s="4" t="s">
        <v>8</v>
      </c>
      <c r="F27" s="4" t="s">
        <v>19</v>
      </c>
      <c r="H27" s="4" t="s">
        <v>71</v>
      </c>
    </row>
    <row r="28" spans="2:8" x14ac:dyDescent="0.3">
      <c r="E28" s="4" t="s">
        <v>6</v>
      </c>
      <c r="F28" s="4" t="s">
        <v>21</v>
      </c>
      <c r="H28" s="4" t="s">
        <v>72</v>
      </c>
    </row>
    <row r="29" spans="2:8" x14ac:dyDescent="0.3">
      <c r="E29" s="34" t="s">
        <v>24</v>
      </c>
      <c r="F29" s="34"/>
      <c r="H29" s="4" t="s">
        <v>73</v>
      </c>
    </row>
    <row r="30" spans="2:8" x14ac:dyDescent="0.3">
      <c r="H30" s="4" t="s">
        <v>74</v>
      </c>
    </row>
    <row r="31" spans="2:8" x14ac:dyDescent="0.3">
      <c r="B31" s="4" t="s">
        <v>22</v>
      </c>
      <c r="C31" s="1"/>
      <c r="E31" s="36" t="s">
        <v>5</v>
      </c>
      <c r="F31" s="35" t="s">
        <v>160</v>
      </c>
      <c r="H31" s="4" t="s">
        <v>75</v>
      </c>
    </row>
    <row r="32" spans="2:8" x14ac:dyDescent="0.3">
      <c r="E32" s="36"/>
      <c r="F32" s="35"/>
      <c r="H32" s="4" t="s">
        <v>76</v>
      </c>
    </row>
    <row r="33" spans="2:8" x14ac:dyDescent="0.3">
      <c r="B33" s="22" t="s">
        <v>82</v>
      </c>
      <c r="C33" s="22" t="s">
        <v>83</v>
      </c>
      <c r="E33" s="36"/>
      <c r="F33" s="35"/>
      <c r="H33" s="4" t="s">
        <v>77</v>
      </c>
    </row>
    <row r="34" spans="2:8" x14ac:dyDescent="0.3">
      <c r="B34" s="21" t="s">
        <v>157</v>
      </c>
      <c r="C34" s="21" t="s">
        <v>103</v>
      </c>
      <c r="E34" s="32" t="s">
        <v>84</v>
      </c>
      <c r="F34" s="33"/>
      <c r="H34" s="4" t="s">
        <v>78</v>
      </c>
    </row>
    <row r="35" spans="2:8" x14ac:dyDescent="0.3">
      <c r="B35" s="21" t="s">
        <v>158</v>
      </c>
      <c r="C35" s="21" t="s">
        <v>80</v>
      </c>
      <c r="E35" s="32" t="s">
        <v>89</v>
      </c>
      <c r="F35" s="33"/>
      <c r="H35" s="4" t="s">
        <v>55</v>
      </c>
    </row>
    <row r="36" spans="2:8" x14ac:dyDescent="0.3">
      <c r="B36" s="21" t="s">
        <v>159</v>
      </c>
      <c r="C36" s="21" t="s">
        <v>81</v>
      </c>
      <c r="H36" s="4" t="s">
        <v>65</v>
      </c>
    </row>
    <row r="37" spans="2:8" ht="15" customHeight="1" x14ac:dyDescent="0.3"/>
    <row r="38" spans="2:8" ht="15" customHeight="1" x14ac:dyDescent="0.3"/>
  </sheetData>
  <mergeCells count="6">
    <mergeCell ref="E23:F23"/>
    <mergeCell ref="E34:F34"/>
    <mergeCell ref="E35:F35"/>
    <mergeCell ref="E29:F29"/>
    <mergeCell ref="F31:F33"/>
    <mergeCell ref="E31:E33"/>
  </mergeCells>
  <dataValidations count="6">
    <dataValidation type="textLength" allowBlank="1" showInputMessage="1" showErrorMessage="1" errorTitle="Error" error="Mal" promptTitle="Edad" prompt="Introduzca su edad en letras" sqref="C7" xr:uid="{269D11C0-C9FC-4293-9DD2-525FAB968293}">
      <formula1>5</formula1>
      <formula2>7</formula2>
    </dataValidation>
    <dataValidation type="decimal" operator="greaterThan" allowBlank="1" showInputMessage="1" showErrorMessage="1" errorTitle="Mal" error="Cambie la altura" promptTitle="Altura" prompt="Introduzca la altura " sqref="C12" xr:uid="{1B0419FC-CEFC-4459-ABB7-85D8F8365FBE}">
      <formula1>1</formula1>
    </dataValidation>
    <dataValidation type="list" allowBlank="1" showInputMessage="1" showErrorMessage="1" errorTitle="Error" error="Elija otro nombre" promptTitle="Nombre" prompt="Elija un nombre de la lista" sqref="C17" xr:uid="{F36A83BB-3EFC-4A8F-9819-43082BCB7270}">
      <formula1>$H$3:$H$36</formula1>
    </dataValidation>
    <dataValidation type="list" allowBlank="1" showInputMessage="1" showErrorMessage="1" sqref="C16" xr:uid="{E28EB02A-1770-42A4-A409-4697918CD53C}">
      <mc:AlternateContent xmlns:x12ac="http://schemas.microsoft.com/office/spreadsheetml/2011/1/ac" xmlns:mc="http://schemas.openxmlformats.org/markup-compatibility/2006">
        <mc:Choice Requires="x12ac">
          <x12ac:list>"1,1,2"</x12ac:list>
        </mc:Choice>
        <mc:Fallback>
          <formula1>"1,1,2"</formula1>
        </mc:Fallback>
      </mc:AlternateContent>
    </dataValidation>
    <dataValidation type="list" allowBlank="1" showInputMessage="1" showErrorMessage="1" sqref="C15" xr:uid="{68C66E69-C47B-4802-8D35-6D017222C09E}">
      <formula1>"1,2,3"</formula1>
    </dataValidation>
    <dataValidation type="textLength" allowBlank="1" showInputMessage="1" showErrorMessage="1" errorTitle="ERROR" error="No es tan difícil_x000a_" promptTitle="Edad" prompt="Introduzca su edad en letras, por favot" sqref="C2" xr:uid="{C5C183B7-ECE2-44C9-B668-76BE927FDFFC}">
      <formula1>5</formula1>
      <formula2>100</formula2>
    </dataValidation>
  </dataValidation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195"/>
  <sheetViews>
    <sheetView workbookViewId="0">
      <selection activeCell="H18" sqref="H18"/>
    </sheetView>
  </sheetViews>
  <sheetFormatPr baseColWidth="10" defaultRowHeight="14.4" x14ac:dyDescent="0.3"/>
  <cols>
    <col min="2" max="2" width="13.88671875" customWidth="1"/>
    <col min="5" max="5" width="12.6640625" bestFit="1" customWidth="1"/>
    <col min="6" max="6" width="11.109375" bestFit="1" customWidth="1"/>
  </cols>
  <sheetData>
    <row r="2" spans="2:7" x14ac:dyDescent="0.3">
      <c r="B2" t="s">
        <v>106</v>
      </c>
    </row>
    <row r="3" spans="2:7" x14ac:dyDescent="0.3">
      <c r="B3" t="s">
        <v>107</v>
      </c>
      <c r="C3" s="20"/>
    </row>
    <row r="4" spans="2:7" x14ac:dyDescent="0.3">
      <c r="B4" s="18" t="s">
        <v>108</v>
      </c>
      <c r="C4" s="20"/>
    </row>
    <row r="5" spans="2:7" x14ac:dyDescent="0.3">
      <c r="B5" s="23" t="s">
        <v>109</v>
      </c>
      <c r="C5" s="24">
        <v>3</v>
      </c>
    </row>
    <row r="6" spans="2:7" x14ac:dyDescent="0.3">
      <c r="B6" s="23" t="s">
        <v>110</v>
      </c>
      <c r="C6" s="24">
        <v>4</v>
      </c>
    </row>
    <row r="7" spans="2:7" x14ac:dyDescent="0.3">
      <c r="B7" s="26" t="s">
        <v>127</v>
      </c>
      <c r="C7" s="20"/>
    </row>
    <row r="10" spans="2:7" x14ac:dyDescent="0.3">
      <c r="B10" s="16" t="s">
        <v>48</v>
      </c>
      <c r="C10" s="16" t="s">
        <v>47</v>
      </c>
      <c r="D10" s="16" t="s">
        <v>49</v>
      </c>
      <c r="E10" s="16" t="s">
        <v>50</v>
      </c>
      <c r="F10" s="16" t="s">
        <v>54</v>
      </c>
      <c r="G10" s="38" t="s">
        <v>178</v>
      </c>
    </row>
    <row r="11" spans="2:7" x14ac:dyDescent="0.3">
      <c r="B11" s="41">
        <v>43831</v>
      </c>
      <c r="C11" s="40" t="s">
        <v>111</v>
      </c>
      <c r="D11" s="40">
        <v>14</v>
      </c>
      <c r="E11" s="43">
        <v>882000</v>
      </c>
      <c r="F11" s="43">
        <v>158760</v>
      </c>
      <c r="G11">
        <f>MAX($D11:$D195)</f>
        <v>17</v>
      </c>
    </row>
    <row r="12" spans="2:7" x14ac:dyDescent="0.3">
      <c r="B12" s="41">
        <v>43831</v>
      </c>
      <c r="C12" s="40" t="s">
        <v>119</v>
      </c>
      <c r="D12" s="40">
        <v>14</v>
      </c>
      <c r="E12" s="43">
        <v>294000</v>
      </c>
      <c r="F12" s="43">
        <v>88200</v>
      </c>
    </row>
    <row r="13" spans="2:7" x14ac:dyDescent="0.3">
      <c r="B13" s="41">
        <v>43831</v>
      </c>
      <c r="C13" s="40" t="s">
        <v>114</v>
      </c>
      <c r="D13" s="40">
        <v>2</v>
      </c>
      <c r="E13" s="43">
        <v>42000</v>
      </c>
      <c r="F13" s="43">
        <v>12600</v>
      </c>
    </row>
    <row r="14" spans="2:7" x14ac:dyDescent="0.3">
      <c r="B14" s="41">
        <v>43831</v>
      </c>
      <c r="C14" s="40" t="s">
        <v>119</v>
      </c>
      <c r="D14" s="40">
        <v>9</v>
      </c>
      <c r="E14" s="43">
        <v>70200</v>
      </c>
      <c r="F14" s="43">
        <v>8424</v>
      </c>
    </row>
    <row r="15" spans="2:7" x14ac:dyDescent="0.3">
      <c r="B15" s="41">
        <v>43831</v>
      </c>
      <c r="C15" s="40" t="s">
        <v>113</v>
      </c>
      <c r="D15" s="40">
        <v>7</v>
      </c>
      <c r="E15" s="43">
        <v>441000</v>
      </c>
      <c r="F15" s="43">
        <v>79380</v>
      </c>
    </row>
    <row r="16" spans="2:7" x14ac:dyDescent="0.3">
      <c r="B16" s="41">
        <v>43832</v>
      </c>
      <c r="C16" s="40" t="s">
        <v>120</v>
      </c>
      <c r="D16" s="40">
        <v>8</v>
      </c>
      <c r="E16" s="43">
        <v>168000</v>
      </c>
      <c r="F16" s="43">
        <v>50400</v>
      </c>
    </row>
    <row r="17" spans="2:6" x14ac:dyDescent="0.3">
      <c r="B17" s="41">
        <v>43832</v>
      </c>
      <c r="C17" s="40" t="s">
        <v>119</v>
      </c>
      <c r="D17" s="40">
        <v>8</v>
      </c>
      <c r="E17" s="43">
        <v>504000</v>
      </c>
      <c r="F17" s="43">
        <v>90720</v>
      </c>
    </row>
    <row r="18" spans="2:6" x14ac:dyDescent="0.3">
      <c r="B18" s="41">
        <v>43832</v>
      </c>
      <c r="C18" s="40" t="s">
        <v>117</v>
      </c>
      <c r="D18" s="40">
        <v>10</v>
      </c>
      <c r="E18" s="43">
        <v>210000</v>
      </c>
      <c r="F18" s="43">
        <v>63000</v>
      </c>
    </row>
    <row r="19" spans="2:6" x14ac:dyDescent="0.3">
      <c r="B19" s="41">
        <v>43832</v>
      </c>
      <c r="C19" s="40" t="s">
        <v>114</v>
      </c>
      <c r="D19" s="40">
        <v>16</v>
      </c>
      <c r="E19" s="43">
        <v>544000</v>
      </c>
      <c r="F19" s="43">
        <v>184960</v>
      </c>
    </row>
    <row r="20" spans="2:6" x14ac:dyDescent="0.3">
      <c r="B20" s="41">
        <v>43832</v>
      </c>
      <c r="C20" s="40" t="s">
        <v>114</v>
      </c>
      <c r="D20" s="40">
        <v>3</v>
      </c>
      <c r="E20" s="43">
        <v>63000</v>
      </c>
      <c r="F20" s="43">
        <v>18900</v>
      </c>
    </row>
    <row r="21" spans="2:6" x14ac:dyDescent="0.3">
      <c r="B21" s="41">
        <v>43832</v>
      </c>
      <c r="C21" s="40" t="s">
        <v>51</v>
      </c>
      <c r="D21" s="40">
        <v>17</v>
      </c>
      <c r="E21" s="43">
        <v>357000</v>
      </c>
      <c r="F21" s="43">
        <v>107100</v>
      </c>
    </row>
    <row r="22" spans="2:6" x14ac:dyDescent="0.3">
      <c r="B22" s="41">
        <v>43832</v>
      </c>
      <c r="C22" s="40" t="s">
        <v>117</v>
      </c>
      <c r="D22" s="40">
        <v>16</v>
      </c>
      <c r="E22" s="43">
        <v>124800</v>
      </c>
      <c r="F22" s="43">
        <v>14976</v>
      </c>
    </row>
    <row r="23" spans="2:6" x14ac:dyDescent="0.3">
      <c r="B23" s="41">
        <v>43833</v>
      </c>
      <c r="C23" s="40" t="s">
        <v>113</v>
      </c>
      <c r="D23" s="40">
        <v>2</v>
      </c>
      <c r="E23" s="43">
        <v>42000</v>
      </c>
      <c r="F23" s="43">
        <v>12600</v>
      </c>
    </row>
    <row r="24" spans="2:6" x14ac:dyDescent="0.3">
      <c r="B24" s="41">
        <v>43833</v>
      </c>
      <c r="C24" s="40" t="s">
        <v>51</v>
      </c>
      <c r="D24" s="40">
        <v>12</v>
      </c>
      <c r="E24" s="43">
        <v>93600</v>
      </c>
      <c r="F24" s="43">
        <v>11232</v>
      </c>
    </row>
    <row r="25" spans="2:6" x14ac:dyDescent="0.3">
      <c r="B25" s="41">
        <v>43833</v>
      </c>
      <c r="C25" s="40" t="s">
        <v>113</v>
      </c>
      <c r="D25" s="40">
        <v>7</v>
      </c>
      <c r="E25" s="43">
        <v>238000</v>
      </c>
      <c r="F25" s="43">
        <v>80920</v>
      </c>
    </row>
    <row r="26" spans="2:6" x14ac:dyDescent="0.3">
      <c r="B26" s="41">
        <v>43833</v>
      </c>
      <c r="C26" s="40" t="s">
        <v>114</v>
      </c>
      <c r="D26" s="40">
        <v>4</v>
      </c>
      <c r="E26" s="43">
        <v>31200</v>
      </c>
      <c r="F26" s="43">
        <v>3744</v>
      </c>
    </row>
    <row r="27" spans="2:6" x14ac:dyDescent="0.3">
      <c r="B27" s="41">
        <v>43833</v>
      </c>
      <c r="C27" s="40" t="s">
        <v>112</v>
      </c>
      <c r="D27" s="40">
        <v>2</v>
      </c>
      <c r="E27" s="43">
        <v>42000</v>
      </c>
      <c r="F27" s="43">
        <v>12600</v>
      </c>
    </row>
    <row r="28" spans="2:6" x14ac:dyDescent="0.3">
      <c r="B28" s="41">
        <v>43833</v>
      </c>
      <c r="C28" s="40" t="s">
        <v>119</v>
      </c>
      <c r="D28" s="40">
        <v>1</v>
      </c>
      <c r="E28" s="43">
        <v>7800</v>
      </c>
      <c r="F28" s="43">
        <v>936</v>
      </c>
    </row>
    <row r="29" spans="2:6" x14ac:dyDescent="0.3">
      <c r="B29" s="41">
        <v>43833</v>
      </c>
      <c r="C29" s="40" t="s">
        <v>115</v>
      </c>
      <c r="D29" s="40">
        <v>11</v>
      </c>
      <c r="E29" s="43">
        <v>693000</v>
      </c>
      <c r="F29" s="43">
        <v>124740</v>
      </c>
    </row>
    <row r="30" spans="2:6" x14ac:dyDescent="0.3">
      <c r="B30" s="41">
        <v>43834</v>
      </c>
      <c r="C30" s="40" t="s">
        <v>121</v>
      </c>
      <c r="D30" s="40">
        <v>7</v>
      </c>
      <c r="E30" s="43">
        <v>147000</v>
      </c>
      <c r="F30" s="43">
        <v>44100</v>
      </c>
    </row>
    <row r="31" spans="2:6" x14ac:dyDescent="0.3">
      <c r="B31" s="41">
        <v>43834</v>
      </c>
      <c r="C31" s="40" t="s">
        <v>111</v>
      </c>
      <c r="D31" s="40">
        <v>12</v>
      </c>
      <c r="E31" s="43">
        <v>408000</v>
      </c>
      <c r="F31" s="43">
        <v>138720</v>
      </c>
    </row>
    <row r="32" spans="2:6" x14ac:dyDescent="0.3">
      <c r="B32" s="41">
        <v>43834</v>
      </c>
      <c r="C32" s="40" t="s">
        <v>112</v>
      </c>
      <c r="D32" s="40">
        <v>12</v>
      </c>
      <c r="E32" s="43">
        <v>408000</v>
      </c>
      <c r="F32" s="43">
        <v>138720</v>
      </c>
    </row>
    <row r="33" spans="2:6" x14ac:dyDescent="0.3">
      <c r="B33" s="41">
        <v>43834</v>
      </c>
      <c r="C33" s="40" t="s">
        <v>111</v>
      </c>
      <c r="D33" s="40">
        <v>17</v>
      </c>
      <c r="E33" s="43">
        <v>132600</v>
      </c>
      <c r="F33" s="43">
        <v>15912</v>
      </c>
    </row>
    <row r="34" spans="2:6" x14ac:dyDescent="0.3">
      <c r="B34" s="41">
        <v>43835</v>
      </c>
      <c r="C34" s="40" t="s">
        <v>111</v>
      </c>
      <c r="D34" s="40">
        <v>14</v>
      </c>
      <c r="E34" s="43">
        <v>109200</v>
      </c>
      <c r="F34" s="43">
        <v>13104</v>
      </c>
    </row>
    <row r="35" spans="2:6" x14ac:dyDescent="0.3">
      <c r="B35" s="41">
        <v>43835</v>
      </c>
      <c r="C35" s="40" t="s">
        <v>115</v>
      </c>
      <c r="D35" s="40">
        <v>12</v>
      </c>
      <c r="E35" s="43">
        <v>93600</v>
      </c>
      <c r="F35" s="43">
        <v>11232</v>
      </c>
    </row>
    <row r="36" spans="2:6" x14ac:dyDescent="0.3">
      <c r="B36" s="41">
        <v>43835</v>
      </c>
      <c r="C36" s="40" t="s">
        <v>119</v>
      </c>
      <c r="D36" s="40">
        <v>13</v>
      </c>
      <c r="E36" s="43">
        <v>273000</v>
      </c>
      <c r="F36" s="43">
        <v>81900</v>
      </c>
    </row>
    <row r="37" spans="2:6" x14ac:dyDescent="0.3">
      <c r="B37" s="41">
        <v>43835</v>
      </c>
      <c r="C37" s="40" t="s">
        <v>118</v>
      </c>
      <c r="D37" s="40">
        <v>7</v>
      </c>
      <c r="E37" s="43">
        <v>147000</v>
      </c>
      <c r="F37" s="43">
        <v>44100</v>
      </c>
    </row>
    <row r="38" spans="2:6" x14ac:dyDescent="0.3">
      <c r="B38" s="41">
        <v>43835</v>
      </c>
      <c r="C38" s="40" t="s">
        <v>53</v>
      </c>
      <c r="D38" s="40">
        <v>1</v>
      </c>
      <c r="E38" s="43">
        <v>7800</v>
      </c>
      <c r="F38" s="43">
        <v>936</v>
      </c>
    </row>
    <row r="39" spans="2:6" x14ac:dyDescent="0.3">
      <c r="B39" s="41">
        <v>43835</v>
      </c>
      <c r="C39" s="40" t="s">
        <v>119</v>
      </c>
      <c r="D39" s="40">
        <v>11</v>
      </c>
      <c r="E39" s="43">
        <v>85800</v>
      </c>
      <c r="F39" s="43">
        <v>10296</v>
      </c>
    </row>
    <row r="40" spans="2:6" x14ac:dyDescent="0.3">
      <c r="B40" s="41">
        <v>43835</v>
      </c>
      <c r="C40" s="40" t="s">
        <v>52</v>
      </c>
      <c r="D40" s="40">
        <v>7</v>
      </c>
      <c r="E40" s="43">
        <v>147000</v>
      </c>
      <c r="F40" s="43">
        <v>44100</v>
      </c>
    </row>
    <row r="41" spans="2:6" x14ac:dyDescent="0.3">
      <c r="B41" s="41">
        <v>43835</v>
      </c>
      <c r="C41" s="40" t="s">
        <v>120</v>
      </c>
      <c r="D41" s="40">
        <v>14</v>
      </c>
      <c r="E41" s="43">
        <v>882000</v>
      </c>
      <c r="F41" s="43">
        <v>158760</v>
      </c>
    </row>
    <row r="42" spans="2:6" x14ac:dyDescent="0.3">
      <c r="B42" s="41">
        <v>43836</v>
      </c>
      <c r="C42" s="40" t="s">
        <v>111</v>
      </c>
      <c r="D42" s="40">
        <v>5</v>
      </c>
      <c r="E42" s="43">
        <v>315000</v>
      </c>
      <c r="F42" s="43">
        <v>56700</v>
      </c>
    </row>
    <row r="43" spans="2:6" x14ac:dyDescent="0.3">
      <c r="B43" s="41">
        <v>43836</v>
      </c>
      <c r="C43" s="40" t="s">
        <v>121</v>
      </c>
      <c r="D43" s="40">
        <v>2</v>
      </c>
      <c r="E43" s="43">
        <v>42000</v>
      </c>
      <c r="F43" s="43">
        <v>12600</v>
      </c>
    </row>
    <row r="44" spans="2:6" x14ac:dyDescent="0.3">
      <c r="B44" s="41">
        <v>43836</v>
      </c>
      <c r="C44" s="40" t="s">
        <v>118</v>
      </c>
      <c r="D44" s="40">
        <v>7</v>
      </c>
      <c r="E44" s="43">
        <v>238000</v>
      </c>
      <c r="F44" s="43">
        <v>80920</v>
      </c>
    </row>
    <row r="45" spans="2:6" x14ac:dyDescent="0.3">
      <c r="B45" s="41">
        <v>43836</v>
      </c>
      <c r="C45" s="40" t="s">
        <v>111</v>
      </c>
      <c r="D45" s="40">
        <v>5</v>
      </c>
      <c r="E45" s="43">
        <v>105000</v>
      </c>
      <c r="F45" s="43">
        <v>31500</v>
      </c>
    </row>
    <row r="46" spans="2:6" x14ac:dyDescent="0.3">
      <c r="B46" s="41">
        <v>43836</v>
      </c>
      <c r="C46" s="40" t="s">
        <v>114</v>
      </c>
      <c r="D46" s="40">
        <v>7</v>
      </c>
      <c r="E46" s="43">
        <v>147000</v>
      </c>
      <c r="F46" s="43">
        <v>44100</v>
      </c>
    </row>
    <row r="47" spans="2:6" x14ac:dyDescent="0.3">
      <c r="B47" s="41">
        <v>43836</v>
      </c>
      <c r="C47" s="40" t="s">
        <v>119</v>
      </c>
      <c r="D47" s="40">
        <v>8</v>
      </c>
      <c r="E47" s="43">
        <v>168000</v>
      </c>
      <c r="F47" s="43">
        <v>50400</v>
      </c>
    </row>
    <row r="48" spans="2:6" x14ac:dyDescent="0.3">
      <c r="B48" s="41">
        <v>43836</v>
      </c>
      <c r="C48" s="40" t="s">
        <v>113</v>
      </c>
      <c r="D48" s="40">
        <v>1</v>
      </c>
      <c r="E48" s="43">
        <v>21000</v>
      </c>
      <c r="F48" s="43">
        <v>6300</v>
      </c>
    </row>
    <row r="49" spans="2:6" x14ac:dyDescent="0.3">
      <c r="B49" s="41">
        <v>43836</v>
      </c>
      <c r="C49" s="40" t="s">
        <v>111</v>
      </c>
      <c r="D49" s="40">
        <v>8</v>
      </c>
      <c r="E49" s="43">
        <v>168000</v>
      </c>
      <c r="F49" s="43">
        <v>50400</v>
      </c>
    </row>
    <row r="50" spans="2:6" x14ac:dyDescent="0.3">
      <c r="B50" s="41">
        <v>43836</v>
      </c>
      <c r="C50" s="40" t="s">
        <v>51</v>
      </c>
      <c r="D50" s="40">
        <v>4</v>
      </c>
      <c r="E50" s="43">
        <v>136000</v>
      </c>
      <c r="F50" s="43">
        <v>46240</v>
      </c>
    </row>
    <row r="51" spans="2:6" x14ac:dyDescent="0.3">
      <c r="B51" s="41">
        <v>43837</v>
      </c>
      <c r="C51" s="40" t="s">
        <v>116</v>
      </c>
      <c r="D51" s="40">
        <v>16</v>
      </c>
      <c r="E51" s="43">
        <v>1008000</v>
      </c>
      <c r="F51" s="43">
        <v>181440</v>
      </c>
    </row>
    <row r="52" spans="2:6" x14ac:dyDescent="0.3">
      <c r="B52" s="41">
        <v>43837</v>
      </c>
      <c r="C52" s="40" t="s">
        <v>53</v>
      </c>
      <c r="D52" s="40">
        <v>9</v>
      </c>
      <c r="E52" s="43">
        <v>189000</v>
      </c>
      <c r="F52" s="43">
        <v>56700</v>
      </c>
    </row>
    <row r="53" spans="2:6" x14ac:dyDescent="0.3">
      <c r="B53" s="41">
        <v>43837</v>
      </c>
      <c r="C53" s="40" t="s">
        <v>116</v>
      </c>
      <c r="D53" s="40">
        <v>15</v>
      </c>
      <c r="E53" s="43">
        <v>945000</v>
      </c>
      <c r="F53" s="43">
        <v>170100</v>
      </c>
    </row>
    <row r="54" spans="2:6" x14ac:dyDescent="0.3">
      <c r="B54" s="41">
        <v>43837</v>
      </c>
      <c r="C54" s="40" t="s">
        <v>113</v>
      </c>
      <c r="D54" s="40">
        <v>15</v>
      </c>
      <c r="E54" s="43">
        <v>117000</v>
      </c>
      <c r="F54" s="43">
        <v>14040</v>
      </c>
    </row>
    <row r="55" spans="2:6" x14ac:dyDescent="0.3">
      <c r="B55" s="41">
        <v>43837</v>
      </c>
      <c r="C55" s="40" t="s">
        <v>52</v>
      </c>
      <c r="D55" s="40">
        <v>9</v>
      </c>
      <c r="E55" s="43">
        <v>70200</v>
      </c>
      <c r="F55" s="43">
        <v>8424</v>
      </c>
    </row>
    <row r="56" spans="2:6" x14ac:dyDescent="0.3">
      <c r="B56" s="41">
        <v>43837</v>
      </c>
      <c r="C56" s="40" t="s">
        <v>113</v>
      </c>
      <c r="D56" s="40">
        <v>6</v>
      </c>
      <c r="E56" s="43">
        <v>378000</v>
      </c>
      <c r="F56" s="43">
        <v>68040</v>
      </c>
    </row>
    <row r="57" spans="2:6" x14ac:dyDescent="0.3">
      <c r="B57" s="41">
        <v>43838</v>
      </c>
      <c r="C57" s="40" t="s">
        <v>112</v>
      </c>
      <c r="D57" s="40">
        <v>15</v>
      </c>
      <c r="E57" s="43">
        <v>510000</v>
      </c>
      <c r="F57" s="43">
        <v>173400</v>
      </c>
    </row>
    <row r="58" spans="2:6" x14ac:dyDescent="0.3">
      <c r="B58" s="41">
        <v>43838</v>
      </c>
      <c r="C58" s="40" t="s">
        <v>120</v>
      </c>
      <c r="D58" s="40">
        <v>5</v>
      </c>
      <c r="E58" s="43">
        <v>315000</v>
      </c>
      <c r="F58" s="43">
        <v>56700</v>
      </c>
    </row>
    <row r="59" spans="2:6" x14ac:dyDescent="0.3">
      <c r="B59" s="41">
        <v>43838</v>
      </c>
      <c r="C59" s="40" t="s">
        <v>52</v>
      </c>
      <c r="D59" s="40">
        <v>16</v>
      </c>
      <c r="E59" s="43">
        <v>1008000</v>
      </c>
      <c r="F59" s="43">
        <v>181440</v>
      </c>
    </row>
    <row r="60" spans="2:6" x14ac:dyDescent="0.3">
      <c r="B60" s="41">
        <v>43838</v>
      </c>
      <c r="C60" s="40" t="s">
        <v>51</v>
      </c>
      <c r="D60" s="40">
        <v>10</v>
      </c>
      <c r="E60" s="43">
        <v>340000</v>
      </c>
      <c r="F60" s="43">
        <v>115600.00000000001</v>
      </c>
    </row>
    <row r="61" spans="2:6" x14ac:dyDescent="0.3">
      <c r="B61" s="41">
        <v>43838</v>
      </c>
      <c r="C61" s="40" t="s">
        <v>116</v>
      </c>
      <c r="D61" s="40">
        <v>17</v>
      </c>
      <c r="E61" s="43">
        <v>1071000</v>
      </c>
      <c r="F61" s="43">
        <v>192780</v>
      </c>
    </row>
    <row r="62" spans="2:6" x14ac:dyDescent="0.3">
      <c r="B62" s="41">
        <v>43838</v>
      </c>
      <c r="C62" s="40" t="s">
        <v>117</v>
      </c>
      <c r="D62" s="40">
        <v>1</v>
      </c>
      <c r="E62" s="43">
        <v>63000</v>
      </c>
      <c r="F62" s="43">
        <v>11340</v>
      </c>
    </row>
    <row r="63" spans="2:6" x14ac:dyDescent="0.3">
      <c r="B63" s="41">
        <v>43838</v>
      </c>
      <c r="C63" s="40" t="s">
        <v>52</v>
      </c>
      <c r="D63" s="40">
        <v>3</v>
      </c>
      <c r="E63" s="43">
        <v>63000</v>
      </c>
      <c r="F63" s="43">
        <v>18900</v>
      </c>
    </row>
    <row r="64" spans="2:6" x14ac:dyDescent="0.3">
      <c r="B64" s="41">
        <v>43839</v>
      </c>
      <c r="C64" s="40" t="s">
        <v>121</v>
      </c>
      <c r="D64" s="40">
        <v>9</v>
      </c>
      <c r="E64" s="43">
        <v>567000</v>
      </c>
      <c r="F64" s="43">
        <v>102060</v>
      </c>
    </row>
    <row r="65" spans="2:6" x14ac:dyDescent="0.3">
      <c r="B65" s="41">
        <v>43839</v>
      </c>
      <c r="C65" s="40" t="s">
        <v>114</v>
      </c>
      <c r="D65" s="40">
        <v>12</v>
      </c>
      <c r="E65" s="43">
        <v>408000</v>
      </c>
      <c r="F65" s="43">
        <v>138720</v>
      </c>
    </row>
    <row r="66" spans="2:6" x14ac:dyDescent="0.3">
      <c r="B66" s="41">
        <v>43839</v>
      </c>
      <c r="C66" s="40" t="s">
        <v>112</v>
      </c>
      <c r="D66" s="40">
        <v>11</v>
      </c>
      <c r="E66" s="43">
        <v>374000</v>
      </c>
      <c r="F66" s="43">
        <v>127160.00000000001</v>
      </c>
    </row>
    <row r="67" spans="2:6" x14ac:dyDescent="0.3">
      <c r="B67" s="41">
        <v>43839</v>
      </c>
      <c r="C67" s="40" t="s">
        <v>117</v>
      </c>
      <c r="D67" s="40">
        <v>6</v>
      </c>
      <c r="E67" s="43">
        <v>126000</v>
      </c>
      <c r="F67" s="43">
        <v>37800</v>
      </c>
    </row>
    <row r="68" spans="2:6" x14ac:dyDescent="0.3">
      <c r="B68" s="41">
        <v>43839</v>
      </c>
      <c r="C68" s="40" t="s">
        <v>111</v>
      </c>
      <c r="D68" s="40">
        <v>15</v>
      </c>
      <c r="E68" s="43">
        <v>510000</v>
      </c>
      <c r="F68" s="43">
        <v>173400</v>
      </c>
    </row>
    <row r="69" spans="2:6" x14ac:dyDescent="0.3">
      <c r="B69" s="41">
        <v>43840</v>
      </c>
      <c r="C69" s="40" t="s">
        <v>114</v>
      </c>
      <c r="D69" s="40">
        <v>10</v>
      </c>
      <c r="E69" s="43">
        <v>340000</v>
      </c>
      <c r="F69" s="43">
        <v>115600.00000000001</v>
      </c>
    </row>
    <row r="70" spans="2:6" x14ac:dyDescent="0.3">
      <c r="B70" s="41">
        <v>43840</v>
      </c>
      <c r="C70" s="40" t="s">
        <v>112</v>
      </c>
      <c r="D70" s="40">
        <v>1</v>
      </c>
      <c r="E70" s="43">
        <v>7800</v>
      </c>
      <c r="F70" s="43">
        <v>936</v>
      </c>
    </row>
    <row r="71" spans="2:6" x14ac:dyDescent="0.3">
      <c r="B71" s="41">
        <v>43840</v>
      </c>
      <c r="C71" s="40" t="s">
        <v>53</v>
      </c>
      <c r="D71" s="40">
        <v>5</v>
      </c>
      <c r="E71" s="43">
        <v>105000</v>
      </c>
      <c r="F71" s="43">
        <v>31500</v>
      </c>
    </row>
    <row r="72" spans="2:6" x14ac:dyDescent="0.3">
      <c r="B72" s="41">
        <v>43840</v>
      </c>
      <c r="C72" s="40" t="s">
        <v>114</v>
      </c>
      <c r="D72" s="40">
        <v>7</v>
      </c>
      <c r="E72" s="43">
        <v>441000</v>
      </c>
      <c r="F72" s="43">
        <v>79380</v>
      </c>
    </row>
    <row r="73" spans="2:6" x14ac:dyDescent="0.3">
      <c r="B73" s="41">
        <v>43840</v>
      </c>
      <c r="C73" s="40" t="s">
        <v>115</v>
      </c>
      <c r="D73" s="40">
        <v>10</v>
      </c>
      <c r="E73" s="43">
        <v>630000</v>
      </c>
      <c r="F73" s="43">
        <v>113400</v>
      </c>
    </row>
    <row r="74" spans="2:6" x14ac:dyDescent="0.3">
      <c r="B74" s="41">
        <v>43840</v>
      </c>
      <c r="C74" s="40" t="s">
        <v>52</v>
      </c>
      <c r="D74" s="40">
        <v>11</v>
      </c>
      <c r="E74" s="43">
        <v>85800</v>
      </c>
      <c r="F74" s="43">
        <v>10296</v>
      </c>
    </row>
    <row r="75" spans="2:6" x14ac:dyDescent="0.3">
      <c r="B75" s="41">
        <v>43841</v>
      </c>
      <c r="C75" s="40" t="s">
        <v>120</v>
      </c>
      <c r="D75" s="40">
        <v>4</v>
      </c>
      <c r="E75" s="43">
        <v>136000</v>
      </c>
      <c r="F75" s="43">
        <v>46240</v>
      </c>
    </row>
    <row r="76" spans="2:6" x14ac:dyDescent="0.3">
      <c r="B76" s="41">
        <v>43841</v>
      </c>
      <c r="C76" s="40" t="s">
        <v>120</v>
      </c>
      <c r="D76" s="40">
        <v>5</v>
      </c>
      <c r="E76" s="43">
        <v>170000</v>
      </c>
      <c r="F76" s="43">
        <v>57800.000000000007</v>
      </c>
    </row>
    <row r="77" spans="2:6" x14ac:dyDescent="0.3">
      <c r="B77" s="41">
        <v>43841</v>
      </c>
      <c r="C77" s="40" t="s">
        <v>53</v>
      </c>
      <c r="D77" s="40">
        <v>7</v>
      </c>
      <c r="E77" s="43">
        <v>238000</v>
      </c>
      <c r="F77" s="43">
        <v>80920</v>
      </c>
    </row>
    <row r="78" spans="2:6" x14ac:dyDescent="0.3">
      <c r="B78" s="41">
        <v>43841</v>
      </c>
      <c r="C78" s="40" t="s">
        <v>51</v>
      </c>
      <c r="D78" s="40">
        <v>16</v>
      </c>
      <c r="E78" s="43">
        <v>124800</v>
      </c>
      <c r="F78" s="43">
        <v>14976</v>
      </c>
    </row>
    <row r="79" spans="2:6" x14ac:dyDescent="0.3">
      <c r="B79" s="41">
        <v>43841</v>
      </c>
      <c r="C79" s="40" t="s">
        <v>115</v>
      </c>
      <c r="D79" s="40">
        <v>13</v>
      </c>
      <c r="E79" s="43">
        <v>442000</v>
      </c>
      <c r="F79" s="43">
        <v>150280</v>
      </c>
    </row>
    <row r="80" spans="2:6" x14ac:dyDescent="0.3">
      <c r="B80" s="41">
        <v>43841</v>
      </c>
      <c r="C80" s="40" t="s">
        <v>119</v>
      </c>
      <c r="D80" s="40">
        <v>10</v>
      </c>
      <c r="E80" s="43">
        <v>340000</v>
      </c>
      <c r="F80" s="43">
        <v>115600.00000000001</v>
      </c>
    </row>
    <row r="81" spans="2:6" x14ac:dyDescent="0.3">
      <c r="B81" s="41">
        <v>43842</v>
      </c>
      <c r="C81" s="40" t="s">
        <v>116</v>
      </c>
      <c r="D81" s="40">
        <v>3</v>
      </c>
      <c r="E81" s="43">
        <v>63000</v>
      </c>
      <c r="F81" s="43">
        <v>18900</v>
      </c>
    </row>
    <row r="82" spans="2:6" x14ac:dyDescent="0.3">
      <c r="B82" s="41">
        <v>43842</v>
      </c>
      <c r="C82" s="40" t="s">
        <v>119</v>
      </c>
      <c r="D82" s="40">
        <v>10</v>
      </c>
      <c r="E82" s="43">
        <v>340000</v>
      </c>
      <c r="F82" s="43">
        <v>115600.00000000001</v>
      </c>
    </row>
    <row r="83" spans="2:6" x14ac:dyDescent="0.3">
      <c r="B83" s="41">
        <v>43842</v>
      </c>
      <c r="C83" s="40" t="s">
        <v>111</v>
      </c>
      <c r="D83" s="40">
        <v>2</v>
      </c>
      <c r="E83" s="43">
        <v>126000</v>
      </c>
      <c r="F83" s="43">
        <v>22680</v>
      </c>
    </row>
    <row r="84" spans="2:6" x14ac:dyDescent="0.3">
      <c r="B84" s="41">
        <v>43842</v>
      </c>
      <c r="C84" s="40" t="s">
        <v>115</v>
      </c>
      <c r="D84" s="40">
        <v>5</v>
      </c>
      <c r="E84" s="43">
        <v>170000</v>
      </c>
      <c r="F84" s="43">
        <v>57800.000000000007</v>
      </c>
    </row>
    <row r="85" spans="2:6" x14ac:dyDescent="0.3">
      <c r="B85" s="41">
        <v>43842</v>
      </c>
      <c r="C85" s="40" t="s">
        <v>119</v>
      </c>
      <c r="D85" s="40">
        <v>16</v>
      </c>
      <c r="E85" s="43">
        <v>124800</v>
      </c>
      <c r="F85" s="43">
        <v>14976</v>
      </c>
    </row>
    <row r="86" spans="2:6" x14ac:dyDescent="0.3">
      <c r="B86" s="41">
        <v>43842</v>
      </c>
      <c r="C86" s="40" t="s">
        <v>120</v>
      </c>
      <c r="D86" s="40">
        <v>8</v>
      </c>
      <c r="E86" s="43">
        <v>272000</v>
      </c>
      <c r="F86" s="43">
        <v>92480</v>
      </c>
    </row>
    <row r="87" spans="2:6" x14ac:dyDescent="0.3">
      <c r="B87" s="41">
        <v>43842</v>
      </c>
      <c r="C87" s="40" t="s">
        <v>117</v>
      </c>
      <c r="D87" s="40">
        <v>2</v>
      </c>
      <c r="E87" s="43">
        <v>68000</v>
      </c>
      <c r="F87" s="43">
        <v>23120</v>
      </c>
    </row>
    <row r="88" spans="2:6" x14ac:dyDescent="0.3">
      <c r="B88" s="41">
        <v>43842</v>
      </c>
      <c r="C88" s="40" t="s">
        <v>119</v>
      </c>
      <c r="D88" s="40">
        <v>15</v>
      </c>
      <c r="E88" s="43">
        <v>945000</v>
      </c>
      <c r="F88" s="43">
        <v>170100</v>
      </c>
    </row>
    <row r="89" spans="2:6" x14ac:dyDescent="0.3">
      <c r="B89" s="41">
        <v>43842</v>
      </c>
      <c r="C89" s="40" t="s">
        <v>121</v>
      </c>
      <c r="D89" s="40">
        <v>14</v>
      </c>
      <c r="E89" s="43">
        <v>109200</v>
      </c>
      <c r="F89" s="43">
        <v>13104</v>
      </c>
    </row>
    <row r="90" spans="2:6" x14ac:dyDescent="0.3">
      <c r="B90" s="41">
        <v>43842</v>
      </c>
      <c r="C90" s="40" t="s">
        <v>118</v>
      </c>
      <c r="D90" s="40">
        <v>13</v>
      </c>
      <c r="E90" s="43">
        <v>273000</v>
      </c>
      <c r="F90" s="43">
        <v>81900</v>
      </c>
    </row>
    <row r="91" spans="2:6" x14ac:dyDescent="0.3">
      <c r="B91" s="41">
        <v>43843</v>
      </c>
      <c r="C91" s="40" t="s">
        <v>53</v>
      </c>
      <c r="D91" s="40">
        <v>6</v>
      </c>
      <c r="E91" s="43">
        <v>126000</v>
      </c>
      <c r="F91" s="43">
        <v>37800</v>
      </c>
    </row>
    <row r="92" spans="2:6" x14ac:dyDescent="0.3">
      <c r="B92" s="41">
        <v>43843</v>
      </c>
      <c r="C92" s="40" t="s">
        <v>111</v>
      </c>
      <c r="D92" s="40">
        <v>7</v>
      </c>
      <c r="E92" s="43">
        <v>54600</v>
      </c>
      <c r="F92" s="43">
        <v>6552</v>
      </c>
    </row>
    <row r="93" spans="2:6" x14ac:dyDescent="0.3">
      <c r="B93" s="41">
        <v>43843</v>
      </c>
      <c r="C93" s="40" t="s">
        <v>51</v>
      </c>
      <c r="D93" s="40">
        <v>8</v>
      </c>
      <c r="E93" s="43">
        <v>504000</v>
      </c>
      <c r="F93" s="43">
        <v>90720</v>
      </c>
    </row>
    <row r="94" spans="2:6" x14ac:dyDescent="0.3">
      <c r="B94" s="41">
        <v>43843</v>
      </c>
      <c r="C94" s="40" t="s">
        <v>115</v>
      </c>
      <c r="D94" s="40">
        <v>16</v>
      </c>
      <c r="E94" s="43">
        <v>336000</v>
      </c>
      <c r="F94" s="43">
        <v>100800</v>
      </c>
    </row>
    <row r="95" spans="2:6" x14ac:dyDescent="0.3">
      <c r="B95" s="41">
        <v>43843</v>
      </c>
      <c r="C95" s="40" t="s">
        <v>121</v>
      </c>
      <c r="D95" s="40">
        <v>16</v>
      </c>
      <c r="E95" s="43">
        <v>1008000</v>
      </c>
      <c r="F95" s="43">
        <v>181440</v>
      </c>
    </row>
    <row r="96" spans="2:6" x14ac:dyDescent="0.3">
      <c r="B96" s="41">
        <v>43843</v>
      </c>
      <c r="C96" s="40" t="s">
        <v>115</v>
      </c>
      <c r="D96" s="40">
        <v>13</v>
      </c>
      <c r="E96" s="43">
        <v>273000</v>
      </c>
      <c r="F96" s="43">
        <v>81900</v>
      </c>
    </row>
    <row r="97" spans="2:6" x14ac:dyDescent="0.3">
      <c r="B97" s="41">
        <v>43844</v>
      </c>
      <c r="C97" s="40" t="s">
        <v>118</v>
      </c>
      <c r="D97" s="40">
        <v>14</v>
      </c>
      <c r="E97" s="43">
        <v>294000</v>
      </c>
      <c r="F97" s="43">
        <v>88200</v>
      </c>
    </row>
    <row r="98" spans="2:6" x14ac:dyDescent="0.3">
      <c r="B98" s="41">
        <v>43844</v>
      </c>
      <c r="C98" s="40" t="s">
        <v>111</v>
      </c>
      <c r="D98" s="40">
        <v>9</v>
      </c>
      <c r="E98" s="43">
        <v>70200</v>
      </c>
      <c r="F98" s="43">
        <v>8424</v>
      </c>
    </row>
    <row r="99" spans="2:6" x14ac:dyDescent="0.3">
      <c r="B99" s="41">
        <v>43844</v>
      </c>
      <c r="C99" s="40" t="s">
        <v>118</v>
      </c>
      <c r="D99" s="40">
        <v>6</v>
      </c>
      <c r="E99" s="43">
        <v>46800</v>
      </c>
      <c r="F99" s="43">
        <v>5616</v>
      </c>
    </row>
    <row r="100" spans="2:6" x14ac:dyDescent="0.3">
      <c r="B100" s="41">
        <v>43844</v>
      </c>
      <c r="C100" s="40" t="s">
        <v>121</v>
      </c>
      <c r="D100" s="40">
        <v>16</v>
      </c>
      <c r="E100" s="43">
        <v>1008000</v>
      </c>
      <c r="F100" s="43">
        <v>181440</v>
      </c>
    </row>
    <row r="101" spans="2:6" x14ac:dyDescent="0.3">
      <c r="B101" s="41">
        <v>43844</v>
      </c>
      <c r="C101" s="40" t="s">
        <v>120</v>
      </c>
      <c r="D101" s="40">
        <v>16</v>
      </c>
      <c r="E101" s="43">
        <v>1008000</v>
      </c>
      <c r="F101" s="43">
        <v>181440</v>
      </c>
    </row>
    <row r="102" spans="2:6" x14ac:dyDescent="0.3">
      <c r="B102" s="41">
        <v>43845</v>
      </c>
      <c r="C102" s="40" t="s">
        <v>118</v>
      </c>
      <c r="D102" s="40">
        <v>10</v>
      </c>
      <c r="E102" s="43">
        <v>340000</v>
      </c>
      <c r="F102" s="43">
        <v>115600.00000000001</v>
      </c>
    </row>
    <row r="103" spans="2:6" x14ac:dyDescent="0.3">
      <c r="B103" s="41">
        <v>43845</v>
      </c>
      <c r="C103" s="40" t="s">
        <v>115</v>
      </c>
      <c r="D103" s="40">
        <v>6</v>
      </c>
      <c r="E103" s="43">
        <v>46800</v>
      </c>
      <c r="F103" s="43">
        <v>5616</v>
      </c>
    </row>
    <row r="104" spans="2:6" x14ac:dyDescent="0.3">
      <c r="B104" s="41">
        <v>43846</v>
      </c>
      <c r="C104" s="40" t="s">
        <v>115</v>
      </c>
      <c r="D104" s="40">
        <v>4</v>
      </c>
      <c r="E104" s="43">
        <v>31200</v>
      </c>
      <c r="F104" s="43">
        <v>3744</v>
      </c>
    </row>
    <row r="105" spans="2:6" x14ac:dyDescent="0.3">
      <c r="B105" s="41">
        <v>43846</v>
      </c>
      <c r="C105" s="40" t="s">
        <v>118</v>
      </c>
      <c r="D105" s="40">
        <v>1</v>
      </c>
      <c r="E105" s="43">
        <v>21000</v>
      </c>
      <c r="F105" s="43">
        <v>6300</v>
      </c>
    </row>
    <row r="106" spans="2:6" x14ac:dyDescent="0.3">
      <c r="B106" s="41">
        <v>43846</v>
      </c>
      <c r="C106" s="40" t="s">
        <v>112</v>
      </c>
      <c r="D106" s="40">
        <v>15</v>
      </c>
      <c r="E106" s="43">
        <v>315000</v>
      </c>
      <c r="F106" s="43">
        <v>94500</v>
      </c>
    </row>
    <row r="107" spans="2:6" x14ac:dyDescent="0.3">
      <c r="B107" s="41">
        <v>43846</v>
      </c>
      <c r="C107" s="40" t="s">
        <v>53</v>
      </c>
      <c r="D107" s="40">
        <v>11</v>
      </c>
      <c r="E107" s="43">
        <v>693000</v>
      </c>
      <c r="F107" s="43">
        <v>124740</v>
      </c>
    </row>
    <row r="108" spans="2:6" x14ac:dyDescent="0.3">
      <c r="B108" s="41">
        <v>43846</v>
      </c>
      <c r="C108" s="40" t="s">
        <v>117</v>
      </c>
      <c r="D108" s="40">
        <v>2</v>
      </c>
      <c r="E108" s="43">
        <v>126000</v>
      </c>
      <c r="F108" s="43">
        <v>22680</v>
      </c>
    </row>
    <row r="109" spans="2:6" x14ac:dyDescent="0.3">
      <c r="B109" s="41">
        <v>43846</v>
      </c>
      <c r="C109" s="40" t="s">
        <v>113</v>
      </c>
      <c r="D109" s="40">
        <v>17</v>
      </c>
      <c r="E109" s="43">
        <v>1071000</v>
      </c>
      <c r="F109" s="43">
        <v>192780</v>
      </c>
    </row>
    <row r="110" spans="2:6" x14ac:dyDescent="0.3">
      <c r="B110" s="41">
        <v>43846</v>
      </c>
      <c r="C110" s="40" t="s">
        <v>120</v>
      </c>
      <c r="D110" s="40">
        <v>16</v>
      </c>
      <c r="E110" s="43">
        <v>336000</v>
      </c>
      <c r="F110" s="43">
        <v>100800</v>
      </c>
    </row>
    <row r="111" spans="2:6" x14ac:dyDescent="0.3">
      <c r="B111" s="41">
        <v>43846</v>
      </c>
      <c r="C111" s="40" t="s">
        <v>51</v>
      </c>
      <c r="D111" s="40">
        <v>6</v>
      </c>
      <c r="E111" s="43">
        <v>378000</v>
      </c>
      <c r="F111" s="43">
        <v>68040</v>
      </c>
    </row>
    <row r="112" spans="2:6" x14ac:dyDescent="0.3">
      <c r="B112" s="41">
        <v>43847</v>
      </c>
      <c r="C112" s="40" t="s">
        <v>112</v>
      </c>
      <c r="D112" s="40">
        <v>8</v>
      </c>
      <c r="E112" s="43">
        <v>62400</v>
      </c>
      <c r="F112" s="43">
        <v>7488</v>
      </c>
    </row>
    <row r="113" spans="2:6" x14ac:dyDescent="0.3">
      <c r="B113" s="41">
        <v>43847</v>
      </c>
      <c r="C113" s="40" t="s">
        <v>115</v>
      </c>
      <c r="D113" s="40">
        <v>10</v>
      </c>
      <c r="E113" s="43">
        <v>630000</v>
      </c>
      <c r="F113" s="43">
        <v>113400</v>
      </c>
    </row>
    <row r="114" spans="2:6" x14ac:dyDescent="0.3">
      <c r="B114" s="41">
        <v>43847</v>
      </c>
      <c r="C114" s="40" t="s">
        <v>117</v>
      </c>
      <c r="D114" s="40">
        <v>2</v>
      </c>
      <c r="E114" s="43">
        <v>42000</v>
      </c>
      <c r="F114" s="43">
        <v>12600</v>
      </c>
    </row>
    <row r="115" spans="2:6" x14ac:dyDescent="0.3">
      <c r="B115" s="41">
        <v>43847</v>
      </c>
      <c r="C115" s="40" t="s">
        <v>114</v>
      </c>
      <c r="D115" s="40">
        <v>4</v>
      </c>
      <c r="E115" s="43">
        <v>31200</v>
      </c>
      <c r="F115" s="43">
        <v>3744</v>
      </c>
    </row>
    <row r="116" spans="2:6" x14ac:dyDescent="0.3">
      <c r="B116" s="41">
        <v>43847</v>
      </c>
      <c r="C116" s="40" t="s">
        <v>116</v>
      </c>
      <c r="D116" s="40">
        <v>2</v>
      </c>
      <c r="E116" s="43">
        <v>68000</v>
      </c>
      <c r="F116" s="43">
        <v>23120</v>
      </c>
    </row>
    <row r="117" spans="2:6" x14ac:dyDescent="0.3">
      <c r="B117" s="41">
        <v>43847</v>
      </c>
      <c r="C117" s="40" t="s">
        <v>52</v>
      </c>
      <c r="D117" s="40">
        <v>3</v>
      </c>
      <c r="E117" s="43">
        <v>102000</v>
      </c>
      <c r="F117" s="43">
        <v>34680</v>
      </c>
    </row>
    <row r="118" spans="2:6" x14ac:dyDescent="0.3">
      <c r="B118" s="41">
        <v>43847</v>
      </c>
      <c r="C118" s="40" t="s">
        <v>53</v>
      </c>
      <c r="D118" s="40">
        <v>13</v>
      </c>
      <c r="E118" s="43">
        <v>273000</v>
      </c>
      <c r="F118" s="43">
        <v>81900</v>
      </c>
    </row>
    <row r="119" spans="2:6" x14ac:dyDescent="0.3">
      <c r="B119" s="41">
        <v>43847</v>
      </c>
      <c r="C119" s="40" t="s">
        <v>117</v>
      </c>
      <c r="D119" s="40">
        <v>10</v>
      </c>
      <c r="E119" s="43">
        <v>210000</v>
      </c>
      <c r="F119" s="43">
        <v>63000</v>
      </c>
    </row>
    <row r="120" spans="2:6" x14ac:dyDescent="0.3">
      <c r="B120" s="41">
        <v>43848</v>
      </c>
      <c r="C120" s="40" t="s">
        <v>117</v>
      </c>
      <c r="D120" s="40">
        <v>14</v>
      </c>
      <c r="E120" s="43">
        <v>109200</v>
      </c>
      <c r="F120" s="43">
        <v>13104</v>
      </c>
    </row>
    <row r="121" spans="2:6" x14ac:dyDescent="0.3">
      <c r="B121" s="41">
        <v>43848</v>
      </c>
      <c r="C121" s="40" t="s">
        <v>114</v>
      </c>
      <c r="D121" s="40">
        <v>4</v>
      </c>
      <c r="E121" s="43">
        <v>31200</v>
      </c>
      <c r="F121" s="43">
        <v>3744</v>
      </c>
    </row>
    <row r="122" spans="2:6" x14ac:dyDescent="0.3">
      <c r="B122" s="41">
        <v>43848</v>
      </c>
      <c r="C122" s="40" t="s">
        <v>114</v>
      </c>
      <c r="D122" s="40">
        <v>2</v>
      </c>
      <c r="E122" s="43">
        <v>42000</v>
      </c>
      <c r="F122" s="43">
        <v>12600</v>
      </c>
    </row>
    <row r="123" spans="2:6" x14ac:dyDescent="0.3">
      <c r="B123" s="41">
        <v>43848</v>
      </c>
      <c r="C123" s="40" t="s">
        <v>119</v>
      </c>
      <c r="D123" s="40">
        <v>3</v>
      </c>
      <c r="E123" s="43">
        <v>189000</v>
      </c>
      <c r="F123" s="43">
        <v>34020</v>
      </c>
    </row>
    <row r="124" spans="2:6" x14ac:dyDescent="0.3">
      <c r="B124" s="41">
        <v>43848</v>
      </c>
      <c r="C124" s="40" t="s">
        <v>113</v>
      </c>
      <c r="D124" s="40">
        <v>11</v>
      </c>
      <c r="E124" s="43">
        <v>374000</v>
      </c>
      <c r="F124" s="43">
        <v>127160.00000000001</v>
      </c>
    </row>
    <row r="125" spans="2:6" x14ac:dyDescent="0.3">
      <c r="B125" s="41">
        <v>43849</v>
      </c>
      <c r="C125" s="40" t="s">
        <v>116</v>
      </c>
      <c r="D125" s="40">
        <v>13</v>
      </c>
      <c r="E125" s="43">
        <v>101400</v>
      </c>
      <c r="F125" s="43">
        <v>12168</v>
      </c>
    </row>
    <row r="126" spans="2:6" x14ac:dyDescent="0.3">
      <c r="B126" s="41">
        <v>43849</v>
      </c>
      <c r="C126" s="40" t="s">
        <v>116</v>
      </c>
      <c r="D126" s="40">
        <v>17</v>
      </c>
      <c r="E126" s="43">
        <v>132600</v>
      </c>
      <c r="F126" s="43">
        <v>15912</v>
      </c>
    </row>
    <row r="127" spans="2:6" x14ac:dyDescent="0.3">
      <c r="B127" s="41">
        <v>43849</v>
      </c>
      <c r="C127" s="40" t="s">
        <v>117</v>
      </c>
      <c r="D127" s="40">
        <v>3</v>
      </c>
      <c r="E127" s="43">
        <v>102000</v>
      </c>
      <c r="F127" s="43">
        <v>34680</v>
      </c>
    </row>
    <row r="128" spans="2:6" x14ac:dyDescent="0.3">
      <c r="B128" s="41">
        <v>43850</v>
      </c>
      <c r="C128" s="40" t="s">
        <v>111</v>
      </c>
      <c r="D128" s="40">
        <v>6</v>
      </c>
      <c r="E128" s="43">
        <v>126000</v>
      </c>
      <c r="F128" s="43">
        <v>37800</v>
      </c>
    </row>
    <row r="129" spans="2:6" x14ac:dyDescent="0.3">
      <c r="B129" s="41">
        <v>43850</v>
      </c>
      <c r="C129" s="40" t="s">
        <v>112</v>
      </c>
      <c r="D129" s="40">
        <v>17</v>
      </c>
      <c r="E129" s="43">
        <v>357000</v>
      </c>
      <c r="F129" s="43">
        <v>107100</v>
      </c>
    </row>
    <row r="130" spans="2:6" x14ac:dyDescent="0.3">
      <c r="B130" s="41">
        <v>43850</v>
      </c>
      <c r="C130" s="40" t="s">
        <v>115</v>
      </c>
      <c r="D130" s="40">
        <v>4</v>
      </c>
      <c r="E130" s="43">
        <v>136000</v>
      </c>
      <c r="F130" s="43">
        <v>46240</v>
      </c>
    </row>
    <row r="131" spans="2:6" x14ac:dyDescent="0.3">
      <c r="B131" s="41">
        <v>43851</v>
      </c>
      <c r="C131" s="40" t="s">
        <v>115</v>
      </c>
      <c r="D131" s="40">
        <v>2</v>
      </c>
      <c r="E131" s="43">
        <v>68000</v>
      </c>
      <c r="F131" s="43">
        <v>23120</v>
      </c>
    </row>
    <row r="132" spans="2:6" x14ac:dyDescent="0.3">
      <c r="B132" s="41">
        <v>43851</v>
      </c>
      <c r="C132" s="40" t="s">
        <v>111</v>
      </c>
      <c r="D132" s="40">
        <v>15</v>
      </c>
      <c r="E132" s="43">
        <v>510000</v>
      </c>
      <c r="F132" s="43">
        <v>173400</v>
      </c>
    </row>
    <row r="133" spans="2:6" x14ac:dyDescent="0.3">
      <c r="B133" s="41">
        <v>43851</v>
      </c>
      <c r="C133" s="40" t="s">
        <v>114</v>
      </c>
      <c r="D133" s="40">
        <v>13</v>
      </c>
      <c r="E133" s="43">
        <v>819000</v>
      </c>
      <c r="F133" s="43">
        <v>147420</v>
      </c>
    </row>
    <row r="134" spans="2:6" x14ac:dyDescent="0.3">
      <c r="B134" s="41">
        <v>43851</v>
      </c>
      <c r="C134" s="40" t="s">
        <v>120</v>
      </c>
      <c r="D134" s="40">
        <v>7</v>
      </c>
      <c r="E134" s="43">
        <v>147000</v>
      </c>
      <c r="F134" s="43">
        <v>44100</v>
      </c>
    </row>
    <row r="135" spans="2:6" x14ac:dyDescent="0.3">
      <c r="B135" s="41">
        <v>43852</v>
      </c>
      <c r="C135" s="40" t="s">
        <v>111</v>
      </c>
      <c r="D135" s="40">
        <v>2</v>
      </c>
      <c r="E135" s="43">
        <v>15600</v>
      </c>
      <c r="F135" s="43">
        <v>1872</v>
      </c>
    </row>
    <row r="136" spans="2:6" x14ac:dyDescent="0.3">
      <c r="B136" s="41">
        <v>43852</v>
      </c>
      <c r="C136" s="40" t="s">
        <v>114</v>
      </c>
      <c r="D136" s="40">
        <v>14</v>
      </c>
      <c r="E136" s="43">
        <v>109200</v>
      </c>
      <c r="F136" s="43">
        <v>13104</v>
      </c>
    </row>
    <row r="137" spans="2:6" x14ac:dyDescent="0.3">
      <c r="B137" s="41">
        <v>43852</v>
      </c>
      <c r="C137" s="40" t="s">
        <v>114</v>
      </c>
      <c r="D137" s="40">
        <v>1</v>
      </c>
      <c r="E137" s="43">
        <v>63000</v>
      </c>
      <c r="F137" s="43">
        <v>11340</v>
      </c>
    </row>
    <row r="138" spans="2:6" x14ac:dyDescent="0.3">
      <c r="B138" s="41">
        <v>43852</v>
      </c>
      <c r="C138" s="40" t="s">
        <v>113</v>
      </c>
      <c r="D138" s="40">
        <v>17</v>
      </c>
      <c r="E138" s="43">
        <v>1071000</v>
      </c>
      <c r="F138" s="43">
        <v>192780</v>
      </c>
    </row>
    <row r="139" spans="2:6" x14ac:dyDescent="0.3">
      <c r="B139" s="41">
        <v>43852</v>
      </c>
      <c r="C139" s="40" t="s">
        <v>112</v>
      </c>
      <c r="D139" s="40">
        <v>3</v>
      </c>
      <c r="E139" s="43">
        <v>23400</v>
      </c>
      <c r="F139" s="43">
        <v>2808</v>
      </c>
    </row>
    <row r="140" spans="2:6" x14ac:dyDescent="0.3">
      <c r="B140" s="41">
        <v>43852</v>
      </c>
      <c r="C140" s="40" t="s">
        <v>116</v>
      </c>
      <c r="D140" s="40">
        <v>6</v>
      </c>
      <c r="E140" s="43">
        <v>204000</v>
      </c>
      <c r="F140" s="43">
        <v>69360</v>
      </c>
    </row>
    <row r="141" spans="2:6" x14ac:dyDescent="0.3">
      <c r="B141" s="41">
        <v>43852</v>
      </c>
      <c r="C141" s="40" t="s">
        <v>112</v>
      </c>
      <c r="D141" s="40">
        <v>17</v>
      </c>
      <c r="E141" s="43">
        <v>357000</v>
      </c>
      <c r="F141" s="43">
        <v>107100</v>
      </c>
    </row>
    <row r="142" spans="2:6" x14ac:dyDescent="0.3">
      <c r="B142" s="41">
        <v>43853</v>
      </c>
      <c r="C142" s="40" t="s">
        <v>115</v>
      </c>
      <c r="D142" s="40">
        <v>7</v>
      </c>
      <c r="E142" s="43">
        <v>238000</v>
      </c>
      <c r="F142" s="43">
        <v>80920</v>
      </c>
    </row>
    <row r="143" spans="2:6" x14ac:dyDescent="0.3">
      <c r="B143" s="41">
        <v>43853</v>
      </c>
      <c r="C143" s="40" t="s">
        <v>115</v>
      </c>
      <c r="D143" s="40">
        <v>1</v>
      </c>
      <c r="E143" s="43">
        <v>34000</v>
      </c>
      <c r="F143" s="43">
        <v>11560</v>
      </c>
    </row>
    <row r="144" spans="2:6" x14ac:dyDescent="0.3">
      <c r="B144" s="41">
        <v>43853</v>
      </c>
      <c r="C144" s="40" t="s">
        <v>117</v>
      </c>
      <c r="D144" s="40">
        <v>9</v>
      </c>
      <c r="E144" s="43">
        <v>567000</v>
      </c>
      <c r="F144" s="43">
        <v>102060</v>
      </c>
    </row>
    <row r="145" spans="2:6" x14ac:dyDescent="0.3">
      <c r="B145" s="41">
        <v>43853</v>
      </c>
      <c r="C145" s="40" t="s">
        <v>113</v>
      </c>
      <c r="D145" s="40">
        <v>12</v>
      </c>
      <c r="E145" s="43">
        <v>93600</v>
      </c>
      <c r="F145" s="43">
        <v>11232</v>
      </c>
    </row>
    <row r="146" spans="2:6" x14ac:dyDescent="0.3">
      <c r="B146" s="41">
        <v>43853</v>
      </c>
      <c r="C146" s="40" t="s">
        <v>111</v>
      </c>
      <c r="D146" s="40">
        <v>8</v>
      </c>
      <c r="E146" s="43">
        <v>272000</v>
      </c>
      <c r="F146" s="43">
        <v>92480</v>
      </c>
    </row>
    <row r="147" spans="2:6" x14ac:dyDescent="0.3">
      <c r="B147" s="41">
        <v>43854</v>
      </c>
      <c r="C147" s="40" t="s">
        <v>111</v>
      </c>
      <c r="D147" s="40">
        <v>15</v>
      </c>
      <c r="E147" s="43">
        <v>510000</v>
      </c>
      <c r="F147" s="43">
        <v>173400</v>
      </c>
    </row>
    <row r="148" spans="2:6" x14ac:dyDescent="0.3">
      <c r="B148" s="41">
        <v>43854</v>
      </c>
      <c r="C148" s="40" t="s">
        <v>112</v>
      </c>
      <c r="D148" s="40">
        <v>13</v>
      </c>
      <c r="E148" s="43">
        <v>273000</v>
      </c>
      <c r="F148" s="43">
        <v>81900</v>
      </c>
    </row>
    <row r="149" spans="2:6" x14ac:dyDescent="0.3">
      <c r="B149" s="41">
        <v>43855</v>
      </c>
      <c r="C149" s="40" t="s">
        <v>120</v>
      </c>
      <c r="D149" s="40">
        <v>14</v>
      </c>
      <c r="E149" s="43">
        <v>882000</v>
      </c>
      <c r="F149" s="43">
        <v>158760</v>
      </c>
    </row>
    <row r="150" spans="2:6" x14ac:dyDescent="0.3">
      <c r="B150" s="41">
        <v>43855</v>
      </c>
      <c r="C150" s="40" t="s">
        <v>119</v>
      </c>
      <c r="D150" s="40">
        <v>4</v>
      </c>
      <c r="E150" s="43">
        <v>136000</v>
      </c>
      <c r="F150" s="43">
        <v>46240</v>
      </c>
    </row>
    <row r="151" spans="2:6" x14ac:dyDescent="0.3">
      <c r="B151" s="41">
        <v>43855</v>
      </c>
      <c r="C151" s="40" t="s">
        <v>115</v>
      </c>
      <c r="D151" s="40">
        <v>7</v>
      </c>
      <c r="E151" s="43">
        <v>147000</v>
      </c>
      <c r="F151" s="43">
        <v>44100</v>
      </c>
    </row>
    <row r="152" spans="2:6" x14ac:dyDescent="0.3">
      <c r="B152" s="41">
        <v>43855</v>
      </c>
      <c r="C152" s="40" t="s">
        <v>114</v>
      </c>
      <c r="D152" s="40">
        <v>13</v>
      </c>
      <c r="E152" s="43">
        <v>101400</v>
      </c>
      <c r="F152" s="43">
        <v>12168</v>
      </c>
    </row>
    <row r="153" spans="2:6" x14ac:dyDescent="0.3">
      <c r="B153" s="41">
        <v>43855</v>
      </c>
      <c r="C153" s="40" t="s">
        <v>115</v>
      </c>
      <c r="D153" s="40">
        <v>10</v>
      </c>
      <c r="E153" s="43">
        <v>78000</v>
      </c>
      <c r="F153" s="43">
        <v>9360</v>
      </c>
    </row>
    <row r="154" spans="2:6" x14ac:dyDescent="0.3">
      <c r="B154" s="41">
        <v>43855</v>
      </c>
      <c r="C154" s="40" t="s">
        <v>121</v>
      </c>
      <c r="D154" s="40">
        <v>4</v>
      </c>
      <c r="E154" s="43">
        <v>136000</v>
      </c>
      <c r="F154" s="43">
        <v>46240</v>
      </c>
    </row>
    <row r="155" spans="2:6" x14ac:dyDescent="0.3">
      <c r="B155" s="41">
        <v>43855</v>
      </c>
      <c r="C155" s="40" t="s">
        <v>121</v>
      </c>
      <c r="D155" s="40">
        <v>14</v>
      </c>
      <c r="E155" s="43">
        <v>476000</v>
      </c>
      <c r="F155" s="43">
        <v>161840</v>
      </c>
    </row>
    <row r="156" spans="2:6" x14ac:dyDescent="0.3">
      <c r="B156" s="41">
        <v>43855</v>
      </c>
      <c r="C156" s="40" t="s">
        <v>113</v>
      </c>
      <c r="D156" s="40">
        <v>7</v>
      </c>
      <c r="E156" s="43">
        <v>147000</v>
      </c>
      <c r="F156" s="43">
        <v>44100</v>
      </c>
    </row>
    <row r="157" spans="2:6" x14ac:dyDescent="0.3">
      <c r="B157" s="41">
        <v>43855</v>
      </c>
      <c r="C157" s="40" t="s">
        <v>52</v>
      </c>
      <c r="D157" s="40">
        <v>2</v>
      </c>
      <c r="E157" s="43">
        <v>42000</v>
      </c>
      <c r="F157" s="43">
        <v>12600</v>
      </c>
    </row>
    <row r="158" spans="2:6" x14ac:dyDescent="0.3">
      <c r="B158" s="41">
        <v>43855</v>
      </c>
      <c r="C158" s="40" t="s">
        <v>53</v>
      </c>
      <c r="D158" s="40">
        <v>5</v>
      </c>
      <c r="E158" s="43">
        <v>170000</v>
      </c>
      <c r="F158" s="43">
        <v>57800.000000000007</v>
      </c>
    </row>
    <row r="159" spans="2:6" x14ac:dyDescent="0.3">
      <c r="B159" s="41">
        <v>43856</v>
      </c>
      <c r="C159" s="40" t="s">
        <v>115</v>
      </c>
      <c r="D159" s="40">
        <v>13</v>
      </c>
      <c r="E159" s="43">
        <v>273000</v>
      </c>
      <c r="F159" s="43">
        <v>81900</v>
      </c>
    </row>
    <row r="160" spans="2:6" x14ac:dyDescent="0.3">
      <c r="B160" s="41">
        <v>43856</v>
      </c>
      <c r="C160" s="40" t="s">
        <v>112</v>
      </c>
      <c r="D160" s="40">
        <v>8</v>
      </c>
      <c r="E160" s="43">
        <v>504000</v>
      </c>
      <c r="F160" s="43">
        <v>90720</v>
      </c>
    </row>
    <row r="161" spans="2:6" x14ac:dyDescent="0.3">
      <c r="B161" s="41">
        <v>43856</v>
      </c>
      <c r="C161" s="40" t="s">
        <v>52</v>
      </c>
      <c r="D161" s="40">
        <v>14</v>
      </c>
      <c r="E161" s="43">
        <v>294000</v>
      </c>
      <c r="F161" s="43">
        <v>88200</v>
      </c>
    </row>
    <row r="162" spans="2:6" x14ac:dyDescent="0.3">
      <c r="B162" s="41">
        <v>43856</v>
      </c>
      <c r="C162" s="40" t="s">
        <v>51</v>
      </c>
      <c r="D162" s="40">
        <v>7</v>
      </c>
      <c r="E162" s="43">
        <v>54600</v>
      </c>
      <c r="F162" s="43">
        <v>6552</v>
      </c>
    </row>
    <row r="163" spans="2:6" x14ac:dyDescent="0.3">
      <c r="B163" s="41">
        <v>43856</v>
      </c>
      <c r="C163" s="40" t="s">
        <v>120</v>
      </c>
      <c r="D163" s="40">
        <v>9</v>
      </c>
      <c r="E163" s="43">
        <v>189000</v>
      </c>
      <c r="F163" s="43">
        <v>56700</v>
      </c>
    </row>
    <row r="164" spans="2:6" x14ac:dyDescent="0.3">
      <c r="B164" s="41">
        <v>43857</v>
      </c>
      <c r="C164" s="40" t="s">
        <v>118</v>
      </c>
      <c r="D164" s="40">
        <v>12</v>
      </c>
      <c r="E164" s="43">
        <v>408000</v>
      </c>
      <c r="F164" s="43">
        <v>138720</v>
      </c>
    </row>
    <row r="165" spans="2:6" x14ac:dyDescent="0.3">
      <c r="B165" s="41">
        <v>43857</v>
      </c>
      <c r="C165" s="40" t="s">
        <v>52</v>
      </c>
      <c r="D165" s="40">
        <v>8</v>
      </c>
      <c r="E165" s="43">
        <v>272000</v>
      </c>
      <c r="F165" s="43">
        <v>92480</v>
      </c>
    </row>
    <row r="166" spans="2:6" x14ac:dyDescent="0.3">
      <c r="B166" s="41">
        <v>43857</v>
      </c>
      <c r="C166" s="40" t="s">
        <v>114</v>
      </c>
      <c r="D166" s="40">
        <v>11</v>
      </c>
      <c r="E166" s="43">
        <v>231000</v>
      </c>
      <c r="F166" s="43">
        <v>69300</v>
      </c>
    </row>
    <row r="167" spans="2:6" x14ac:dyDescent="0.3">
      <c r="B167" s="41">
        <v>43857</v>
      </c>
      <c r="C167" s="40" t="s">
        <v>116</v>
      </c>
      <c r="D167" s="40">
        <v>8</v>
      </c>
      <c r="E167" s="43">
        <v>168000</v>
      </c>
      <c r="F167" s="43">
        <v>50400</v>
      </c>
    </row>
    <row r="168" spans="2:6" x14ac:dyDescent="0.3">
      <c r="B168" s="41">
        <v>43857</v>
      </c>
      <c r="C168" s="40" t="s">
        <v>115</v>
      </c>
      <c r="D168" s="40">
        <v>14</v>
      </c>
      <c r="E168" s="43">
        <v>476000</v>
      </c>
      <c r="F168" s="43">
        <v>161840</v>
      </c>
    </row>
    <row r="169" spans="2:6" x14ac:dyDescent="0.3">
      <c r="B169" s="41">
        <v>43857</v>
      </c>
      <c r="C169" s="40" t="s">
        <v>116</v>
      </c>
      <c r="D169" s="40">
        <v>10</v>
      </c>
      <c r="E169" s="43">
        <v>340000</v>
      </c>
      <c r="F169" s="43">
        <v>115600.00000000001</v>
      </c>
    </row>
    <row r="170" spans="2:6" x14ac:dyDescent="0.3">
      <c r="B170" s="41">
        <v>43858</v>
      </c>
      <c r="C170" s="40" t="s">
        <v>52</v>
      </c>
      <c r="D170" s="40">
        <v>1</v>
      </c>
      <c r="E170" s="43">
        <v>7800</v>
      </c>
      <c r="F170" s="43">
        <v>936</v>
      </c>
    </row>
    <row r="171" spans="2:6" x14ac:dyDescent="0.3">
      <c r="B171" s="41">
        <v>43858</v>
      </c>
      <c r="C171" s="40" t="s">
        <v>112</v>
      </c>
      <c r="D171" s="40">
        <v>13</v>
      </c>
      <c r="E171" s="43">
        <v>442000</v>
      </c>
      <c r="F171" s="43">
        <v>150280</v>
      </c>
    </row>
    <row r="172" spans="2:6" x14ac:dyDescent="0.3">
      <c r="B172" s="41">
        <v>43858</v>
      </c>
      <c r="C172" s="40" t="s">
        <v>116</v>
      </c>
      <c r="D172" s="40">
        <v>5</v>
      </c>
      <c r="E172" s="43">
        <v>315000</v>
      </c>
      <c r="F172" s="43">
        <v>56700</v>
      </c>
    </row>
    <row r="173" spans="2:6" x14ac:dyDescent="0.3">
      <c r="B173" s="41">
        <v>43858</v>
      </c>
      <c r="C173" s="40" t="s">
        <v>53</v>
      </c>
      <c r="D173" s="40">
        <v>15</v>
      </c>
      <c r="E173" s="43">
        <v>510000</v>
      </c>
      <c r="F173" s="43">
        <v>173400</v>
      </c>
    </row>
    <row r="174" spans="2:6" x14ac:dyDescent="0.3">
      <c r="B174" s="41">
        <v>43858</v>
      </c>
      <c r="C174" s="40" t="s">
        <v>119</v>
      </c>
      <c r="D174" s="40">
        <v>15</v>
      </c>
      <c r="E174" s="43">
        <v>510000</v>
      </c>
      <c r="F174" s="43">
        <v>173400</v>
      </c>
    </row>
    <row r="175" spans="2:6" x14ac:dyDescent="0.3">
      <c r="B175" s="41">
        <v>43858</v>
      </c>
      <c r="C175" s="40" t="s">
        <v>121</v>
      </c>
      <c r="D175" s="40">
        <v>14</v>
      </c>
      <c r="E175" s="43">
        <v>294000</v>
      </c>
      <c r="F175" s="43">
        <v>88200</v>
      </c>
    </row>
    <row r="176" spans="2:6" x14ac:dyDescent="0.3">
      <c r="B176" s="41">
        <v>43858</v>
      </c>
      <c r="C176" s="40" t="s">
        <v>115</v>
      </c>
      <c r="D176" s="40">
        <v>17</v>
      </c>
      <c r="E176" s="43">
        <v>1071000</v>
      </c>
      <c r="F176" s="43">
        <v>192780</v>
      </c>
    </row>
    <row r="177" spans="2:6" x14ac:dyDescent="0.3">
      <c r="B177" s="41">
        <v>43858</v>
      </c>
      <c r="C177" s="40" t="s">
        <v>111</v>
      </c>
      <c r="D177" s="40">
        <v>6</v>
      </c>
      <c r="E177" s="43">
        <v>204000</v>
      </c>
      <c r="F177" s="43">
        <v>69360</v>
      </c>
    </row>
    <row r="178" spans="2:6" x14ac:dyDescent="0.3">
      <c r="B178" s="41">
        <v>43858</v>
      </c>
      <c r="C178" s="40" t="s">
        <v>114</v>
      </c>
      <c r="D178" s="40">
        <v>16</v>
      </c>
      <c r="E178" s="43">
        <v>336000</v>
      </c>
      <c r="F178" s="43">
        <v>100800</v>
      </c>
    </row>
    <row r="179" spans="2:6" x14ac:dyDescent="0.3">
      <c r="B179" s="41">
        <v>43858</v>
      </c>
      <c r="C179" s="40" t="s">
        <v>51</v>
      </c>
      <c r="D179" s="40">
        <v>2</v>
      </c>
      <c r="E179" s="43">
        <v>42000</v>
      </c>
      <c r="F179" s="43">
        <v>12600</v>
      </c>
    </row>
    <row r="180" spans="2:6" x14ac:dyDescent="0.3">
      <c r="B180" s="41">
        <v>43859</v>
      </c>
      <c r="C180" s="40" t="s">
        <v>119</v>
      </c>
      <c r="D180" s="40">
        <v>16</v>
      </c>
      <c r="E180" s="43">
        <v>544000</v>
      </c>
      <c r="F180" s="43">
        <v>184960</v>
      </c>
    </row>
    <row r="181" spans="2:6" x14ac:dyDescent="0.3">
      <c r="B181" s="41">
        <v>43859</v>
      </c>
      <c r="C181" s="40" t="s">
        <v>51</v>
      </c>
      <c r="D181" s="40">
        <v>17</v>
      </c>
      <c r="E181" s="43">
        <v>357000</v>
      </c>
      <c r="F181" s="43">
        <v>107100</v>
      </c>
    </row>
    <row r="182" spans="2:6" x14ac:dyDescent="0.3">
      <c r="B182" s="41">
        <v>43860</v>
      </c>
      <c r="C182" s="40" t="s">
        <v>121</v>
      </c>
      <c r="D182" s="40">
        <v>1</v>
      </c>
      <c r="E182" s="43">
        <v>63000</v>
      </c>
      <c r="F182" s="43">
        <v>11340</v>
      </c>
    </row>
    <row r="183" spans="2:6" x14ac:dyDescent="0.3">
      <c r="B183" s="41">
        <v>43860</v>
      </c>
      <c r="C183" s="40" t="s">
        <v>115</v>
      </c>
      <c r="D183" s="40">
        <v>13</v>
      </c>
      <c r="E183" s="43">
        <v>273000</v>
      </c>
      <c r="F183" s="43">
        <v>81900</v>
      </c>
    </row>
    <row r="184" spans="2:6" x14ac:dyDescent="0.3">
      <c r="B184" s="41">
        <v>43860</v>
      </c>
      <c r="C184" s="40" t="s">
        <v>117</v>
      </c>
      <c r="D184" s="40">
        <v>12</v>
      </c>
      <c r="E184" s="43">
        <v>252000</v>
      </c>
      <c r="F184" s="43">
        <v>75600</v>
      </c>
    </row>
    <row r="185" spans="2:6" x14ac:dyDescent="0.3">
      <c r="B185" s="41">
        <v>43860</v>
      </c>
      <c r="C185" s="40" t="s">
        <v>120</v>
      </c>
      <c r="D185" s="40">
        <v>13</v>
      </c>
      <c r="E185" s="43">
        <v>819000</v>
      </c>
      <c r="F185" s="43">
        <v>147420</v>
      </c>
    </row>
    <row r="186" spans="2:6" x14ac:dyDescent="0.3">
      <c r="B186" s="41">
        <v>43860</v>
      </c>
      <c r="C186" s="40" t="s">
        <v>112</v>
      </c>
      <c r="D186" s="40">
        <v>11</v>
      </c>
      <c r="E186" s="43">
        <v>374000</v>
      </c>
      <c r="F186" s="43">
        <v>127160.00000000001</v>
      </c>
    </row>
    <row r="187" spans="2:6" x14ac:dyDescent="0.3">
      <c r="B187" s="41">
        <v>43860</v>
      </c>
      <c r="C187" s="40" t="s">
        <v>112</v>
      </c>
      <c r="D187" s="40">
        <v>9</v>
      </c>
      <c r="E187" s="43">
        <v>70200</v>
      </c>
      <c r="F187" s="43">
        <v>8424</v>
      </c>
    </row>
    <row r="188" spans="2:6" x14ac:dyDescent="0.3">
      <c r="B188" s="41">
        <v>43861</v>
      </c>
      <c r="C188" s="40" t="s">
        <v>117</v>
      </c>
      <c r="D188" s="40">
        <v>16</v>
      </c>
      <c r="E188" s="43">
        <v>544000</v>
      </c>
      <c r="F188" s="43">
        <v>184960</v>
      </c>
    </row>
    <row r="189" spans="2:6" x14ac:dyDescent="0.3">
      <c r="B189" s="41">
        <v>43861</v>
      </c>
      <c r="C189" s="40" t="s">
        <v>119</v>
      </c>
      <c r="D189" s="40">
        <v>5</v>
      </c>
      <c r="E189" s="43">
        <v>39000</v>
      </c>
      <c r="F189" s="43">
        <v>4680</v>
      </c>
    </row>
    <row r="190" spans="2:6" x14ac:dyDescent="0.3">
      <c r="B190" s="41">
        <v>43861</v>
      </c>
      <c r="C190" s="40" t="s">
        <v>114</v>
      </c>
      <c r="D190" s="40">
        <v>9</v>
      </c>
      <c r="E190" s="43">
        <v>70200</v>
      </c>
      <c r="F190" s="43">
        <v>8424</v>
      </c>
    </row>
    <row r="191" spans="2:6" x14ac:dyDescent="0.3">
      <c r="B191" s="41">
        <v>43861</v>
      </c>
      <c r="C191" s="40" t="s">
        <v>117</v>
      </c>
      <c r="D191" s="40">
        <v>8</v>
      </c>
      <c r="E191" s="43">
        <v>504000</v>
      </c>
      <c r="F191" s="43">
        <v>90720</v>
      </c>
    </row>
    <row r="192" spans="2:6" x14ac:dyDescent="0.3">
      <c r="B192" s="41">
        <v>43861</v>
      </c>
      <c r="C192" s="40" t="s">
        <v>115</v>
      </c>
      <c r="D192" s="40">
        <v>1</v>
      </c>
      <c r="E192" s="43">
        <v>21000</v>
      </c>
      <c r="F192" s="43">
        <v>6300</v>
      </c>
    </row>
    <row r="193" spans="2:6" x14ac:dyDescent="0.3">
      <c r="B193" s="41">
        <v>43861</v>
      </c>
      <c r="C193" s="40" t="s">
        <v>113</v>
      </c>
      <c r="D193" s="40">
        <v>9</v>
      </c>
      <c r="E193" s="43">
        <v>70200</v>
      </c>
      <c r="F193" s="43">
        <v>8424</v>
      </c>
    </row>
    <row r="194" spans="2:6" x14ac:dyDescent="0.3">
      <c r="B194" s="41">
        <v>43861</v>
      </c>
      <c r="C194" s="40" t="s">
        <v>112</v>
      </c>
      <c r="D194" s="40">
        <v>12</v>
      </c>
      <c r="E194" s="43">
        <v>756000</v>
      </c>
      <c r="F194" s="43">
        <v>136080</v>
      </c>
    </row>
    <row r="195" spans="2:6" x14ac:dyDescent="0.3">
      <c r="B195" s="41">
        <v>43861</v>
      </c>
      <c r="C195" s="40" t="s">
        <v>115</v>
      </c>
      <c r="D195" s="40">
        <v>7</v>
      </c>
      <c r="E195" s="43">
        <v>54600</v>
      </c>
      <c r="F195" s="43">
        <v>6552</v>
      </c>
    </row>
  </sheetData>
  <conditionalFormatting sqref="B11:F195">
    <cfRule type="colorScale" priority="1">
      <colorScale>
        <cfvo type="min"/>
        <cfvo type="max"/>
        <color rgb="FF0070C0"/>
        <color rgb="FFFF0000"/>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E2:O14"/>
  <sheetViews>
    <sheetView tabSelected="1" topLeftCell="C1" zoomScale="152" workbookViewId="0">
      <selection activeCell="U22" sqref="U22"/>
    </sheetView>
  </sheetViews>
  <sheetFormatPr baseColWidth="10" defaultRowHeight="14.4" x14ac:dyDescent="0.3"/>
  <cols>
    <col min="1" max="51" width="3" customWidth="1"/>
  </cols>
  <sheetData>
    <row r="2" spans="5:15" x14ac:dyDescent="0.3">
      <c r="E2" s="25">
        <v>18</v>
      </c>
      <c r="F2" s="25">
        <v>8</v>
      </c>
      <c r="G2" s="25">
        <v>15</v>
      </c>
      <c r="H2" s="25">
        <v>20</v>
      </c>
      <c r="I2" s="25">
        <v>4</v>
      </c>
      <c r="J2" s="25">
        <v>10</v>
      </c>
      <c r="K2" s="25">
        <v>8</v>
      </c>
      <c r="L2" s="25">
        <v>8</v>
      </c>
      <c r="M2" s="25">
        <v>1</v>
      </c>
      <c r="N2" s="25">
        <v>6</v>
      </c>
      <c r="O2" s="25">
        <v>10</v>
      </c>
    </row>
    <row r="3" spans="5:15" x14ac:dyDescent="0.3">
      <c r="E3" s="25">
        <v>18</v>
      </c>
      <c r="F3" s="25">
        <v>20</v>
      </c>
      <c r="G3" s="25">
        <v>20</v>
      </c>
      <c r="H3" s="25">
        <v>10</v>
      </c>
      <c r="I3" s="25">
        <v>14</v>
      </c>
      <c r="J3" s="25">
        <v>9</v>
      </c>
      <c r="K3" s="25">
        <v>1</v>
      </c>
      <c r="L3" s="25">
        <v>8</v>
      </c>
      <c r="M3" s="25">
        <v>15</v>
      </c>
      <c r="N3" s="25">
        <v>18</v>
      </c>
      <c r="O3" s="25">
        <v>12</v>
      </c>
    </row>
    <row r="4" spans="5:15" x14ac:dyDescent="0.3">
      <c r="E4" s="25">
        <v>10</v>
      </c>
      <c r="F4" s="25">
        <v>12</v>
      </c>
      <c r="G4" s="25">
        <v>1</v>
      </c>
      <c r="H4" s="25">
        <v>13</v>
      </c>
      <c r="I4" s="25">
        <v>4</v>
      </c>
      <c r="J4" s="25">
        <v>10</v>
      </c>
      <c r="K4" s="25">
        <v>17</v>
      </c>
      <c r="L4" s="25">
        <v>10</v>
      </c>
      <c r="M4" s="25">
        <v>18</v>
      </c>
      <c r="N4" s="25">
        <v>8</v>
      </c>
      <c r="O4" s="25">
        <v>14</v>
      </c>
    </row>
    <row r="5" spans="5:15" x14ac:dyDescent="0.3">
      <c r="E5" s="25">
        <v>9</v>
      </c>
      <c r="F5" s="25">
        <v>20</v>
      </c>
      <c r="G5" s="25">
        <v>6</v>
      </c>
      <c r="H5" s="25">
        <v>1</v>
      </c>
      <c r="I5" s="25">
        <v>12</v>
      </c>
      <c r="J5" s="25">
        <v>9</v>
      </c>
      <c r="K5" s="25">
        <v>14</v>
      </c>
      <c r="L5" s="25">
        <v>4</v>
      </c>
      <c r="M5" s="25">
        <v>16</v>
      </c>
      <c r="N5" s="25">
        <v>16</v>
      </c>
      <c r="O5" s="25">
        <v>20</v>
      </c>
    </row>
    <row r="6" spans="5:15" x14ac:dyDescent="0.3">
      <c r="E6" s="25">
        <v>6</v>
      </c>
      <c r="F6" s="25">
        <v>17</v>
      </c>
      <c r="G6" s="25">
        <v>8</v>
      </c>
      <c r="H6" s="25">
        <v>16</v>
      </c>
      <c r="I6" s="25">
        <v>15</v>
      </c>
      <c r="J6" s="25">
        <v>12</v>
      </c>
      <c r="K6" s="25">
        <v>15</v>
      </c>
      <c r="L6" s="25">
        <v>20</v>
      </c>
      <c r="M6" s="25">
        <v>13</v>
      </c>
      <c r="N6" s="25">
        <v>12</v>
      </c>
      <c r="O6" s="25">
        <v>4</v>
      </c>
    </row>
    <row r="7" spans="5:15" x14ac:dyDescent="0.3">
      <c r="E7" s="25">
        <v>16</v>
      </c>
      <c r="F7" s="25">
        <v>6</v>
      </c>
      <c r="G7" s="25">
        <v>13</v>
      </c>
      <c r="H7" s="25">
        <v>18</v>
      </c>
      <c r="I7" s="25">
        <v>8</v>
      </c>
      <c r="J7" s="25">
        <v>15</v>
      </c>
      <c r="K7" s="25">
        <v>20</v>
      </c>
      <c r="L7" s="25">
        <v>17</v>
      </c>
      <c r="M7" s="25">
        <v>10</v>
      </c>
      <c r="N7" s="25">
        <v>10</v>
      </c>
      <c r="O7" s="25">
        <v>14</v>
      </c>
    </row>
    <row r="8" spans="5:15" x14ac:dyDescent="0.3">
      <c r="E8" s="25">
        <v>15</v>
      </c>
      <c r="F8" s="25">
        <v>6</v>
      </c>
      <c r="G8" s="25">
        <v>10</v>
      </c>
      <c r="H8" s="25">
        <v>13</v>
      </c>
      <c r="I8" s="25">
        <v>13</v>
      </c>
      <c r="J8" s="25">
        <v>2</v>
      </c>
      <c r="K8" s="25">
        <v>2</v>
      </c>
      <c r="L8" s="25">
        <v>20</v>
      </c>
      <c r="M8" s="25">
        <v>16</v>
      </c>
      <c r="N8" s="25">
        <v>4</v>
      </c>
      <c r="O8" s="25">
        <v>6</v>
      </c>
    </row>
    <row r="9" spans="5:15" x14ac:dyDescent="0.3">
      <c r="E9" s="25">
        <v>9</v>
      </c>
      <c r="F9" s="25">
        <v>9</v>
      </c>
      <c r="G9" s="25">
        <v>20</v>
      </c>
      <c r="H9" s="25">
        <v>12</v>
      </c>
      <c r="I9" s="25">
        <v>14</v>
      </c>
      <c r="J9" s="25">
        <v>20</v>
      </c>
      <c r="K9" s="25">
        <v>15</v>
      </c>
      <c r="L9" s="25">
        <v>20</v>
      </c>
      <c r="M9" s="25">
        <v>16</v>
      </c>
      <c r="N9" s="25">
        <v>18</v>
      </c>
      <c r="O9" s="25">
        <v>14</v>
      </c>
    </row>
    <row r="10" spans="5:15" x14ac:dyDescent="0.3">
      <c r="E10" s="25">
        <v>14</v>
      </c>
      <c r="F10" s="25">
        <v>6</v>
      </c>
      <c r="G10" s="25">
        <v>6</v>
      </c>
      <c r="H10" s="25">
        <v>14</v>
      </c>
      <c r="I10" s="25">
        <v>6</v>
      </c>
      <c r="J10" s="25">
        <v>15</v>
      </c>
      <c r="K10" s="25">
        <v>14</v>
      </c>
      <c r="L10" s="25">
        <v>9</v>
      </c>
      <c r="M10" s="25">
        <v>6</v>
      </c>
      <c r="N10" s="25">
        <v>16</v>
      </c>
      <c r="O10" s="25">
        <v>18</v>
      </c>
    </row>
    <row r="14" spans="5:15" x14ac:dyDescent="0.3">
      <c r="E14"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Formato Condicional</vt:lpstr>
      <vt:lpstr>FC avanzado</vt:lpstr>
      <vt:lpstr>Validación de Datos</vt:lpstr>
      <vt:lpstr>Ejercicios</vt:lpstr>
      <vt:lpstr>Ejercicios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dc:creator>
  <cp:lastModifiedBy>Mariana Velez Rivera</cp:lastModifiedBy>
  <dcterms:created xsi:type="dcterms:W3CDTF">2015-06-05T18:19:34Z</dcterms:created>
  <dcterms:modified xsi:type="dcterms:W3CDTF">2025-10-06T17:29:14Z</dcterms:modified>
</cp:coreProperties>
</file>