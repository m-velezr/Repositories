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Mariana Velez\Documents\6 SEMESTRE\SAD\"/>
    </mc:Choice>
  </mc:AlternateContent>
  <xr:revisionPtr revIDLastSave="0" documentId="13_ncr:1_{A6E688BE-47F4-442C-8269-9F5F3052AFEC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Atajos" sheetId="1" r:id="rId1"/>
    <sheet name="Referencia" sheetId="2" r:id="rId2"/>
    <sheet name="Tablas" sheetId="3" r:id="rId3"/>
    <sheet name="Fórmulas" sheetId="4" r:id="rId4"/>
  </sheets>
  <definedNames>
    <definedName name="_xlnm._FilterDatabase" localSheetId="2" hidden="1">Tablas!$B$4:$B$14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6" i="4"/>
  <c r="B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C61" i="2"/>
  <c r="D61" i="2"/>
  <c r="E61" i="2"/>
  <c r="D42" i="2"/>
  <c r="E42" i="2"/>
  <c r="F42" i="2"/>
  <c r="D43" i="2"/>
  <c r="E43" i="2"/>
  <c r="F43" i="2"/>
  <c r="D44" i="2"/>
  <c r="E44" i="2"/>
  <c r="F44" i="2"/>
  <c r="D45" i="2"/>
  <c r="E45" i="2"/>
  <c r="F45" i="2"/>
  <c r="C43" i="2"/>
  <c r="C44" i="2"/>
  <c r="C45" i="2"/>
  <c r="C42" i="2"/>
  <c r="H36" i="2"/>
  <c r="I36" i="2"/>
  <c r="J36" i="2"/>
  <c r="H37" i="2"/>
  <c r="I37" i="2"/>
  <c r="J37" i="2"/>
  <c r="I35" i="2"/>
  <c r="J35" i="2"/>
  <c r="H35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M26" i="2"/>
  <c r="N26" i="2"/>
  <c r="O26" i="2"/>
  <c r="L26" i="2"/>
  <c r="H20" i="2"/>
  <c r="I20" i="2"/>
  <c r="I19" i="2"/>
  <c r="H19" i="2"/>
  <c r="H15" i="2"/>
  <c r="I15" i="2"/>
  <c r="I14" i="2"/>
  <c r="H14" i="2"/>
  <c r="I10" i="2"/>
  <c r="H10" i="2"/>
  <c r="I9" i="2"/>
  <c r="H9" i="2"/>
  <c r="H5" i="2"/>
  <c r="I5" i="2"/>
  <c r="I4" i="2"/>
  <c r="H4" i="2"/>
  <c r="XFC1" i="4"/>
</calcChain>
</file>

<file path=xl/sharedStrings.xml><?xml version="1.0" encoding="utf-8"?>
<sst xmlns="http://schemas.openxmlformats.org/spreadsheetml/2006/main" count="45" uniqueCount="44">
  <si>
    <t>Ctrl + Enter</t>
  </si>
  <si>
    <t>Ctrl + Flecha</t>
  </si>
  <si>
    <t>Ctrl + Shift + Flecha</t>
  </si>
  <si>
    <t># filas</t>
  </si>
  <si>
    <t># columnas</t>
  </si>
  <si>
    <t>Referencia relativa</t>
  </si>
  <si>
    <t>Referencia absoluta 1</t>
  </si>
  <si>
    <t>Referencia absoluta 2</t>
  </si>
  <si>
    <t>Referencia absoluta 3</t>
  </si>
  <si>
    <t>Ejercicio 1: Realice la suma de matrices</t>
  </si>
  <si>
    <t>Ejercicio 2: multipleque todos los valores de la matriz por el factor</t>
  </si>
  <si>
    <t>Factor</t>
  </si>
  <si>
    <t>Ejercicio 3: la intersección es la multiplicación de la fila y columna</t>
  </si>
  <si>
    <t>fila\columna</t>
  </si>
  <si>
    <t>Ayuda: este es el resultado</t>
  </si>
  <si>
    <t>USANDO UNA SOLA FÓRMULA ARRASTRABLE PARA CADA EJERCICIO, REALICE LOS SIGUIENTES EJERCICIOS</t>
  </si>
  <si>
    <t>Ejercicio 4: realice la siguiente operación</t>
  </si>
  <si>
    <t>w</t>
  </si>
  <si>
    <t>x</t>
  </si>
  <si>
    <t>y</t>
  </si>
  <si>
    <t>z</t>
  </si>
  <si>
    <t>Ayuda: resultado de z</t>
  </si>
  <si>
    <t>Id</t>
  </si>
  <si>
    <t>Nombre</t>
  </si>
  <si>
    <t>Pepe</t>
  </si>
  <si>
    <t>María</t>
  </si>
  <si>
    <t>Juan</t>
  </si>
  <si>
    <t>Juana</t>
  </si>
  <si>
    <t>Martha</t>
  </si>
  <si>
    <t>Mario</t>
  </si>
  <si>
    <t>Usnavy</t>
  </si>
  <si>
    <t>Brandon</t>
  </si>
  <si>
    <t>Brenda</t>
  </si>
  <si>
    <t>Marlon</t>
  </si>
  <si>
    <t>Yenny</t>
  </si>
  <si>
    <t>Altura</t>
  </si>
  <si>
    <r>
      <rPr>
        <b/>
        <sz val="22"/>
        <color rgb="FF00B050"/>
        <rFont val="Calibri"/>
        <family val="2"/>
        <scheme val="minor"/>
      </rPr>
      <t>=</t>
    </r>
    <r>
      <rPr>
        <b/>
        <sz val="22"/>
        <color rgb="FFFF0000"/>
        <rFont val="Calibri"/>
        <family val="2"/>
        <scheme val="minor"/>
      </rPr>
      <t>NOMBREFUNCION</t>
    </r>
    <r>
      <rPr>
        <b/>
        <sz val="22"/>
        <color rgb="FFFFC000"/>
        <rFont val="Calibri"/>
        <family val="2"/>
        <scheme val="minor"/>
      </rPr>
      <t>(</t>
    </r>
    <r>
      <rPr>
        <b/>
        <sz val="22"/>
        <color theme="8"/>
        <rFont val="Calibri"/>
        <family val="2"/>
        <scheme val="minor"/>
      </rPr>
      <t>Param1</t>
    </r>
    <r>
      <rPr>
        <b/>
        <sz val="22"/>
        <color theme="1"/>
        <rFont val="Calibri"/>
        <family val="2"/>
        <scheme val="minor"/>
      </rPr>
      <t xml:space="preserve">; </t>
    </r>
    <r>
      <rPr>
        <b/>
        <sz val="22"/>
        <color theme="8"/>
        <rFont val="Calibri"/>
        <family val="2"/>
        <scheme val="minor"/>
      </rPr>
      <t>Param2</t>
    </r>
    <r>
      <rPr>
        <b/>
        <sz val="22"/>
        <color theme="1"/>
        <rFont val="Calibri"/>
        <family val="2"/>
        <scheme val="minor"/>
      </rPr>
      <t xml:space="preserve">; </t>
    </r>
    <r>
      <rPr>
        <b/>
        <sz val="22"/>
        <color theme="8"/>
        <rFont val="Calibri"/>
        <family val="2"/>
        <scheme val="minor"/>
      </rPr>
      <t>Param3</t>
    </r>
    <r>
      <rPr>
        <b/>
        <sz val="22"/>
        <color theme="1"/>
        <rFont val="Calibri"/>
        <family val="2"/>
        <scheme val="minor"/>
      </rPr>
      <t xml:space="preserve">; </t>
    </r>
    <r>
      <rPr>
        <b/>
        <sz val="22"/>
        <color theme="7" tint="-0.249977111117893"/>
        <rFont val="Calibri"/>
        <family val="2"/>
        <scheme val="minor"/>
      </rPr>
      <t>[</t>
    </r>
    <r>
      <rPr>
        <b/>
        <sz val="22"/>
        <color theme="8"/>
        <rFont val="Calibri"/>
        <family val="2"/>
        <scheme val="minor"/>
      </rPr>
      <t>Param4</t>
    </r>
    <r>
      <rPr>
        <b/>
        <sz val="22"/>
        <color theme="7" tint="-0.249977111117893"/>
        <rFont val="Calibri"/>
        <family val="2"/>
        <scheme val="minor"/>
      </rPr>
      <t>]</t>
    </r>
    <r>
      <rPr>
        <b/>
        <sz val="22"/>
        <color theme="1"/>
        <rFont val="Calibri"/>
        <family val="2"/>
        <scheme val="minor"/>
      </rPr>
      <t>;</t>
    </r>
    <r>
      <rPr>
        <b/>
        <sz val="22"/>
        <color theme="5" tint="-0.499984740745262"/>
        <rFont val="Calibri"/>
        <family val="2"/>
        <scheme val="minor"/>
      </rPr>
      <t xml:space="preserve"> </t>
    </r>
    <r>
      <rPr>
        <b/>
        <sz val="22"/>
        <color theme="7" tint="-0.249977111117893"/>
        <rFont val="Calibri"/>
        <family val="2"/>
        <scheme val="minor"/>
      </rPr>
      <t>[</t>
    </r>
    <r>
      <rPr>
        <b/>
        <sz val="22"/>
        <color theme="8"/>
        <rFont val="Calibri"/>
        <family val="2"/>
        <scheme val="minor"/>
      </rPr>
      <t>Param5</t>
    </r>
    <r>
      <rPr>
        <b/>
        <sz val="22"/>
        <color theme="7" tint="-0.249977111117893"/>
        <rFont val="Calibri"/>
        <family val="2"/>
        <scheme val="minor"/>
      </rPr>
      <t>]</t>
    </r>
    <r>
      <rPr>
        <b/>
        <sz val="22"/>
        <color theme="1"/>
        <rFont val="Calibri"/>
        <family val="2"/>
        <scheme val="minor"/>
      </rPr>
      <t>;…</t>
    </r>
    <r>
      <rPr>
        <b/>
        <sz val="22"/>
        <color rgb="FFFFC000"/>
        <rFont val="Calibri"/>
        <family val="2"/>
        <scheme val="minor"/>
      </rPr>
      <t>)</t>
    </r>
  </si>
  <si>
    <t>Dependientes</t>
  </si>
  <si>
    <t>Precedentes</t>
  </si>
  <si>
    <t>primero la columna, luego fila</t>
  </si>
  <si>
    <t>E$10</t>
  </si>
  <si>
    <t>se fija la fila</t>
  </si>
  <si>
    <t>$E10</t>
  </si>
  <si>
    <t>se fija la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</si>
</sst>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8"/>
      <name val="Calibri"/>
      <family val="2"/>
      <scheme val="minor"/>
    </font>
    <font>
      <b/>
      <sz val="22"/>
      <color theme="5" tint="-0.499984740745262"/>
      <name val="Calibri"/>
      <family val="2"/>
      <scheme val="minor"/>
    </font>
    <font>
      <b/>
      <sz val="22"/>
      <color rgb="FFFFC000"/>
      <name val="Calibri"/>
      <family val="2"/>
      <scheme val="minor"/>
    </font>
    <font>
      <b/>
      <sz val="22"/>
      <color theme="7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quotePrefix="1" applyFont="1"/>
    <xf numFmtId="2" fontId="0" fillId="0" borderId="1" xfId="0" applyNumberFormat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AB"/>
      <color rgb="FFD6B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3</xdr:row>
      <xdr:rowOff>0</xdr:rowOff>
    </xdr:from>
    <xdr:to>
      <xdr:col>3</xdr:col>
      <xdr:colOff>632460</xdr:colOff>
      <xdr:row>5</xdr:row>
      <xdr:rowOff>30480</xdr:rowOff>
    </xdr:to>
    <xdr:sp macro="" textlink="">
      <xdr:nvSpPr>
        <xdr:cNvPr id="3" name="Signo más 2">
          <a:extLst>
            <a:ext uri="{FF2B5EF4-FFF2-40B4-BE49-F238E27FC236}">
              <a16:creationId xmlns:a16="http://schemas.microsoft.com/office/drawing/2014/main" id="{AB88F01B-3634-B55C-CFF8-CF1C6765316A}"/>
            </a:ext>
          </a:extLst>
        </xdr:cNvPr>
        <xdr:cNvSpPr/>
      </xdr:nvSpPr>
      <xdr:spPr>
        <a:xfrm>
          <a:off x="2537460" y="548640"/>
          <a:ext cx="472440" cy="396240"/>
        </a:xfrm>
        <a:prstGeom prst="mathPlus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99060</xdr:colOff>
      <xdr:row>3</xdr:row>
      <xdr:rowOff>15240</xdr:rowOff>
    </xdr:from>
    <xdr:to>
      <xdr:col>6</xdr:col>
      <xdr:colOff>670560</xdr:colOff>
      <xdr:row>4</xdr:row>
      <xdr:rowOff>160020</xdr:rowOff>
    </xdr:to>
    <xdr:sp macro="" textlink="">
      <xdr:nvSpPr>
        <xdr:cNvPr id="4" name="Es igual a 3">
          <a:extLst>
            <a:ext uri="{FF2B5EF4-FFF2-40B4-BE49-F238E27FC236}">
              <a16:creationId xmlns:a16="http://schemas.microsoft.com/office/drawing/2014/main" id="{D256D90E-BF9E-03A7-AAEB-A6723F7BA277}"/>
            </a:ext>
          </a:extLst>
        </xdr:cNvPr>
        <xdr:cNvSpPr/>
      </xdr:nvSpPr>
      <xdr:spPr>
        <a:xfrm>
          <a:off x="4853940" y="563880"/>
          <a:ext cx="571500" cy="327660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160020</xdr:colOff>
      <xdr:row>8</xdr:row>
      <xdr:rowOff>0</xdr:rowOff>
    </xdr:from>
    <xdr:to>
      <xdr:col>3</xdr:col>
      <xdr:colOff>632460</xdr:colOff>
      <xdr:row>10</xdr:row>
      <xdr:rowOff>30480</xdr:rowOff>
    </xdr:to>
    <xdr:sp macro="" textlink="">
      <xdr:nvSpPr>
        <xdr:cNvPr id="5" name="Signo más 4">
          <a:extLst>
            <a:ext uri="{FF2B5EF4-FFF2-40B4-BE49-F238E27FC236}">
              <a16:creationId xmlns:a16="http://schemas.microsoft.com/office/drawing/2014/main" id="{4182178A-C08D-42BC-84E7-825286466510}"/>
            </a:ext>
          </a:extLst>
        </xdr:cNvPr>
        <xdr:cNvSpPr/>
      </xdr:nvSpPr>
      <xdr:spPr>
        <a:xfrm>
          <a:off x="2537460" y="548640"/>
          <a:ext cx="472440" cy="396240"/>
        </a:xfrm>
        <a:prstGeom prst="mathPlus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99060</xdr:colOff>
      <xdr:row>8</xdr:row>
      <xdr:rowOff>15240</xdr:rowOff>
    </xdr:from>
    <xdr:to>
      <xdr:col>6</xdr:col>
      <xdr:colOff>670560</xdr:colOff>
      <xdr:row>9</xdr:row>
      <xdr:rowOff>160020</xdr:rowOff>
    </xdr:to>
    <xdr:sp macro="" textlink="">
      <xdr:nvSpPr>
        <xdr:cNvPr id="6" name="Es igual a 5">
          <a:extLst>
            <a:ext uri="{FF2B5EF4-FFF2-40B4-BE49-F238E27FC236}">
              <a16:creationId xmlns:a16="http://schemas.microsoft.com/office/drawing/2014/main" id="{B619BC77-92D7-4C25-8F35-AEF0C31D23CA}"/>
            </a:ext>
          </a:extLst>
        </xdr:cNvPr>
        <xdr:cNvSpPr/>
      </xdr:nvSpPr>
      <xdr:spPr>
        <a:xfrm>
          <a:off x="4853940" y="563880"/>
          <a:ext cx="571500" cy="327660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160020</xdr:colOff>
      <xdr:row>13</xdr:row>
      <xdr:rowOff>0</xdr:rowOff>
    </xdr:from>
    <xdr:to>
      <xdr:col>3</xdr:col>
      <xdr:colOff>632460</xdr:colOff>
      <xdr:row>15</xdr:row>
      <xdr:rowOff>30480</xdr:rowOff>
    </xdr:to>
    <xdr:sp macro="" textlink="">
      <xdr:nvSpPr>
        <xdr:cNvPr id="7" name="Signo más 6">
          <a:extLst>
            <a:ext uri="{FF2B5EF4-FFF2-40B4-BE49-F238E27FC236}">
              <a16:creationId xmlns:a16="http://schemas.microsoft.com/office/drawing/2014/main" id="{872CBAE8-CD0A-4A1D-8EA4-717336A5D24B}"/>
            </a:ext>
          </a:extLst>
        </xdr:cNvPr>
        <xdr:cNvSpPr/>
      </xdr:nvSpPr>
      <xdr:spPr>
        <a:xfrm>
          <a:off x="2537460" y="1463040"/>
          <a:ext cx="472440" cy="396240"/>
        </a:xfrm>
        <a:prstGeom prst="mathPlus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99060</xdr:colOff>
      <xdr:row>13</xdr:row>
      <xdr:rowOff>15240</xdr:rowOff>
    </xdr:from>
    <xdr:to>
      <xdr:col>6</xdr:col>
      <xdr:colOff>670560</xdr:colOff>
      <xdr:row>14</xdr:row>
      <xdr:rowOff>160020</xdr:rowOff>
    </xdr:to>
    <xdr:sp macro="" textlink="">
      <xdr:nvSpPr>
        <xdr:cNvPr id="8" name="Es igual a 7">
          <a:extLst>
            <a:ext uri="{FF2B5EF4-FFF2-40B4-BE49-F238E27FC236}">
              <a16:creationId xmlns:a16="http://schemas.microsoft.com/office/drawing/2014/main" id="{1E051073-C20C-4D39-AE35-3F429A57BA49}"/>
            </a:ext>
          </a:extLst>
        </xdr:cNvPr>
        <xdr:cNvSpPr/>
      </xdr:nvSpPr>
      <xdr:spPr>
        <a:xfrm>
          <a:off x="4853940" y="1478280"/>
          <a:ext cx="571500" cy="327660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160020</xdr:colOff>
      <xdr:row>18</xdr:row>
      <xdr:rowOff>0</xdr:rowOff>
    </xdr:from>
    <xdr:to>
      <xdr:col>3</xdr:col>
      <xdr:colOff>632460</xdr:colOff>
      <xdr:row>20</xdr:row>
      <xdr:rowOff>30480</xdr:rowOff>
    </xdr:to>
    <xdr:sp macro="" textlink="">
      <xdr:nvSpPr>
        <xdr:cNvPr id="9" name="Signo más 8">
          <a:extLst>
            <a:ext uri="{FF2B5EF4-FFF2-40B4-BE49-F238E27FC236}">
              <a16:creationId xmlns:a16="http://schemas.microsoft.com/office/drawing/2014/main" id="{66DD6B73-49BF-40B2-923B-515F27E1CFA4}"/>
            </a:ext>
          </a:extLst>
        </xdr:cNvPr>
        <xdr:cNvSpPr/>
      </xdr:nvSpPr>
      <xdr:spPr>
        <a:xfrm>
          <a:off x="2537460" y="2377440"/>
          <a:ext cx="472440" cy="396240"/>
        </a:xfrm>
        <a:prstGeom prst="mathPlus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6</xdr:col>
      <xdr:colOff>99060</xdr:colOff>
      <xdr:row>18</xdr:row>
      <xdr:rowOff>15240</xdr:rowOff>
    </xdr:from>
    <xdr:to>
      <xdr:col>6</xdr:col>
      <xdr:colOff>670560</xdr:colOff>
      <xdr:row>19</xdr:row>
      <xdr:rowOff>160020</xdr:rowOff>
    </xdr:to>
    <xdr:sp macro="" textlink="">
      <xdr:nvSpPr>
        <xdr:cNvPr id="10" name="Es igual a 9">
          <a:extLst>
            <a:ext uri="{FF2B5EF4-FFF2-40B4-BE49-F238E27FC236}">
              <a16:creationId xmlns:a16="http://schemas.microsoft.com/office/drawing/2014/main" id="{B4CC5A0F-F24F-4B80-9A5A-B9C17B6C2F3A}"/>
            </a:ext>
          </a:extLst>
        </xdr:cNvPr>
        <xdr:cNvSpPr/>
      </xdr:nvSpPr>
      <xdr:spPr>
        <a:xfrm>
          <a:off x="4853940" y="2392680"/>
          <a:ext cx="571500" cy="327660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144780</xdr:colOff>
      <xdr:row>27</xdr:row>
      <xdr:rowOff>0</xdr:rowOff>
    </xdr:from>
    <xdr:to>
      <xdr:col>5</xdr:col>
      <xdr:colOff>617220</xdr:colOff>
      <xdr:row>29</xdr:row>
      <xdr:rowOff>30480</xdr:rowOff>
    </xdr:to>
    <xdr:sp macro="" textlink="">
      <xdr:nvSpPr>
        <xdr:cNvPr id="11" name="Signo más 10">
          <a:extLst>
            <a:ext uri="{FF2B5EF4-FFF2-40B4-BE49-F238E27FC236}">
              <a16:creationId xmlns:a16="http://schemas.microsoft.com/office/drawing/2014/main" id="{A95563E7-03FC-49C7-A5D1-BDF52F4098FB}"/>
            </a:ext>
          </a:extLst>
        </xdr:cNvPr>
        <xdr:cNvSpPr/>
      </xdr:nvSpPr>
      <xdr:spPr>
        <a:xfrm>
          <a:off x="4107180" y="4572000"/>
          <a:ext cx="472440" cy="396240"/>
        </a:xfrm>
        <a:prstGeom prst="mathPlus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99060</xdr:colOff>
      <xdr:row>27</xdr:row>
      <xdr:rowOff>53340</xdr:rowOff>
    </xdr:from>
    <xdr:to>
      <xdr:col>10</xdr:col>
      <xdr:colOff>670560</xdr:colOff>
      <xdr:row>29</xdr:row>
      <xdr:rowOff>15240</xdr:rowOff>
    </xdr:to>
    <xdr:sp macro="" textlink="">
      <xdr:nvSpPr>
        <xdr:cNvPr id="12" name="Es igual a 11">
          <a:extLst>
            <a:ext uri="{FF2B5EF4-FFF2-40B4-BE49-F238E27FC236}">
              <a16:creationId xmlns:a16="http://schemas.microsoft.com/office/drawing/2014/main" id="{860CBF75-8493-4623-8E4B-6ACEFC92DC65}"/>
            </a:ext>
          </a:extLst>
        </xdr:cNvPr>
        <xdr:cNvSpPr/>
      </xdr:nvSpPr>
      <xdr:spPr>
        <a:xfrm>
          <a:off x="8023860" y="4625340"/>
          <a:ext cx="571500" cy="327660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114300</xdr:colOff>
      <xdr:row>34</xdr:row>
      <xdr:rowOff>68580</xdr:rowOff>
    </xdr:from>
    <xdr:to>
      <xdr:col>4</xdr:col>
      <xdr:colOff>579120</xdr:colOff>
      <xdr:row>36</xdr:row>
      <xdr:rowOff>137160</xdr:rowOff>
    </xdr:to>
    <xdr:sp macro="" textlink="">
      <xdr:nvSpPr>
        <xdr:cNvPr id="13" name="Signo de multiplicación 12">
          <a:extLst>
            <a:ext uri="{FF2B5EF4-FFF2-40B4-BE49-F238E27FC236}">
              <a16:creationId xmlns:a16="http://schemas.microsoft.com/office/drawing/2014/main" id="{15A3CA94-3829-9706-6EDE-0C21E5DE382C}"/>
            </a:ext>
          </a:extLst>
        </xdr:cNvPr>
        <xdr:cNvSpPr/>
      </xdr:nvSpPr>
      <xdr:spPr>
        <a:xfrm>
          <a:off x="3284220" y="5920740"/>
          <a:ext cx="464820" cy="434340"/>
        </a:xfrm>
        <a:prstGeom prst="mathMultiply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121920</xdr:colOff>
      <xdr:row>34</xdr:row>
      <xdr:rowOff>129540</xdr:rowOff>
    </xdr:from>
    <xdr:to>
      <xdr:col>6</xdr:col>
      <xdr:colOff>693420</xdr:colOff>
      <xdr:row>36</xdr:row>
      <xdr:rowOff>91440</xdr:rowOff>
    </xdr:to>
    <xdr:sp macro="" textlink="">
      <xdr:nvSpPr>
        <xdr:cNvPr id="14" name="Es igual a 13">
          <a:extLst>
            <a:ext uri="{FF2B5EF4-FFF2-40B4-BE49-F238E27FC236}">
              <a16:creationId xmlns:a16="http://schemas.microsoft.com/office/drawing/2014/main" id="{EAB1C765-0C59-4C78-9EB8-C8334FA84B49}"/>
            </a:ext>
          </a:extLst>
        </xdr:cNvPr>
        <xdr:cNvSpPr/>
      </xdr:nvSpPr>
      <xdr:spPr>
        <a:xfrm>
          <a:off x="4876800" y="5981700"/>
          <a:ext cx="571500" cy="327660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685800</xdr:colOff>
      <xdr:row>52</xdr:row>
      <xdr:rowOff>129540</xdr:rowOff>
    </xdr:from>
    <xdr:to>
      <xdr:col>7</xdr:col>
      <xdr:colOff>76200</xdr:colOff>
      <xdr:row>57</xdr:row>
      <xdr:rowOff>15240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0E45B69-0920-122A-BA82-FC8E11AE9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3240" y="9639300"/>
          <a:ext cx="256032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workbookViewId="0">
      <selection activeCell="B20" sqref="B20"/>
    </sheetView>
  </sheetViews>
  <sheetFormatPr baseColWidth="10" defaultColWidth="8.85546875" defaultRowHeight="15" x14ac:dyDescent="0.25"/>
  <cols>
    <col min="2" max="2" width="10.140625" customWidth="1"/>
  </cols>
  <sheetData>
    <row r="2" spans="2:6" x14ac:dyDescent="0.25">
      <c r="B2" t="s">
        <v>0</v>
      </c>
    </row>
    <row r="3" spans="2:6" x14ac:dyDescent="0.25">
      <c r="B3" t="s">
        <v>1</v>
      </c>
    </row>
    <row r="4" spans="2:6" x14ac:dyDescent="0.25">
      <c r="B4" t="s">
        <v>2</v>
      </c>
    </row>
    <row r="6" spans="2:6" x14ac:dyDescent="0.25">
      <c r="B6" s="2">
        <v>36</v>
      </c>
      <c r="C6" s="2">
        <v>2</v>
      </c>
      <c r="D6" s="2">
        <v>77</v>
      </c>
      <c r="E6" s="2">
        <v>68</v>
      </c>
      <c r="F6" s="2">
        <v>46</v>
      </c>
    </row>
    <row r="7" spans="2:6" x14ac:dyDescent="0.25">
      <c r="B7" s="2">
        <v>93</v>
      </c>
      <c r="C7" s="2">
        <v>85</v>
      </c>
      <c r="D7" s="2">
        <v>49</v>
      </c>
      <c r="E7" s="2">
        <v>2</v>
      </c>
      <c r="F7" s="2">
        <v>84</v>
      </c>
    </row>
    <row r="8" spans="2:6" x14ac:dyDescent="0.25">
      <c r="B8" s="2">
        <v>86</v>
      </c>
      <c r="C8" s="3"/>
      <c r="D8" s="3"/>
      <c r="E8" s="2">
        <v>40</v>
      </c>
      <c r="F8" s="2">
        <v>83</v>
      </c>
    </row>
    <row r="9" spans="2:6" x14ac:dyDescent="0.25">
      <c r="B9" s="2">
        <v>53</v>
      </c>
      <c r="C9" s="2">
        <v>32</v>
      </c>
      <c r="D9" s="2">
        <v>95</v>
      </c>
      <c r="E9" s="2">
        <v>81</v>
      </c>
      <c r="F9" s="2">
        <v>95</v>
      </c>
    </row>
    <row r="10" spans="2:6" x14ac:dyDescent="0.25">
      <c r="B10" s="2">
        <v>95</v>
      </c>
      <c r="C10" s="2">
        <v>48</v>
      </c>
      <c r="D10" s="3"/>
      <c r="E10" s="2">
        <v>94</v>
      </c>
      <c r="F10" s="2">
        <v>56</v>
      </c>
    </row>
    <row r="11" spans="2:6" x14ac:dyDescent="0.25">
      <c r="B11" s="2">
        <v>21</v>
      </c>
      <c r="C11" s="2">
        <v>17</v>
      </c>
      <c r="D11" s="2">
        <v>20</v>
      </c>
      <c r="E11" s="2">
        <v>75</v>
      </c>
      <c r="F11" s="2">
        <v>15</v>
      </c>
    </row>
    <row r="12" spans="2:6" x14ac:dyDescent="0.25">
      <c r="B12" s="2">
        <v>92</v>
      </c>
      <c r="C12" s="2">
        <v>55</v>
      </c>
      <c r="D12" s="3"/>
      <c r="E12" s="2">
        <v>62</v>
      </c>
      <c r="F12" s="3"/>
    </row>
    <row r="13" spans="2:6" x14ac:dyDescent="0.25">
      <c r="B13" s="2">
        <v>37</v>
      </c>
      <c r="C13" s="2">
        <v>24</v>
      </c>
      <c r="D13" s="2">
        <v>68</v>
      </c>
      <c r="E13" s="2">
        <v>85</v>
      </c>
      <c r="F13" s="2">
        <v>26</v>
      </c>
    </row>
    <row r="14" spans="2:6" x14ac:dyDescent="0.25">
      <c r="B14" s="2">
        <v>64</v>
      </c>
      <c r="C14" s="2">
        <v>62</v>
      </c>
      <c r="D14" s="3"/>
      <c r="E14" s="2">
        <v>26</v>
      </c>
      <c r="F14" s="3"/>
    </row>
    <row r="15" spans="2:6" x14ac:dyDescent="0.25">
      <c r="B15" s="2">
        <v>54</v>
      </c>
      <c r="C15" s="2">
        <v>86</v>
      </c>
      <c r="D15" s="2">
        <v>60</v>
      </c>
      <c r="E15" s="2">
        <v>24</v>
      </c>
      <c r="F15" s="2">
        <v>100</v>
      </c>
    </row>
    <row r="17" spans="2:3" x14ac:dyDescent="0.25">
      <c r="B17" s="8" t="s">
        <v>3</v>
      </c>
      <c r="C17" s="8"/>
    </row>
    <row r="18" spans="2:3" x14ac:dyDescent="0.25">
      <c r="B18" s="8" t="s">
        <v>4</v>
      </c>
      <c r="C18" s="8"/>
    </row>
    <row r="20" spans="2:3" x14ac:dyDescent="0.25">
      <c r="B2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7CED-9209-42E2-BCA9-19BC84D878A3}">
  <dimension ref="B2:O66"/>
  <sheetViews>
    <sheetView topLeftCell="A42" workbookViewId="0">
      <selection activeCell="I52" sqref="I52"/>
    </sheetView>
  </sheetViews>
  <sheetFormatPr baseColWidth="10" defaultRowHeight="15" x14ac:dyDescent="0.25"/>
  <sheetData>
    <row r="2" spans="2:12" x14ac:dyDescent="0.25">
      <c r="B2" t="s">
        <v>5</v>
      </c>
    </row>
    <row r="4" spans="2:12" x14ac:dyDescent="0.25">
      <c r="B4" s="6">
        <v>1</v>
      </c>
      <c r="C4" s="6">
        <v>2</v>
      </c>
      <c r="D4" s="1"/>
      <c r="E4" s="5">
        <v>10</v>
      </c>
      <c r="F4" s="5">
        <v>20</v>
      </c>
      <c r="G4" s="1"/>
      <c r="H4" s="4">
        <f>B4+E4</f>
        <v>11</v>
      </c>
      <c r="I4" s="4">
        <f>C4+F4</f>
        <v>22</v>
      </c>
    </row>
    <row r="5" spans="2:12" x14ac:dyDescent="0.25">
      <c r="B5" s="6">
        <v>3</v>
      </c>
      <c r="C5" s="6">
        <v>4</v>
      </c>
      <c r="D5" s="1"/>
      <c r="E5" s="5">
        <v>30</v>
      </c>
      <c r="F5" s="5">
        <v>40</v>
      </c>
      <c r="G5" s="1"/>
      <c r="H5" s="4">
        <f>B5+E5</f>
        <v>33</v>
      </c>
      <c r="I5" s="4">
        <f>C5+F5</f>
        <v>44</v>
      </c>
    </row>
    <row r="7" spans="2:12" x14ac:dyDescent="0.25">
      <c r="B7" t="s">
        <v>6</v>
      </c>
    </row>
    <row r="8" spans="2:12" x14ac:dyDescent="0.25">
      <c r="K8" t="s">
        <v>40</v>
      </c>
      <c r="L8" t="s">
        <v>41</v>
      </c>
    </row>
    <row r="9" spans="2:12" x14ac:dyDescent="0.25">
      <c r="B9" s="6">
        <v>1</v>
      </c>
      <c r="C9" s="6">
        <v>2</v>
      </c>
      <c r="D9" s="1"/>
      <c r="E9" s="7">
        <v>10</v>
      </c>
      <c r="F9" s="7">
        <v>20</v>
      </c>
      <c r="G9" s="1"/>
      <c r="H9" s="4">
        <f>B9+$E$10</f>
        <v>31</v>
      </c>
      <c r="I9" s="4">
        <f>C9+$F$10</f>
        <v>42</v>
      </c>
      <c r="K9" t="s">
        <v>42</v>
      </c>
      <c r="L9" t="s">
        <v>43</v>
      </c>
    </row>
    <row r="10" spans="2:12" x14ac:dyDescent="0.25">
      <c r="B10" s="6">
        <v>3</v>
      </c>
      <c r="C10" s="6">
        <v>4</v>
      </c>
      <c r="D10" s="1"/>
      <c r="E10" s="5">
        <v>30</v>
      </c>
      <c r="F10" s="5">
        <v>40</v>
      </c>
      <c r="G10" s="1"/>
      <c r="H10" s="4">
        <f>B10+E$10</f>
        <v>33</v>
      </c>
      <c r="I10" s="4">
        <f>C10+F$10</f>
        <v>44</v>
      </c>
    </row>
    <row r="12" spans="2:12" x14ac:dyDescent="0.25">
      <c r="B12" t="s">
        <v>7</v>
      </c>
    </row>
    <row r="14" spans="2:12" x14ac:dyDescent="0.25">
      <c r="B14" s="6">
        <v>1</v>
      </c>
      <c r="C14" s="6">
        <v>2</v>
      </c>
      <c r="D14" s="1"/>
      <c r="E14" s="7">
        <v>10</v>
      </c>
      <c r="F14" s="5">
        <v>20</v>
      </c>
      <c r="G14" s="1"/>
      <c r="H14" s="4">
        <f>B14+$F14</f>
        <v>21</v>
      </c>
      <c r="I14" s="4">
        <f>C14+$F14</f>
        <v>22</v>
      </c>
    </row>
    <row r="15" spans="2:12" x14ac:dyDescent="0.25">
      <c r="B15" s="6">
        <v>3</v>
      </c>
      <c r="C15" s="6">
        <v>4</v>
      </c>
      <c r="D15" s="1"/>
      <c r="E15" s="7">
        <v>30</v>
      </c>
      <c r="F15" s="5">
        <v>40</v>
      </c>
      <c r="G15" s="1"/>
      <c r="H15" s="4">
        <f>B15+$F15</f>
        <v>43</v>
      </c>
      <c r="I15" s="4">
        <f>C15+$F15</f>
        <v>44</v>
      </c>
    </row>
    <row r="17" spans="2:15" x14ac:dyDescent="0.25">
      <c r="B17" t="s">
        <v>8</v>
      </c>
    </row>
    <row r="19" spans="2:15" x14ac:dyDescent="0.25">
      <c r="B19" s="6">
        <v>1</v>
      </c>
      <c r="C19" s="6">
        <v>2</v>
      </c>
      <c r="D19" s="1"/>
      <c r="E19" s="7">
        <v>10</v>
      </c>
      <c r="F19" s="5">
        <v>20</v>
      </c>
      <c r="G19" s="1"/>
      <c r="H19" s="4">
        <f>B19+$F$19</f>
        <v>21</v>
      </c>
      <c r="I19" s="4">
        <f>C19+$F$19</f>
        <v>22</v>
      </c>
    </row>
    <row r="20" spans="2:15" x14ac:dyDescent="0.25">
      <c r="B20" s="6">
        <v>3</v>
      </c>
      <c r="C20" s="6">
        <v>4</v>
      </c>
      <c r="D20" s="1"/>
      <c r="E20" s="7">
        <v>30</v>
      </c>
      <c r="F20" s="7">
        <v>40</v>
      </c>
      <c r="G20" s="1"/>
      <c r="H20" s="4">
        <f>B20+$F$19</f>
        <v>23</v>
      </c>
      <c r="I20" s="4">
        <f>C20+$F$19</f>
        <v>24</v>
      </c>
    </row>
    <row r="22" spans="2:15" x14ac:dyDescent="0.25">
      <c r="B22" t="s">
        <v>15</v>
      </c>
    </row>
    <row r="24" spans="2:15" x14ac:dyDescent="0.25">
      <c r="B24" t="s">
        <v>9</v>
      </c>
    </row>
    <row r="26" spans="2:15" x14ac:dyDescent="0.25">
      <c r="B26" s="2">
        <v>1</v>
      </c>
      <c r="C26" s="2">
        <v>2</v>
      </c>
      <c r="D26" s="2">
        <v>3</v>
      </c>
      <c r="E26" s="2">
        <v>4</v>
      </c>
      <c r="G26" s="2">
        <v>50</v>
      </c>
      <c r="H26" s="2">
        <v>49</v>
      </c>
      <c r="I26" s="2">
        <v>48</v>
      </c>
      <c r="J26" s="2">
        <v>47</v>
      </c>
      <c r="L26" s="2">
        <f>B26+G26</f>
        <v>51</v>
      </c>
      <c r="M26" s="2">
        <f>C26+H26</f>
        <v>51</v>
      </c>
      <c r="N26" s="2">
        <f t="shared" ref="M26:O26" si="0">D26+I26</f>
        <v>51</v>
      </c>
      <c r="O26" s="2">
        <f t="shared" si="0"/>
        <v>51</v>
      </c>
    </row>
    <row r="27" spans="2:15" x14ac:dyDescent="0.25">
      <c r="B27" s="2">
        <v>5</v>
      </c>
      <c r="C27" s="2">
        <v>6</v>
      </c>
      <c r="D27" s="2">
        <v>7</v>
      </c>
      <c r="E27" s="2">
        <v>8</v>
      </c>
      <c r="G27" s="2">
        <v>46</v>
      </c>
      <c r="H27" s="2">
        <v>45</v>
      </c>
      <c r="I27" s="2">
        <v>44</v>
      </c>
      <c r="J27" s="2">
        <v>43</v>
      </c>
      <c r="L27" s="2">
        <f t="shared" ref="L27:L31" si="1">B27+G27</f>
        <v>51</v>
      </c>
      <c r="M27" s="2">
        <f t="shared" ref="M27:M31" si="2">C27+H27</f>
        <v>51</v>
      </c>
      <c r="N27" s="2">
        <f t="shared" ref="N27:N31" si="3">D27+I27</f>
        <v>51</v>
      </c>
      <c r="O27" s="2">
        <f t="shared" ref="O27:O31" si="4">E27+J27</f>
        <v>51</v>
      </c>
    </row>
    <row r="28" spans="2:15" x14ac:dyDescent="0.25">
      <c r="B28" s="2">
        <v>9</v>
      </c>
      <c r="C28" s="2">
        <v>10</v>
      </c>
      <c r="D28" s="2">
        <v>11</v>
      </c>
      <c r="E28" s="2">
        <v>12</v>
      </c>
      <c r="G28" s="2">
        <v>42</v>
      </c>
      <c r="H28" s="2">
        <v>41</v>
      </c>
      <c r="I28" s="2">
        <v>40</v>
      </c>
      <c r="J28" s="2">
        <v>39</v>
      </c>
      <c r="L28" s="2">
        <f t="shared" si="1"/>
        <v>51</v>
      </c>
      <c r="M28" s="2">
        <f t="shared" si="2"/>
        <v>51</v>
      </c>
      <c r="N28" s="2">
        <f t="shared" si="3"/>
        <v>51</v>
      </c>
      <c r="O28" s="2">
        <f t="shared" si="4"/>
        <v>51</v>
      </c>
    </row>
    <row r="29" spans="2:15" x14ac:dyDescent="0.25">
      <c r="B29" s="2">
        <v>13</v>
      </c>
      <c r="C29" s="2">
        <v>14</v>
      </c>
      <c r="D29" s="2">
        <v>15</v>
      </c>
      <c r="E29" s="2">
        <v>16</v>
      </c>
      <c r="G29" s="2">
        <v>38</v>
      </c>
      <c r="H29" s="2">
        <v>37</v>
      </c>
      <c r="I29" s="2">
        <v>36</v>
      </c>
      <c r="J29" s="2">
        <v>35</v>
      </c>
      <c r="L29" s="2">
        <f t="shared" si="1"/>
        <v>51</v>
      </c>
      <c r="M29" s="2">
        <f t="shared" si="2"/>
        <v>51</v>
      </c>
      <c r="N29" s="2">
        <f t="shared" si="3"/>
        <v>51</v>
      </c>
      <c r="O29" s="2">
        <f t="shared" si="4"/>
        <v>51</v>
      </c>
    </row>
    <row r="30" spans="2:15" x14ac:dyDescent="0.25">
      <c r="B30" s="2">
        <v>17</v>
      </c>
      <c r="C30" s="2">
        <v>18</v>
      </c>
      <c r="D30" s="2">
        <v>19</v>
      </c>
      <c r="E30" s="2">
        <v>20</v>
      </c>
      <c r="G30" s="2">
        <v>34</v>
      </c>
      <c r="H30" s="2">
        <v>33</v>
      </c>
      <c r="I30" s="2">
        <v>32</v>
      </c>
      <c r="J30" s="2">
        <v>31</v>
      </c>
      <c r="L30" s="2">
        <f t="shared" si="1"/>
        <v>51</v>
      </c>
      <c r="M30" s="2">
        <f t="shared" si="2"/>
        <v>51</v>
      </c>
      <c r="N30" s="2">
        <f t="shared" si="3"/>
        <v>51</v>
      </c>
      <c r="O30" s="2">
        <f t="shared" si="4"/>
        <v>51</v>
      </c>
    </row>
    <row r="31" spans="2:15" x14ac:dyDescent="0.25">
      <c r="B31" s="2">
        <v>21</v>
      </c>
      <c r="C31" s="2">
        <v>22</v>
      </c>
      <c r="D31" s="2">
        <v>23</v>
      </c>
      <c r="E31" s="2">
        <v>24</v>
      </c>
      <c r="G31" s="2">
        <v>30</v>
      </c>
      <c r="H31" s="2">
        <v>29</v>
      </c>
      <c r="I31" s="2">
        <v>28</v>
      </c>
      <c r="J31" s="2">
        <v>27</v>
      </c>
      <c r="L31" s="2">
        <f t="shared" si="1"/>
        <v>51</v>
      </c>
      <c r="M31" s="2">
        <f t="shared" si="2"/>
        <v>51</v>
      </c>
      <c r="N31" s="2">
        <f t="shared" si="3"/>
        <v>51</v>
      </c>
      <c r="O31" s="2">
        <f t="shared" si="4"/>
        <v>51</v>
      </c>
    </row>
    <row r="33" spans="2:12" x14ac:dyDescent="0.25">
      <c r="B33" t="s">
        <v>10</v>
      </c>
    </row>
    <row r="35" spans="2:12" x14ac:dyDescent="0.25">
      <c r="B35" s="2">
        <v>1</v>
      </c>
      <c r="C35" s="2">
        <v>2</v>
      </c>
      <c r="D35" s="2">
        <v>3</v>
      </c>
      <c r="F35" s="2" t="s">
        <v>11</v>
      </c>
      <c r="H35" s="2">
        <f>B35*$F$36</f>
        <v>2.5</v>
      </c>
      <c r="I35" s="2">
        <f t="shared" ref="I35:J35" si="5">C35*$F$36</f>
        <v>5</v>
      </c>
      <c r="J35" s="2">
        <f t="shared" si="5"/>
        <v>7.5</v>
      </c>
    </row>
    <row r="36" spans="2:12" x14ac:dyDescent="0.25">
      <c r="B36" s="2">
        <v>4</v>
      </c>
      <c r="C36" s="2">
        <v>5</v>
      </c>
      <c r="D36" s="2">
        <v>6</v>
      </c>
      <c r="F36" s="2">
        <v>2.5</v>
      </c>
      <c r="H36" s="2">
        <f t="shared" ref="H36:H37" si="6">B36*$F$36</f>
        <v>10</v>
      </c>
      <c r="I36" s="2">
        <f t="shared" ref="I36:I37" si="7">C36*$F$36</f>
        <v>12.5</v>
      </c>
      <c r="J36" s="2">
        <f t="shared" ref="J36:J37" si="8">D36*$F$36</f>
        <v>15</v>
      </c>
    </row>
    <row r="37" spans="2:12" x14ac:dyDescent="0.25">
      <c r="B37" s="2">
        <v>7</v>
      </c>
      <c r="C37" s="2">
        <v>8</v>
      </c>
      <c r="D37" s="2">
        <v>9</v>
      </c>
      <c r="H37" s="2">
        <f t="shared" si="6"/>
        <v>17.5</v>
      </c>
      <c r="I37" s="2">
        <f t="shared" si="7"/>
        <v>20</v>
      </c>
      <c r="J37" s="2">
        <f t="shared" si="8"/>
        <v>22.5</v>
      </c>
    </row>
    <row r="39" spans="2:12" x14ac:dyDescent="0.25">
      <c r="B39" t="s">
        <v>12</v>
      </c>
    </row>
    <row r="40" spans="2:12" x14ac:dyDescent="0.25">
      <c r="H40" t="s">
        <v>14</v>
      </c>
    </row>
    <row r="41" spans="2:12" x14ac:dyDescent="0.25">
      <c r="B41" s="2" t="s">
        <v>13</v>
      </c>
      <c r="C41" s="2">
        <v>10</v>
      </c>
      <c r="D41" s="2">
        <v>50</v>
      </c>
      <c r="E41" s="2">
        <v>30</v>
      </c>
      <c r="F41" s="2">
        <v>20</v>
      </c>
      <c r="H41" s="2" t="s">
        <v>13</v>
      </c>
      <c r="I41" s="2">
        <v>10</v>
      </c>
      <c r="J41" s="2">
        <v>50</v>
      </c>
      <c r="K41" s="2">
        <v>30</v>
      </c>
      <c r="L41" s="2">
        <v>20</v>
      </c>
    </row>
    <row r="42" spans="2:12" x14ac:dyDescent="0.25">
      <c r="B42" s="2">
        <v>5</v>
      </c>
      <c r="C42" s="2">
        <f>$B42*C$41</f>
        <v>50</v>
      </c>
      <c r="D42" s="2">
        <f t="shared" ref="D42:F42" si="9">$B42*D$41</f>
        <v>250</v>
      </c>
      <c r="E42" s="2">
        <f t="shared" si="9"/>
        <v>150</v>
      </c>
      <c r="F42" s="2">
        <f t="shared" si="9"/>
        <v>100</v>
      </c>
      <c r="H42" s="2">
        <v>5</v>
      </c>
      <c r="I42" s="9">
        <v>50</v>
      </c>
      <c r="J42" s="9">
        <v>250</v>
      </c>
      <c r="K42" s="9">
        <v>150</v>
      </c>
      <c r="L42" s="9">
        <v>100</v>
      </c>
    </row>
    <row r="43" spans="2:12" x14ac:dyDescent="0.25">
      <c r="B43" s="2">
        <v>7</v>
      </c>
      <c r="C43" s="2">
        <f t="shared" ref="C43:F45" si="10">$B43*C$41</f>
        <v>70</v>
      </c>
      <c r="D43" s="2">
        <f t="shared" si="10"/>
        <v>350</v>
      </c>
      <c r="E43" s="2">
        <f t="shared" si="10"/>
        <v>210</v>
      </c>
      <c r="F43" s="2">
        <f t="shared" si="10"/>
        <v>140</v>
      </c>
      <c r="H43" s="2">
        <v>7</v>
      </c>
      <c r="I43" s="9">
        <v>70</v>
      </c>
      <c r="J43" s="9">
        <v>350</v>
      </c>
      <c r="K43" s="9">
        <v>210</v>
      </c>
      <c r="L43" s="9">
        <v>140</v>
      </c>
    </row>
    <row r="44" spans="2:12" x14ac:dyDescent="0.25">
      <c r="B44" s="2">
        <v>8</v>
      </c>
      <c r="C44" s="2">
        <f t="shared" si="10"/>
        <v>80</v>
      </c>
      <c r="D44" s="2">
        <f t="shared" si="10"/>
        <v>400</v>
      </c>
      <c r="E44" s="2">
        <f t="shared" si="10"/>
        <v>240</v>
      </c>
      <c r="F44" s="2">
        <f t="shared" si="10"/>
        <v>160</v>
      </c>
      <c r="H44" s="2">
        <v>8</v>
      </c>
      <c r="I44" s="9">
        <v>80</v>
      </c>
      <c r="J44" s="9">
        <v>400</v>
      </c>
      <c r="K44" s="9">
        <v>240</v>
      </c>
      <c r="L44" s="9">
        <v>160</v>
      </c>
    </row>
    <row r="45" spans="2:12" x14ac:dyDescent="0.25">
      <c r="B45" s="2">
        <v>2</v>
      </c>
      <c r="C45" s="2">
        <f t="shared" si="10"/>
        <v>20</v>
      </c>
      <c r="D45" s="2">
        <f t="shared" si="10"/>
        <v>100</v>
      </c>
      <c r="E45" s="2">
        <f t="shared" si="10"/>
        <v>60</v>
      </c>
      <c r="F45" s="2">
        <f t="shared" si="10"/>
        <v>40</v>
      </c>
      <c r="H45" s="2">
        <v>2</v>
      </c>
      <c r="I45" s="9">
        <v>20</v>
      </c>
      <c r="J45" s="9">
        <v>100</v>
      </c>
      <c r="K45" s="9">
        <v>60</v>
      </c>
      <c r="L45" s="9">
        <v>40</v>
      </c>
    </row>
    <row r="47" spans="2:12" x14ac:dyDescent="0.25">
      <c r="B47" t="s">
        <v>16</v>
      </c>
    </row>
    <row r="49" spans="2:10" x14ac:dyDescent="0.25">
      <c r="B49" s="2" t="s">
        <v>17</v>
      </c>
      <c r="C49" s="2">
        <v>1.2</v>
      </c>
      <c r="D49" s="1"/>
      <c r="E49" s="1"/>
      <c r="F49" s="1"/>
    </row>
    <row r="50" spans="2:10" x14ac:dyDescent="0.25">
      <c r="B50" s="1"/>
      <c r="C50" s="1"/>
      <c r="D50" s="1"/>
      <c r="E50" s="1"/>
      <c r="F50" s="1"/>
    </row>
    <row r="51" spans="2:10" x14ac:dyDescent="0.25">
      <c r="B51" s="2" t="s">
        <v>18</v>
      </c>
      <c r="C51" s="2">
        <v>5.4</v>
      </c>
      <c r="D51" s="2">
        <v>6.8</v>
      </c>
      <c r="E51" s="2">
        <v>7.4</v>
      </c>
      <c r="F51" s="2">
        <v>2.2999999999999998</v>
      </c>
    </row>
    <row r="52" spans="2:10" x14ac:dyDescent="0.25">
      <c r="B52" s="1"/>
      <c r="C52" s="1"/>
      <c r="D52" s="1"/>
      <c r="E52" s="1"/>
      <c r="F52" s="1"/>
    </row>
    <row r="53" spans="2:10" x14ac:dyDescent="0.25">
      <c r="B53" s="10" t="s">
        <v>19</v>
      </c>
      <c r="C53" s="2">
        <v>20</v>
      </c>
      <c r="D53" s="1"/>
      <c r="E53" s="1"/>
      <c r="F53" s="1"/>
    </row>
    <row r="54" spans="2:10" x14ac:dyDescent="0.25">
      <c r="B54" s="1"/>
      <c r="C54" s="2">
        <v>26</v>
      </c>
      <c r="D54" s="1"/>
      <c r="E54" s="1"/>
      <c r="F54" s="1"/>
    </row>
    <row r="55" spans="2:10" x14ac:dyDescent="0.25">
      <c r="B55" s="1"/>
      <c r="C55" s="2">
        <v>24</v>
      </c>
      <c r="D55" s="1"/>
      <c r="E55" s="1"/>
      <c r="F55" s="1"/>
    </row>
    <row r="56" spans="2:10" x14ac:dyDescent="0.25">
      <c r="B56" s="1"/>
      <c r="C56" s="2">
        <v>28</v>
      </c>
      <c r="D56" s="1"/>
      <c r="E56" s="1"/>
      <c r="F56" s="1"/>
    </row>
    <row r="57" spans="2:10" x14ac:dyDescent="0.25">
      <c r="B57" s="1"/>
      <c r="C57" s="2">
        <v>30</v>
      </c>
      <c r="D57" s="1"/>
      <c r="E57" s="1"/>
      <c r="F57" s="1"/>
    </row>
    <row r="58" spans="2:10" x14ac:dyDescent="0.25">
      <c r="B58" s="1"/>
      <c r="C58" s="2">
        <v>22</v>
      </c>
      <c r="D58" s="1"/>
      <c r="E58" s="1"/>
    </row>
    <row r="60" spans="2:10" x14ac:dyDescent="0.25">
      <c r="B60" t="s">
        <v>20</v>
      </c>
      <c r="G60" t="s">
        <v>21</v>
      </c>
    </row>
    <row r="61" spans="2:10" x14ac:dyDescent="0.25">
      <c r="B61" s="12">
        <f>-100*((C$51+$C$49^(2/3))/($C$49-$C53))+10</f>
        <v>44.730017205623589</v>
      </c>
      <c r="C61" s="12">
        <f t="shared" ref="C61:E61" si="11">-100*((D$51+$C$49^(2/3))/($C$49-$C53))+10</f>
        <v>52.176825716261881</v>
      </c>
      <c r="D61" s="12">
        <f t="shared" si="11"/>
        <v>55.368315077964013</v>
      </c>
      <c r="E61" s="12">
        <f t="shared" si="11"/>
        <v>28.240655503495923</v>
      </c>
      <c r="G61" s="2">
        <v>44.73</v>
      </c>
      <c r="H61" s="2">
        <v>52.18</v>
      </c>
      <c r="I61" s="2">
        <v>55.37</v>
      </c>
      <c r="J61" s="2">
        <v>28.24</v>
      </c>
    </row>
    <row r="62" spans="2:10" x14ac:dyDescent="0.25">
      <c r="B62" s="12">
        <f t="shared" ref="B62:E62" si="12">-100*((C$51+$C$49^(2/3))/($C$49-$C54))+10</f>
        <v>36.327593688134009</v>
      </c>
      <c r="C62" s="12">
        <f t="shared" si="12"/>
        <v>41.972754978456585</v>
      </c>
      <c r="D62" s="12">
        <f t="shared" si="12"/>
        <v>44.392109817166272</v>
      </c>
      <c r="E62" s="12">
        <f t="shared" si="12"/>
        <v>23.827593688134009</v>
      </c>
      <c r="G62" s="2">
        <v>36.33</v>
      </c>
      <c r="H62" s="2">
        <v>41.97</v>
      </c>
      <c r="I62" s="2">
        <v>44.39</v>
      </c>
      <c r="J62" s="2">
        <v>23.83</v>
      </c>
    </row>
    <row r="63" spans="2:10" x14ac:dyDescent="0.25">
      <c r="B63" s="12">
        <f t="shared" ref="B63:E63" si="13">-100*((C$51+$C$49^(2/3))/($C$49-$C55))+10</f>
        <v>38.637031730952785</v>
      </c>
      <c r="C63" s="12">
        <f t="shared" si="13"/>
        <v>44.777382608145764</v>
      </c>
      <c r="D63" s="12">
        <f t="shared" si="13"/>
        <v>47.408961555514189</v>
      </c>
      <c r="E63" s="12">
        <f t="shared" si="13"/>
        <v>25.040540502882607</v>
      </c>
      <c r="G63" s="2">
        <v>38.64</v>
      </c>
      <c r="H63" s="2">
        <v>44.78</v>
      </c>
      <c r="I63" s="2">
        <v>47.41</v>
      </c>
      <c r="J63" s="2">
        <v>25.04</v>
      </c>
    </row>
    <row r="64" spans="2:10" x14ac:dyDescent="0.25">
      <c r="B64" s="12">
        <f t="shared" ref="B64:E64" si="14">-100*((C$51+$C$49^(2/3))/($C$49-$C56))+10</f>
        <v>34.362847890512072</v>
      </c>
      <c r="C64" s="12">
        <f t="shared" si="14"/>
        <v>39.58672848752699</v>
      </c>
      <c r="D64" s="12">
        <f t="shared" si="14"/>
        <v>41.825534457676255</v>
      </c>
      <c r="E64" s="12">
        <f t="shared" si="14"/>
        <v>22.795683711407587</v>
      </c>
      <c r="G64" s="2">
        <v>34.36</v>
      </c>
      <c r="H64" s="2">
        <v>39.590000000000003</v>
      </c>
      <c r="I64" s="2">
        <v>41.83</v>
      </c>
      <c r="J64" s="2">
        <v>22.8</v>
      </c>
    </row>
    <row r="65" spans="2:10" x14ac:dyDescent="0.25">
      <c r="B65" s="12">
        <f t="shared" ref="B65:E65" si="15">-100*((C$51+$C$49^(2/3))/($C$49-$C57))+10</f>
        <v>32.670983453670949</v>
      </c>
      <c r="C65" s="12">
        <f t="shared" si="15"/>
        <v>37.532094564782057</v>
      </c>
      <c r="D65" s="12">
        <f t="shared" si="15"/>
        <v>39.615427898115399</v>
      </c>
      <c r="E65" s="12">
        <f t="shared" si="15"/>
        <v>21.907094564782064</v>
      </c>
      <c r="G65" s="2">
        <v>32.67</v>
      </c>
      <c r="H65" s="2">
        <v>37.53</v>
      </c>
      <c r="I65" s="2">
        <v>39.619999999999997</v>
      </c>
      <c r="J65" s="2">
        <v>21.91</v>
      </c>
    </row>
    <row r="66" spans="2:10" x14ac:dyDescent="0.25">
      <c r="B66" s="12">
        <f t="shared" ref="B66:E66" si="16">-100*((C$51+$C$49^(2/3))/($C$49-$C58))+10</f>
        <v>41.390592474313621</v>
      </c>
      <c r="C66" s="12">
        <f t="shared" si="16"/>
        <v>48.121361705082855</v>
      </c>
      <c r="D66" s="12">
        <f t="shared" si="16"/>
        <v>51.005977089698241</v>
      </c>
      <c r="E66" s="12">
        <f t="shared" si="16"/>
        <v>26.486746320467468</v>
      </c>
      <c r="G66" s="2">
        <v>41.39</v>
      </c>
      <c r="H66" s="2">
        <v>48.12</v>
      </c>
      <c r="I66" s="2">
        <v>51.01</v>
      </c>
      <c r="J66" s="2">
        <v>26.49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8C4C-D6AA-4E9B-8705-B818333CC37C}">
  <dimension ref="B3:D15"/>
  <sheetViews>
    <sheetView workbookViewId="0">
      <selection activeCell="B4" sqref="B4:B14"/>
    </sheetView>
  </sheetViews>
  <sheetFormatPr baseColWidth="10" defaultRowHeight="15" x14ac:dyDescent="0.25"/>
  <sheetData>
    <row r="3" spans="2:4" x14ac:dyDescent="0.25">
      <c r="B3" s="13" t="s">
        <v>22</v>
      </c>
      <c r="C3" s="13" t="s">
        <v>23</v>
      </c>
      <c r="D3" s="14" t="s">
        <v>35</v>
      </c>
    </row>
    <row r="4" spans="2:4" x14ac:dyDescent="0.25">
      <c r="B4" s="15">
        <v>1269</v>
      </c>
      <c r="C4" s="15" t="s">
        <v>33</v>
      </c>
      <c r="D4" s="16">
        <v>1.68</v>
      </c>
    </row>
    <row r="5" spans="2:4" x14ac:dyDescent="0.25">
      <c r="B5" s="17">
        <v>1376</v>
      </c>
      <c r="C5" s="17" t="s">
        <v>25</v>
      </c>
      <c r="D5" s="18">
        <v>1.66</v>
      </c>
    </row>
    <row r="6" spans="2:4" x14ac:dyDescent="0.25">
      <c r="B6" s="15">
        <v>1396</v>
      </c>
      <c r="C6" s="15" t="s">
        <v>32</v>
      </c>
      <c r="D6" s="16">
        <v>1.67</v>
      </c>
    </row>
    <row r="7" spans="2:4" x14ac:dyDescent="0.25">
      <c r="B7" s="17">
        <v>1662</v>
      </c>
      <c r="C7" s="17" t="s">
        <v>27</v>
      </c>
      <c r="D7" s="18">
        <v>1.75</v>
      </c>
    </row>
    <row r="8" spans="2:4" x14ac:dyDescent="0.25">
      <c r="B8" s="15">
        <v>2412</v>
      </c>
      <c r="C8" s="15" t="s">
        <v>26</v>
      </c>
      <c r="D8" s="16">
        <v>1.75</v>
      </c>
    </row>
    <row r="9" spans="2:4" x14ac:dyDescent="0.25">
      <c r="B9" s="17">
        <v>2470</v>
      </c>
      <c r="C9" s="17" t="s">
        <v>30</v>
      </c>
      <c r="D9" s="18">
        <v>1.66</v>
      </c>
    </row>
    <row r="10" spans="2:4" x14ac:dyDescent="0.25">
      <c r="B10" s="15">
        <v>2580</v>
      </c>
      <c r="C10" s="15" t="s">
        <v>34</v>
      </c>
      <c r="D10" s="16">
        <v>1.63</v>
      </c>
    </row>
    <row r="11" spans="2:4" x14ac:dyDescent="0.25">
      <c r="B11" s="17">
        <v>2596</v>
      </c>
      <c r="C11" s="17" t="s">
        <v>31</v>
      </c>
      <c r="D11" s="18">
        <v>1.76</v>
      </c>
    </row>
    <row r="12" spans="2:4" x14ac:dyDescent="0.25">
      <c r="B12" s="15">
        <v>2755</v>
      </c>
      <c r="C12" s="15" t="s">
        <v>29</v>
      </c>
      <c r="D12" s="16">
        <v>1.81</v>
      </c>
    </row>
    <row r="13" spans="2:4" x14ac:dyDescent="0.25">
      <c r="B13" s="17">
        <v>2760</v>
      </c>
      <c r="C13" s="17" t="s">
        <v>28</v>
      </c>
      <c r="D13" s="18">
        <v>1.76</v>
      </c>
    </row>
    <row r="14" spans="2:4" x14ac:dyDescent="0.25">
      <c r="B14" s="15">
        <v>2979</v>
      </c>
      <c r="C14" s="15" t="s">
        <v>24</v>
      </c>
      <c r="D14" s="16">
        <v>1.75</v>
      </c>
    </row>
    <row r="15" spans="2:4" x14ac:dyDescent="0.25">
      <c r="B15" s="19"/>
      <c r="C15" s="20"/>
      <c r="D15" s="21"/>
    </row>
  </sheetData>
  <autoFilter ref="B4:B14" xr:uid="{046F8C4C-D6AA-4E9B-8705-B818333CC37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0F66-46FD-400F-91B0-19BB141BBC9F}">
  <dimension ref="B1:XFC19"/>
  <sheetViews>
    <sheetView tabSelected="1" workbookViewId="0">
      <selection activeCell="E15" sqref="E15"/>
    </sheetView>
  </sheetViews>
  <sheetFormatPr baseColWidth="10" defaultRowHeight="15" x14ac:dyDescent="0.25"/>
  <sheetData>
    <row r="1" spans="2:7 16383:16383" x14ac:dyDescent="0.25">
      <c r="XFC1">
        <f>COLUMN()</f>
        <v>16383</v>
      </c>
    </row>
    <row r="2" spans="2:7 16383:16383" ht="28.5" x14ac:dyDescent="0.45">
      <c r="B2" s="11" t="s">
        <v>36</v>
      </c>
    </row>
    <row r="14" spans="2:7 16383:16383" x14ac:dyDescent="0.25">
      <c r="B14" s="2">
        <v>80</v>
      </c>
      <c r="C14" s="2">
        <v>1</v>
      </c>
      <c r="E14" s="2">
        <f>SUM(B16:B18)/C14</f>
        <v>170</v>
      </c>
      <c r="G14" t="s">
        <v>37</v>
      </c>
    </row>
    <row r="15" spans="2:7 16383:16383" x14ac:dyDescent="0.25">
      <c r="B15" s="2">
        <v>30</v>
      </c>
      <c r="G15" t="s">
        <v>38</v>
      </c>
    </row>
    <row r="16" spans="2:7 16383:16383" x14ac:dyDescent="0.25">
      <c r="B16" s="2">
        <v>90</v>
      </c>
      <c r="E16" s="2">
        <f>SUM(B14:B19)*C14</f>
        <v>290</v>
      </c>
    </row>
    <row r="17" spans="2:2" x14ac:dyDescent="0.25">
      <c r="B17" s="2">
        <v>20</v>
      </c>
    </row>
    <row r="18" spans="2:2" x14ac:dyDescent="0.25">
      <c r="B18" s="2">
        <v>60</v>
      </c>
    </row>
    <row r="19" spans="2:2" x14ac:dyDescent="0.25">
      <c r="B19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Atajos</vt:lpstr>
      <vt:lpstr>Referencia</vt:lpstr>
      <vt:lpstr>Tablas</vt:lpstr>
      <vt:lpstr>Fórmulas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</dc:creator>
  <cp:lastModifiedBy>Mariana Velez Rivera</cp:lastModifiedBy>
  <dcterms:created xsi:type="dcterms:W3CDTF">2015-06-05T18:17:20Z</dcterms:created>
  <dcterms:modified xsi:type="dcterms:W3CDTF">2024-01-24T13:57:37Z</dcterms:modified>
</cp:coreProperties>
</file>