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m_velezr_uniandes_edu_co/Documents/Documentos/Universidad/Programación/Excel/SAD-20250923T212200Z-1-001/SAD/Excel/"/>
    </mc:Choice>
  </mc:AlternateContent>
  <xr:revisionPtr revIDLastSave="14" documentId="13_ncr:1_{BC2AAE6F-723E-4256-A886-E2C24005C605}" xr6:coauthVersionLast="47" xr6:coauthVersionMax="47" xr10:uidLastSave="{8C56F9EF-D360-4B02-96BF-F0FF5C6B8908}"/>
  <bookViews>
    <workbookView xWindow="-108" yWindow="-108" windowWidth="23256" windowHeight="12456" activeTab="1" xr2:uid="{00000000-000D-0000-FFFF-FFFF00000000}"/>
  </bookViews>
  <sheets>
    <sheet name="Búsqueda" sheetId="1" r:id="rId1"/>
    <sheet name="Referencia" sheetId="2" r:id="rId2"/>
  </sheets>
  <definedNames>
    <definedName name="_xlnm._FilterDatabase" localSheetId="0" hidden="1">Búsqueda!#REF!</definedName>
    <definedName name="letricas1">#REF!</definedName>
    <definedName name="letricas2">#REF!</definedName>
    <definedName name="numeritos1">#REF!</definedName>
    <definedName name="numeritos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C57" i="1"/>
  <c r="C56" i="1"/>
  <c r="C53" i="1"/>
  <c r="I51" i="1"/>
  <c r="C51" i="1"/>
  <c r="H47" i="1"/>
  <c r="C47" i="1"/>
  <c r="H64" i="1"/>
  <c r="G64" i="1"/>
  <c r="H22" i="2"/>
  <c r="H23" i="2"/>
  <c r="H24" i="2"/>
  <c r="H25" i="2"/>
  <c r="F25" i="2"/>
  <c r="G25" i="2"/>
  <c r="F26" i="2"/>
  <c r="G26" i="2"/>
  <c r="F23" i="2"/>
  <c r="G23" i="2"/>
  <c r="F24" i="2"/>
  <c r="G24" i="2"/>
  <c r="G22" i="2"/>
  <c r="H26" i="2"/>
  <c r="F16" i="2"/>
  <c r="B4" i="2"/>
  <c r="C8" i="2" a="1"/>
  <c r="C8" i="2" l="1"/>
  <c r="G47" i="1"/>
  <c r="C22" i="1"/>
  <c r="C59" i="1"/>
  <c r="C58" i="1"/>
  <c r="C52" i="1"/>
  <c r="C54" i="1" l="1"/>
  <c r="C49" i="1"/>
  <c r="C48" i="1"/>
  <c r="C25" i="1"/>
  <c r="C24" i="1"/>
  <c r="C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<sst xmlns="http://schemas.openxmlformats.org/spreadsheetml/2006/main" count="176" uniqueCount="102">
  <si>
    <t>Buscar</t>
  </si>
  <si>
    <t>BuscarV</t>
  </si>
  <si>
    <t>BuscarH</t>
  </si>
  <si>
    <t>Coincidir</t>
  </si>
  <si>
    <t>Índice</t>
  </si>
  <si>
    <t>perro</t>
  </si>
  <si>
    <t>mariquita</t>
  </si>
  <si>
    <t>gato</t>
  </si>
  <si>
    <t>elefante</t>
  </si>
  <si>
    <t>buho</t>
  </si>
  <si>
    <t>gallo</t>
  </si>
  <si>
    <t>cuy</t>
  </si>
  <si>
    <t>vaca</t>
  </si>
  <si>
    <t>caballo</t>
  </si>
  <si>
    <t>mariquis</t>
  </si>
  <si>
    <t>dumbo</t>
  </si>
  <si>
    <t>ojón</t>
  </si>
  <si>
    <t>alarma</t>
  </si>
  <si>
    <t>delicioso</t>
  </si>
  <si>
    <t>mu</t>
  </si>
  <si>
    <t>micho</t>
  </si>
  <si>
    <t>palomo</t>
  </si>
  <si>
    <t>bambam</t>
  </si>
  <si>
    <t>lince</t>
  </si>
  <si>
    <t>mundial</t>
  </si>
  <si>
    <t>BUSCAR()</t>
  </si>
  <si>
    <t>BUSCARV()</t>
  </si>
  <si>
    <t>BUSCARH()</t>
  </si>
  <si>
    <t>Nombre</t>
  </si>
  <si>
    <t>Busca CUALQUIER valor en la primera columna y devuelve un valor en la misma fila pero en otra columna.</t>
  </si>
  <si>
    <t>Busca CUALQUIER valor en la primera fila y devuelve un valor en la misma columna pero en otra fila.</t>
  </si>
  <si>
    <t>COINCIDIR()</t>
  </si>
  <si>
    <t>INDICE()</t>
  </si>
  <si>
    <t>Devuelve la posición de un valor en un rango (generalmente Vector).</t>
  </si>
  <si>
    <t>Devuelve el valor de una posición en un rango (generalemente Matriz).</t>
  </si>
  <si>
    <t>INDICE() + COINCIDIR()</t>
  </si>
  <si>
    <t>Color</t>
  </si>
  <si>
    <t>Rojo</t>
  </si>
  <si>
    <t>Negro</t>
  </si>
  <si>
    <t>Blanco</t>
  </si>
  <si>
    <t>Gris</t>
  </si>
  <si>
    <t>Amarillo</t>
  </si>
  <si>
    <t>Edad [días]</t>
  </si>
  <si>
    <t>Sexo</t>
  </si>
  <si>
    <t>Macho</t>
  </si>
  <si>
    <t>Hembra</t>
  </si>
  <si>
    <t>¿Vive?</t>
  </si>
  <si>
    <t>Obtenga el color del quinto animal</t>
  </si>
  <si>
    <t>Obtenga el sexo del tercer animal</t>
  </si>
  <si>
    <t>Obtenga el nombre del segundo animal</t>
  </si>
  <si>
    <t>Obtenga la fila en que se encuentra el animal que se llama "dumbo"</t>
  </si>
  <si>
    <t>Obtenga la fila en que se encuentra el animal con edad de 346</t>
  </si>
  <si>
    <t>Obtenga la columna en que se encuentran los colores</t>
  </si>
  <si>
    <t>Animal</t>
  </si>
  <si>
    <t>Obtenga la columna en que se encuentra "Macho" en la fila del caballo</t>
  </si>
  <si>
    <t>ES LIMITADO</t>
  </si>
  <si>
    <t>Obtenga el color del gato</t>
  </si>
  <si>
    <t>Obtenga el color de "delicioso"</t>
  </si>
  <si>
    <t>Obtenga el sexo del animal que tiene 1263 días de edad</t>
  </si>
  <si>
    <t>Diga si el lince está vivo</t>
  </si>
  <si>
    <t>Busca un valor NUMÉRICO ORGANIZADO en una matriz o en un vector. Lo busca vertical o horizontalmente.</t>
  </si>
  <si>
    <t>Los más flexibles</t>
  </si>
  <si>
    <t>Resumen</t>
  </si>
  <si>
    <t>Buscar solo para abajo</t>
  </si>
  <si>
    <t>x</t>
  </si>
  <si>
    <t>Buscar a la izquierda</t>
  </si>
  <si>
    <t>Buscar para arriba</t>
  </si>
  <si>
    <t>Buscar a la derecha</t>
  </si>
  <si>
    <t>INDICE() [+ COINCIDIR()]</t>
  </si>
  <si>
    <t>búho</t>
  </si>
  <si>
    <t>Obtenga el sexo (busque en la fila de los títulos) del cuy (busque en la columna "Animal")</t>
  </si>
  <si>
    <t>Diga si "micho" (busque en la columna "Nombre") está vivo (busque "¿Vive?" en la fila de títulos)</t>
  </si>
  <si>
    <t>Especie</t>
  </si>
  <si>
    <t>Direccion</t>
  </si>
  <si>
    <t>Muestra la dirección de una celda, a partir del número de fila y columna</t>
  </si>
  <si>
    <t>¿Cuál es la dirección de la celda que está en la fila 3 y en la columna 5?</t>
  </si>
  <si>
    <t>Indirecto</t>
  </si>
  <si>
    <t>Muestra el valor de un rango que se escribe como cadena de texto</t>
  </si>
  <si>
    <t>¿Qué hay en la celda "B8"?</t>
  </si>
  <si>
    <t>Desref</t>
  </si>
  <si>
    <t>Devuelve un rango a partir de una referencia</t>
  </si>
  <si>
    <t>Haciendo uso de fila + indirecto y la columna "A" muestre los números desde el 1 hasta el número que se muestra en la celda B10</t>
  </si>
  <si>
    <t>New York</t>
  </si>
  <si>
    <t>Pasto</t>
  </si>
  <si>
    <t>Berlín</t>
  </si>
  <si>
    <t>Tokio</t>
  </si>
  <si>
    <t>Caracas</t>
  </si>
  <si>
    <t>París</t>
  </si>
  <si>
    <t>Madrid</t>
  </si>
  <si>
    <t>Atenas</t>
  </si>
  <si>
    <t>Quito</t>
  </si>
  <si>
    <t>Bogotá</t>
  </si>
  <si>
    <t>Oslo</t>
  </si>
  <si>
    <t>Lisboa</t>
  </si>
  <si>
    <t>Londres</t>
  </si>
  <si>
    <t>Washington</t>
  </si>
  <si>
    <t>Lima</t>
  </si>
  <si>
    <t>Desde Londres (celda D20) llegue a Pasto (celda B19)</t>
  </si>
  <si>
    <t>Desde Pasto (celda B19) obtenga Madrid, Lisboa, Atenas, Londres, Quito, Washington (rango C19:D21)</t>
  </si>
  <si>
    <t>Para la fila del búho obtenga el valor de la columna 2</t>
  </si>
  <si>
    <t>En la columna de color, obtenga el valor de la fila 5</t>
  </si>
  <si>
    <t xml:space="preserve"> -&gt; cuando tengo una refrencia de string a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</si>
</sst>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opLeftCell="A59" zoomScale="120" workbookViewId="0">
      <selection activeCell="C58" sqref="C58"/>
    </sheetView>
  </sheetViews>
  <sheetFormatPr baseColWidth="10" defaultColWidth="11.44140625" defaultRowHeight="14.4" x14ac:dyDescent="0.3"/>
  <cols>
    <col min="1" max="1" width="11.44140625" style="1"/>
    <col min="2" max="3" width="11.88671875" style="1" bestFit="1" customWidth="1"/>
    <col min="4" max="4" width="12.88671875" style="1" bestFit="1" customWidth="1"/>
    <col min="5" max="7" width="11.44140625" style="1"/>
    <col min="8" max="8" width="19.44140625" style="1" customWidth="1"/>
    <col min="9" max="16384" width="11.44140625" style="1"/>
  </cols>
  <sheetData>
    <row r="1" spans="1:8" x14ac:dyDescent="0.3">
      <c r="A1" s="11" t="s">
        <v>0</v>
      </c>
      <c r="B1" s="7" t="s">
        <v>25</v>
      </c>
      <c r="C1" s="4" t="s">
        <v>60</v>
      </c>
    </row>
    <row r="2" spans="1:8" x14ac:dyDescent="0.3">
      <c r="C2" s="1" t="s">
        <v>55</v>
      </c>
    </row>
    <row r="3" spans="1:8" x14ac:dyDescent="0.3">
      <c r="A3" s="23" t="s">
        <v>2</v>
      </c>
      <c r="B3" s="7" t="s">
        <v>27</v>
      </c>
      <c r="C3" s="4" t="s">
        <v>30</v>
      </c>
    </row>
    <row r="5" spans="1:8" x14ac:dyDescent="0.3">
      <c r="A5" s="2" t="s">
        <v>1</v>
      </c>
      <c r="B5" s="7" t="s">
        <v>26</v>
      </c>
      <c r="C5" s="4" t="s">
        <v>29</v>
      </c>
    </row>
    <row r="10" spans="1:8" x14ac:dyDescent="0.3">
      <c r="C10" s="9" t="s">
        <v>72</v>
      </c>
      <c r="D10" s="9" t="s">
        <v>28</v>
      </c>
      <c r="E10" s="9" t="s">
        <v>36</v>
      </c>
      <c r="F10" s="9" t="s">
        <v>42</v>
      </c>
      <c r="G10" s="9" t="s">
        <v>43</v>
      </c>
      <c r="H10" s="9" t="s">
        <v>46</v>
      </c>
    </row>
    <row r="11" spans="1:8" x14ac:dyDescent="0.3">
      <c r="C11" s="10" t="s">
        <v>6</v>
      </c>
      <c r="D11" s="10" t="s">
        <v>14</v>
      </c>
      <c r="E11" s="10" t="s">
        <v>37</v>
      </c>
      <c r="F11" s="10">
        <v>2</v>
      </c>
      <c r="G11" s="10" t="s">
        <v>44</v>
      </c>
      <c r="H11" s="10" t="b">
        <v>1</v>
      </c>
    </row>
    <row r="12" spans="1:8" x14ac:dyDescent="0.3">
      <c r="C12" s="10" t="s">
        <v>5</v>
      </c>
      <c r="D12" s="10" t="s">
        <v>22</v>
      </c>
      <c r="E12" s="10" t="s">
        <v>38</v>
      </c>
      <c r="F12" s="10">
        <v>234</v>
      </c>
      <c r="G12" s="10" t="s">
        <v>44</v>
      </c>
      <c r="H12" s="10" t="b">
        <v>0</v>
      </c>
    </row>
    <row r="13" spans="1:8" x14ac:dyDescent="0.3">
      <c r="C13" s="10" t="s">
        <v>7</v>
      </c>
      <c r="D13" s="10" t="s">
        <v>20</v>
      </c>
      <c r="E13" s="10" t="s">
        <v>39</v>
      </c>
      <c r="F13" s="10">
        <v>623</v>
      </c>
      <c r="G13" s="10" t="s">
        <v>44</v>
      </c>
      <c r="H13" s="10" t="b">
        <v>1</v>
      </c>
    </row>
    <row r="14" spans="1:8" x14ac:dyDescent="0.3">
      <c r="C14" s="10" t="s">
        <v>8</v>
      </c>
      <c r="D14" s="10" t="s">
        <v>15</v>
      </c>
      <c r="E14" s="10" t="s">
        <v>40</v>
      </c>
      <c r="F14" s="10">
        <v>463</v>
      </c>
      <c r="G14" s="10" t="s">
        <v>45</v>
      </c>
      <c r="H14" s="10" t="b">
        <v>0</v>
      </c>
    </row>
    <row r="15" spans="1:8" x14ac:dyDescent="0.3">
      <c r="C15" s="10" t="s">
        <v>9</v>
      </c>
      <c r="D15" s="10" t="s">
        <v>16</v>
      </c>
      <c r="E15" s="10" t="s">
        <v>38</v>
      </c>
      <c r="F15" s="10">
        <v>235</v>
      </c>
      <c r="G15" s="10" t="s">
        <v>45</v>
      </c>
      <c r="H15" s="10" t="b">
        <v>1</v>
      </c>
    </row>
    <row r="16" spans="1:8" x14ac:dyDescent="0.3">
      <c r="C16" s="10" t="s">
        <v>23</v>
      </c>
      <c r="D16" s="10" t="s">
        <v>24</v>
      </c>
      <c r="E16" s="10" t="s">
        <v>41</v>
      </c>
      <c r="F16" s="10">
        <v>1263</v>
      </c>
      <c r="G16" s="10" t="s">
        <v>44</v>
      </c>
      <c r="H16" s="10" t="b">
        <v>0</v>
      </c>
    </row>
    <row r="17" spans="1:8" x14ac:dyDescent="0.3">
      <c r="C17" s="10" t="s">
        <v>10</v>
      </c>
      <c r="D17" s="10" t="s">
        <v>17</v>
      </c>
      <c r="E17" s="10" t="s">
        <v>39</v>
      </c>
      <c r="F17" s="10">
        <v>346</v>
      </c>
      <c r="G17" s="10" t="s">
        <v>44</v>
      </c>
      <c r="H17" s="10" t="b">
        <v>1</v>
      </c>
    </row>
    <row r="18" spans="1:8" x14ac:dyDescent="0.3">
      <c r="C18" s="10" t="s">
        <v>11</v>
      </c>
      <c r="D18" s="10" t="s">
        <v>18</v>
      </c>
      <c r="E18" s="10" t="s">
        <v>40</v>
      </c>
      <c r="F18" s="10">
        <v>464</v>
      </c>
      <c r="G18" s="10" t="s">
        <v>45</v>
      </c>
      <c r="H18" s="10" t="b">
        <v>0</v>
      </c>
    </row>
    <row r="19" spans="1:8" x14ac:dyDescent="0.3">
      <c r="C19" s="10" t="s">
        <v>12</v>
      </c>
      <c r="D19" s="10" t="s">
        <v>19</v>
      </c>
      <c r="E19" s="10" t="s">
        <v>38</v>
      </c>
      <c r="F19" s="10">
        <v>2363</v>
      </c>
      <c r="G19" s="10" t="s">
        <v>45</v>
      </c>
      <c r="H19" s="10" t="b">
        <v>1</v>
      </c>
    </row>
    <row r="20" spans="1:8" x14ac:dyDescent="0.3">
      <c r="C20" s="10" t="s">
        <v>13</v>
      </c>
      <c r="D20" s="10" t="s">
        <v>21</v>
      </c>
      <c r="E20" s="10" t="s">
        <v>38</v>
      </c>
      <c r="F20" s="10">
        <v>4642</v>
      </c>
      <c r="G20" s="10" t="s">
        <v>44</v>
      </c>
      <c r="H20" s="10" t="b">
        <v>0</v>
      </c>
    </row>
    <row r="22" spans="1:8" x14ac:dyDescent="0.3">
      <c r="C22" s="5" t="str">
        <f>VLOOKUP("gato",C10:E20,3,FALSE)</f>
        <v>Blanco</v>
      </c>
      <c r="D22" s="4" t="s">
        <v>56</v>
      </c>
    </row>
    <row r="23" spans="1:8" x14ac:dyDescent="0.3">
      <c r="C23" s="5" t="b">
        <f>+VLOOKUP("lince",C10:H20,6,FALSE)</f>
        <v>0</v>
      </c>
      <c r="D23" s="4" t="s">
        <v>59</v>
      </c>
    </row>
    <row r="24" spans="1:8" x14ac:dyDescent="0.3">
      <c r="C24" s="5" t="str">
        <f>VLOOKUP("delicioso",D10:H20,2,FALSE)</f>
        <v>Gris</v>
      </c>
      <c r="D24" s="4" t="s">
        <v>57</v>
      </c>
    </row>
    <row r="25" spans="1:8" x14ac:dyDescent="0.3">
      <c r="C25" s="5" t="str">
        <f>VLOOKUP(1263,F10:H20,2,FALSE)</f>
        <v>Macho</v>
      </c>
      <c r="D25" s="4" t="s">
        <v>58</v>
      </c>
    </row>
    <row r="27" spans="1:8" s="6" customFormat="1" x14ac:dyDescent="0.3">
      <c r="A27" s="12" t="s">
        <v>61</v>
      </c>
    </row>
    <row r="29" spans="1:8" x14ac:dyDescent="0.3">
      <c r="A29" s="2" t="s">
        <v>3</v>
      </c>
      <c r="B29" s="7" t="s">
        <v>31</v>
      </c>
      <c r="C29" s="4" t="s">
        <v>33</v>
      </c>
    </row>
    <row r="30" spans="1:8" x14ac:dyDescent="0.3">
      <c r="A30" s="3"/>
    </row>
    <row r="31" spans="1:8" x14ac:dyDescent="0.3">
      <c r="A31" s="2" t="s">
        <v>4</v>
      </c>
      <c r="B31" s="7" t="s">
        <v>32</v>
      </c>
      <c r="C31" s="4" t="s">
        <v>34</v>
      </c>
    </row>
    <row r="33" spans="1:8" x14ac:dyDescent="0.3">
      <c r="A33" s="8"/>
      <c r="C33" s="4"/>
    </row>
    <row r="34" spans="1:8" x14ac:dyDescent="0.3">
      <c r="A34" s="8"/>
      <c r="C34" s="4"/>
    </row>
    <row r="35" spans="1:8" x14ac:dyDescent="0.3">
      <c r="A35" s="8"/>
      <c r="C35" s="9" t="s">
        <v>53</v>
      </c>
      <c r="D35" s="9" t="s">
        <v>28</v>
      </c>
      <c r="E35" s="9" t="s">
        <v>36</v>
      </c>
      <c r="F35" s="9" t="s">
        <v>42</v>
      </c>
      <c r="G35" s="9" t="s">
        <v>43</v>
      </c>
      <c r="H35" s="9" t="s">
        <v>46</v>
      </c>
    </row>
    <row r="36" spans="1:8" x14ac:dyDescent="0.3">
      <c r="A36" s="8"/>
      <c r="C36" s="10" t="s">
        <v>6</v>
      </c>
      <c r="D36" s="10" t="s">
        <v>14</v>
      </c>
      <c r="E36" s="10" t="s">
        <v>37</v>
      </c>
      <c r="F36" s="10">
        <v>2</v>
      </c>
      <c r="G36" s="10" t="s">
        <v>44</v>
      </c>
      <c r="H36" s="10" t="b">
        <v>1</v>
      </c>
    </row>
    <row r="37" spans="1:8" x14ac:dyDescent="0.3">
      <c r="A37" s="8"/>
      <c r="C37" s="10" t="s">
        <v>5</v>
      </c>
      <c r="D37" s="10" t="s">
        <v>22</v>
      </c>
      <c r="E37" s="10" t="s">
        <v>38</v>
      </c>
      <c r="F37" s="10">
        <v>234</v>
      </c>
      <c r="G37" s="10" t="s">
        <v>44</v>
      </c>
      <c r="H37" s="10" t="b">
        <v>0</v>
      </c>
    </row>
    <row r="38" spans="1:8" x14ac:dyDescent="0.3">
      <c r="A38" s="8"/>
      <c r="C38" s="10" t="s">
        <v>7</v>
      </c>
      <c r="D38" s="10" t="s">
        <v>20</v>
      </c>
      <c r="E38" s="10" t="s">
        <v>39</v>
      </c>
      <c r="F38" s="10">
        <v>623</v>
      </c>
      <c r="G38" s="10" t="s">
        <v>44</v>
      </c>
      <c r="H38" s="10" t="b">
        <v>1</v>
      </c>
    </row>
    <row r="39" spans="1:8" x14ac:dyDescent="0.3">
      <c r="A39" s="8"/>
      <c r="C39" s="10" t="s">
        <v>8</v>
      </c>
      <c r="D39" s="10" t="s">
        <v>15</v>
      </c>
      <c r="E39" s="10" t="s">
        <v>40</v>
      </c>
      <c r="F39" s="10">
        <v>463</v>
      </c>
      <c r="G39" s="10" t="s">
        <v>45</v>
      </c>
      <c r="H39" s="10" t="b">
        <v>0</v>
      </c>
    </row>
    <row r="40" spans="1:8" x14ac:dyDescent="0.3">
      <c r="A40" s="8"/>
      <c r="C40" s="10" t="s">
        <v>69</v>
      </c>
      <c r="D40" s="10" t="s">
        <v>16</v>
      </c>
      <c r="E40" s="10" t="s">
        <v>38</v>
      </c>
      <c r="F40" s="10">
        <v>235</v>
      </c>
      <c r="G40" s="10" t="s">
        <v>45</v>
      </c>
      <c r="H40" s="10" t="b">
        <v>1</v>
      </c>
    </row>
    <row r="41" spans="1:8" x14ac:dyDescent="0.3">
      <c r="A41" s="8"/>
      <c r="C41" s="10" t="s">
        <v>23</v>
      </c>
      <c r="D41" s="10" t="s">
        <v>24</v>
      </c>
      <c r="E41" s="10" t="s">
        <v>41</v>
      </c>
      <c r="F41" s="10">
        <v>1263</v>
      </c>
      <c r="G41" s="10" t="s">
        <v>44</v>
      </c>
      <c r="H41" s="10" t="b">
        <v>0</v>
      </c>
    </row>
    <row r="42" spans="1:8" x14ac:dyDescent="0.3">
      <c r="A42" s="8"/>
      <c r="C42" s="10" t="s">
        <v>10</v>
      </c>
      <c r="D42" s="10" t="s">
        <v>17</v>
      </c>
      <c r="E42" s="10" t="s">
        <v>39</v>
      </c>
      <c r="F42" s="10">
        <v>346</v>
      </c>
      <c r="G42" s="10" t="s">
        <v>44</v>
      </c>
      <c r="H42" s="10" t="b">
        <v>1</v>
      </c>
    </row>
    <row r="43" spans="1:8" x14ac:dyDescent="0.3">
      <c r="A43" s="8"/>
      <c r="C43" s="10" t="s">
        <v>11</v>
      </c>
      <c r="D43" s="10" t="s">
        <v>18</v>
      </c>
      <c r="E43" s="10" t="s">
        <v>40</v>
      </c>
      <c r="F43" s="10">
        <v>464</v>
      </c>
      <c r="G43" s="10" t="s">
        <v>45</v>
      </c>
      <c r="H43" s="10" t="b">
        <v>0</v>
      </c>
    </row>
    <row r="44" spans="1:8" x14ac:dyDescent="0.3">
      <c r="A44" s="8"/>
      <c r="C44" s="10" t="s">
        <v>12</v>
      </c>
      <c r="D44" s="10" t="s">
        <v>19</v>
      </c>
      <c r="E44" s="10" t="s">
        <v>38</v>
      </c>
      <c r="F44" s="10">
        <v>2363</v>
      </c>
      <c r="G44" s="10" t="s">
        <v>45</v>
      </c>
      <c r="H44" s="10" t="b">
        <v>1</v>
      </c>
    </row>
    <row r="45" spans="1:8" x14ac:dyDescent="0.3">
      <c r="A45" s="8"/>
      <c r="C45" s="10" t="s">
        <v>13</v>
      </c>
      <c r="D45" s="10" t="s">
        <v>21</v>
      </c>
      <c r="E45" s="10" t="s">
        <v>38</v>
      </c>
      <c r="F45" s="10">
        <v>4642</v>
      </c>
      <c r="G45" s="10" t="s">
        <v>44</v>
      </c>
      <c r="H45" s="10" t="b">
        <v>0</v>
      </c>
    </row>
    <row r="46" spans="1:8" x14ac:dyDescent="0.3">
      <c r="A46" s="8"/>
      <c r="C46" s="4"/>
    </row>
    <row r="47" spans="1:8" x14ac:dyDescent="0.3">
      <c r="A47" s="8"/>
      <c r="B47" s="1" t="s">
        <v>32</v>
      </c>
      <c r="C47" s="5" t="str">
        <f>INDEX(C35:H45,6,3)</f>
        <v>Negro</v>
      </c>
      <c r="D47" s="4" t="s">
        <v>47</v>
      </c>
      <c r="G47" s="1" t="str">
        <f>HLOOKUP("PERRO",C36:F45,4,TRUE)</f>
        <v>dumbo</v>
      </c>
      <c r="H47" s="1" t="str">
        <f>INDEX(C35:H45,6,3)</f>
        <v>Negro</v>
      </c>
    </row>
    <row r="48" spans="1:8" x14ac:dyDescent="0.3">
      <c r="A48" s="8"/>
      <c r="B48" s="1" t="s">
        <v>32</v>
      </c>
      <c r="C48" s="5" t="str">
        <f>INDEX(C35:H45,4,5)</f>
        <v>Macho</v>
      </c>
      <c r="D48" s="4" t="s">
        <v>48</v>
      </c>
    </row>
    <row r="49" spans="1:9" x14ac:dyDescent="0.3">
      <c r="A49" s="8"/>
      <c r="B49" s="1" t="s">
        <v>32</v>
      </c>
      <c r="C49" s="5" t="str">
        <f>INDEX(C35:H45,3,2)</f>
        <v>bambam</v>
      </c>
      <c r="D49" s="4" t="s">
        <v>49</v>
      </c>
    </row>
    <row r="50" spans="1:9" x14ac:dyDescent="0.3">
      <c r="A50" s="8"/>
    </row>
    <row r="51" spans="1:9" x14ac:dyDescent="0.3">
      <c r="A51" s="8"/>
      <c r="B51" s="1" t="s">
        <v>31</v>
      </c>
      <c r="C51" s="5">
        <f>+ MATCH("dumbo",D36:D45,0)</f>
        <v>4</v>
      </c>
      <c r="D51" s="4" t="s">
        <v>50</v>
      </c>
      <c r="I51" s="1">
        <f>MATCH("dumbo",D36:D45,0)</f>
        <v>4</v>
      </c>
    </row>
    <row r="52" spans="1:9" x14ac:dyDescent="0.3">
      <c r="A52" s="8"/>
      <c r="B52" s="1" t="s">
        <v>31</v>
      </c>
      <c r="C52" s="5">
        <f>+MATCH(346,F36:F45,0)</f>
        <v>7</v>
      </c>
      <c r="D52" s="4" t="s">
        <v>51</v>
      </c>
    </row>
    <row r="53" spans="1:9" x14ac:dyDescent="0.3">
      <c r="A53" s="8"/>
      <c r="B53" s="1" t="s">
        <v>31</v>
      </c>
      <c r="C53" s="5">
        <f>MATCH("coLor",C35:H35,0)</f>
        <v>3</v>
      </c>
      <c r="D53" s="4" t="s">
        <v>52</v>
      </c>
    </row>
    <row r="54" spans="1:9" x14ac:dyDescent="0.3">
      <c r="A54" s="8"/>
      <c r="B54" s="1" t="s">
        <v>31</v>
      </c>
      <c r="C54" s="5">
        <f>MATCH("macho",C45:H45,0)</f>
        <v>5</v>
      </c>
      <c r="D54" s="4" t="s">
        <v>54</v>
      </c>
    </row>
    <row r="55" spans="1:9" x14ac:dyDescent="0.3">
      <c r="A55" s="3"/>
      <c r="C55" s="4"/>
    </row>
    <row r="56" spans="1:9" x14ac:dyDescent="0.3">
      <c r="A56" s="24" t="s">
        <v>35</v>
      </c>
      <c r="B56" s="25"/>
      <c r="C56" s="17" t="str">
        <f>INDEX(C36:H45,MATCH("búho",C36:C45,0),2)</f>
        <v>ojón</v>
      </c>
      <c r="D56" s="4" t="s">
        <v>99</v>
      </c>
    </row>
    <row r="57" spans="1:9" x14ac:dyDescent="0.3">
      <c r="A57" s="24" t="s">
        <v>35</v>
      </c>
      <c r="B57" s="25"/>
      <c r="C57" s="17" t="str">
        <f>INDEX(C36:H45,5,MATCH("color",C35:H35,0))</f>
        <v>Negro</v>
      </c>
      <c r="D57" s="4" t="s">
        <v>100</v>
      </c>
    </row>
    <row r="58" spans="1:9" x14ac:dyDescent="0.3">
      <c r="A58" s="24" t="s">
        <v>35</v>
      </c>
      <c r="B58" s="25"/>
      <c r="C58" s="17" t="str">
        <f>INDEX(C36:H45,MATCH("cuy",C36:C45,0),MATCH("sexo",C35:H35,0))</f>
        <v>Hembra</v>
      </c>
      <c r="D58" s="4" t="s">
        <v>70</v>
      </c>
    </row>
    <row r="59" spans="1:9" x14ac:dyDescent="0.3">
      <c r="A59" s="24" t="s">
        <v>35</v>
      </c>
      <c r="B59" s="25"/>
      <c r="C59" s="17" t="b">
        <f>INDEX(C36:H45,MATCH("MICHO",D36:D45,0),MATCH("¿VIVE?",C35:H35,0))</f>
        <v>1</v>
      </c>
      <c r="D59" s="4" t="s">
        <v>71</v>
      </c>
    </row>
    <row r="60" spans="1:9" x14ac:dyDescent="0.3">
      <c r="A60" s="3"/>
      <c r="C60" s="4"/>
      <c r="D60" s="4"/>
    </row>
    <row r="61" spans="1:9" s="6" customFormat="1" x14ac:dyDescent="0.3">
      <c r="A61" s="2" t="s">
        <v>62</v>
      </c>
      <c r="C61" s="13"/>
    </row>
    <row r="62" spans="1:9" x14ac:dyDescent="0.3">
      <c r="A62" s="8"/>
      <c r="C62" s="4"/>
    </row>
    <row r="63" spans="1:9" x14ac:dyDescent="0.3">
      <c r="C63" s="4"/>
    </row>
    <row r="64" spans="1:9" x14ac:dyDescent="0.3">
      <c r="A64" s="14"/>
      <c r="B64" s="14"/>
      <c r="C64" s="15" t="s">
        <v>26</v>
      </c>
      <c r="D64" s="15" t="s">
        <v>27</v>
      </c>
      <c r="E64" s="26" t="s">
        <v>68</v>
      </c>
      <c r="F64" s="26"/>
      <c r="G64" s="1" t="str">
        <f>VLOOKUP(C36,C36:D45,2,FALSE)</f>
        <v>mariquis</v>
      </c>
      <c r="H64" s="1" t="str">
        <f>HLOOKUP(C36,C36:C39,2,FALSE)</f>
        <v>perro</v>
      </c>
    </row>
    <row r="65" spans="1:6" x14ac:dyDescent="0.3">
      <c r="A65" s="26" t="s">
        <v>67</v>
      </c>
      <c r="B65" s="27"/>
      <c r="C65" s="16" t="s">
        <v>64</v>
      </c>
      <c r="D65" s="16"/>
      <c r="E65" s="28" t="s">
        <v>64</v>
      </c>
      <c r="F65" s="28"/>
    </row>
    <row r="66" spans="1:6" x14ac:dyDescent="0.3">
      <c r="A66" s="26" t="s">
        <v>65</v>
      </c>
      <c r="B66" s="27"/>
      <c r="C66" s="16"/>
      <c r="D66" s="16"/>
      <c r="E66" s="28" t="s">
        <v>64</v>
      </c>
      <c r="F66" s="28"/>
    </row>
    <row r="67" spans="1:6" x14ac:dyDescent="0.3">
      <c r="A67" s="26" t="s">
        <v>63</v>
      </c>
      <c r="B67" s="27"/>
      <c r="C67" s="16"/>
      <c r="D67" s="16" t="s">
        <v>64</v>
      </c>
      <c r="E67" s="28" t="s">
        <v>64</v>
      </c>
      <c r="F67" s="28"/>
    </row>
    <row r="68" spans="1:6" x14ac:dyDescent="0.3">
      <c r="A68" s="26" t="s">
        <v>66</v>
      </c>
      <c r="B68" s="27"/>
      <c r="C68" s="16"/>
      <c r="D68" s="16"/>
      <c r="E68" s="28" t="s">
        <v>64</v>
      </c>
      <c r="F68" s="28"/>
    </row>
    <row r="69" spans="1:6" x14ac:dyDescent="0.3">
      <c r="A69" s="8"/>
      <c r="C69" s="4"/>
    </row>
  </sheetData>
  <mergeCells count="13">
    <mergeCell ref="A66:B66"/>
    <mergeCell ref="A67:B67"/>
    <mergeCell ref="A68:B68"/>
    <mergeCell ref="E64:F64"/>
    <mergeCell ref="E65:F65"/>
    <mergeCell ref="E66:F66"/>
    <mergeCell ref="E67:F67"/>
    <mergeCell ref="E68:F68"/>
    <mergeCell ref="A56:B56"/>
    <mergeCell ref="A57:B57"/>
    <mergeCell ref="A58:B58"/>
    <mergeCell ref="A59:B59"/>
    <mergeCell ref="A65:B6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6"/>
  <sheetViews>
    <sheetView tabSelected="1" zoomScale="146" workbookViewId="0">
      <selection activeCell="C9" sqref="C9"/>
    </sheetView>
  </sheetViews>
  <sheetFormatPr baseColWidth="10" defaultRowHeight="14.4" x14ac:dyDescent="0.3"/>
  <sheetData>
    <row r="2" spans="1:7" x14ac:dyDescent="0.3">
      <c r="A2" s="2" t="s">
        <v>73</v>
      </c>
      <c r="B2" t="s">
        <v>74</v>
      </c>
    </row>
    <row r="4" spans="1:7" x14ac:dyDescent="0.3">
      <c r="B4" s="5" t="str">
        <f>ADDRESS(3,5)</f>
        <v>$E$3</v>
      </c>
      <c r="C4" t="s">
        <v>75</v>
      </c>
    </row>
    <row r="6" spans="1:7" x14ac:dyDescent="0.3">
      <c r="A6" s="2" t="s">
        <v>76</v>
      </c>
      <c r="B6" t="s">
        <v>77</v>
      </c>
      <c r="G6" t="s">
        <v>101</v>
      </c>
    </row>
    <row r="8" spans="1:7" x14ac:dyDescent="0.3">
      <c r="B8" s="21">
        <v>100</v>
      </c>
      <c r="C8" s="5" cm="1">
        <f t="array" aca="1" ref="C8" ca="1">INDIRECT("B8")</f>
        <v>100</v>
      </c>
      <c r="D8" t="s">
        <v>78</v>
      </c>
    </row>
    <row r="10" spans="1:7" x14ac:dyDescent="0.3">
      <c r="B10" s="22">
        <v>5</v>
      </c>
      <c r="C10" s="20"/>
      <c r="D10" t="s">
        <v>81</v>
      </c>
    </row>
    <row r="11" spans="1:7" x14ac:dyDescent="0.3">
      <c r="B11" s="1"/>
      <c r="C11" s="20"/>
    </row>
    <row r="12" spans="1:7" x14ac:dyDescent="0.3">
      <c r="B12" s="1"/>
      <c r="C12" s="20"/>
    </row>
    <row r="13" spans="1:7" x14ac:dyDescent="0.3">
      <c r="B13" s="1"/>
      <c r="C13" s="20"/>
    </row>
    <row r="14" spans="1:7" x14ac:dyDescent="0.3">
      <c r="B14" s="1"/>
      <c r="C14" s="20"/>
    </row>
    <row r="16" spans="1:7" x14ac:dyDescent="0.3">
      <c r="A16" s="2" t="s">
        <v>79</v>
      </c>
      <c r="B16" t="s">
        <v>80</v>
      </c>
      <c r="F16">
        <f ca="1">+OFFSET(B18,2,3)</f>
        <v>0</v>
      </c>
    </row>
    <row r="18" spans="2:9" x14ac:dyDescent="0.3">
      <c r="B18" s="21" t="s">
        <v>82</v>
      </c>
      <c r="C18" s="21" t="s">
        <v>87</v>
      </c>
      <c r="D18" s="21" t="s">
        <v>92</v>
      </c>
      <c r="F18" s="18"/>
      <c r="G18" s="4" t="s">
        <v>97</v>
      </c>
    </row>
    <row r="19" spans="2:9" x14ac:dyDescent="0.3">
      <c r="B19" s="21" t="s">
        <v>83</v>
      </c>
      <c r="C19" s="21" t="s">
        <v>88</v>
      </c>
      <c r="D19" s="21" t="s">
        <v>93</v>
      </c>
    </row>
    <row r="20" spans="2:9" x14ac:dyDescent="0.3">
      <c r="B20" s="21" t="s">
        <v>84</v>
      </c>
      <c r="C20" s="21" t="s">
        <v>89</v>
      </c>
      <c r="D20" s="21" t="s">
        <v>94</v>
      </c>
    </row>
    <row r="21" spans="2:9" x14ac:dyDescent="0.3">
      <c r="B21" s="21" t="s">
        <v>85</v>
      </c>
      <c r="C21" s="21" t="s">
        <v>90</v>
      </c>
      <c r="D21" s="21" t="s">
        <v>95</v>
      </c>
      <c r="I21" s="4" t="s">
        <v>98</v>
      </c>
    </row>
    <row r="22" spans="2:9" x14ac:dyDescent="0.3">
      <c r="B22" s="21" t="s">
        <v>86</v>
      </c>
      <c r="C22" s="21" t="s">
        <v>91</v>
      </c>
      <c r="D22" s="21" t="s">
        <v>96</v>
      </c>
      <c r="F22" s="19" t="str">
        <f ca="1">OFFSET(B18,COUNT(B18:B22),COUNT(B18:D18))</f>
        <v>New York</v>
      </c>
      <c r="G22" s="19" t="str">
        <f ca="1">OFFSET(C18,COUNT(C18:C22),COUNT(C18:E18))</f>
        <v>París</v>
      </c>
      <c r="H22" s="19" t="str">
        <f ca="1">OFFSET(D18,COUNT(D18:D22),COUNT(D18:F18))</f>
        <v>Oslo</v>
      </c>
    </row>
    <row r="23" spans="2:9" x14ac:dyDescent="0.3">
      <c r="F23" s="19" t="str">
        <f t="shared" ref="F23:H23" ca="1" si="0">OFFSET(B19,COUNT(B19:B23),COUNT(B19:D19))</f>
        <v>Pasto</v>
      </c>
      <c r="G23" s="19" t="str">
        <f t="shared" ca="1" si="0"/>
        <v>Madrid</v>
      </c>
      <c r="H23" s="19" t="str">
        <f t="shared" ca="1" si="0"/>
        <v>Lisboa</v>
      </c>
    </row>
    <row r="24" spans="2:9" x14ac:dyDescent="0.3">
      <c r="F24" s="19" t="str">
        <f t="shared" ref="F24:H24" ca="1" si="1">OFFSET(B20,COUNT(B20:B24),COUNT(B20:D20))</f>
        <v>Berlín</v>
      </c>
      <c r="G24" s="19" t="str">
        <f t="shared" ca="1" si="1"/>
        <v>Atenas</v>
      </c>
      <c r="H24" s="19" t="str">
        <f t="shared" ca="1" si="1"/>
        <v>Londres</v>
      </c>
    </row>
    <row r="25" spans="2:9" x14ac:dyDescent="0.3">
      <c r="F25" s="19" t="str">
        <f ca="1">OFFSET(B21,COUNT(B21:B25),COUNT(B21:D21))</f>
        <v>Tokio</v>
      </c>
      <c r="G25" s="19" t="str">
        <f ca="1">OFFSET(C21,COUNT(C21:C25),COUNT(C21:E21))</f>
        <v>Quito</v>
      </c>
      <c r="H25" s="19" t="str">
        <f ca="1">OFFSET(D21,COUNT(D21:D25),COUNT(D21:F21))</f>
        <v>Washington</v>
      </c>
    </row>
    <row r="26" spans="2:9" x14ac:dyDescent="0.3">
      <c r="F26" s="19" t="str">
        <f t="shared" ref="F26:H26" ca="1" si="2">OFFSET(B22,COUNT(B22:B26),COUNT(B22:D22))</f>
        <v>Caracas</v>
      </c>
      <c r="G26" s="19" t="str">
        <f t="shared" ref="G26" ca="1" si="3">OFFSET(C22,COUNT(C22:C26),COUNT(C22:E22))</f>
        <v>Bogotá</v>
      </c>
      <c r="H26" s="19" t="str">
        <f t="shared" ca="1" si="2"/>
        <v>Lima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Búsqueda</vt:lpstr>
      <vt:lpstr>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defal</dc:creator>
  <cp:lastModifiedBy>Mariana Velez Rivera</cp:lastModifiedBy>
  <dcterms:created xsi:type="dcterms:W3CDTF">2020-01-25T15:11:20Z</dcterms:created>
  <dcterms:modified xsi:type="dcterms:W3CDTF">2025-10-04T15:51:17Z</dcterms:modified>
</cp:coreProperties>
</file>