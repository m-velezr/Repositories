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ana Velez\Documents\6 SEMESTRE\SAD\"/>
    </mc:Choice>
  </mc:AlternateContent>
  <xr:revisionPtr revIDLastSave="0" documentId="13_ncr:1_{9859B808-7BFF-43A8-A07B-95F2E7EE82A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EJERCICIOS" sheetId="1" r:id="rId1"/>
    <sheet name="Hoja1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1" i="1" l="1"/>
  <c r="C72" i="1"/>
  <c r="C73" i="1"/>
  <c r="C74" i="1"/>
  <c r="C75" i="1"/>
  <c r="C76" i="1"/>
  <c r="C77" i="1"/>
  <c r="C78" i="1"/>
  <c r="C79" i="1"/>
  <c r="C80" i="1"/>
  <c r="C81" i="1"/>
  <c r="C82" i="1"/>
  <c r="C83" i="1"/>
  <c r="C70" i="1"/>
  <c r="G52" i="1" a="1"/>
  <c r="G52" i="1" s="1"/>
  <c r="G48" i="1"/>
  <c r="P49" i="1" a="1"/>
  <c r="P49" i="1" s="1"/>
  <c r="G46" i="1" a="1"/>
  <c r="G46" i="1" s="1"/>
  <c r="H46" i="1"/>
  <c r="E50" i="1"/>
  <c r="E49" i="1"/>
  <c r="H49" i="1" a="1"/>
  <c r="H49" i="1" s="1"/>
  <c r="C40" i="1" a="1"/>
  <c r="C40" i="1" s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O49" i="1" a="1"/>
  <c r="O49" i="1" s="1"/>
  <c r="N49" i="1"/>
  <c r="N38" i="1" a="1"/>
  <c r="N38" i="1" s="1"/>
  <c r="L31" i="1"/>
  <c r="N31" i="1" s="1" a="1"/>
  <c r="N31" i="1" s="1"/>
  <c r="N24" i="1" a="1"/>
  <c r="N24" i="1"/>
  <c r="N19" i="1" a="1"/>
  <c r="N19" i="1"/>
  <c r="R29" i="1" l="1" a="1"/>
  <c r="R2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<sst xmlns="http://schemas.openxmlformats.org/spreadsheetml/2006/main" count="116" uniqueCount="80">
  <si>
    <t>IIND 2109</t>
  </si>
  <si>
    <t>Complementaria: Fórmulas Matriciales</t>
  </si>
  <si>
    <t>Tabla 1. Notas Estudiantes</t>
  </si>
  <si>
    <t>APELLIDO</t>
  </si>
  <si>
    <t>NOMBRE</t>
  </si>
  <si>
    <t>PARCIAL 1</t>
  </si>
  <si>
    <t>PARCIAL 2</t>
  </si>
  <si>
    <t>FINAL</t>
  </si>
  <si>
    <t>FECHA</t>
  </si>
  <si>
    <t>SECCIÓN</t>
  </si>
  <si>
    <t>Utilizando como base la información contenida en la Tabla 1, realice los siguientes ejercicios por medio de fórmulas matriciales.</t>
  </si>
  <si>
    <t>SEGURA PAEZ</t>
  </si>
  <si>
    <t>JAIME ANDRES</t>
  </si>
  <si>
    <t>A</t>
  </si>
  <si>
    <t>ACOSTA MARTIN</t>
  </si>
  <si>
    <t>TOMAS</t>
  </si>
  <si>
    <t>B</t>
  </si>
  <si>
    <t>PUNTO 1</t>
  </si>
  <si>
    <t>RODRIGUEZ PEREZ</t>
  </si>
  <si>
    <t>ANDREA CAROLINA</t>
  </si>
  <si>
    <t>C</t>
  </si>
  <si>
    <t>MORALES CANTILLO</t>
  </si>
  <si>
    <t>SANTIAGO</t>
  </si>
  <si>
    <t>¿Cuántos estudiantes tienen un segundo apellido que empieza por la letra P?</t>
  </si>
  <si>
    <t>CANTILLO ALVAREZ</t>
  </si>
  <si>
    <t>MARIA CAMILA</t>
  </si>
  <si>
    <t>RESPUESTA:</t>
  </si>
  <si>
    <t>LEANO MARTINEZ</t>
  </si>
  <si>
    <t>CAMILA ISABEL</t>
  </si>
  <si>
    <t>DONADO HUERTAS</t>
  </si>
  <si>
    <t>IRENE</t>
  </si>
  <si>
    <t>PUNTO 2</t>
  </si>
  <si>
    <t>PERALTA ARANGO</t>
  </si>
  <si>
    <t>BRUNO</t>
  </si>
  <si>
    <t>PREDEROS BRANGO</t>
  </si>
  <si>
    <t>NICOLAS CAMILO</t>
  </si>
  <si>
    <t>¿Cuál es el nombre y el apellido del estudiante que tiene la mayor diferencia de nota entre parcial 1 y parcial 2?</t>
  </si>
  <si>
    <t>VILLAMIL RODRIGUEZ</t>
  </si>
  <si>
    <t>KAREN ANDREA</t>
  </si>
  <si>
    <t>LOPEZ CRUZ</t>
  </si>
  <si>
    <t>FELIPE</t>
  </si>
  <si>
    <t>BONILLA ESCALLON</t>
  </si>
  <si>
    <t>CARLOS ANDRES</t>
  </si>
  <si>
    <t>PUNTO 3</t>
  </si>
  <si>
    <t>ARANGO CARDENAS</t>
  </si>
  <si>
    <t>DIANA CAROLINA</t>
  </si>
  <si>
    <t>DIAZ DIAZ</t>
  </si>
  <si>
    <t>ANGEL LEONARDO</t>
  </si>
  <si>
    <t>Realice una única fórmula que encuentre la letra menos "avanzada" del abecedario para un nombre de la lista ingresado por parámetro en celda N31.</t>
  </si>
  <si>
    <t>SANABRIA GARCIA</t>
  </si>
  <si>
    <t>DANIEL ENRIQUE</t>
  </si>
  <si>
    <t>Por ejemplo: si el parámetro es "VALENTINA", el resultado es "a".</t>
  </si>
  <si>
    <t>PAEZ PAEZ</t>
  </si>
  <si>
    <t>ISABELLA</t>
  </si>
  <si>
    <t>GONZALEZ PERALTA</t>
  </si>
  <si>
    <t>DANIEL ALFREDO</t>
  </si>
  <si>
    <t>NOMBRE:</t>
  </si>
  <si>
    <t>CUBILLOS MARTINEZ</t>
  </si>
  <si>
    <t>JAVIER ALEJANDRO</t>
  </si>
  <si>
    <t>PARDO VELANDIA</t>
  </si>
  <si>
    <t>DAVID  RICARDO</t>
  </si>
  <si>
    <t>PUNTO 4</t>
  </si>
  <si>
    <t>RESTREPO JARAMILLO</t>
  </si>
  <si>
    <t>MARIA PAULA</t>
  </si>
  <si>
    <t>NINO JIMENEZ</t>
  </si>
  <si>
    <t>GABRIEL JOSE</t>
  </si>
  <si>
    <t>Realice un única fórmula matricial que le permita retornar las columnas: NOMBRE, APELLIDO y SECCIÓN, de los 5 estudiantes con mejor promedio de parciales.</t>
  </si>
  <si>
    <t>CARO ESCOBAR</t>
  </si>
  <si>
    <t>MATEO</t>
  </si>
  <si>
    <t>MOLINA ZAPATA</t>
  </si>
  <si>
    <t>VALENTINA</t>
  </si>
  <si>
    <t>TOP</t>
  </si>
  <si>
    <t>PUNTO 5</t>
  </si>
  <si>
    <t>Encuentre la nota que obtuvieron en el final de todas las personas que tengan el nombre ingresado por parámetro en la celda L48.</t>
  </si>
  <si>
    <t>MARIA</t>
  </si>
  <si>
    <t>PUNTO 6</t>
  </si>
  <si>
    <t>Rellene con el color rojo la fila de todos los estudiantes que perdieron por lo menos un parcial y pertenecen a la sección ingresada por parámetro en la celda K74.</t>
  </si>
  <si>
    <t>Unicode-Unicar</t>
  </si>
  <si>
    <t>Codigo - carácter</t>
  </si>
  <si>
    <t>Los widthcats solo sirven en funciones matematicas .si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</si>
</sst>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k_r_-;\-* #,##0.00\ _k_r_-;_-* &quot;-&quot;??\ _k_r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right"/>
    </xf>
    <xf numFmtId="0" fontId="3" fillId="2" borderId="0" xfId="0" applyFont="1" applyFill="1"/>
    <xf numFmtId="0" fontId="0" fillId="2" borderId="1" xfId="0" applyFill="1" applyBorder="1"/>
    <xf numFmtId="0" fontId="4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5" fillId="2" borderId="0" xfId="0" applyFont="1" applyFill="1" applyAlignment="1">
      <alignment horizontal="left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2" xfId="0" applyBorder="1"/>
    <xf numFmtId="2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vertical="top"/>
    </xf>
    <xf numFmtId="2" fontId="0" fillId="0" borderId="2" xfId="0" applyNumberForma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3" borderId="0" xfId="0" applyFill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 vertical="center"/>
    </xf>
    <xf numFmtId="1" fontId="5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1" fontId="5" fillId="0" borderId="0" xfId="0" applyNumberFormat="1" applyFont="1" applyAlignment="1">
      <alignment horizontal="center"/>
    </xf>
    <xf numFmtId="1" fontId="0" fillId="0" borderId="0" xfId="0" applyNumberFormat="1"/>
    <xf numFmtId="1" fontId="0" fillId="0" borderId="2" xfId="0" applyNumberForma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0" fillId="0" borderId="10" xfId="0" applyBorder="1"/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/>
  </cellXfs>
  <cellStyles count="2">
    <cellStyle name="Comma 2" xfId="1" xr:uid="{00000000-0005-0000-0000-000000000000}"/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148589</xdr:colOff>
      <xdr:row>0</xdr:row>
      <xdr:rowOff>167639</xdr:rowOff>
    </xdr:from>
    <xdr:to>
      <xdr:col>1</xdr:col>
      <xdr:colOff>1064419</xdr:colOff>
      <xdr:row>5</xdr:row>
      <xdr:rowOff>476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58" t="16753" r="6388" b="16581"/>
        <a:stretch/>
      </xdr:blipFill>
      <xdr:spPr>
        <a:xfrm>
          <a:off x="148589" y="167639"/>
          <a:ext cx="2404111" cy="735331"/>
        </a:xfrm>
        <a:prstGeom prst="rect">
          <a:avLst/>
        </a:prstGeom>
      </xdr:spPr>
    </xdr:pic>
    <xdr:clientData/>
  </xdr:twoCellAnchor>
  <xdr:twoCellAnchor>
    <xdr:from>
      <xdr:col>3</xdr:col>
      <xdr:colOff>651509</xdr:colOff>
      <xdr:row>0</xdr:row>
      <xdr:rowOff>148590</xdr:rowOff>
    </xdr:from>
    <xdr:to>
      <xdr:col>13</xdr:col>
      <xdr:colOff>1323974</xdr:colOff>
      <xdr:row>4</xdr:row>
      <xdr:rowOff>72390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3118484" y="148590"/>
          <a:ext cx="7959090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4400" b="1"/>
            <a:t>Sistemas de Apoyo a la Decisión</a:t>
          </a:r>
        </a:p>
      </xdr:txBody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5</v>
    <v>2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A125"/>
  <sheetViews>
    <sheetView showGridLines="0" tabSelected="1" zoomScale="66" zoomScaleNormal="94" workbookViewId="0">
      <selection activeCell="G24" sqref="G24"/>
    </sheetView>
  </sheetViews>
  <sheetFormatPr baseColWidth="10" defaultColWidth="12.85546875" defaultRowHeight="0" customHeight="1" zeroHeight="1" x14ac:dyDescent="0.25"/>
  <cols>
    <col min="1" max="2" width="22.28515625" bestFit="1" customWidth="1"/>
    <col min="3" max="3" width="18.85546875" bestFit="1" customWidth="1"/>
    <col min="4" max="4" width="20.42578125" customWidth="1"/>
    <col min="5" max="5" width="26.140625" customWidth="1"/>
    <col min="6" max="6" width="14" customWidth="1"/>
    <col min="7" max="7" width="15.85546875" bestFit="1" customWidth="1"/>
    <col min="8" max="8" width="20.85546875" bestFit="1" customWidth="1"/>
    <col min="9" max="9" width="11.42578125" customWidth="1"/>
    <col min="10" max="10" width="5.7109375" customWidth="1"/>
    <col min="12" max="12" width="18.7109375" bestFit="1" customWidth="1"/>
    <col min="13" max="13" width="16.7109375" bestFit="1" customWidth="1"/>
    <col min="14" max="16" width="30" customWidth="1"/>
    <col min="18" max="18" width="20.28515625" bestFit="1" customWidth="1"/>
    <col min="19" max="21" width="5.7109375" customWidth="1"/>
  </cols>
  <sheetData>
    <row r="1" spans="1:27" ht="14.4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7" ht="14.45" customHeight="1" x14ac:dyDescent="0.3">
      <c r="A2" s="2"/>
      <c r="B2" s="1"/>
      <c r="C2" s="1"/>
      <c r="D2" s="1"/>
      <c r="F2" s="1"/>
      <c r="H2" s="1"/>
      <c r="I2" s="1"/>
      <c r="J2" s="1"/>
      <c r="K2" s="1"/>
      <c r="L2" s="1"/>
      <c r="M2" s="1"/>
      <c r="N2" s="1"/>
    </row>
    <row r="3" spans="1:27" ht="14.4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27" ht="14.4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27" ht="14.4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27" ht="15" x14ac:dyDescent="0.25">
      <c r="A6" s="1"/>
      <c r="B6" s="1"/>
      <c r="C6" s="1"/>
      <c r="D6" s="1"/>
      <c r="E6" s="7" t="s">
        <v>0</v>
      </c>
      <c r="F6" s="7"/>
      <c r="G6" s="1"/>
      <c r="H6" s="1"/>
      <c r="I6" s="1"/>
      <c r="J6" s="1"/>
      <c r="K6" s="1"/>
      <c r="L6" s="1"/>
      <c r="M6" s="1"/>
      <c r="N6" s="1"/>
    </row>
    <row r="7" spans="1:27" ht="26.25" x14ac:dyDescent="0.4">
      <c r="A7" s="1"/>
      <c r="B7" s="1"/>
      <c r="C7" s="1"/>
      <c r="D7" s="1"/>
      <c r="E7" s="1"/>
      <c r="F7" s="3" t="s">
        <v>1</v>
      </c>
      <c r="G7" s="1"/>
      <c r="H7" s="1"/>
      <c r="I7" s="1"/>
      <c r="J7" s="1"/>
      <c r="K7" s="1"/>
      <c r="L7" s="1"/>
      <c r="M7" s="1"/>
      <c r="N7" s="1"/>
    </row>
    <row r="8" spans="1:27" ht="14.45" customHeight="1" thickBot="1" x14ac:dyDescent="0.3">
      <c r="A8" s="4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4.45" customHeight="1" thickTop="1" x14ac:dyDescent="0.25"/>
    <row r="10" spans="1:27" ht="14.45" customHeight="1" x14ac:dyDescent="0.25"/>
    <row r="11" spans="1:27" ht="14.45" customHeight="1" x14ac:dyDescent="0.25"/>
    <row r="12" spans="1:27" ht="14.45" customHeight="1" thickBot="1" x14ac:dyDescent="0.3"/>
    <row r="13" spans="1:27" ht="14.45" customHeight="1" x14ac:dyDescent="0.25">
      <c r="B13" s="18" t="s">
        <v>2</v>
      </c>
      <c r="J13" s="28"/>
      <c r="K13" s="29"/>
      <c r="L13" s="29"/>
      <c r="M13" s="29"/>
      <c r="N13" s="29"/>
      <c r="O13" s="29"/>
      <c r="P13" s="29"/>
      <c r="Q13" s="29"/>
      <c r="R13" s="29"/>
      <c r="S13" s="30"/>
    </row>
    <row r="14" spans="1:27" ht="14.45" customHeight="1" x14ac:dyDescent="0.3">
      <c r="B14" s="9" t="s">
        <v>3</v>
      </c>
      <c r="C14" s="9" t="s">
        <v>4</v>
      </c>
      <c r="D14" s="9" t="s">
        <v>5</v>
      </c>
      <c r="E14" s="9" t="s">
        <v>6</v>
      </c>
      <c r="F14" s="9" t="s">
        <v>7</v>
      </c>
      <c r="G14" s="9" t="s">
        <v>8</v>
      </c>
      <c r="H14" s="9" t="s">
        <v>9</v>
      </c>
      <c r="J14" s="31"/>
      <c r="K14" s="36" t="s">
        <v>10</v>
      </c>
      <c r="S14" s="32"/>
    </row>
    <row r="15" spans="1:27" ht="14.45" customHeight="1" x14ac:dyDescent="0.25">
      <c r="A15" s="39"/>
      <c r="B15" s="11" t="s">
        <v>11</v>
      </c>
      <c r="C15" s="11" t="s">
        <v>12</v>
      </c>
      <c r="D15" s="12">
        <v>3.9</v>
      </c>
      <c r="E15" s="8">
        <v>3.88</v>
      </c>
      <c r="F15" s="12">
        <v>4.274</v>
      </c>
      <c r="G15" s="13">
        <v>38078</v>
      </c>
      <c r="H15" s="8" t="s">
        <v>13</v>
      </c>
      <c r="J15" s="31"/>
      <c r="S15" s="32"/>
    </row>
    <row r="16" spans="1:27" ht="14.45" customHeight="1" x14ac:dyDescent="0.25">
      <c r="A16" s="39"/>
      <c r="B16" s="11" t="s">
        <v>14</v>
      </c>
      <c r="C16" s="11" t="s">
        <v>15</v>
      </c>
      <c r="D16" s="12">
        <v>4.84</v>
      </c>
      <c r="E16" s="8">
        <v>2.19</v>
      </c>
      <c r="F16" s="12">
        <v>3.2039999999999997</v>
      </c>
      <c r="G16" s="13">
        <v>37312</v>
      </c>
      <c r="H16" s="8" t="s">
        <v>16</v>
      </c>
      <c r="J16" s="31"/>
      <c r="K16" s="19" t="s">
        <v>17</v>
      </c>
      <c r="S16" s="32"/>
    </row>
    <row r="17" spans="1:19" ht="14.45" customHeight="1" x14ac:dyDescent="0.25">
      <c r="A17" s="39"/>
      <c r="B17" s="11" t="s">
        <v>18</v>
      </c>
      <c r="C17" s="11" t="s">
        <v>19</v>
      </c>
      <c r="D17" s="12">
        <v>4.2300000000000004</v>
      </c>
      <c r="E17" s="8">
        <v>3.65</v>
      </c>
      <c r="F17" s="12">
        <v>4.1890000000000001</v>
      </c>
      <c r="G17" s="13">
        <v>37625</v>
      </c>
      <c r="H17" s="8" t="s">
        <v>20</v>
      </c>
      <c r="J17" s="31"/>
      <c r="S17" s="32"/>
    </row>
    <row r="18" spans="1:19" ht="14.45" customHeight="1" x14ac:dyDescent="0.25">
      <c r="A18" s="39"/>
      <c r="B18" s="11" t="s">
        <v>21</v>
      </c>
      <c r="C18" s="11" t="s">
        <v>22</v>
      </c>
      <c r="D18" s="12">
        <v>4.76</v>
      </c>
      <c r="E18" s="8">
        <v>2.0299999999999998</v>
      </c>
      <c r="F18" s="12">
        <v>3.0519999999999996</v>
      </c>
      <c r="G18" s="13">
        <v>37165</v>
      </c>
      <c r="H18" s="8" t="s">
        <v>13</v>
      </c>
      <c r="J18" s="31"/>
      <c r="K18" t="s">
        <v>23</v>
      </c>
      <c r="S18" s="32"/>
    </row>
    <row r="19" spans="1:19" ht="14.45" customHeight="1" x14ac:dyDescent="0.25">
      <c r="A19" s="39"/>
      <c r="B19" s="11" t="s">
        <v>24</v>
      </c>
      <c r="C19" s="11" t="s">
        <v>25</v>
      </c>
      <c r="D19" s="12">
        <v>4.63</v>
      </c>
      <c r="E19" s="8">
        <v>2.44</v>
      </c>
      <c r="F19" s="12">
        <v>3.3410000000000002</v>
      </c>
      <c r="G19" s="13">
        <v>37823</v>
      </c>
      <c r="H19" s="8" t="s">
        <v>16</v>
      </c>
      <c r="J19" s="31"/>
      <c r="K19" s="20"/>
      <c r="L19" s="20"/>
      <c r="M19" s="19" t="s">
        <v>26</v>
      </c>
      <c r="N19" s="21" cm="1">
        <f t="array" ref="N19">SUM(IF(MID(B15:B37,SEARCH(" ",B15:B37)+1,1)="P",1,0))</f>
        <v>4</v>
      </c>
      <c r="O19" s="37"/>
      <c r="P19" s="37"/>
      <c r="S19" s="32"/>
    </row>
    <row r="20" spans="1:19" ht="14.45" customHeight="1" x14ac:dyDescent="0.25">
      <c r="A20" s="39"/>
      <c r="B20" s="11" t="s">
        <v>27</v>
      </c>
      <c r="C20" s="11" t="s">
        <v>28</v>
      </c>
      <c r="D20" s="12">
        <v>3.34</v>
      </c>
      <c r="E20" s="8">
        <v>3.04</v>
      </c>
      <c r="F20" s="12">
        <v>3.4340000000000002</v>
      </c>
      <c r="G20" s="13">
        <v>37855</v>
      </c>
      <c r="H20" s="8" t="s">
        <v>13</v>
      </c>
      <c r="J20" s="31"/>
      <c r="N20" s="37"/>
      <c r="O20" s="37"/>
      <c r="P20" s="37"/>
      <c r="S20" s="32"/>
    </row>
    <row r="21" spans="1:19" ht="14.45" customHeight="1" x14ac:dyDescent="0.25">
      <c r="A21" s="39"/>
      <c r="B21" s="11" t="s">
        <v>29</v>
      </c>
      <c r="C21" s="11" t="s">
        <v>30</v>
      </c>
      <c r="D21" s="12">
        <v>4.41</v>
      </c>
      <c r="E21" s="8">
        <v>2.9</v>
      </c>
      <c r="F21" s="12">
        <v>3.6429999999999998</v>
      </c>
      <c r="G21" s="13">
        <v>38205</v>
      </c>
      <c r="H21" s="8" t="s">
        <v>13</v>
      </c>
      <c r="J21" s="31"/>
      <c r="K21" s="19" t="s">
        <v>31</v>
      </c>
      <c r="N21" s="37"/>
      <c r="O21" s="37"/>
      <c r="P21" s="37"/>
      <c r="S21" s="32"/>
    </row>
    <row r="22" spans="1:19" ht="14.45" customHeight="1" x14ac:dyDescent="0.25">
      <c r="A22" s="39"/>
      <c r="B22" s="11" t="s">
        <v>32</v>
      </c>
      <c r="C22" s="11" t="s">
        <v>33</v>
      </c>
      <c r="D22" s="12">
        <v>3.53</v>
      </c>
      <c r="E22" s="8">
        <v>4.51</v>
      </c>
      <c r="F22" s="12">
        <v>4.6669999999999998</v>
      </c>
      <c r="G22" s="13">
        <v>37306</v>
      </c>
      <c r="H22" s="8" t="s">
        <v>20</v>
      </c>
      <c r="J22" s="31"/>
      <c r="N22" s="37"/>
      <c r="O22" s="37"/>
      <c r="P22" s="37"/>
      <c r="S22" s="32"/>
    </row>
    <row r="23" spans="1:19" ht="14.45" customHeight="1" x14ac:dyDescent="0.25">
      <c r="A23" s="39"/>
      <c r="B23" s="11" t="s">
        <v>34</v>
      </c>
      <c r="C23" s="11" t="s">
        <v>35</v>
      </c>
      <c r="D23" s="12">
        <v>3.16</v>
      </c>
      <c r="E23" s="8">
        <v>4.79</v>
      </c>
      <c r="F23" s="12">
        <v>4.78</v>
      </c>
      <c r="G23" s="13">
        <v>37157</v>
      </c>
      <c r="H23" s="8" t="s">
        <v>16</v>
      </c>
      <c r="J23" s="31"/>
      <c r="K23" t="s">
        <v>36</v>
      </c>
      <c r="N23" s="37"/>
      <c r="O23" s="37"/>
      <c r="P23" s="37"/>
      <c r="S23" s="32"/>
    </row>
    <row r="24" spans="1:19" ht="14.45" customHeight="1" x14ac:dyDescent="0.25">
      <c r="A24" s="39"/>
      <c r="B24" s="11" t="s">
        <v>37</v>
      </c>
      <c r="C24" s="11" t="s">
        <v>38</v>
      </c>
      <c r="D24" s="12">
        <v>3.52</v>
      </c>
      <c r="E24" s="8">
        <v>4.2300000000000004</v>
      </c>
      <c r="F24" s="12">
        <v>4.4400000000000004</v>
      </c>
      <c r="G24" s="13">
        <v>36880</v>
      </c>
      <c r="H24" s="8" t="s">
        <v>13</v>
      </c>
      <c r="J24" s="31"/>
      <c r="K24" s="22"/>
      <c r="L24" s="22"/>
      <c r="M24" s="19" t="s">
        <v>26</v>
      </c>
      <c r="N24" s="21" t="str" cm="1">
        <f t="array" ref="N24">INDEX(C15:C37,MATCH(MAX(ABS(E15:E37-D15:D37)),ABS(E15:E37-D15:D37),0))&amp;" " &amp; INDEX(B15:B37,MATCH(MAX(ABS(E15:E37-D15:D37)),ABS(E15:E37-D15:D37),0))</f>
        <v>SANTIAGO MORALES CANTILLO</v>
      </c>
      <c r="O24" s="37"/>
      <c r="P24" s="37"/>
      <c r="S24" s="32"/>
    </row>
    <row r="25" spans="1:19" ht="14.45" customHeight="1" x14ac:dyDescent="0.25">
      <c r="A25" s="39"/>
      <c r="B25" s="11" t="s">
        <v>39</v>
      </c>
      <c r="C25" s="11" t="s">
        <v>40</v>
      </c>
      <c r="D25" s="12">
        <v>4.76</v>
      </c>
      <c r="E25" s="8">
        <v>3.94</v>
      </c>
      <c r="F25" s="12">
        <v>4.58</v>
      </c>
      <c r="G25" s="13">
        <v>36657</v>
      </c>
      <c r="H25" s="8" t="s">
        <v>20</v>
      </c>
      <c r="J25" s="31"/>
      <c r="N25" s="37"/>
      <c r="O25" s="37"/>
      <c r="P25" s="37"/>
      <c r="S25" s="32"/>
    </row>
    <row r="26" spans="1:19" ht="14.45" customHeight="1" x14ac:dyDescent="0.25">
      <c r="A26" s="39"/>
      <c r="B26" s="11" t="s">
        <v>41</v>
      </c>
      <c r="C26" s="11" t="s">
        <v>42</v>
      </c>
      <c r="D26" s="12">
        <v>4.8099999999999996</v>
      </c>
      <c r="E26" s="8">
        <v>2.77</v>
      </c>
      <c r="F26" s="12">
        <v>3.6589999999999998</v>
      </c>
      <c r="G26" s="13">
        <v>37972</v>
      </c>
      <c r="H26" s="8" t="s">
        <v>13</v>
      </c>
      <c r="J26" s="31"/>
      <c r="K26" s="23" t="s">
        <v>43</v>
      </c>
      <c r="N26" s="37"/>
      <c r="O26" s="38"/>
      <c r="P26" s="38"/>
      <c r="Q26" s="24"/>
      <c r="R26" s="24"/>
      <c r="S26" s="32"/>
    </row>
    <row r="27" spans="1:19" ht="14.45" customHeight="1" x14ac:dyDescent="0.25">
      <c r="A27" s="39"/>
      <c r="B27" s="11" t="s">
        <v>44</v>
      </c>
      <c r="C27" s="11" t="s">
        <v>45</v>
      </c>
      <c r="D27" s="12">
        <v>3.37</v>
      </c>
      <c r="E27" s="8">
        <v>3.04</v>
      </c>
      <c r="F27" s="12">
        <v>3.4430000000000005</v>
      </c>
      <c r="G27" s="13">
        <v>37105</v>
      </c>
      <c r="H27" s="8" t="s">
        <v>16</v>
      </c>
      <c r="J27" s="31"/>
      <c r="N27" s="37"/>
      <c r="O27" s="37"/>
      <c r="P27" s="37"/>
      <c r="S27" s="32"/>
    </row>
    <row r="28" spans="1:19" ht="14.45" customHeight="1" x14ac:dyDescent="0.25">
      <c r="A28" s="39"/>
      <c r="B28" s="11" t="s">
        <v>46</v>
      </c>
      <c r="C28" s="11" t="s">
        <v>47</v>
      </c>
      <c r="D28" s="12">
        <v>3.44</v>
      </c>
      <c r="E28" s="8">
        <v>3.73</v>
      </c>
      <c r="F28" s="12">
        <v>4.016</v>
      </c>
      <c r="G28" s="13">
        <v>36907</v>
      </c>
      <c r="H28" s="8" t="s">
        <v>20</v>
      </c>
      <c r="J28" s="31"/>
      <c r="K28" s="26" t="s">
        <v>48</v>
      </c>
      <c r="L28" s="26"/>
      <c r="M28" s="26"/>
      <c r="N28" s="38"/>
      <c r="O28" s="38"/>
      <c r="P28" s="38"/>
      <c r="Q28" s="26"/>
      <c r="R28" s="26"/>
      <c r="S28" s="32"/>
    </row>
    <row r="29" spans="1:19" ht="14.45" customHeight="1" x14ac:dyDescent="0.25">
      <c r="A29" s="39"/>
      <c r="B29" s="11" t="s">
        <v>49</v>
      </c>
      <c r="C29" s="11" t="s">
        <v>50</v>
      </c>
      <c r="D29" s="12">
        <v>3.58</v>
      </c>
      <c r="E29" s="8">
        <v>3.61</v>
      </c>
      <c r="F29" s="12">
        <v>3.9619999999999997</v>
      </c>
      <c r="G29" s="13">
        <v>37950</v>
      </c>
      <c r="H29" s="8" t="s">
        <v>16</v>
      </c>
      <c r="J29" s="31"/>
      <c r="K29" s="24" t="s">
        <v>51</v>
      </c>
      <c r="L29" s="24"/>
      <c r="M29" s="24"/>
      <c r="N29" s="38"/>
      <c r="O29" s="37"/>
      <c r="P29" s="37"/>
      <c r="R29" t="e" cm="1" vm="1">
        <f t="array" aca="1" ref="R29" ca="1">MID(SUBSTITUTE(L31," ",""),_xlfn.SEQUENCE(LEN(SUBSTITUTE(L31," ",""))),1)</f>
        <v>#VALUE!</v>
      </c>
      <c r="S29" s="32"/>
    </row>
    <row r="30" spans="1:19" ht="14.45" customHeight="1" x14ac:dyDescent="0.25">
      <c r="A30" s="39"/>
      <c r="B30" s="11" t="s">
        <v>52</v>
      </c>
      <c r="C30" s="11" t="s">
        <v>53</v>
      </c>
      <c r="D30" s="12">
        <v>3.85</v>
      </c>
      <c r="E30" s="8">
        <v>2.02</v>
      </c>
      <c r="F30" s="12">
        <v>2.7709999999999999</v>
      </c>
      <c r="G30" s="13">
        <v>36912</v>
      </c>
      <c r="H30" s="8" t="s">
        <v>20</v>
      </c>
      <c r="J30" s="31"/>
      <c r="N30" s="37"/>
      <c r="O30" s="37"/>
      <c r="P30" s="37"/>
      <c r="S30" s="32"/>
    </row>
    <row r="31" spans="1:19" ht="14.45" customHeight="1" x14ac:dyDescent="0.25">
      <c r="A31" s="39"/>
      <c r="B31" s="11" t="s">
        <v>54</v>
      </c>
      <c r="C31" s="11" t="s">
        <v>55</v>
      </c>
      <c r="D31" s="12">
        <v>4.37</v>
      </c>
      <c r="E31" s="8">
        <v>4.0999999999999996</v>
      </c>
      <c r="F31" s="12">
        <v>4.5909999999999993</v>
      </c>
      <c r="G31" s="13">
        <v>37001</v>
      </c>
      <c r="H31" s="8" t="s">
        <v>13</v>
      </c>
      <c r="J31" s="31"/>
      <c r="K31" s="18" t="s">
        <v>56</v>
      </c>
      <c r="L31" s="17" t="str">
        <f ca="1">INDEX($C$15:$C$37,RANDBETWEEN(1,23))</f>
        <v>JAIME ANDRES</v>
      </c>
      <c r="M31" s="25" t="s">
        <v>26</v>
      </c>
      <c r="N31" s="21" t="str" cm="1">
        <f t="array" aca="1" ref="N31" ca="1">_xlfn.UNICHAR(MIN(_xlfn.UNICODE(MID(SUBSTITUTE(L31," ",""),_xlfn.SEQUENCE(LEN(L31)-1),1))))</f>
        <v>A</v>
      </c>
      <c r="O31" s="37" t="s">
        <v>77</v>
      </c>
      <c r="P31" s="37"/>
      <c r="S31" s="32"/>
    </row>
    <row r="32" spans="1:19" ht="14.45" customHeight="1" x14ac:dyDescent="0.25">
      <c r="A32" s="39"/>
      <c r="B32" s="11" t="s">
        <v>57</v>
      </c>
      <c r="C32" s="11" t="s">
        <v>58</v>
      </c>
      <c r="D32" s="12">
        <v>3.12</v>
      </c>
      <c r="E32" s="8">
        <v>4.8499999999999996</v>
      </c>
      <c r="F32" s="12">
        <v>4.8159999999999998</v>
      </c>
      <c r="G32" s="13">
        <v>37877</v>
      </c>
      <c r="H32" s="8" t="s">
        <v>13</v>
      </c>
      <c r="J32" s="31"/>
      <c r="N32" s="37"/>
      <c r="O32" s="37" t="s">
        <v>78</v>
      </c>
      <c r="P32" s="37"/>
      <c r="S32" s="32"/>
    </row>
    <row r="33" spans="1:19" ht="14.45" customHeight="1" x14ac:dyDescent="0.25">
      <c r="A33" s="39"/>
      <c r="B33" s="11" t="s">
        <v>59</v>
      </c>
      <c r="C33" s="11" t="s">
        <v>60</v>
      </c>
      <c r="D33" s="12">
        <v>4.76</v>
      </c>
      <c r="E33" s="8">
        <v>2.94</v>
      </c>
      <c r="F33" s="12">
        <v>3.78</v>
      </c>
      <c r="G33" s="13">
        <v>37299</v>
      </c>
      <c r="H33" s="8" t="s">
        <v>13</v>
      </c>
      <c r="J33" s="31"/>
      <c r="K33" s="23" t="s">
        <v>61</v>
      </c>
      <c r="N33" s="37"/>
      <c r="O33" s="37"/>
      <c r="P33" s="37"/>
      <c r="S33" s="32"/>
    </row>
    <row r="34" spans="1:19" ht="14.45" customHeight="1" x14ac:dyDescent="0.25">
      <c r="A34" s="39"/>
      <c r="B34" s="11" t="s">
        <v>62</v>
      </c>
      <c r="C34" s="11" t="s">
        <v>63</v>
      </c>
      <c r="D34" s="12">
        <v>4.6399999999999997</v>
      </c>
      <c r="E34" s="8">
        <v>2.23</v>
      </c>
      <c r="F34" s="12">
        <v>3.1760000000000002</v>
      </c>
      <c r="G34" s="13">
        <v>37855</v>
      </c>
      <c r="H34" s="8" t="s">
        <v>20</v>
      </c>
      <c r="J34" s="31"/>
      <c r="N34" s="37"/>
      <c r="O34" s="37"/>
      <c r="P34" s="37"/>
      <c r="S34" s="32"/>
    </row>
    <row r="35" spans="1:19" ht="14.45" customHeight="1" x14ac:dyDescent="0.25">
      <c r="A35" s="39"/>
      <c r="B35" s="11" t="s">
        <v>64</v>
      </c>
      <c r="C35" s="11" t="s">
        <v>65</v>
      </c>
      <c r="D35" s="12">
        <v>3.62</v>
      </c>
      <c r="E35" s="8">
        <v>2.38</v>
      </c>
      <c r="F35" s="12">
        <v>2.99</v>
      </c>
      <c r="G35" s="13">
        <v>36564</v>
      </c>
      <c r="H35" s="8" t="s">
        <v>16</v>
      </c>
      <c r="J35" s="31"/>
      <c r="K35" t="s">
        <v>66</v>
      </c>
      <c r="N35" s="37"/>
      <c r="O35" s="37"/>
      <c r="P35" s="37"/>
      <c r="S35" s="32"/>
    </row>
    <row r="36" spans="1:19" ht="14.45" customHeight="1" x14ac:dyDescent="0.25">
      <c r="A36" s="39"/>
      <c r="B36" s="11" t="s">
        <v>67</v>
      </c>
      <c r="C36" s="11" t="s">
        <v>68</v>
      </c>
      <c r="D36" s="12">
        <v>3.53</v>
      </c>
      <c r="E36" s="8">
        <v>2.13</v>
      </c>
      <c r="F36" s="12">
        <v>2.7629999999999999</v>
      </c>
      <c r="G36" s="13">
        <v>38265</v>
      </c>
      <c r="H36" s="8" t="s">
        <v>13</v>
      </c>
      <c r="J36" s="31"/>
      <c r="N36" s="37"/>
      <c r="O36" s="37"/>
      <c r="P36" s="37"/>
      <c r="S36" s="32"/>
    </row>
    <row r="37" spans="1:19" ht="14.45" customHeight="1" x14ac:dyDescent="0.25">
      <c r="A37" s="39"/>
      <c r="B37" s="14" t="s">
        <v>69</v>
      </c>
      <c r="C37" s="14" t="s">
        <v>70</v>
      </c>
      <c r="D37" s="15">
        <v>4.9000000000000004</v>
      </c>
      <c r="E37" s="16">
        <v>3.46</v>
      </c>
      <c r="F37" s="15">
        <v>4.2380000000000004</v>
      </c>
      <c r="G37" s="13">
        <v>37703</v>
      </c>
      <c r="H37" s="16" t="s">
        <v>20</v>
      </c>
      <c r="J37" s="31"/>
      <c r="M37" s="9" t="s">
        <v>71</v>
      </c>
      <c r="N37" s="9" t="s">
        <v>4</v>
      </c>
      <c r="O37" s="9" t="s">
        <v>3</v>
      </c>
      <c r="P37" s="9" t="s">
        <v>9</v>
      </c>
      <c r="S37" s="32"/>
    </row>
    <row r="38" spans="1:19" ht="14.45" customHeight="1" x14ac:dyDescent="0.25">
      <c r="J38" s="31"/>
      <c r="M38" s="27">
        <v>1</v>
      </c>
      <c r="N38" s="10" t="str" cm="1">
        <f t="array" ref="N38:P42">INDEX(B15:H37,MATCH(LARGE((D15:D37+E15:E37)/2,M38:M42),(D15:D37+E15:E37)/2,0),MATCH(N37:P37,B14:H14,0))</f>
        <v>FELIPE</v>
      </c>
      <c r="O38" s="10" t="str">
        <v>LOPEZ CRUZ</v>
      </c>
      <c r="P38" s="10" t="str">
        <v>C</v>
      </c>
      <c r="S38" s="32"/>
    </row>
    <row r="39" spans="1:19" ht="14.45" customHeight="1" x14ac:dyDescent="0.25">
      <c r="B39" s="9" t="s">
        <v>71</v>
      </c>
      <c r="C39" s="9" t="s">
        <v>4</v>
      </c>
      <c r="D39" s="9" t="s">
        <v>3</v>
      </c>
      <c r="E39" s="9" t="s">
        <v>9</v>
      </c>
      <c r="F39" s="39"/>
      <c r="J39" s="31"/>
      <c r="M39" s="27">
        <v>2</v>
      </c>
      <c r="N39" s="10" t="str">
        <v>DANIEL ALFREDO</v>
      </c>
      <c r="O39" s="10" t="str">
        <v>GONZALEZ PERALTA</v>
      </c>
      <c r="P39" s="10" t="str">
        <v>A</v>
      </c>
      <c r="S39" s="32"/>
    </row>
    <row r="40" spans="1:19" ht="14.45" customHeight="1" x14ac:dyDescent="0.25">
      <c r="B40" s="27">
        <v>1</v>
      </c>
      <c r="C40" s="10" t="str" cm="1">
        <f t="array" ref="C40:E44">INDEX(B15:H37,MATCH(LARGE(((D15:D37+E15:E37)/2),B40:B44),((D15:D37+E15:E37)/2),0),MATCH(C39:E39,B14:H14,0))</f>
        <v>FELIPE</v>
      </c>
      <c r="D40" s="10" t="str">
        <v>LOPEZ CRUZ</v>
      </c>
      <c r="E40" s="10" t="str">
        <v>C</v>
      </c>
      <c r="F40" s="39"/>
      <c r="J40" s="31"/>
      <c r="M40" s="27">
        <v>3</v>
      </c>
      <c r="N40" s="10" t="str">
        <v>VALENTINA</v>
      </c>
      <c r="O40" s="10" t="str">
        <v>MOLINA ZAPATA</v>
      </c>
      <c r="P40" s="10" t="str">
        <v>C</v>
      </c>
      <c r="S40" s="32"/>
    </row>
    <row r="41" spans="1:19" ht="14.45" customHeight="1" x14ac:dyDescent="0.25">
      <c r="B41" s="27">
        <v>2</v>
      </c>
      <c r="C41" s="10" t="str">
        <v>DANIEL ALFREDO</v>
      </c>
      <c r="D41" s="10" t="str">
        <v>GONZALEZ PERALTA</v>
      </c>
      <c r="E41" s="10" t="str">
        <v>A</v>
      </c>
      <c r="J41" s="31"/>
      <c r="M41" s="27">
        <v>4</v>
      </c>
      <c r="N41" s="10" t="str">
        <v>BRUNO</v>
      </c>
      <c r="O41" s="10" t="str">
        <v>PERALTA ARANGO</v>
      </c>
      <c r="P41" s="10" t="str">
        <v>C</v>
      </c>
      <c r="S41" s="32"/>
    </row>
    <row r="42" spans="1:19" ht="14.45" customHeight="1" x14ac:dyDescent="0.25">
      <c r="B42" s="27">
        <v>3</v>
      </c>
      <c r="C42" s="10" t="str">
        <v>VALENTINA</v>
      </c>
      <c r="D42" s="10" t="str">
        <v>MOLINA ZAPATA</v>
      </c>
      <c r="E42" s="10" t="str">
        <v>C</v>
      </c>
      <c r="J42" s="31"/>
      <c r="M42" s="27">
        <v>5</v>
      </c>
      <c r="N42" s="10" t="str">
        <v>JAVIER ALEJANDRO</v>
      </c>
      <c r="O42" s="10" t="str">
        <v>CUBILLOS MARTINEZ</v>
      </c>
      <c r="P42" s="10" t="str">
        <v>A</v>
      </c>
      <c r="S42" s="32"/>
    </row>
    <row r="43" spans="1:19" ht="14.45" customHeight="1" x14ac:dyDescent="0.25">
      <c r="B43" s="27">
        <v>4</v>
      </c>
      <c r="C43" s="10" t="str">
        <v>BRUNO</v>
      </c>
      <c r="D43" s="10" t="str">
        <v>PERALTA ARANGO</v>
      </c>
      <c r="E43" s="10" t="str">
        <v>C</v>
      </c>
      <c r="J43" s="31"/>
      <c r="N43" s="37"/>
      <c r="O43" s="37"/>
      <c r="P43" s="37"/>
      <c r="S43" s="32"/>
    </row>
    <row r="44" spans="1:19" ht="14.45" customHeight="1" x14ac:dyDescent="0.25">
      <c r="B44" s="27">
        <v>5</v>
      </c>
      <c r="C44" s="10" t="str">
        <v>JAVIER ALEJANDRO</v>
      </c>
      <c r="D44" s="10" t="str">
        <v>CUBILLOS MARTINEZ</v>
      </c>
      <c r="E44" s="10" t="str">
        <v>A</v>
      </c>
      <c r="J44" s="31"/>
      <c r="K44" s="23" t="s">
        <v>72</v>
      </c>
      <c r="N44" s="37"/>
      <c r="O44" s="37"/>
      <c r="P44" s="37"/>
      <c r="S44" s="32"/>
    </row>
    <row r="45" spans="1:19" ht="14.45" customHeight="1" x14ac:dyDescent="0.25">
      <c r="J45" s="31"/>
      <c r="N45" s="37"/>
      <c r="O45" s="37"/>
      <c r="P45" s="37"/>
      <c r="S45" s="32"/>
    </row>
    <row r="46" spans="1:19" ht="14.45" customHeight="1" x14ac:dyDescent="0.25">
      <c r="G46" cm="1">
        <f t="array" ref="G46">MATCH(1,IFERROR((SEARCH(L48,C15:C37)),""),0)</f>
        <v>5</v>
      </c>
      <c r="H46">
        <f>MATCH("*"&amp;L48&amp;"*",C15:C37,0)</f>
        <v>5</v>
      </c>
      <c r="J46" s="31"/>
      <c r="K46" t="s">
        <v>73</v>
      </c>
      <c r="N46" s="37"/>
      <c r="O46" s="37"/>
      <c r="P46" s="37"/>
      <c r="S46" s="32"/>
    </row>
    <row r="47" spans="1:19" ht="14.45" customHeight="1" x14ac:dyDescent="0.25">
      <c r="J47" s="31"/>
      <c r="N47" s="37"/>
      <c r="O47" s="37"/>
      <c r="P47" s="37"/>
      <c r="S47" s="32"/>
    </row>
    <row r="48" spans="1:19" ht="14.45" customHeight="1" x14ac:dyDescent="0.25">
      <c r="G48" t="b">
        <f>ISNUMBER(E49)</f>
        <v>1</v>
      </c>
      <c r="J48" s="31"/>
      <c r="K48" s="18" t="s">
        <v>56</v>
      </c>
      <c r="L48" s="17" t="s">
        <v>74</v>
      </c>
      <c r="M48" s="25" t="s">
        <v>26</v>
      </c>
      <c r="N48" s="9" t="s">
        <v>7</v>
      </c>
      <c r="O48" s="37"/>
      <c r="P48" s="37"/>
      <c r="S48" s="32"/>
    </row>
    <row r="49" spans="5:19" ht="14.45" customHeight="1" x14ac:dyDescent="0.25">
      <c r="E49">
        <f>ROW(C15)</f>
        <v>15</v>
      </c>
      <c r="H49" t="str" cm="1">
        <f t="array" ref="H49">IF(OR("*"&amp;$L$48=C15:C37,$L$48&amp;"*"=C15:C37),F15:F37,"")</f>
        <v/>
      </c>
      <c r="J49" s="31"/>
      <c r="N49" s="10">
        <f>INDEX(F14:F37,MATCH("*"&amp;L48&amp;"*",C14:C37,0))</f>
        <v>3.3410000000000002</v>
      </c>
      <c r="O49" s="37" t="str" cm="1">
        <f t="array" ref="O49:O71">IFERROR(IF(SEARCH(L48,C15:C37),F15:F37,""),"")</f>
        <v/>
      </c>
      <c r="P49" s="37" cm="1">
        <f t="array" ref="P49:P50">LARGE(IF(ISNUMBER(SEARCH(L48,C15:C37)),F15:F37,""),_xlfn.SEQUENCE(COUNT(IF(ISNUMBER(SEARCH(L48,C15:C37)),F15:F37,""))))</f>
        <v>3.3410000000000002</v>
      </c>
      <c r="S49" s="32"/>
    </row>
    <row r="50" spans="5:19" ht="14.45" customHeight="1" x14ac:dyDescent="0.25">
      <c r="E50">
        <f>ROW(C37)</f>
        <v>37</v>
      </c>
      <c r="J50" s="31"/>
      <c r="N50" s="10"/>
      <c r="O50" s="37" t="str">
        <v/>
      </c>
      <c r="P50" s="37">
        <v>3.1760000000000002</v>
      </c>
      <c r="S50" s="32"/>
    </row>
    <row r="51" spans="5:19" ht="14.45" customHeight="1" x14ac:dyDescent="0.25">
      <c r="J51" s="31"/>
      <c r="K51" t="s">
        <v>79</v>
      </c>
      <c r="N51" s="10"/>
      <c r="O51" s="37" t="str">
        <v/>
      </c>
      <c r="P51" s="37"/>
      <c r="S51" s="32"/>
    </row>
    <row r="52" spans="5:19" ht="14.45" customHeight="1" x14ac:dyDescent="0.25">
      <c r="G52" cm="1">
        <f t="array" ref="G52:G53">LARGE(IF(IFERROR(SEARCH(L48,C15:C37),0),F15:F37,""),_xlfn.SEQUENCE(COUNT(IF(IFERROR(SEARCH(L48,C15:C37),0),F15:F37,""))))</f>
        <v>3.3410000000000002</v>
      </c>
      <c r="J52" s="31"/>
      <c r="N52" s="10"/>
      <c r="O52" s="37" t="str">
        <v/>
      </c>
      <c r="P52" s="37"/>
      <c r="S52" s="32"/>
    </row>
    <row r="53" spans="5:19" ht="14.45" customHeight="1" x14ac:dyDescent="0.25">
      <c r="G53">
        <v>3.1760000000000002</v>
      </c>
      <c r="J53" s="31"/>
      <c r="N53" s="10"/>
      <c r="O53" s="37">
        <v>3.3410000000000002</v>
      </c>
      <c r="P53" s="37"/>
      <c r="S53" s="32"/>
    </row>
    <row r="54" spans="5:19" ht="14.45" customHeight="1" x14ac:dyDescent="0.25">
      <c r="J54" s="31"/>
      <c r="N54" s="10"/>
      <c r="O54" s="37" t="str">
        <v/>
      </c>
      <c r="P54" s="37"/>
      <c r="S54" s="32"/>
    </row>
    <row r="55" spans="5:19" ht="14.45" customHeight="1" x14ac:dyDescent="0.25">
      <c r="J55" s="31"/>
      <c r="N55" s="10"/>
      <c r="O55" s="37" t="str">
        <v/>
      </c>
      <c r="P55" s="37"/>
      <c r="S55" s="32"/>
    </row>
    <row r="56" spans="5:19" ht="14.45" customHeight="1" x14ac:dyDescent="0.25">
      <c r="J56" s="31"/>
      <c r="N56" s="10"/>
      <c r="O56" s="37" t="str">
        <v/>
      </c>
      <c r="P56" s="37"/>
      <c r="S56" s="32"/>
    </row>
    <row r="57" spans="5:19" ht="14.45" customHeight="1" x14ac:dyDescent="0.25">
      <c r="J57" s="31"/>
      <c r="N57" s="10"/>
      <c r="O57" s="37" t="str">
        <v/>
      </c>
      <c r="P57" s="37"/>
      <c r="S57" s="32"/>
    </row>
    <row r="58" spans="5:19" ht="14.45" customHeight="1" x14ac:dyDescent="0.25">
      <c r="J58" s="31"/>
      <c r="N58" s="10"/>
      <c r="O58" s="37" t="str">
        <v/>
      </c>
      <c r="P58" s="37"/>
      <c r="S58" s="32"/>
    </row>
    <row r="59" spans="5:19" ht="14.45" customHeight="1" x14ac:dyDescent="0.25">
      <c r="J59" s="31"/>
      <c r="N59" s="10"/>
      <c r="O59" s="37" t="str">
        <v/>
      </c>
      <c r="P59" s="37"/>
      <c r="S59" s="32"/>
    </row>
    <row r="60" spans="5:19" ht="14.45" customHeight="1" x14ac:dyDescent="0.25">
      <c r="J60" s="31"/>
      <c r="N60" s="10"/>
      <c r="O60" s="37" t="str">
        <v/>
      </c>
      <c r="P60" s="37"/>
      <c r="S60" s="32"/>
    </row>
    <row r="61" spans="5:19" ht="14.45" customHeight="1" x14ac:dyDescent="0.25">
      <c r="J61" s="31"/>
      <c r="N61" s="10"/>
      <c r="O61" s="37" t="str">
        <v/>
      </c>
      <c r="P61" s="37"/>
      <c r="S61" s="32"/>
    </row>
    <row r="62" spans="5:19" ht="14.45" customHeight="1" x14ac:dyDescent="0.25">
      <c r="J62" s="31"/>
      <c r="N62" s="10"/>
      <c r="O62" s="37" t="str">
        <v/>
      </c>
      <c r="P62" s="37"/>
      <c r="S62" s="32"/>
    </row>
    <row r="63" spans="5:19" ht="14.45" customHeight="1" x14ac:dyDescent="0.25">
      <c r="J63" s="31"/>
      <c r="N63" s="10"/>
      <c r="O63" s="37" t="str">
        <v/>
      </c>
      <c r="P63" s="37"/>
      <c r="S63" s="32"/>
    </row>
    <row r="64" spans="5:19" ht="14.45" customHeight="1" x14ac:dyDescent="0.25">
      <c r="J64" s="31"/>
      <c r="N64" s="10"/>
      <c r="O64" s="37" t="str">
        <v/>
      </c>
      <c r="P64" s="37"/>
      <c r="S64" s="32"/>
    </row>
    <row r="65" spans="3:19" ht="14.45" customHeight="1" x14ac:dyDescent="0.25">
      <c r="C65" t="s">
        <v>76</v>
      </c>
      <c r="J65" s="31"/>
      <c r="N65" s="10"/>
      <c r="O65" s="37" t="str">
        <v/>
      </c>
      <c r="P65" s="37"/>
      <c r="S65" s="32"/>
    </row>
    <row r="66" spans="3:19" ht="14.45" customHeight="1" x14ac:dyDescent="0.25">
      <c r="J66" s="31"/>
      <c r="N66" s="10"/>
      <c r="O66" s="37" t="str">
        <v/>
      </c>
      <c r="P66" s="37"/>
      <c r="S66" s="32"/>
    </row>
    <row r="67" spans="3:19" ht="14.45" customHeight="1" x14ac:dyDescent="0.25">
      <c r="J67" s="31"/>
      <c r="N67" s="10"/>
      <c r="O67" s="37" t="str">
        <v/>
      </c>
      <c r="P67" s="37"/>
      <c r="S67" s="32"/>
    </row>
    <row r="68" spans="3:19" ht="14.45" customHeight="1" x14ac:dyDescent="0.25">
      <c r="J68" s="31"/>
      <c r="N68" s="10"/>
      <c r="O68" s="37">
        <v>3.1760000000000002</v>
      </c>
      <c r="P68" s="37"/>
      <c r="S68" s="32"/>
    </row>
    <row r="69" spans="3:19" ht="14.45" customHeight="1" x14ac:dyDescent="0.25">
      <c r="J69" s="31"/>
      <c r="N69" s="10"/>
      <c r="O69" s="37" t="str">
        <v/>
      </c>
      <c r="P69" s="37"/>
      <c r="S69" s="32"/>
    </row>
    <row r="70" spans="3:19" ht="14.45" customHeight="1" x14ac:dyDescent="0.25">
      <c r="C70">
        <f>IF(OR($D15&lt;3,$E15&lt;3,$F15&lt;3),IF($K$74=$H15,1,0),0)</f>
        <v>0</v>
      </c>
      <c r="J70" s="31"/>
      <c r="N70" s="10"/>
      <c r="O70" s="37" t="str">
        <v/>
      </c>
      <c r="P70" s="37"/>
      <c r="S70" s="32"/>
    </row>
    <row r="71" spans="3:19" ht="14.45" customHeight="1" x14ac:dyDescent="0.25">
      <c r="C71">
        <f t="shared" ref="C71:C83" si="0">IF(OR($D16&lt;3,$E16&lt;3,$F16&lt;3),IF($K$74=$H16,1,0),0)</f>
        <v>0</v>
      </c>
      <c r="J71" s="31"/>
      <c r="N71" s="10"/>
      <c r="O71" s="37" t="str">
        <v/>
      </c>
      <c r="P71" s="37"/>
      <c r="S71" s="32"/>
    </row>
    <row r="72" spans="3:19" ht="14.45" customHeight="1" x14ac:dyDescent="0.25">
      <c r="C72">
        <f t="shared" si="0"/>
        <v>0</v>
      </c>
      <c r="J72" s="31"/>
      <c r="K72" s="23" t="s">
        <v>75</v>
      </c>
      <c r="N72" s="37"/>
      <c r="O72" s="37"/>
      <c r="P72" s="37"/>
      <c r="S72" s="32"/>
    </row>
    <row r="73" spans="3:19" ht="14.45" customHeight="1" x14ac:dyDescent="0.25">
      <c r="C73">
        <f t="shared" si="0"/>
        <v>1</v>
      </c>
      <c r="J73" s="31"/>
      <c r="N73" s="37"/>
      <c r="O73" s="37"/>
      <c r="P73" s="37"/>
      <c r="S73" s="32"/>
    </row>
    <row r="74" spans="3:19" ht="14.45" customHeight="1" x14ac:dyDescent="0.25">
      <c r="C74">
        <f t="shared" si="0"/>
        <v>0</v>
      </c>
      <c r="J74" s="31"/>
      <c r="K74" s="17" t="s">
        <v>13</v>
      </c>
      <c r="N74" s="37"/>
      <c r="O74" s="37"/>
      <c r="P74" s="37"/>
      <c r="S74" s="32"/>
    </row>
    <row r="75" spans="3:19" ht="14.45" customHeight="1" x14ac:dyDescent="0.25">
      <c r="C75">
        <f t="shared" si="0"/>
        <v>0</v>
      </c>
      <c r="J75" s="31"/>
      <c r="K75">
        <f>IF(OR(D15&lt;3,E15&lt;3,F15&lt;3),IF(H15=$K$74,1,0),0)</f>
        <v>0</v>
      </c>
      <c r="N75" s="37"/>
      <c r="O75" s="37"/>
      <c r="P75" s="37"/>
      <c r="S75" s="32"/>
    </row>
    <row r="76" spans="3:19" ht="14.45" customHeight="1" x14ac:dyDescent="0.25">
      <c r="C76">
        <f t="shared" si="0"/>
        <v>1</v>
      </c>
      <c r="J76" s="31"/>
      <c r="K76">
        <f t="shared" ref="K76:K90" si="1">IF(OR(D16&lt;3,E16&lt;3,F16&lt;3),IF(H16=$K$74,1,0),0)</f>
        <v>0</v>
      </c>
      <c r="N76" s="37"/>
      <c r="O76" s="37"/>
      <c r="P76" s="37"/>
      <c r="S76" s="32"/>
    </row>
    <row r="77" spans="3:19" ht="14.45" customHeight="1" thickBot="1" x14ac:dyDescent="0.3">
      <c r="C77">
        <f t="shared" si="0"/>
        <v>0</v>
      </c>
      <c r="J77" s="33"/>
      <c r="K77">
        <f t="shared" si="1"/>
        <v>0</v>
      </c>
      <c r="L77" s="34"/>
      <c r="M77" s="34"/>
      <c r="N77" s="34"/>
      <c r="O77" s="34"/>
      <c r="P77" s="34"/>
      <c r="Q77" s="34"/>
      <c r="R77" s="34"/>
      <c r="S77" s="35"/>
    </row>
    <row r="78" spans="3:19" ht="14.45" customHeight="1" x14ac:dyDescent="0.25">
      <c r="C78">
        <f t="shared" si="0"/>
        <v>0</v>
      </c>
      <c r="K78">
        <f t="shared" si="1"/>
        <v>1</v>
      </c>
    </row>
    <row r="79" spans="3:19" ht="14.45" customHeight="1" x14ac:dyDescent="0.25">
      <c r="C79">
        <f t="shared" si="0"/>
        <v>0</v>
      </c>
      <c r="K79">
        <f t="shared" si="1"/>
        <v>0</v>
      </c>
    </row>
    <row r="80" spans="3:19" ht="14.45" customHeight="1" x14ac:dyDescent="0.25">
      <c r="C80">
        <f t="shared" si="0"/>
        <v>0</v>
      </c>
      <c r="K80">
        <f t="shared" si="1"/>
        <v>0</v>
      </c>
    </row>
    <row r="81" spans="3:11" ht="14.45" customHeight="1" x14ac:dyDescent="0.25">
      <c r="C81">
        <f t="shared" si="0"/>
        <v>1</v>
      </c>
      <c r="K81">
        <f t="shared" si="1"/>
        <v>1</v>
      </c>
    </row>
    <row r="82" spans="3:11" ht="14.45" customHeight="1" x14ac:dyDescent="0.25">
      <c r="C82">
        <f t="shared" si="0"/>
        <v>0</v>
      </c>
      <c r="K82">
        <f t="shared" si="1"/>
        <v>0</v>
      </c>
    </row>
    <row r="83" spans="3:11" ht="14.45" customHeight="1" x14ac:dyDescent="0.25">
      <c r="C83">
        <f t="shared" si="0"/>
        <v>0</v>
      </c>
      <c r="K83">
        <f t="shared" si="1"/>
        <v>0</v>
      </c>
    </row>
    <row r="84" spans="3:11" ht="14.45" customHeight="1" x14ac:dyDescent="0.25">
      <c r="K84">
        <f t="shared" si="1"/>
        <v>0</v>
      </c>
    </row>
    <row r="85" spans="3:11" ht="14.45" customHeight="1" x14ac:dyDescent="0.25">
      <c r="K85">
        <f t="shared" si="1"/>
        <v>0</v>
      </c>
    </row>
    <row r="86" spans="3:11" ht="14.45" customHeight="1" x14ac:dyDescent="0.25">
      <c r="K86">
        <f t="shared" si="1"/>
        <v>1</v>
      </c>
    </row>
    <row r="87" spans="3:11" ht="14.45" customHeight="1" x14ac:dyDescent="0.25">
      <c r="K87">
        <f t="shared" si="1"/>
        <v>0</v>
      </c>
    </row>
    <row r="88" spans="3:11" ht="14.45" customHeight="1" x14ac:dyDescent="0.25">
      <c r="K88">
        <f t="shared" si="1"/>
        <v>0</v>
      </c>
    </row>
    <row r="89" spans="3:11" ht="14.45" customHeight="1" x14ac:dyDescent="0.25">
      <c r="K89">
        <f t="shared" si="1"/>
        <v>0</v>
      </c>
    </row>
    <row r="90" spans="3:11" ht="14.45" customHeight="1" x14ac:dyDescent="0.25">
      <c r="K90">
        <f t="shared" si="1"/>
        <v>0</v>
      </c>
    </row>
    <row r="91" spans="3:11" ht="14.45" customHeight="1" x14ac:dyDescent="0.25"/>
    <row r="92" spans="3:11" ht="14.45" customHeight="1" x14ac:dyDescent="0.25"/>
    <row r="93" spans="3:11" ht="14.45" customHeight="1" x14ac:dyDescent="0.25"/>
    <row r="94" spans="3:11" ht="14.45" customHeight="1" x14ac:dyDescent="0.25"/>
    <row r="95" spans="3:11" ht="14.45" customHeight="1" x14ac:dyDescent="0.25"/>
    <row r="96" spans="3:11" ht="14.45" customHeight="1" x14ac:dyDescent="0.25"/>
    <row r="97" ht="14.45" customHeight="1" x14ac:dyDescent="0.25"/>
    <row r="98" ht="14.45" customHeight="1" x14ac:dyDescent="0.25"/>
    <row r="99" ht="14.45" customHeight="1" x14ac:dyDescent="0.25"/>
    <row r="100" ht="14.45" customHeight="1" x14ac:dyDescent="0.25"/>
    <row r="101" ht="14.45" customHeight="1" x14ac:dyDescent="0.25"/>
    <row r="102" ht="14.45" customHeight="1" x14ac:dyDescent="0.25"/>
    <row r="103" ht="14.45" customHeight="1" x14ac:dyDescent="0.25"/>
    <row r="104" ht="14.45" customHeight="1" x14ac:dyDescent="0.25"/>
    <row r="105" ht="14.45" customHeight="1" x14ac:dyDescent="0.25"/>
    <row r="106" ht="14.45" customHeight="1" x14ac:dyDescent="0.25"/>
    <row r="107" ht="14.45" customHeight="1" x14ac:dyDescent="0.25"/>
    <row r="108" ht="14.45" customHeight="1" x14ac:dyDescent="0.25"/>
    <row r="109" ht="14.45" customHeight="1" x14ac:dyDescent="0.25"/>
    <row r="110" ht="14.45" customHeight="1" x14ac:dyDescent="0.25"/>
    <row r="111" ht="14.45" customHeight="1" x14ac:dyDescent="0.25"/>
    <row r="112" ht="14.45" customHeight="1" x14ac:dyDescent="0.25"/>
    <row r="113" ht="14.45" customHeight="1" x14ac:dyDescent="0.25"/>
    <row r="114" ht="14.45" customHeight="1" x14ac:dyDescent="0.25"/>
    <row r="115" ht="14.45" customHeight="1" x14ac:dyDescent="0.25"/>
    <row r="116" ht="14.45" customHeight="1" x14ac:dyDescent="0.25"/>
    <row r="117" ht="14.45" customHeight="1" x14ac:dyDescent="0.25"/>
    <row r="118" ht="14.45" customHeight="1" x14ac:dyDescent="0.25"/>
    <row r="119" ht="14.45" customHeight="1" x14ac:dyDescent="0.25"/>
    <row r="120" ht="14.45" customHeight="1" x14ac:dyDescent="0.25"/>
    <row r="121" ht="14.45" customHeight="1" x14ac:dyDescent="0.25"/>
    <row r="122" ht="14.45" customHeight="1" x14ac:dyDescent="0.25"/>
    <row r="123" ht="14.45" customHeight="1" x14ac:dyDescent="0.25"/>
    <row r="124" ht="14.45" customHeight="1" x14ac:dyDescent="0.25"/>
    <row r="125" ht="14.45" customHeight="1" x14ac:dyDescent="0.25"/>
  </sheetData>
  <conditionalFormatting sqref="B15:H37">
    <cfRule type="expression" dxfId="2" priority="2">
      <formula>IF(OR($D15&lt;3,$E15&lt;3,$F15&lt;3),IF($H15=$K$74,1,0),0)</formula>
    </cfRule>
    <cfRule type="expression" dxfId="1" priority="1">
      <formula>IF(OR($D15&lt;3,$E15&lt;3,$F15&lt;3),IF($K$74=$H15,1,0),0)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Hoja1!$A$1:$A$3</xm:f>
          </x14:formula1>
          <xm:sqref>K74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3"/>
  <sheetViews>
    <sheetView workbookViewId="0">
      <selection activeCell="A4" sqref="A4"/>
    </sheetView>
  </sheetViews>
  <sheetFormatPr baseColWidth="10" defaultColWidth="11.42578125" defaultRowHeight="15" x14ac:dyDescent="0.25"/>
  <sheetData>
    <row r="1" spans="1:1" x14ac:dyDescent="0.25">
      <c r="A1" t="s">
        <v>13</v>
      </c>
    </row>
    <row r="2" spans="1:1" x14ac:dyDescent="0.25">
      <c r="A2" t="s">
        <v>16</v>
      </c>
    </row>
    <row r="3" spans="1:1" x14ac:dyDescent="0.25">
      <c r="A3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e187d6d-71cf-4345-a05c-1ad4336251df">
      <UserInfo>
        <DisplayName/>
        <AccountId xsi:nil="true"/>
        <AccountType/>
      </UserInfo>
    </SharedWithUsers>
    <MediaLengthInSeconds xmlns="d87bfc22-b946-4a27-992e-b569612e2370" xsi:nil="true"/>
    <TaxCatchAll xmlns="8e187d6d-71cf-4345-a05c-1ad4336251df" xsi:nil="true"/>
    <lcf76f155ced4ddcb4097134ff3c332f xmlns="d87bfc22-b946-4a27-992e-b569612e23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76F077D8BAE846B1BC71F9ACADFD43" ma:contentTypeVersion="16" ma:contentTypeDescription="Crear nuevo documento." ma:contentTypeScope="" ma:versionID="ead3bd53f3d2d6650aab52c999d88f4d">
  <xsd:schema xmlns:xsd="http://www.w3.org/2001/XMLSchema" xmlns:xs="http://www.w3.org/2001/XMLSchema" xmlns:p="http://schemas.microsoft.com/office/2006/metadata/properties" xmlns:ns2="d87bfc22-b946-4a27-992e-b569612e2370" xmlns:ns3="8e187d6d-71cf-4345-a05c-1ad4336251df" targetNamespace="http://schemas.microsoft.com/office/2006/metadata/properties" ma:root="true" ma:fieldsID="ab66830ee26907b9893b989f9f538f59" ns2:_="" ns3:_="">
    <xsd:import namespace="d87bfc22-b946-4a27-992e-b569612e2370"/>
    <xsd:import namespace="8e187d6d-71cf-4345-a05c-1ad4336251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7bfc22-b946-4a27-992e-b569612e23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87d6d-71cf-4345-a05c-1ad4336251d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cdefce6-cd2c-4b03-9764-5f947de3a291}" ma:internalName="TaxCatchAll" ma:showField="CatchAllData" ma:web="8e187d6d-71cf-4345-a05c-1ad4336251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7E1CC5-598C-4BAF-9D18-5E8C50EEE83F}">
  <ds:schemaRefs>
    <ds:schemaRef ds:uri="http://schemas.microsoft.com/office/2006/metadata/properties"/>
    <ds:schemaRef ds:uri="http://schemas.microsoft.com/office/infopath/2007/PartnerControls"/>
    <ds:schemaRef ds:uri="8e187d6d-71cf-4345-a05c-1ad4336251df"/>
    <ds:schemaRef ds:uri="d87bfc22-b946-4a27-992e-b569612e2370"/>
  </ds:schemaRefs>
</ds:datastoreItem>
</file>

<file path=customXml/itemProps2.xml><?xml version="1.0" encoding="utf-8"?>
<ds:datastoreItem xmlns:ds="http://schemas.openxmlformats.org/officeDocument/2006/customXml" ds:itemID="{B73EB773-73E3-4C38-8FF9-E897821F41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372FE4-3C1B-49D1-82A2-58945620D0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7bfc22-b946-4a27-992e-b569612e2370"/>
    <ds:schemaRef ds:uri="8e187d6d-71cf-4345-a05c-1ad4336251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Andrés De Las Casas</dc:creator>
  <cp:keywords/>
  <dc:description/>
  <cp:lastModifiedBy>Mariana Velez Rivera</cp:lastModifiedBy>
  <cp:revision/>
  <dcterms:created xsi:type="dcterms:W3CDTF">2015-03-01T01:11:26Z</dcterms:created>
  <dcterms:modified xsi:type="dcterms:W3CDTF">2024-02-28T01:23:30Z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0x010100DD76F077D8BAE846B1BC71F9ACADFD43</vt:lpwstr>
  </property>
  <property fmtid="{D5CDD505-2E9C-101B-9397-08002B2CF9AE}" pid="3" name="Order">
    <vt:r8>217200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