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gramación/Excel/SAD-20250923T212200Z-1-001/SAD/Excel/"/>
    </mc:Choice>
  </mc:AlternateContent>
  <xr:revisionPtr revIDLastSave="1" documentId="13_ncr:1_{A7AB0A3C-246E-47EE-B266-D18EA21CFAE8}" xr6:coauthVersionLast="47" xr6:coauthVersionMax="47" xr10:uidLastSave="{DE943192-78B3-4237-8A63-E5862943674A}"/>
  <bookViews>
    <workbookView xWindow="-108" yWindow="-108" windowWidth="23256" windowHeight="12456" activeTab="1" xr2:uid="{00000000-000D-0000-FFFF-FFFF00000000}"/>
  </bookViews>
  <sheets>
    <sheet name="Introducción" sheetId="5" r:id="rId1"/>
    <sheet name="Combinaciones" sheetId="3" r:id="rId2"/>
  </sheets>
  <definedNames>
    <definedName name="_xlnm._FilterDatabase" localSheetId="1" hidden="1">Combinaciones!$A$17:$B$17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 a="1"/>
  <c r="H9" i="5"/>
  <c r="G69" i="5" a="1"/>
  <c r="G69" i="5" s="1"/>
  <c r="G68" i="5" a="1"/>
  <c r="G68" i="5" s="1"/>
  <c r="I72" i="3" l="1" a="1"/>
  <c r="I72" i="3" s="1"/>
  <c r="G72" i="3" a="1"/>
  <c r="G72" i="3" s="1"/>
  <c r="H72" i="3" s="1" a="1"/>
  <c r="H72" i="3" s="1"/>
  <c r="F72" i="3" a="1"/>
  <c r="F72" i="3" s="1"/>
  <c r="F63" i="3" a="1"/>
  <c r="F63" i="3" s="1"/>
  <c r="E72" i="3" a="1"/>
  <c r="E72" i="3" s="1"/>
  <c r="E63" i="3" a="1"/>
  <c r="E63" i="3" s="1"/>
  <c r="C72" i="3" a="1"/>
  <c r="C72" i="3" s="1"/>
  <c r="F79" i="3"/>
  <c r="C63" i="3" a="1"/>
  <c r="C63" i="3" s="1"/>
  <c r="I1" i="3" a="1"/>
  <c r="I1" i="3" s="1"/>
  <c r="D18" i="3" a="1"/>
  <c r="D18" i="3" s="1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18" i="3"/>
  <c r="G22" i="3"/>
  <c r="G21" i="3"/>
  <c r="G19" i="3"/>
  <c r="G18" i="3"/>
  <c r="E18" i="3" a="1"/>
  <c r="J1" i="3" a="1"/>
  <c r="G6" i="3" a="1"/>
  <c r="K1" i="3" a="1"/>
  <c r="G63" i="3" l="1" a="1"/>
  <c r="G63" i="3" s="1"/>
  <c r="H63" i="3" s="1" a="1"/>
  <c r="H63" i="3" s="1"/>
  <c r="E18" i="3"/>
  <c r="G6" i="3"/>
  <c r="E10" i="3" s="1" a="1"/>
  <c r="E10" i="3" s="1"/>
  <c r="K1" i="3"/>
  <c r="J1" i="3"/>
  <c r="A75" i="5"/>
  <c r="C6" i="5"/>
  <c r="G66" i="5" a="1"/>
  <c r="G66" i="5" s="1"/>
  <c r="G67" i="5" a="1"/>
  <c r="G67" i="5" s="1"/>
  <c r="G65" i="5" a="1"/>
  <c r="G65" i="5" s="1"/>
  <c r="G64" i="5" a="1"/>
  <c r="G64" i="5" s="1"/>
  <c r="G63" i="5" a="1"/>
  <c r="G63" i="5" s="1"/>
  <c r="G62" i="5" a="1"/>
  <c r="G62" i="5" s="1"/>
  <c r="G61" i="5" a="1"/>
  <c r="G61" i="5" s="1"/>
  <c r="K54" i="5"/>
  <c r="K55" i="5"/>
  <c r="K56" i="5"/>
  <c r="K53" i="5"/>
  <c r="J54" i="5"/>
  <c r="J55" i="5"/>
  <c r="J56" i="5"/>
  <c r="J53" i="5"/>
  <c r="D54" i="5"/>
  <c r="D55" i="5"/>
  <c r="D56" i="5"/>
  <c r="D53" i="5"/>
  <c r="E54" i="5"/>
  <c r="E55" i="5"/>
  <c r="E56" i="5"/>
  <c r="E53" i="5"/>
  <c r="B44" i="5"/>
  <c r="B43" i="5"/>
  <c r="F53" i="5" l="1"/>
  <c r="K28" i="5" a="1"/>
  <c r="K28" i="5" s="1"/>
  <c r="I26" i="5"/>
  <c r="D27" i="5"/>
  <c r="D28" i="5"/>
  <c r="D29" i="5"/>
  <c r="D30" i="5"/>
  <c r="D31" i="5"/>
  <c r="D32" i="5"/>
  <c r="D33" i="5"/>
  <c r="D34" i="5"/>
  <c r="D35" i="5"/>
  <c r="D26" i="5"/>
  <c r="I14" i="5" a="1"/>
  <c r="I14" i="5" s="1"/>
  <c r="C16" i="5"/>
  <c r="D16" i="5" s="1"/>
  <c r="C17" i="5"/>
  <c r="D17" i="5" s="1"/>
  <c r="C18" i="5"/>
  <c r="D18" i="5" s="1"/>
  <c r="C15" i="5"/>
  <c r="D15" i="5" s="1"/>
  <c r="H10" i="5" a="1"/>
  <c r="H10" i="5" s="1"/>
  <c r="D6" i="5" a="1"/>
  <c r="D6" i="5" s="1"/>
  <c r="C7" i="5"/>
  <c r="C8" i="5"/>
  <c r="G10" i="5" s="1"/>
  <c r="C9" i="5"/>
  <c r="C10" i="5"/>
  <c r="G9" i="5" l="1"/>
  <c r="H14" i="5"/>
  <c r="E26" i="5" a="1"/>
  <c r="E26" i="5" s="1"/>
  <c r="G26" i="5" s="1" a="1"/>
  <c r="G26" i="5" s="1"/>
  <c r="J26" i="5" s="1" a="1"/>
  <c r="J26" i="5" s="1"/>
  <c r="K27" i="5" s="1"/>
  <c r="D9" i="5"/>
  <c r="D8" i="5"/>
  <c r="D7" i="5"/>
  <c r="D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<sst xmlns="http://schemas.openxmlformats.org/spreadsheetml/2006/main" count="176" uniqueCount="152">
  <si>
    <t>Promedio</t>
  </si>
  <si>
    <t>Num</t>
  </si>
  <si>
    <t>Obtener el tercer número más grande</t>
  </si>
  <si>
    <t>Obtener el quinto número más grande</t>
  </si>
  <si>
    <t>Animal</t>
  </si>
  <si>
    <t>Gallina</t>
  </si>
  <si>
    <t>Ornitorrinco</t>
  </si>
  <si>
    <t>Ganso</t>
  </si>
  <si>
    <t>Abeja</t>
  </si>
  <si>
    <t>Hormiga</t>
  </si>
  <si>
    <t>Hipopótamo</t>
  </si>
  <si>
    <t>Lechuza</t>
  </si>
  <si>
    <t>Cisne</t>
  </si>
  <si>
    <t>Ratón</t>
  </si>
  <si>
    <t>Gato</t>
  </si>
  <si>
    <t>Número animales con 6 letras o más</t>
  </si>
  <si>
    <t>USNA</t>
  </si>
  <si>
    <t>BRIG</t>
  </si>
  <si>
    <t>KYLY</t>
  </si>
  <si>
    <t>CTR + SHIFT + ENTER</t>
  </si>
  <si>
    <t>LARGO()</t>
  </si>
  <si>
    <t>Pasto</t>
  </si>
  <si>
    <t>Berlin</t>
  </si>
  <si>
    <t>New York</t>
  </si>
  <si>
    <t>Melbourne</t>
  </si>
  <si>
    <t>Tokio</t>
  </si>
  <si>
    <t>Ciudad</t>
  </si>
  <si>
    <t>Min letras</t>
  </si>
  <si>
    <t>Max letras</t>
  </si>
  <si>
    <t>Matricial</t>
  </si>
  <si>
    <t>Simple</t>
  </si>
  <si>
    <t>Compuesto</t>
  </si>
  <si>
    <t>RAIZ()</t>
  </si>
  <si>
    <t>Número</t>
  </si>
  <si>
    <t>Lógica con matriciales</t>
  </si>
  <si>
    <r>
      <t>SI(</t>
    </r>
    <r>
      <rPr>
        <b/>
        <sz val="11"/>
        <color theme="7" tint="-0.249977111117893"/>
        <rFont val="Calibri"/>
        <family val="2"/>
        <scheme val="minor"/>
      </rPr>
      <t>Condición</t>
    </r>
    <r>
      <rPr>
        <b/>
        <sz val="11"/>
        <color theme="1"/>
        <rFont val="Calibri"/>
        <family val="2"/>
        <scheme val="minor"/>
      </rPr>
      <t xml:space="preserve">; </t>
    </r>
    <r>
      <rPr>
        <b/>
        <sz val="11"/>
        <color rgb="FF00B050"/>
        <rFont val="Calibri"/>
        <family val="2"/>
        <scheme val="minor"/>
      </rPr>
      <t>valor verdadero</t>
    </r>
    <r>
      <rPr>
        <b/>
        <sz val="11"/>
        <color theme="1"/>
        <rFont val="Calibri"/>
        <family val="2"/>
        <scheme val="minor"/>
      </rPr>
      <t xml:space="preserve">; </t>
    </r>
    <r>
      <rPr>
        <b/>
        <sz val="11"/>
        <color rgb="FFFF0000"/>
        <rFont val="Calibri"/>
        <family val="2"/>
        <scheme val="minor"/>
      </rPr>
      <t>valor falso</t>
    </r>
    <r>
      <rPr>
        <b/>
        <sz val="11"/>
        <color theme="1"/>
        <rFont val="Calibri"/>
        <family val="2"/>
        <scheme val="minor"/>
      </rPr>
      <t>)</t>
    </r>
  </si>
  <si>
    <r>
      <t xml:space="preserve">La </t>
    </r>
    <r>
      <rPr>
        <b/>
        <sz val="11"/>
        <color theme="7" tint="-0.249977111117893"/>
        <rFont val="Calibri"/>
        <family val="2"/>
        <scheme val="minor"/>
      </rPr>
      <t>condición</t>
    </r>
    <r>
      <rPr>
        <sz val="11"/>
        <color theme="1"/>
        <rFont val="Calibri"/>
        <family val="2"/>
        <scheme val="minor"/>
      </rPr>
      <t xml:space="preserve"> es un booleano</t>
    </r>
  </si>
  <si>
    <t>booleano</t>
  </si>
  <si>
    <t>Si 4&gt;3 devolver 1, de lo contrario 0</t>
  </si>
  <si>
    <t>SI()</t>
  </si>
  <si>
    <t>Condición 1</t>
  </si>
  <si>
    <t>Condición 2</t>
  </si>
  <si>
    <t>Y()</t>
  </si>
  <si>
    <t>Producto</t>
  </si>
  <si>
    <t>O()</t>
  </si>
  <si>
    <t>Suma</t>
  </si>
  <si>
    <t>&lt;&gt;0</t>
  </si>
  <si>
    <t>Ejercicio fórmulas</t>
  </si>
  <si>
    <t>x_i</t>
  </si>
  <si>
    <t>Resta</t>
  </si>
  <si>
    <t>Cuadrado</t>
  </si>
  <si>
    <t>Conteo</t>
  </si>
  <si>
    <t>División</t>
  </si>
  <si>
    <t>PROMEDIO()</t>
  </si>
  <si>
    <t>POTENCIA()</t>
  </si>
  <si>
    <t>CONTAR()</t>
  </si>
  <si>
    <t>"+-/*"</t>
  </si>
  <si>
    <t>Con fórmula</t>
  </si>
  <si>
    <t>Con celdas adicionales</t>
  </si>
  <si>
    <t>SUMA()</t>
  </si>
  <si>
    <t>Ejercicio lógica</t>
  </si>
  <si>
    <t>Número animales con menos de 10 letras</t>
  </si>
  <si>
    <t>Número animales con mínimo 6 letras y máximo 10 letras</t>
  </si>
  <si>
    <t>Suponiendo que no hay valores negativos</t>
  </si>
  <si>
    <t>Número animales que tienen 4, 5 o más de 10 letras</t>
  </si>
  <si>
    <t>Número de animales que tienen al menos una a</t>
  </si>
  <si>
    <t>Obtener el octavo número más pequeño</t>
  </si>
  <si>
    <t>Obtener el sexto número más pequeño</t>
  </si>
  <si>
    <t>K.ESIMO.MENOR()</t>
  </si>
  <si>
    <t>K.ESIMO.MAYOR()</t>
  </si>
  <si>
    <t>fila + indirecto</t>
  </si>
  <si>
    <t>FILA()</t>
  </si>
  <si>
    <t>Devuelve el número de fila en la que se encuentra una celda</t>
  </si>
  <si>
    <t>INDIRECTO</t>
  </si>
  <si>
    <t>Devuelve el valor de una dirección</t>
  </si>
  <si>
    <t>Número de fila del indirecto de la dirección A1</t>
  </si>
  <si>
    <t>Número de filas del indirecto del rango A3:A4</t>
  </si>
  <si>
    <t>¿Es número primo?</t>
  </si>
  <si>
    <t>Animales</t>
  </si>
  <si>
    <t>perro</t>
  </si>
  <si>
    <t>gato</t>
  </si>
  <si>
    <t>rinoceronte</t>
  </si>
  <si>
    <t>hipopótamo</t>
  </si>
  <si>
    <t>Con matriciales, sin celdas adicionales</t>
  </si>
  <si>
    <t>SI.ERROR</t>
  </si>
  <si>
    <t>INDICE</t>
  </si>
  <si>
    <t>Matriz</t>
  </si>
  <si>
    <t>SI</t>
  </si>
  <si>
    <t>Condición</t>
  </si>
  <si>
    <t>FILA</t>
  </si>
  <si>
    <t>Encontrar la lista que cumple condiciones</t>
  </si>
  <si>
    <t>Edad</t>
  </si>
  <si>
    <t>girafa</t>
  </si>
  <si>
    <t>zebra</t>
  </si>
  <si>
    <t>K.ESIMO</t>
  </si>
  <si>
    <t>¿Cuáles animales tienen más de 4 letras?</t>
  </si>
  <si>
    <t>*2</t>
  </si>
  <si>
    <t>Ejercicio 1</t>
  </si>
  <si>
    <t>Ejercicio 2</t>
  </si>
  <si>
    <t>Con funciones matriciales evito usar celdas adicionales para operaciones intermedias</t>
  </si>
  <si>
    <t>¿Cuál es el mínimo de caracteres que tienen las ciudades?</t>
  </si>
  <si>
    <t>¿Cuál es el máximo de caracteres que tienen las ciudades?</t>
  </si>
  <si>
    <t>Obtenga el promedio de la raíz cuadrada de los números multiplicada por dos</t>
  </si>
  <si>
    <t>Número de animales que  tienen más de 4 caracteres e (inician con "G" o terminan en "o")</t>
  </si>
  <si>
    <t>Número de animales que tienen al menos una "a" y su nombre tiene menos de 7 letras</t>
  </si>
  <si>
    <t>Máximo común divisor</t>
  </si>
  <si>
    <t>x=</t>
  </si>
  <si>
    <t>Valor que se quiera poner por defecto si no se cumple alguna condición, por lo general se usa "" para mostrar celdas vacías.</t>
  </si>
  <si>
    <t>Si es una sola condición puede ubicarla acá, si son dos o más, se decomienta anidar aquí varios SI() que retornen 1 si es verdadero, 0 si es falso, y usar suma y producto para operaciones lógicas.</t>
  </si>
  <si>
    <t>Es una columna que tenga el orden que se quiera mostrar. Si no existe tal columna o el orden no es de gran importancia, use FILA() de los datos.</t>
  </si>
  <si>
    <t>Generalmente se usa FALSO para causar un error en el K.ESIMO</t>
  </si>
  <si>
    <t>FILA de los datos</t>
  </si>
  <si>
    <t>Ejercicio</t>
  </si>
  <si>
    <t>Id</t>
  </si>
  <si>
    <t>El número de la columna de la matriz donde están los valores que se quieran mostrar</t>
  </si>
  <si>
    <t>Val Verdadero</t>
  </si>
  <si>
    <t>Val FALSO</t>
  </si>
  <si>
    <t>k</t>
  </si>
  <si>
    <t>num Fila</t>
  </si>
  <si>
    <t>num Columna</t>
  </si>
  <si>
    <t>valor</t>
  </si>
  <si>
    <t>valor si error</t>
  </si>
  <si>
    <t>1. Condiciones (1;0)</t>
  </si>
  <si>
    <t>2. SI()</t>
  </si>
  <si>
    <t>3. K.ESIMO</t>
  </si>
  <si>
    <t>4. INDICE</t>
  </si>
  <si>
    <t>5. SI.ERROR()</t>
  </si>
  <si>
    <t>Y es VERDADERO cuando todas las condiciones son Verdaderas, de lo contrario falso</t>
  </si>
  <si>
    <t>O es VERDADERO cuando al menos una condición es verdadera, y falso dlc</t>
  </si>
  <si>
    <t>Organizar</t>
  </si>
  <si>
    <r>
      <t xml:space="preserve">¿Cuáles animales tienen más de 4 letras y tienen más de 3 años? </t>
    </r>
    <r>
      <rPr>
        <sz val="11"/>
        <color rgb="FFFF0000"/>
        <rFont val="Calibri"/>
        <family val="2"/>
        <scheme val="minor"/>
      </rPr>
      <t>Muestrelos en orden ascendente según su ID</t>
    </r>
  </si>
  <si>
    <t>NO FUNCIONA CON FUNCIONES .SI() NI .SI.CONJUNTO()</t>
  </si>
  <si>
    <t>factor</t>
  </si>
  <si>
    <t>Promedio de las edades de los animales que tienen al menos una "a" y su edad es par</t>
  </si>
  <si>
    <t>Suma de las edades de los animales que tienen al menos una "a" y la raíz cuadrada de su edad es menor al factor (celda B73)</t>
  </si>
  <si>
    <r>
      <t xml:space="preserve">Pasos genéricos, suponiendo que la lista de los datos sea vertical y que </t>
    </r>
    <r>
      <rPr>
        <b/>
        <sz val="11"/>
        <color rgb="FFFF0000"/>
        <rFont val="Calibri"/>
        <family val="2"/>
        <scheme val="minor"/>
      </rPr>
      <t>el orden no importa (no hay una columna externa o un criterio externo de orden)</t>
    </r>
  </si>
  <si>
    <t>Ud debe seleccionar si es K.ESIMO.MENOR o K.ESIMO.MAYOR, la selección es acorde al orden de la lista</t>
  </si>
  <si>
    <t>Si verdadero devolver 1, de lo contrario 0</t>
  </si>
  <si>
    <t>Si 1 devolver 1, de lo contrario 0</t>
  </si>
  <si>
    <t>Si 0 devolver 1, de lo contrario 0</t>
  </si>
  <si>
    <t>Si 3 devolver 1, de lo contrario 0</t>
  </si>
  <si>
    <t>Si -6.8 devolver 1, de lo contrario 0</t>
  </si>
  <si>
    <t>Agrupacion</t>
  </si>
  <si>
    <t>n datos -&gt; 1 dato</t>
  </si>
  <si>
    <t>No Agrupacion</t>
  </si>
  <si>
    <t>1 dato -&gt; 1 dato</t>
  </si>
  <si>
    <t>n datos -&gt; n datos</t>
  </si>
  <si>
    <t>elefante</t>
  </si>
  <si>
    <t>En matriciales el Y &amp; O; .Si y widthcats no funcionan con n datos -&gt; 1 datos</t>
  </si>
  <si>
    <t>Divisores</t>
  </si>
  <si>
    <t>Ej. Max comun divisor</t>
  </si>
  <si>
    <t>Y, O no sirve en matriciales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</si>
</sst>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9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0" fillId="4" borderId="10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238126</xdr:colOff>
      <xdr:row>23</xdr:row>
      <xdr:rowOff>66675</xdr:rowOff>
    </xdr:from>
    <xdr:ext cx="190500" cy="285698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822" r="44437"/>
        <a:stretch/>
      </xdr:blipFill>
      <xdr:spPr>
        <a:xfrm>
          <a:off x="2783899" y="14518698"/>
          <a:ext cx="190500" cy="285698"/>
        </a:xfrm>
        <a:prstGeom prst="rect">
          <a:avLst/>
        </a:prstGeom>
      </xdr:spPr>
    </xdr:pic>
    <xdr:clientData/>
  </xdr:oneCellAnchor>
  <xdr:oneCellAnchor>
    <xdr:from>
      <xdr:col>4</xdr:col>
      <xdr:colOff>323850</xdr:colOff>
      <xdr:row>23</xdr:row>
      <xdr:rowOff>32544</xdr:rowOff>
    </xdr:from>
    <xdr:ext cx="887428" cy="31983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009" y="14484567"/>
          <a:ext cx="887428" cy="319835"/>
        </a:xfrm>
        <a:prstGeom prst="rect">
          <a:avLst/>
        </a:prstGeom>
      </xdr:spPr>
    </xdr:pic>
    <xdr:clientData/>
  </xdr:oneCellAnchor>
  <xdr:oneCellAnchor>
    <xdr:from>
      <xdr:col>6</xdr:col>
      <xdr:colOff>334328</xdr:colOff>
      <xdr:row>23</xdr:row>
      <xdr:rowOff>19050</xdr:rowOff>
    </xdr:from>
    <xdr:ext cx="1037128" cy="342852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0123" y="14471073"/>
          <a:ext cx="1037128" cy="342852"/>
        </a:xfrm>
        <a:prstGeom prst="rect">
          <a:avLst/>
        </a:prstGeom>
      </xdr:spPr>
    </xdr:pic>
    <xdr:clientData/>
  </xdr:oneCellAnchor>
  <xdr:oneCellAnchor>
    <xdr:from>
      <xdr:col>8</xdr:col>
      <xdr:colOff>314325</xdr:colOff>
      <xdr:row>23</xdr:row>
      <xdr:rowOff>89297</xdr:rowOff>
    </xdr:from>
    <xdr:ext cx="199996" cy="224996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0711" y="14541320"/>
          <a:ext cx="199996" cy="224996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23</xdr:row>
      <xdr:rowOff>59570</xdr:rowOff>
    </xdr:from>
    <xdr:ext cx="476099" cy="302285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38605" y="14511593"/>
          <a:ext cx="476099" cy="302285"/>
        </a:xfrm>
        <a:prstGeom prst="rect">
          <a:avLst/>
        </a:prstGeom>
      </xdr:spPr>
    </xdr:pic>
    <xdr:clientData/>
  </xdr:oneCellAnchor>
  <xdr:oneCellAnchor>
    <xdr:from>
      <xdr:col>10</xdr:col>
      <xdr:colOff>361949</xdr:colOff>
      <xdr:row>21</xdr:row>
      <xdr:rowOff>186035</xdr:rowOff>
    </xdr:from>
    <xdr:ext cx="971227" cy="566251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10154" y="14257058"/>
          <a:ext cx="971227" cy="5662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opLeftCell="A48" zoomScale="116" zoomScaleNormal="156" workbookViewId="0">
      <selection activeCell="C53" sqref="C53"/>
    </sheetView>
  </sheetViews>
  <sheetFormatPr baseColWidth="10" defaultColWidth="11.44140625" defaultRowHeight="14.4" x14ac:dyDescent="0.3"/>
  <cols>
    <col min="1" max="1" width="81.33203125" style="1" bestFit="1" customWidth="1"/>
    <col min="2" max="2" width="15.44140625" style="1" bestFit="1" customWidth="1"/>
    <col min="3" max="3" width="11.5546875" style="1" bestFit="1" customWidth="1"/>
    <col min="4" max="4" width="20.33203125" style="1" bestFit="1" customWidth="1"/>
    <col min="5" max="5" width="12.6640625" style="1" bestFit="1" customWidth="1"/>
    <col min="6" max="6" width="10.6640625" style="1" bestFit="1" customWidth="1"/>
    <col min="7" max="7" width="14.5546875" style="1" customWidth="1"/>
    <col min="8" max="8" width="20.44140625" style="1" customWidth="1"/>
    <col min="9" max="9" width="53.6640625" style="1" bestFit="1" customWidth="1"/>
    <col min="10" max="10" width="11.88671875" style="1" bestFit="1" customWidth="1"/>
    <col min="11" max="16384" width="11.44140625" style="1"/>
  </cols>
  <sheetData>
    <row r="1" spans="1:10" s="21" customFormat="1" ht="75" customHeight="1" x14ac:dyDescent="0.3">
      <c r="A1" s="20" t="s">
        <v>19</v>
      </c>
    </row>
    <row r="2" spans="1:10" x14ac:dyDescent="0.3">
      <c r="A2" s="4"/>
    </row>
    <row r="3" spans="1:10" x14ac:dyDescent="0.3">
      <c r="A3" s="4" t="s">
        <v>97</v>
      </c>
      <c r="G3" s="1" t="s">
        <v>142</v>
      </c>
      <c r="H3" s="1" t="s">
        <v>143</v>
      </c>
      <c r="I3" s="1" t="s">
        <v>143</v>
      </c>
    </row>
    <row r="4" spans="1:10" x14ac:dyDescent="0.3">
      <c r="A4" s="4"/>
      <c r="G4" s="1" t="s">
        <v>144</v>
      </c>
      <c r="H4" s="1" t="s">
        <v>145</v>
      </c>
      <c r="I4" s="1" t="s">
        <v>146</v>
      </c>
    </row>
    <row r="5" spans="1:10" x14ac:dyDescent="0.3">
      <c r="A5" s="4"/>
      <c r="B5" s="16" t="s">
        <v>26</v>
      </c>
      <c r="C5" s="16" t="s">
        <v>20</v>
      </c>
      <c r="D5" s="16" t="s">
        <v>29</v>
      </c>
    </row>
    <row r="6" spans="1:10" x14ac:dyDescent="0.3">
      <c r="A6" s="4"/>
      <c r="B6" s="15" t="s">
        <v>22</v>
      </c>
      <c r="C6" s="2">
        <f>LEN(B6)</f>
        <v>6</v>
      </c>
      <c r="D6" s="2">
        <f t="array" ref="D6:D10">LEN(B6:B10)</f>
        <v>6</v>
      </c>
    </row>
    <row r="7" spans="1:10" x14ac:dyDescent="0.3">
      <c r="A7" s="4"/>
      <c r="B7" s="15" t="s">
        <v>23</v>
      </c>
      <c r="C7" s="2">
        <f t="shared" ref="C7:C10" si="0">LEN(B7)</f>
        <v>8</v>
      </c>
      <c r="D7" s="2">
        <v>8</v>
      </c>
    </row>
    <row r="8" spans="1:10" x14ac:dyDescent="0.3">
      <c r="A8" s="4"/>
      <c r="B8" s="15" t="s">
        <v>24</v>
      </c>
      <c r="C8" s="2">
        <f t="shared" si="0"/>
        <v>9</v>
      </c>
      <c r="D8" s="2">
        <v>9</v>
      </c>
      <c r="G8" s="15" t="s">
        <v>30</v>
      </c>
      <c r="H8" s="15" t="s">
        <v>31</v>
      </c>
    </row>
    <row r="9" spans="1:10" x14ac:dyDescent="0.3">
      <c r="A9" s="4"/>
      <c r="B9" s="15" t="s">
        <v>25</v>
      </c>
      <c r="C9" s="2">
        <f t="shared" si="0"/>
        <v>5</v>
      </c>
      <c r="D9" s="2">
        <v>5</v>
      </c>
      <c r="F9" s="15" t="s">
        <v>27</v>
      </c>
      <c r="G9" s="2">
        <f>MIN(C6:C10)</f>
        <v>5</v>
      </c>
      <c r="H9" s="19" cm="1">
        <f t="array" ref="H9">MIN((LEN(B6:B10)))</f>
        <v>5</v>
      </c>
      <c r="I9" s="9" t="s">
        <v>100</v>
      </c>
    </row>
    <row r="10" spans="1:10" x14ac:dyDescent="0.3">
      <c r="A10" s="4"/>
      <c r="B10" s="15" t="s">
        <v>21</v>
      </c>
      <c r="C10" s="2">
        <f t="shared" si="0"/>
        <v>5</v>
      </c>
      <c r="D10" s="2">
        <v>5</v>
      </c>
      <c r="F10" s="15" t="s">
        <v>28</v>
      </c>
      <c r="G10" s="2">
        <f>MAX(C6:C10)</f>
        <v>9</v>
      </c>
      <c r="H10" s="19" cm="1">
        <f t="array" ref="H10">MAX(LEN(B6:B10))</f>
        <v>9</v>
      </c>
      <c r="I10" s="9" t="s">
        <v>101</v>
      </c>
    </row>
    <row r="11" spans="1:10" x14ac:dyDescent="0.3">
      <c r="A11" s="4"/>
    </row>
    <row r="12" spans="1:10" x14ac:dyDescent="0.3">
      <c r="A12" s="4" t="s">
        <v>98</v>
      </c>
    </row>
    <row r="13" spans="1:10" x14ac:dyDescent="0.3">
      <c r="A13" s="4"/>
      <c r="H13" s="15" t="s">
        <v>30</v>
      </c>
      <c r="I13" s="15" t="s">
        <v>31</v>
      </c>
    </row>
    <row r="14" spans="1:10" x14ac:dyDescent="0.3">
      <c r="A14" s="4"/>
      <c r="B14" s="16" t="s">
        <v>33</v>
      </c>
      <c r="C14" s="16" t="s">
        <v>32</v>
      </c>
      <c r="D14" s="16" t="s">
        <v>96</v>
      </c>
      <c r="E14" s="16" t="s">
        <v>29</v>
      </c>
      <c r="G14" s="15" t="s">
        <v>0</v>
      </c>
      <c r="H14" s="2">
        <f>AVERAGE(D15:D18)</f>
        <v>7</v>
      </c>
      <c r="I14" s="19" cm="1">
        <f t="array" ref="I14">AVERAGE(SQRT(B15:B18)*2)</f>
        <v>7</v>
      </c>
      <c r="J14" s="9" t="s">
        <v>102</v>
      </c>
    </row>
    <row r="15" spans="1:10" x14ac:dyDescent="0.3">
      <c r="A15" s="4"/>
      <c r="B15" s="15">
        <v>4</v>
      </c>
      <c r="C15" s="2">
        <f>SQRT(B15)</f>
        <v>2</v>
      </c>
      <c r="D15" s="2">
        <f>C15*2</f>
        <v>4</v>
      </c>
      <c r="E15" s="2"/>
    </row>
    <row r="16" spans="1:10" x14ac:dyDescent="0.3">
      <c r="A16" s="4"/>
      <c r="B16" s="15">
        <v>9</v>
      </c>
      <c r="C16" s="2">
        <f t="shared" ref="C16:C18" si="1">SQRT(B16)</f>
        <v>3</v>
      </c>
      <c r="D16" s="2">
        <f t="shared" ref="D16:D18" si="2">C16*2</f>
        <v>6</v>
      </c>
      <c r="E16" s="2"/>
    </row>
    <row r="17" spans="1:12" x14ac:dyDescent="0.3">
      <c r="A17" s="4"/>
      <c r="B17" s="15">
        <v>16</v>
      </c>
      <c r="C17" s="2">
        <f t="shared" si="1"/>
        <v>4</v>
      </c>
      <c r="D17" s="2">
        <f t="shared" si="2"/>
        <v>8</v>
      </c>
      <c r="E17" s="2"/>
    </row>
    <row r="18" spans="1:12" x14ac:dyDescent="0.3">
      <c r="A18" s="4"/>
      <c r="B18" s="15">
        <v>25</v>
      </c>
      <c r="C18" s="2">
        <f t="shared" si="1"/>
        <v>5</v>
      </c>
      <c r="D18" s="2">
        <f t="shared" si="2"/>
        <v>10</v>
      </c>
      <c r="E18" s="2"/>
      <c r="J18" s="53" t="s">
        <v>99</v>
      </c>
      <c r="K18" s="53"/>
      <c r="L18" s="53"/>
    </row>
    <row r="19" spans="1:12" x14ac:dyDescent="0.3">
      <c r="A19" s="4"/>
      <c r="J19" s="53"/>
      <c r="K19" s="53"/>
      <c r="L19" s="53"/>
    </row>
    <row r="20" spans="1:12" x14ac:dyDescent="0.3">
      <c r="A20" s="4"/>
      <c r="J20" s="53"/>
      <c r="K20" s="53"/>
      <c r="L20" s="53"/>
    </row>
    <row r="21" spans="1:12" ht="15" thickBot="1" x14ac:dyDescent="0.35">
      <c r="A21" s="4"/>
      <c r="J21" s="30"/>
      <c r="K21" s="30"/>
      <c r="L21" s="30"/>
    </row>
    <row r="22" spans="1:12" s="3" customFormat="1" x14ac:dyDescent="0.3">
      <c r="A22" s="12"/>
    </row>
    <row r="23" spans="1:12" x14ac:dyDescent="0.3">
      <c r="A23" s="50" t="s">
        <v>47</v>
      </c>
      <c r="B23" s="51"/>
      <c r="C23" s="9"/>
      <c r="D23" s="1" t="s">
        <v>0</v>
      </c>
      <c r="E23" s="54" t="s">
        <v>49</v>
      </c>
      <c r="F23" s="54"/>
      <c r="G23" s="54" t="s">
        <v>50</v>
      </c>
      <c r="H23" s="54"/>
      <c r="I23" s="1" t="s">
        <v>51</v>
      </c>
      <c r="J23" s="1" t="s">
        <v>52</v>
      </c>
    </row>
    <row r="24" spans="1:12" x14ac:dyDescent="0.3">
      <c r="A24" s="25"/>
      <c r="C24" s="9"/>
      <c r="D24"/>
      <c r="E24" s="54"/>
      <c r="F24" s="54"/>
      <c r="G24" s="54"/>
      <c r="H24" s="54"/>
    </row>
    <row r="25" spans="1:12" x14ac:dyDescent="0.3">
      <c r="A25" s="4"/>
      <c r="B25" s="18" t="s">
        <v>53</v>
      </c>
      <c r="C25" s="6" t="s">
        <v>48</v>
      </c>
      <c r="E25" s="54"/>
      <c r="F25" s="54"/>
      <c r="G25" s="54"/>
      <c r="H25" s="54"/>
    </row>
    <row r="26" spans="1:12" x14ac:dyDescent="0.3">
      <c r="A26" s="4"/>
      <c r="B26" s="18" t="s">
        <v>54</v>
      </c>
      <c r="C26" s="6">
        <v>14.7</v>
      </c>
      <c r="D26" s="2">
        <f>AVERAGE($C$26:$C$35)</f>
        <v>11.180000000000001</v>
      </c>
      <c r="E26" s="35" cm="1">
        <f t="array" ref="E26:E35">C26:C35-D26:D35</f>
        <v>3.5199999999999978</v>
      </c>
      <c r="F26" s="38"/>
      <c r="G26" s="35" cm="1">
        <f t="array" ref="G26:G35">_xlfn.ANCHORARRAY(E26)^2</f>
        <v>12.390399999999984</v>
      </c>
      <c r="H26" s="38"/>
      <c r="I26" s="2">
        <f>COUNT($C$26:$C$35)</f>
        <v>10</v>
      </c>
      <c r="J26" s="2" cm="1">
        <f t="array" ref="J26:J35">_xlfn.ANCHORARRAY(G26)/(I26-1)</f>
        <v>1.3767111111111092</v>
      </c>
      <c r="K26" s="24"/>
      <c r="L26" s="9" t="s">
        <v>57</v>
      </c>
    </row>
    <row r="27" spans="1:12" x14ac:dyDescent="0.3">
      <c r="A27" s="4"/>
      <c r="B27" s="18" t="s">
        <v>32</v>
      </c>
      <c r="C27" s="6">
        <v>10</v>
      </c>
      <c r="D27" s="2">
        <f t="shared" ref="D27:D35" si="3">AVERAGE($C$26:$C$35)</f>
        <v>11.180000000000001</v>
      </c>
      <c r="E27" s="35">
        <v>-1.1800000000000015</v>
      </c>
      <c r="F27" s="38"/>
      <c r="G27" s="35">
        <v>1.3924000000000034</v>
      </c>
      <c r="H27" s="38"/>
      <c r="I27" s="2"/>
      <c r="J27" s="2">
        <v>0.15471111111111149</v>
      </c>
      <c r="K27" s="24">
        <f>SQRT(SUM(_xlfn.ANCHORARRAY(J26)))</f>
        <v>2.2503333086456325</v>
      </c>
      <c r="L27" s="9" t="s">
        <v>58</v>
      </c>
    </row>
    <row r="28" spans="1:12" x14ac:dyDescent="0.3">
      <c r="A28" s="4"/>
      <c r="B28" s="18" t="s">
        <v>55</v>
      </c>
      <c r="C28" s="6">
        <v>12.2</v>
      </c>
      <c r="D28" s="2">
        <f t="shared" si="3"/>
        <v>11.180000000000001</v>
      </c>
      <c r="E28" s="35">
        <v>1.0199999999999978</v>
      </c>
      <c r="F28" s="38"/>
      <c r="G28" s="35">
        <v>1.0403999999999956</v>
      </c>
      <c r="H28" s="38"/>
      <c r="I28" s="2"/>
      <c r="J28" s="2">
        <v>0.11559999999999951</v>
      </c>
      <c r="K28" s="34" cm="1">
        <f t="array" ref="K28">SQRT(SUM((C26:C35-AVERAGE(C26:C35))^2)/(COUNT(C26:C35)-1))</f>
        <v>2.2503333086456325</v>
      </c>
      <c r="L28" s="9" t="s">
        <v>83</v>
      </c>
    </row>
    <row r="29" spans="1:12" x14ac:dyDescent="0.3">
      <c r="A29" s="4"/>
      <c r="B29" s="18" t="s">
        <v>59</v>
      </c>
      <c r="C29" s="6">
        <v>10.8</v>
      </c>
      <c r="D29" s="2">
        <f t="shared" si="3"/>
        <v>11.180000000000001</v>
      </c>
      <c r="E29" s="35">
        <v>-0.38000000000000078</v>
      </c>
      <c r="F29" s="38"/>
      <c r="G29" s="35">
        <v>0.14440000000000058</v>
      </c>
      <c r="H29" s="38"/>
      <c r="I29" s="2"/>
      <c r="J29" s="2">
        <v>1.604444444444451E-2</v>
      </c>
    </row>
    <row r="30" spans="1:12" x14ac:dyDescent="0.3">
      <c r="A30" s="4"/>
      <c r="B30" s="18" t="s">
        <v>56</v>
      </c>
      <c r="C30" s="6">
        <v>13</v>
      </c>
      <c r="D30" s="2">
        <f t="shared" si="3"/>
        <v>11.180000000000001</v>
      </c>
      <c r="E30" s="35">
        <v>1.8199999999999985</v>
      </c>
      <c r="F30" s="38"/>
      <c r="G30" s="35">
        <v>3.3123999999999945</v>
      </c>
      <c r="H30" s="38"/>
      <c r="I30" s="2"/>
      <c r="J30" s="2">
        <v>0.36804444444444384</v>
      </c>
    </row>
    <row r="31" spans="1:12" x14ac:dyDescent="0.3">
      <c r="A31" s="4"/>
      <c r="B31" s="14"/>
      <c r="C31" s="6">
        <v>6.7</v>
      </c>
      <c r="D31" s="2">
        <f t="shared" si="3"/>
        <v>11.180000000000001</v>
      </c>
      <c r="E31" s="35">
        <v>-4.4800000000000013</v>
      </c>
      <c r="F31" s="38"/>
      <c r="G31" s="35">
        <v>20.07040000000001</v>
      </c>
      <c r="H31" s="38"/>
      <c r="I31" s="2"/>
      <c r="J31" s="2">
        <v>2.2300444444444456</v>
      </c>
    </row>
    <row r="32" spans="1:12" x14ac:dyDescent="0.3">
      <c r="A32" s="4"/>
      <c r="B32" s="14"/>
      <c r="C32" s="6">
        <v>9.6999999999999993</v>
      </c>
      <c r="D32" s="2">
        <f t="shared" si="3"/>
        <v>11.180000000000001</v>
      </c>
      <c r="E32" s="35">
        <v>-1.4800000000000022</v>
      </c>
      <c r="F32" s="38"/>
      <c r="G32" s="35">
        <v>2.1904000000000066</v>
      </c>
      <c r="H32" s="38"/>
      <c r="I32" s="2"/>
      <c r="J32" s="2">
        <v>0.2433777777777785</v>
      </c>
    </row>
    <row r="33" spans="1:10" x14ac:dyDescent="0.3">
      <c r="A33" s="4"/>
      <c r="B33" s="14"/>
      <c r="C33" s="6">
        <v>10.9</v>
      </c>
      <c r="D33" s="2">
        <f t="shared" si="3"/>
        <v>11.180000000000001</v>
      </c>
      <c r="E33" s="35">
        <v>-0.28000000000000114</v>
      </c>
      <c r="F33" s="38"/>
      <c r="G33" s="35">
        <v>7.8400000000000636E-2</v>
      </c>
      <c r="H33" s="38"/>
      <c r="I33" s="2"/>
      <c r="J33" s="2">
        <v>8.7111111111111816E-3</v>
      </c>
    </row>
    <row r="34" spans="1:10" x14ac:dyDescent="0.3">
      <c r="A34" s="4"/>
      <c r="B34" s="14"/>
      <c r="C34" s="6">
        <v>13.3</v>
      </c>
      <c r="D34" s="2">
        <f t="shared" si="3"/>
        <v>11.180000000000001</v>
      </c>
      <c r="E34" s="35">
        <v>2.1199999999999992</v>
      </c>
      <c r="F34" s="38"/>
      <c r="G34" s="35">
        <v>4.4943999999999971</v>
      </c>
      <c r="H34" s="38"/>
      <c r="I34" s="2"/>
      <c r="J34" s="2">
        <v>0.49937777777777748</v>
      </c>
    </row>
    <row r="35" spans="1:10" x14ac:dyDescent="0.3">
      <c r="A35" s="4"/>
      <c r="B35" s="14"/>
      <c r="C35" s="6">
        <v>10.5</v>
      </c>
      <c r="D35" s="2">
        <f t="shared" si="3"/>
        <v>11.180000000000001</v>
      </c>
      <c r="E35" s="35">
        <v>-0.68000000000000149</v>
      </c>
      <c r="F35" s="38"/>
      <c r="G35" s="35">
        <v>0.46240000000000203</v>
      </c>
      <c r="H35" s="38"/>
      <c r="I35" s="2"/>
      <c r="J35" s="2">
        <v>5.1377777777778001E-2</v>
      </c>
    </row>
    <row r="36" spans="1:10" s="11" customFormat="1" ht="15" thickBot="1" x14ac:dyDescent="0.35">
      <c r="A36" s="26"/>
      <c r="C36" s="27"/>
    </row>
    <row r="37" spans="1:10" s="3" customFormat="1" x14ac:dyDescent="0.3">
      <c r="A37" s="12"/>
    </row>
    <row r="38" spans="1:10" x14ac:dyDescent="0.3">
      <c r="A38" s="50" t="s">
        <v>34</v>
      </c>
      <c r="B38" s="51"/>
      <c r="F38" s="13" t="s">
        <v>131</v>
      </c>
      <c r="J38" s="1" t="s">
        <v>147</v>
      </c>
    </row>
    <row r="39" spans="1:10" x14ac:dyDescent="0.3">
      <c r="A39" s="4"/>
      <c r="H39" s="52" t="s">
        <v>37</v>
      </c>
      <c r="I39" s="52"/>
    </row>
    <row r="40" spans="1:10" x14ac:dyDescent="0.3">
      <c r="A40" s="23" t="s">
        <v>35</v>
      </c>
      <c r="E40" s="9" t="s">
        <v>36</v>
      </c>
      <c r="H40" s="15" t="b">
        <v>1</v>
      </c>
      <c r="I40" s="15" t="b">
        <v>0</v>
      </c>
    </row>
    <row r="41" spans="1:10" ht="25.8" x14ac:dyDescent="0.3">
      <c r="A41" s="44" t="s">
        <v>148</v>
      </c>
      <c r="H41" s="22">
        <v>1</v>
      </c>
      <c r="I41" s="22">
        <v>0</v>
      </c>
    </row>
    <row r="42" spans="1:10" x14ac:dyDescent="0.3">
      <c r="A42" s="4"/>
      <c r="H42" s="42" t="s">
        <v>46</v>
      </c>
    </row>
    <row r="43" spans="1:10" x14ac:dyDescent="0.3">
      <c r="A43" s="18" t="s">
        <v>39</v>
      </c>
      <c r="B43" s="2">
        <f>IF(4&gt;3,1,0)</f>
        <v>1</v>
      </c>
      <c r="C43" s="9" t="s">
        <v>38</v>
      </c>
    </row>
    <row r="44" spans="1:10" x14ac:dyDescent="0.3">
      <c r="A44" s="4"/>
      <c r="B44" s="2">
        <f>IF(1,1,0)</f>
        <v>1</v>
      </c>
      <c r="C44" s="9" t="s">
        <v>137</v>
      </c>
    </row>
    <row r="45" spans="1:10" x14ac:dyDescent="0.3">
      <c r="A45" s="4"/>
      <c r="B45" s="2"/>
      <c r="C45" s="9" t="s">
        <v>138</v>
      </c>
    </row>
    <row r="46" spans="1:10" x14ac:dyDescent="0.3">
      <c r="A46" s="4"/>
      <c r="B46" s="2"/>
      <c r="C46" s="9" t="s">
        <v>139</v>
      </c>
    </row>
    <row r="47" spans="1:10" x14ac:dyDescent="0.3">
      <c r="A47" s="4"/>
      <c r="B47" s="2"/>
      <c r="C47" s="9" t="s">
        <v>140</v>
      </c>
    </row>
    <row r="48" spans="1:10" x14ac:dyDescent="0.3">
      <c r="A48" s="4"/>
      <c r="B48" s="2"/>
      <c r="C48" s="9" t="s">
        <v>141</v>
      </c>
    </row>
    <row r="49" spans="1:14" x14ac:dyDescent="0.3">
      <c r="A49" s="4"/>
      <c r="C49" s="9"/>
    </row>
    <row r="50" spans="1:14" x14ac:dyDescent="0.3">
      <c r="A50" s="4"/>
      <c r="B50" s="9" t="s">
        <v>63</v>
      </c>
      <c r="C50" s="9"/>
      <c r="G50" s="9"/>
    </row>
    <row r="51" spans="1:14" x14ac:dyDescent="0.3">
      <c r="A51" s="4"/>
      <c r="C51" s="9"/>
    </row>
    <row r="52" spans="1:14" x14ac:dyDescent="0.3">
      <c r="A52" s="4"/>
      <c r="B52" s="15" t="s">
        <v>40</v>
      </c>
      <c r="C52" s="15" t="s">
        <v>41</v>
      </c>
      <c r="D52" s="28" t="s">
        <v>42</v>
      </c>
      <c r="E52" s="29" t="s">
        <v>43</v>
      </c>
      <c r="F52" s="1" t="s">
        <v>29</v>
      </c>
      <c r="H52" s="15" t="s">
        <v>40</v>
      </c>
      <c r="I52" s="15" t="s">
        <v>41</v>
      </c>
      <c r="J52" s="28" t="s">
        <v>44</v>
      </c>
      <c r="K52" s="29" t="s">
        <v>45</v>
      </c>
      <c r="L52" s="1" t="s">
        <v>29</v>
      </c>
    </row>
    <row r="53" spans="1:14" x14ac:dyDescent="0.3">
      <c r="A53" s="4"/>
      <c r="B53" s="6">
        <v>0</v>
      </c>
      <c r="C53" s="6">
        <v>0</v>
      </c>
      <c r="D53" s="2" t="b">
        <f>+AND(B53:C53)</f>
        <v>0</v>
      </c>
      <c r="E53" s="2">
        <f>B53*C53</f>
        <v>0</v>
      </c>
      <c r="F53" s="1" t="b">
        <f>AND(E53:E56)</f>
        <v>0</v>
      </c>
      <c r="H53" s="6">
        <v>0</v>
      </c>
      <c r="I53" s="6">
        <v>0</v>
      </c>
      <c r="J53" s="2" t="b">
        <f>OR(H53:I53)</f>
        <v>0</v>
      </c>
      <c r="K53" s="2">
        <f>SUM(H53:I53)</f>
        <v>0</v>
      </c>
    </row>
    <row r="54" spans="1:14" x14ac:dyDescent="0.3">
      <c r="A54" s="4"/>
      <c r="B54" s="6">
        <v>0</v>
      </c>
      <c r="C54" s="6"/>
      <c r="D54" s="2" t="b">
        <f t="shared" ref="D54:D56" si="4">+AND(B54:C54)</f>
        <v>0</v>
      </c>
      <c r="E54" s="2">
        <f t="shared" ref="E54:E56" si="5">B54*C54</f>
        <v>0</v>
      </c>
      <c r="H54" s="6">
        <v>0</v>
      </c>
      <c r="I54" s="6">
        <v>1</v>
      </c>
      <c r="J54" s="2" t="b">
        <f t="shared" ref="J54:J56" si="6">OR(H54:I54)</f>
        <v>1</v>
      </c>
      <c r="K54" s="2">
        <f t="shared" ref="K54:K56" si="7">SUM(H54:I54)</f>
        <v>1</v>
      </c>
    </row>
    <row r="55" spans="1:14" x14ac:dyDescent="0.3">
      <c r="A55" s="4"/>
      <c r="B55" s="6">
        <v>1</v>
      </c>
      <c r="C55" s="6"/>
      <c r="D55" s="2" t="b">
        <f t="shared" si="4"/>
        <v>1</v>
      </c>
      <c r="E55" s="2">
        <f t="shared" si="5"/>
        <v>0</v>
      </c>
      <c r="H55" s="6">
        <v>1</v>
      </c>
      <c r="I55" s="6">
        <v>0</v>
      </c>
      <c r="J55" s="2" t="b">
        <f t="shared" si="6"/>
        <v>1</v>
      </c>
      <c r="K55" s="2">
        <f t="shared" si="7"/>
        <v>1</v>
      </c>
    </row>
    <row r="56" spans="1:14" x14ac:dyDescent="0.3">
      <c r="A56" s="4"/>
      <c r="B56" s="6">
        <v>1</v>
      </c>
      <c r="C56" s="6">
        <v>1</v>
      </c>
      <c r="D56" s="2" t="b">
        <f t="shared" si="4"/>
        <v>1</v>
      </c>
      <c r="E56" s="2">
        <f t="shared" si="5"/>
        <v>1</v>
      </c>
      <c r="H56" s="6">
        <v>1</v>
      </c>
      <c r="I56" s="6">
        <v>1</v>
      </c>
      <c r="J56" s="2" t="b">
        <f t="shared" si="6"/>
        <v>1</v>
      </c>
      <c r="K56" s="2">
        <f t="shared" si="7"/>
        <v>2</v>
      </c>
    </row>
    <row r="57" spans="1:14" s="11" customFormat="1" ht="15" thickBot="1" x14ac:dyDescent="0.35">
      <c r="A57" s="10"/>
      <c r="B57" s="27" t="s">
        <v>127</v>
      </c>
      <c r="H57" s="27" t="s">
        <v>128</v>
      </c>
    </row>
    <row r="58" spans="1:14" x14ac:dyDescent="0.3">
      <c r="A58" s="14"/>
      <c r="C58" s="9"/>
    </row>
    <row r="59" spans="1:14" x14ac:dyDescent="0.3">
      <c r="A59" s="51" t="s">
        <v>60</v>
      </c>
      <c r="B59" s="51"/>
      <c r="C59" s="9"/>
    </row>
    <row r="61" spans="1:14" x14ac:dyDescent="0.3">
      <c r="A61" s="7" t="s">
        <v>91</v>
      </c>
      <c r="B61" s="7" t="s">
        <v>4</v>
      </c>
      <c r="G61" s="15" cm="1">
        <f t="array" ref="G61">SUM(IF(LEN(B62:B71)&gt;=6,1,0))</f>
        <v>5</v>
      </c>
      <c r="H61" s="9" t="s">
        <v>15</v>
      </c>
    </row>
    <row r="62" spans="1:14" x14ac:dyDescent="0.3">
      <c r="A62" s="6">
        <v>8</v>
      </c>
      <c r="B62" s="6" t="s">
        <v>14</v>
      </c>
      <c r="G62" s="15" cm="1">
        <f t="array" ref="G62">SUM(IF(LEN(B62:B71)&lt;10,1,0))</f>
        <v>8</v>
      </c>
      <c r="H62" s="9" t="s">
        <v>61</v>
      </c>
      <c r="L62" s="39"/>
      <c r="M62" s="39"/>
      <c r="N62" s="39"/>
    </row>
    <row r="63" spans="1:14" x14ac:dyDescent="0.3">
      <c r="A63" s="6">
        <v>7</v>
      </c>
      <c r="B63" s="6" t="s">
        <v>5</v>
      </c>
      <c r="G63" s="15" cm="1">
        <f t="array" ref="G63">SUM(IF((IF(LEN(B62:B71)&gt;=6,1,0)*IF(LEN(B62:B71)&lt;=10,1,0)),1,0))</f>
        <v>4</v>
      </c>
      <c r="H63" s="9" t="s">
        <v>62</v>
      </c>
      <c r="L63" s="39"/>
      <c r="M63" s="39"/>
      <c r="N63" s="39"/>
    </row>
    <row r="64" spans="1:14" x14ac:dyDescent="0.3">
      <c r="A64" s="6">
        <v>2</v>
      </c>
      <c r="B64" s="6" t="s">
        <v>6</v>
      </c>
      <c r="G64" s="15" cm="1">
        <f t="array" ref="G64">SUM(IF((IF(LEN(B62:B71)=4,1,0)+IF(LEN(B62:B71)=5,1,0)+IF(LEN(B62:B71)&gt;10,1,0)),1))</f>
        <v>6</v>
      </c>
      <c r="H64" s="9" t="s">
        <v>64</v>
      </c>
      <c r="L64" s="39"/>
      <c r="M64" s="39"/>
      <c r="N64" s="39"/>
    </row>
    <row r="65" spans="1:22" x14ac:dyDescent="0.3">
      <c r="A65" s="6">
        <v>8</v>
      </c>
      <c r="B65" s="6" t="s">
        <v>7</v>
      </c>
      <c r="G65" s="15" cm="1">
        <f t="array" ref="G65">SUM(IF(IFERROR(SEARCH("a",B62:B71),0),1,0))</f>
        <v>8</v>
      </c>
      <c r="H65" s="9" t="s">
        <v>65</v>
      </c>
      <c r="L65" s="39"/>
      <c r="M65" s="39"/>
      <c r="N65" s="39"/>
    </row>
    <row r="66" spans="1:22" x14ac:dyDescent="0.3">
      <c r="A66" s="6">
        <v>2</v>
      </c>
      <c r="B66" s="6" t="s">
        <v>8</v>
      </c>
      <c r="G66" s="15" cm="1">
        <f t="array" ref="G66">SUM(IF((IFERROR(SEARCH("a",B62:B71),0)*IF(LEN(B62:B71)&lt;7,1,0)),1,0))</f>
        <v>4</v>
      </c>
      <c r="H66" s="9" t="s">
        <v>104</v>
      </c>
      <c r="L66" s="39"/>
      <c r="M66" s="39"/>
      <c r="N66" s="39"/>
    </row>
    <row r="67" spans="1:22" x14ac:dyDescent="0.3">
      <c r="A67" s="6">
        <v>3</v>
      </c>
      <c r="B67" s="6" t="s">
        <v>9</v>
      </c>
      <c r="G67" s="15" cm="1">
        <f t="array" ref="G67">SUM(IF(IF(LEN(B62:B71)&gt;4,1,0)*(IF(LEFT(B62:B71,1)="G",1,0)+IF(RIGHT(B62:B71,1)="o",1,0)),1,0))</f>
        <v>4</v>
      </c>
      <c r="H67" s="9" t="s">
        <v>103</v>
      </c>
      <c r="L67" s="39"/>
      <c r="M67" s="39"/>
      <c r="N67" s="39"/>
    </row>
    <row r="68" spans="1:22" x14ac:dyDescent="0.3">
      <c r="A68" s="6">
        <v>7</v>
      </c>
      <c r="B68" s="6" t="s">
        <v>10</v>
      </c>
      <c r="G68" s="15" cm="1">
        <f t="array" ref="G68">AVERAGE(IF(IFERROR(SEARCH("a",B62:B71),0)*IF(MOD(A62:A71,2),0,1),A62:A71," "))</f>
        <v>5.2</v>
      </c>
      <c r="H68" s="9" t="s">
        <v>133</v>
      </c>
      <c r="L68" s="39"/>
      <c r="M68" s="39"/>
      <c r="N68" s="39"/>
    </row>
    <row r="69" spans="1:22" x14ac:dyDescent="0.3">
      <c r="A69" s="6">
        <v>6</v>
      </c>
      <c r="B69" s="6" t="s">
        <v>11</v>
      </c>
      <c r="G69" s="15" cm="1">
        <f t="array" ref="G69">SUM(IF(IFERROR(SEARCH("a",B62:B71),0)*(SQRT(A62:A71)&lt;B73),A62:A71,0))</f>
        <v>43</v>
      </c>
      <c r="H69" s="9" t="s">
        <v>134</v>
      </c>
      <c r="L69" s="39"/>
      <c r="M69" s="39"/>
      <c r="N69" s="39"/>
    </row>
    <row r="70" spans="1:22" x14ac:dyDescent="0.3">
      <c r="A70" s="6">
        <v>4</v>
      </c>
      <c r="B70" s="6" t="s">
        <v>12</v>
      </c>
      <c r="L70" s="39"/>
      <c r="M70" s="39"/>
      <c r="N70" s="39"/>
    </row>
    <row r="71" spans="1:22" x14ac:dyDescent="0.3">
      <c r="A71" s="6">
        <v>2</v>
      </c>
      <c r="B71" s="6" t="s">
        <v>13</v>
      </c>
      <c r="L71" s="39"/>
      <c r="M71" s="39"/>
      <c r="N71" s="39"/>
    </row>
    <row r="72" spans="1:22" x14ac:dyDescent="0.3">
      <c r="D72" s="9"/>
      <c r="J72" s="13"/>
      <c r="K72" s="13"/>
      <c r="L72" s="39"/>
      <c r="M72" s="39"/>
      <c r="N72" s="39"/>
      <c r="O72" s="14"/>
      <c r="P72" s="14" t="s">
        <v>16</v>
      </c>
      <c r="Q72" s="14"/>
      <c r="R72" s="13"/>
      <c r="S72" s="13"/>
      <c r="T72" s="13"/>
      <c r="U72" s="13"/>
      <c r="V72" s="13"/>
    </row>
    <row r="73" spans="1:22" x14ac:dyDescent="0.3">
      <c r="A73" s="7" t="s">
        <v>132</v>
      </c>
      <c r="B73" s="6">
        <v>4</v>
      </c>
      <c r="J73" s="13"/>
      <c r="K73" s="13"/>
      <c r="L73" s="39"/>
      <c r="M73" s="39"/>
      <c r="N73" s="39"/>
      <c r="O73" s="14"/>
      <c r="P73" s="14" t="s">
        <v>17</v>
      </c>
      <c r="Q73" s="14"/>
      <c r="R73" s="13"/>
      <c r="S73" s="13"/>
      <c r="T73" s="13"/>
      <c r="U73" s="13"/>
      <c r="V73" s="13"/>
    </row>
    <row r="74" spans="1:22" x14ac:dyDescent="0.3">
      <c r="J74" s="13"/>
      <c r="K74" s="13"/>
      <c r="L74" s="13"/>
      <c r="M74" s="13"/>
      <c r="N74" s="13"/>
      <c r="O74" s="14"/>
      <c r="P74" s="14" t="s">
        <v>18</v>
      </c>
      <c r="Q74" s="14"/>
      <c r="R74" s="13"/>
      <c r="S74" s="13"/>
      <c r="T74" s="13"/>
      <c r="U74" s="13"/>
      <c r="V74" s="13"/>
    </row>
    <row r="75" spans="1:22" x14ac:dyDescent="0.3">
      <c r="A75" s="1">
        <f>SUM(A62:A63,A65:A69,A71)/8</f>
        <v>5.375</v>
      </c>
      <c r="J75" s="13"/>
      <c r="K75" s="13"/>
      <c r="L75" s="13"/>
      <c r="M75" s="13"/>
      <c r="N75" s="13"/>
      <c r="O75" s="14"/>
      <c r="P75" s="14"/>
      <c r="Q75" s="14"/>
      <c r="R75" s="13"/>
      <c r="S75" s="13"/>
      <c r="T75" s="13"/>
      <c r="U75" s="13"/>
      <c r="V75" s="13"/>
    </row>
    <row r="76" spans="1:22" x14ac:dyDescent="0.3">
      <c r="J76" s="13"/>
      <c r="K76" s="13"/>
      <c r="L76" s="13"/>
      <c r="M76" s="13"/>
      <c r="N76" s="13"/>
      <c r="O76" s="14"/>
      <c r="P76" s="14"/>
      <c r="Q76" s="14"/>
      <c r="R76" s="13"/>
      <c r="S76" s="13"/>
      <c r="T76" s="13"/>
      <c r="U76" s="13"/>
      <c r="V76" s="13"/>
    </row>
    <row r="77" spans="1:22" x14ac:dyDescent="0.3">
      <c r="J77" s="13"/>
      <c r="K77" s="13"/>
      <c r="L77" s="13"/>
      <c r="M77" s="13"/>
      <c r="N77" s="13"/>
      <c r="O77" s="14"/>
      <c r="P77" s="14"/>
      <c r="Q77" s="14"/>
      <c r="R77" s="13"/>
      <c r="S77" s="13"/>
      <c r="T77" s="13"/>
      <c r="U77" s="13"/>
      <c r="V77" s="13"/>
    </row>
    <row r="78" spans="1:22" x14ac:dyDescent="0.3">
      <c r="O78" s="14"/>
      <c r="P78" s="14"/>
      <c r="Q78" s="14"/>
    </row>
  </sheetData>
  <mergeCells count="11">
    <mergeCell ref="A38:B38"/>
    <mergeCell ref="H39:I39"/>
    <mergeCell ref="A59:B59"/>
    <mergeCell ref="J18:L20"/>
    <mergeCell ref="A23:B23"/>
    <mergeCell ref="E23:F23"/>
    <mergeCell ref="G23:H23"/>
    <mergeCell ref="E24:F24"/>
    <mergeCell ref="G24:H24"/>
    <mergeCell ref="E25:F25"/>
    <mergeCell ref="G25:H25"/>
  </mergeCells>
  <conditionalFormatting sqref="G8:H8">
    <cfRule type="duplicateValues" dxfId="1" priority="2"/>
  </conditionalFormatting>
  <conditionalFormatting sqref="H13:I13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9"/>
  <sheetViews>
    <sheetView tabSelected="1" zoomScale="157" zoomScaleNormal="100" workbookViewId="0">
      <selection activeCell="I81" sqref="I81"/>
    </sheetView>
  </sheetViews>
  <sheetFormatPr baseColWidth="10" defaultColWidth="11.44140625" defaultRowHeight="14.4" x14ac:dyDescent="0.3"/>
  <cols>
    <col min="1" max="1" width="15.6640625" style="1" bestFit="1" customWidth="1"/>
    <col min="2" max="2" width="12.109375" style="1" customWidth="1"/>
    <col min="3" max="3" width="18.44140625" style="1" bestFit="1" customWidth="1"/>
    <col min="4" max="4" width="18.44140625" style="1" customWidth="1"/>
    <col min="5" max="5" width="69.44140625" style="1" customWidth="1"/>
    <col min="6" max="6" width="17.33203125" style="1" bestFit="1" customWidth="1"/>
    <col min="7" max="7" width="11.88671875" style="1" bestFit="1" customWidth="1"/>
    <col min="8" max="8" width="13.33203125" style="1" customWidth="1"/>
    <col min="9" max="9" width="15.5546875" style="1" bestFit="1" customWidth="1"/>
    <col min="10" max="10" width="11.88671875" style="1" bestFit="1" customWidth="1"/>
    <col min="11" max="16384" width="11.44140625" style="1"/>
  </cols>
  <sheetData>
    <row r="1" spans="1:11" x14ac:dyDescent="0.3">
      <c r="A1" s="5" t="s">
        <v>70</v>
      </c>
      <c r="G1" s="6" t="s">
        <v>106</v>
      </c>
      <c r="H1" s="6">
        <v>10</v>
      </c>
      <c r="I1" s="2" cm="1">
        <f t="array" ref="I1:I10">ROW(A1:A10)</f>
        <v>1</v>
      </c>
      <c r="J1" s="9" cm="1">
        <f t="array" aca="1" ref="J1:J10" ca="1">ROW(INDIRECT("a1:a10"))</f>
        <v>1</v>
      </c>
      <c r="K1" s="1" cm="1">
        <f t="array" aca="1" ref="K1:K10" ca="1">ROW(INDIRECT("a1:a"&amp;H1))</f>
        <v>1</v>
      </c>
    </row>
    <row r="2" spans="1:11" x14ac:dyDescent="0.3">
      <c r="I2" s="2">
        <v>2</v>
      </c>
      <c r="J2" s="1">
        <f ca="1"/>
        <v>2</v>
      </c>
      <c r="K2" s="1">
        <f ca="1"/>
        <v>2</v>
      </c>
    </row>
    <row r="3" spans="1:11" x14ac:dyDescent="0.3">
      <c r="A3" s="18" t="s">
        <v>71</v>
      </c>
      <c r="B3" s="9" t="s">
        <v>72</v>
      </c>
      <c r="I3" s="2">
        <v>3</v>
      </c>
      <c r="J3" s="1">
        <f ca="1"/>
        <v>3</v>
      </c>
      <c r="K3" s="1">
        <f ca="1"/>
        <v>3</v>
      </c>
    </row>
    <row r="4" spans="1:11" x14ac:dyDescent="0.3">
      <c r="A4" s="18" t="s">
        <v>73</v>
      </c>
      <c r="B4" s="9" t="s">
        <v>74</v>
      </c>
      <c r="I4" s="2">
        <v>4</v>
      </c>
      <c r="J4" s="1">
        <f ca="1"/>
        <v>4</v>
      </c>
      <c r="K4" s="1">
        <f ca="1"/>
        <v>4</v>
      </c>
    </row>
    <row r="5" spans="1:11" x14ac:dyDescent="0.3">
      <c r="G5" s="1" t="s">
        <v>149</v>
      </c>
      <c r="I5" s="2">
        <v>5</v>
      </c>
      <c r="J5" s="1">
        <f ca="1"/>
        <v>5</v>
      </c>
      <c r="K5" s="1">
        <f ca="1"/>
        <v>5</v>
      </c>
    </row>
    <row r="6" spans="1:11" x14ac:dyDescent="0.3">
      <c r="A6" s="2"/>
      <c r="B6" s="9" t="s">
        <v>75</v>
      </c>
      <c r="G6" s="1" cm="1">
        <f t="array" aca="1" ref="G6:G11" ca="1">ROW(INDIRECT("a1:a"&amp;A10))</f>
        <v>1</v>
      </c>
      <c r="I6" s="2">
        <v>6</v>
      </c>
      <c r="J6" s="1">
        <f ca="1"/>
        <v>6</v>
      </c>
      <c r="K6" s="1">
        <f ca="1"/>
        <v>6</v>
      </c>
    </row>
    <row r="7" spans="1:11" x14ac:dyDescent="0.3">
      <c r="A7" s="17"/>
      <c r="B7" s="9" t="s">
        <v>76</v>
      </c>
      <c r="G7" s="1">
        <f ca="1"/>
        <v>2</v>
      </c>
      <c r="I7" s="2">
        <v>7</v>
      </c>
      <c r="J7" s="1">
        <f ca="1"/>
        <v>7</v>
      </c>
      <c r="K7" s="1">
        <f ca="1"/>
        <v>7</v>
      </c>
    </row>
    <row r="8" spans="1:11" x14ac:dyDescent="0.3">
      <c r="A8" s="17"/>
      <c r="G8" s="1">
        <f ca="1"/>
        <v>3</v>
      </c>
      <c r="I8" s="2">
        <v>8</v>
      </c>
      <c r="J8" s="1">
        <f ca="1"/>
        <v>8</v>
      </c>
      <c r="K8" s="1">
        <f ca="1"/>
        <v>8</v>
      </c>
    </row>
    <row r="9" spans="1:11" x14ac:dyDescent="0.3">
      <c r="G9" s="1">
        <f ca="1"/>
        <v>4</v>
      </c>
      <c r="I9" s="2">
        <v>9</v>
      </c>
      <c r="J9" s="1">
        <f ca="1"/>
        <v>9</v>
      </c>
      <c r="K9" s="1">
        <f ca="1"/>
        <v>9</v>
      </c>
    </row>
    <row r="10" spans="1:11" x14ac:dyDescent="0.3">
      <c r="A10" s="6">
        <v>6</v>
      </c>
      <c r="B10" s="9" t="s">
        <v>77</v>
      </c>
      <c r="E10" s="2" t="str" cm="1">
        <f t="array" aca="1" ref="E10:E15" ca="1">IF(MOD(A10,_xlfn.ANCHORARRAY(G6)),"Primo","No primo")</f>
        <v>No primo</v>
      </c>
      <c r="G10" s="1">
        <f ca="1"/>
        <v>5</v>
      </c>
      <c r="I10" s="2">
        <v>10</v>
      </c>
      <c r="J10" s="1">
        <f ca="1"/>
        <v>10</v>
      </c>
      <c r="K10" s="1">
        <f ca="1"/>
        <v>10</v>
      </c>
    </row>
    <row r="11" spans="1:11" x14ac:dyDescent="0.3">
      <c r="B11" s="9"/>
      <c r="E11" s="1" t="str">
        <f ca="1"/>
        <v>No primo</v>
      </c>
      <c r="G11" s="1">
        <f ca="1"/>
        <v>6</v>
      </c>
    </row>
    <row r="12" spans="1:11" x14ac:dyDescent="0.3">
      <c r="A12" s="6">
        <v>10</v>
      </c>
      <c r="B12" s="6">
        <v>12</v>
      </c>
      <c r="C12" s="9" t="s">
        <v>105</v>
      </c>
      <c r="D12" s="9"/>
      <c r="E12" s="1" t="str">
        <f ca="1"/>
        <v>No primo</v>
      </c>
      <c r="F12" s="40"/>
    </row>
    <row r="13" spans="1:11" x14ac:dyDescent="0.3">
      <c r="A13" s="46"/>
      <c r="B13" s="46"/>
      <c r="C13" s="9"/>
      <c r="D13" s="9"/>
      <c r="E13" s="1" t="str">
        <f ca="1"/>
        <v>Primo</v>
      </c>
      <c r="F13" s="47"/>
    </row>
    <row r="14" spans="1:11" x14ac:dyDescent="0.3">
      <c r="A14" s="46"/>
      <c r="B14" s="46"/>
      <c r="C14" s="9"/>
      <c r="D14" s="9"/>
      <c r="E14" s="1" t="str">
        <f ca="1"/>
        <v>Primo</v>
      </c>
      <c r="F14" s="47"/>
    </row>
    <row r="15" spans="1:11" x14ac:dyDescent="0.3">
      <c r="A15" s="46"/>
      <c r="B15" s="46"/>
      <c r="C15" s="9"/>
      <c r="D15" s="9"/>
      <c r="E15" s="1" t="str">
        <f ca="1"/>
        <v>No primo</v>
      </c>
      <c r="F15" s="47"/>
    </row>
    <row r="16" spans="1:11" ht="15" thickBot="1" x14ac:dyDescent="0.35">
      <c r="E16" s="45" t="s">
        <v>150</v>
      </c>
    </row>
    <row r="17" spans="1:11" s="3" customFormat="1" x14ac:dyDescent="0.3">
      <c r="A17" s="41" t="s">
        <v>113</v>
      </c>
      <c r="B17" s="8" t="s">
        <v>1</v>
      </c>
      <c r="K17" s="36" t="s">
        <v>129</v>
      </c>
    </row>
    <row r="18" spans="1:11" x14ac:dyDescent="0.3">
      <c r="A18" s="4">
        <v>1</v>
      </c>
      <c r="B18" s="6">
        <v>105</v>
      </c>
      <c r="C18" s="15">
        <f>SMALL($B$18:$B$32,A18)</f>
        <v>101</v>
      </c>
      <c r="D18" s="1" cm="1">
        <f t="array" ref="D18:D32">SMALL($B$18:$B$32,ROW(B18:B32)-ROW(B17))</f>
        <v>101</v>
      </c>
      <c r="E18" s="1" cm="1">
        <f t="array" aca="1" ref="E18:E32" ca="1">SMALL($B$18:$B$32,ROW(INDIRECT("a1:a"&amp;COUNT($B$18:$B$32))))</f>
        <v>101</v>
      </c>
      <c r="F18" s="18" t="s">
        <v>68</v>
      </c>
      <c r="G18" s="2">
        <f>+SMALL(B18:B32,8)</f>
        <v>104</v>
      </c>
      <c r="H18" s="9" t="s">
        <v>66</v>
      </c>
      <c r="K18" s="4"/>
    </row>
    <row r="19" spans="1:11" x14ac:dyDescent="0.3">
      <c r="A19" s="4">
        <v>2</v>
      </c>
      <c r="B19" s="6">
        <v>101</v>
      </c>
      <c r="C19" s="15">
        <f t="shared" ref="C19:C32" si="0">SMALL($B$18:$B$32,A19)</f>
        <v>101</v>
      </c>
      <c r="D19" s="1">
        <v>101</v>
      </c>
      <c r="E19" s="1">
        <f ca="1"/>
        <v>101</v>
      </c>
      <c r="F19" s="18" t="s">
        <v>68</v>
      </c>
      <c r="G19" s="2">
        <f>+SMALL(B18:B32,6)</f>
        <v>103</v>
      </c>
      <c r="H19" s="9" t="s">
        <v>67</v>
      </c>
      <c r="K19" s="4"/>
    </row>
    <row r="20" spans="1:11" x14ac:dyDescent="0.3">
      <c r="A20" s="4">
        <v>3</v>
      </c>
      <c r="B20" s="6">
        <v>103</v>
      </c>
      <c r="C20" s="15">
        <f t="shared" si="0"/>
        <v>101</v>
      </c>
      <c r="D20" s="1">
        <v>101</v>
      </c>
      <c r="E20" s="1">
        <f ca="1"/>
        <v>101</v>
      </c>
      <c r="K20" s="4"/>
    </row>
    <row r="21" spans="1:11" x14ac:dyDescent="0.3">
      <c r="A21" s="4">
        <v>4</v>
      </c>
      <c r="B21" s="6">
        <v>101</v>
      </c>
      <c r="C21" s="15">
        <f t="shared" si="0"/>
        <v>102</v>
      </c>
      <c r="D21" s="1">
        <v>102</v>
      </c>
      <c r="E21" s="1">
        <f ca="1"/>
        <v>102</v>
      </c>
      <c r="F21" s="18" t="s">
        <v>69</v>
      </c>
      <c r="G21" s="2">
        <f>LARGE(B18:B32,3)</f>
        <v>107</v>
      </c>
      <c r="H21" s="9" t="s">
        <v>2</v>
      </c>
      <c r="K21" s="4"/>
    </row>
    <row r="22" spans="1:11" x14ac:dyDescent="0.3">
      <c r="A22" s="4">
        <v>5</v>
      </c>
      <c r="B22" s="6">
        <v>107</v>
      </c>
      <c r="C22" s="15">
        <f t="shared" si="0"/>
        <v>103</v>
      </c>
      <c r="D22" s="1">
        <v>103</v>
      </c>
      <c r="E22" s="1">
        <f ca="1"/>
        <v>103</v>
      </c>
      <c r="F22" s="18" t="s">
        <v>69</v>
      </c>
      <c r="G22" s="2">
        <f>LARGE(B18:B32,5)</f>
        <v>105</v>
      </c>
      <c r="H22" s="9" t="s">
        <v>3</v>
      </c>
      <c r="K22" s="4"/>
    </row>
    <row r="23" spans="1:11" x14ac:dyDescent="0.3">
      <c r="A23" s="4">
        <v>6</v>
      </c>
      <c r="B23" s="6">
        <v>107</v>
      </c>
      <c r="C23" s="15">
        <f t="shared" si="0"/>
        <v>103</v>
      </c>
      <c r="D23" s="1">
        <v>103</v>
      </c>
      <c r="E23" s="1">
        <f ca="1"/>
        <v>103</v>
      </c>
      <c r="K23" s="4"/>
    </row>
    <row r="24" spans="1:11" x14ac:dyDescent="0.3">
      <c r="A24" s="4">
        <v>7</v>
      </c>
      <c r="B24" s="6">
        <v>108</v>
      </c>
      <c r="C24" s="15">
        <f t="shared" si="0"/>
        <v>104</v>
      </c>
      <c r="D24" s="1">
        <v>104</v>
      </c>
      <c r="E24" s="1">
        <f ca="1"/>
        <v>104</v>
      </c>
      <c r="K24" s="4"/>
    </row>
    <row r="25" spans="1:11" x14ac:dyDescent="0.3">
      <c r="A25" s="4">
        <v>8</v>
      </c>
      <c r="B25" s="6">
        <v>102</v>
      </c>
      <c r="C25" s="15">
        <f t="shared" si="0"/>
        <v>104</v>
      </c>
      <c r="D25" s="1">
        <v>104</v>
      </c>
      <c r="E25" s="1">
        <f ca="1"/>
        <v>104</v>
      </c>
      <c r="K25" s="4"/>
    </row>
    <row r="26" spans="1:11" x14ac:dyDescent="0.3">
      <c r="A26" s="4">
        <v>9</v>
      </c>
      <c r="B26" s="6">
        <v>104</v>
      </c>
      <c r="C26" s="15">
        <f t="shared" si="0"/>
        <v>105</v>
      </c>
      <c r="D26" s="1">
        <v>105</v>
      </c>
      <c r="E26" s="1">
        <f ca="1"/>
        <v>105</v>
      </c>
      <c r="K26" s="4"/>
    </row>
    <row r="27" spans="1:11" x14ac:dyDescent="0.3">
      <c r="A27" s="4">
        <v>10</v>
      </c>
      <c r="B27" s="6">
        <v>101</v>
      </c>
      <c r="C27" s="15">
        <f t="shared" si="0"/>
        <v>105</v>
      </c>
      <c r="D27" s="1">
        <v>105</v>
      </c>
      <c r="E27" s="1">
        <f ca="1"/>
        <v>105</v>
      </c>
      <c r="K27" s="4"/>
    </row>
    <row r="28" spans="1:11" x14ac:dyDescent="0.3">
      <c r="A28" s="4">
        <v>11</v>
      </c>
      <c r="B28" s="6">
        <v>103</v>
      </c>
      <c r="C28" s="15">
        <f t="shared" si="0"/>
        <v>105</v>
      </c>
      <c r="D28" s="1">
        <v>105</v>
      </c>
      <c r="E28" s="1">
        <f ca="1"/>
        <v>105</v>
      </c>
      <c r="K28" s="4"/>
    </row>
    <row r="29" spans="1:11" x14ac:dyDescent="0.3">
      <c r="A29" s="4">
        <v>12</v>
      </c>
      <c r="B29" s="6">
        <v>105</v>
      </c>
      <c r="C29" s="15">
        <f t="shared" si="0"/>
        <v>107</v>
      </c>
      <c r="D29" s="1">
        <v>107</v>
      </c>
      <c r="E29" s="1">
        <f ca="1"/>
        <v>107</v>
      </c>
      <c r="K29" s="4"/>
    </row>
    <row r="30" spans="1:11" x14ac:dyDescent="0.3">
      <c r="A30" s="4">
        <v>13</v>
      </c>
      <c r="B30" s="6">
        <v>104</v>
      </c>
      <c r="C30" s="15">
        <f t="shared" si="0"/>
        <v>107</v>
      </c>
      <c r="D30" s="1">
        <v>107</v>
      </c>
      <c r="E30" s="1">
        <f ca="1"/>
        <v>107</v>
      </c>
      <c r="K30" s="4"/>
    </row>
    <row r="31" spans="1:11" x14ac:dyDescent="0.3">
      <c r="A31" s="4">
        <v>14</v>
      </c>
      <c r="B31" s="6">
        <v>105</v>
      </c>
      <c r="C31" s="15">
        <f t="shared" si="0"/>
        <v>107</v>
      </c>
      <c r="D31" s="1">
        <v>107</v>
      </c>
      <c r="E31" s="1">
        <f ca="1"/>
        <v>107</v>
      </c>
      <c r="K31" s="4"/>
    </row>
    <row r="32" spans="1:11" x14ac:dyDescent="0.3">
      <c r="A32" s="4">
        <v>15</v>
      </c>
      <c r="B32" s="6">
        <v>107</v>
      </c>
      <c r="C32" s="15">
        <f t="shared" si="0"/>
        <v>108</v>
      </c>
      <c r="D32" s="1">
        <v>108</v>
      </c>
      <c r="E32" s="1">
        <f ca="1"/>
        <v>108</v>
      </c>
      <c r="K32" s="4"/>
    </row>
    <row r="33" spans="1:13" s="11" customFormat="1" ht="15" thickBot="1" x14ac:dyDescent="0.35">
      <c r="A33" s="10"/>
    </row>
    <row r="34" spans="1:13" s="3" customFormat="1" x14ac:dyDescent="0.3">
      <c r="A34" s="51" t="s">
        <v>90</v>
      </c>
      <c r="B34" s="51"/>
      <c r="C34" s="51"/>
      <c r="D34" s="5"/>
    </row>
    <row r="36" spans="1:13" x14ac:dyDescent="0.3">
      <c r="A36" s="43" t="s">
        <v>135</v>
      </c>
      <c r="C36" s="9"/>
      <c r="D36" s="9"/>
    </row>
    <row r="37" spans="1:13" x14ac:dyDescent="0.3">
      <c r="A37" s="9"/>
      <c r="C37" s="9"/>
      <c r="D37" s="9"/>
    </row>
    <row r="38" spans="1:13" x14ac:dyDescent="0.3">
      <c r="B38" s="33">
        <v>5</v>
      </c>
      <c r="C38" s="33">
        <v>4</v>
      </c>
      <c r="D38" s="33"/>
      <c r="E38" s="33">
        <v>3</v>
      </c>
      <c r="F38" s="33">
        <v>2</v>
      </c>
      <c r="G38" s="33">
        <v>1</v>
      </c>
    </row>
    <row r="39" spans="1:13" x14ac:dyDescent="0.3">
      <c r="B39" s="32" t="s">
        <v>84</v>
      </c>
    </row>
    <row r="40" spans="1:13" x14ac:dyDescent="0.3">
      <c r="B40" s="1" t="s">
        <v>120</v>
      </c>
      <c r="C40" s="19" t="s">
        <v>85</v>
      </c>
      <c r="D40" s="48"/>
    </row>
    <row r="41" spans="1:13" x14ac:dyDescent="0.3">
      <c r="C41" s="1" t="s">
        <v>86</v>
      </c>
      <c r="E41" s="6"/>
    </row>
    <row r="42" spans="1:13" x14ac:dyDescent="0.3">
      <c r="C42" s="1" t="s">
        <v>118</v>
      </c>
      <c r="E42" s="19" t="s">
        <v>94</v>
      </c>
      <c r="F42" s="9" t="s">
        <v>136</v>
      </c>
    </row>
    <row r="43" spans="1:13" x14ac:dyDescent="0.3">
      <c r="E43" s="1" t="s">
        <v>86</v>
      </c>
      <c r="F43" s="19" t="s">
        <v>87</v>
      </c>
    </row>
    <row r="44" spans="1:13" x14ac:dyDescent="0.3">
      <c r="F44" s="1" t="s">
        <v>88</v>
      </c>
      <c r="G44" s="2"/>
      <c r="H44" s="9" t="s">
        <v>108</v>
      </c>
    </row>
    <row r="45" spans="1:13" x14ac:dyDescent="0.3">
      <c r="F45" s="1" t="s">
        <v>115</v>
      </c>
      <c r="G45" s="37"/>
      <c r="H45" s="9" t="s">
        <v>109</v>
      </c>
    </row>
    <row r="46" spans="1:13" x14ac:dyDescent="0.3">
      <c r="F46" s="1" t="s">
        <v>116</v>
      </c>
      <c r="G46" s="6"/>
      <c r="H46" s="9" t="s">
        <v>110</v>
      </c>
    </row>
    <row r="47" spans="1:13" x14ac:dyDescent="0.3">
      <c r="E47" s="1" t="s">
        <v>117</v>
      </c>
      <c r="F47" s="37" t="s">
        <v>89</v>
      </c>
      <c r="G47" s="9" t="s">
        <v>111</v>
      </c>
      <c r="J47" s="31"/>
      <c r="K47" s="31"/>
      <c r="L47" s="31"/>
      <c r="M47" s="31"/>
    </row>
    <row r="48" spans="1:13" x14ac:dyDescent="0.3">
      <c r="C48" s="1" t="s">
        <v>119</v>
      </c>
      <c r="E48" s="6"/>
      <c r="F48" s="9" t="s">
        <v>114</v>
      </c>
      <c r="J48" s="31"/>
      <c r="K48" s="31"/>
      <c r="L48" s="31"/>
      <c r="M48" s="31"/>
    </row>
    <row r="49" spans="1:9" x14ac:dyDescent="0.3">
      <c r="B49" s="1" t="s">
        <v>121</v>
      </c>
      <c r="C49" s="6"/>
      <c r="D49" s="46"/>
      <c r="E49" s="9" t="s">
        <v>107</v>
      </c>
    </row>
    <row r="51" spans="1:9" x14ac:dyDescent="0.3">
      <c r="A51" s="1" t="s">
        <v>112</v>
      </c>
    </row>
    <row r="53" spans="1:9" x14ac:dyDescent="0.3">
      <c r="A53" s="7" t="s">
        <v>113</v>
      </c>
      <c r="B53" s="7" t="s">
        <v>78</v>
      </c>
      <c r="C53" s="7" t="s">
        <v>91</v>
      </c>
      <c r="D53" s="49"/>
    </row>
    <row r="54" spans="1:9" x14ac:dyDescent="0.3">
      <c r="A54" s="6">
        <v>235</v>
      </c>
      <c r="B54" s="6" t="s">
        <v>79</v>
      </c>
      <c r="C54" s="6">
        <v>3</v>
      </c>
      <c r="D54" s="46"/>
    </row>
    <row r="55" spans="1:9" x14ac:dyDescent="0.3">
      <c r="A55" s="6">
        <v>762</v>
      </c>
      <c r="B55" s="6" t="s">
        <v>81</v>
      </c>
      <c r="C55" s="6">
        <v>7</v>
      </c>
      <c r="D55" s="46"/>
    </row>
    <row r="56" spans="1:9" x14ac:dyDescent="0.3">
      <c r="A56" s="6">
        <v>364</v>
      </c>
      <c r="B56" s="6" t="s">
        <v>80</v>
      </c>
      <c r="C56" s="6">
        <v>2</v>
      </c>
      <c r="D56" s="46"/>
    </row>
    <row r="57" spans="1:9" x14ac:dyDescent="0.3">
      <c r="A57" s="6">
        <v>2134</v>
      </c>
      <c r="B57" s="6" t="s">
        <v>82</v>
      </c>
      <c r="C57" s="6">
        <v>6</v>
      </c>
      <c r="D57" s="46"/>
    </row>
    <row r="58" spans="1:9" x14ac:dyDescent="0.3">
      <c r="A58" s="6">
        <v>23</v>
      </c>
      <c r="B58" s="6" t="s">
        <v>92</v>
      </c>
      <c r="C58" s="6">
        <v>1</v>
      </c>
      <c r="D58" s="46"/>
    </row>
    <row r="59" spans="1:9" x14ac:dyDescent="0.3">
      <c r="A59" s="6">
        <v>464</v>
      </c>
      <c r="B59" s="6" t="s">
        <v>93</v>
      </c>
      <c r="C59" s="6">
        <v>7</v>
      </c>
      <c r="D59" s="46"/>
    </row>
    <row r="61" spans="1:9" x14ac:dyDescent="0.3">
      <c r="B61" s="9" t="s">
        <v>95</v>
      </c>
    </row>
    <row r="62" spans="1:9" x14ac:dyDescent="0.3">
      <c r="C62" s="16" t="s">
        <v>122</v>
      </c>
      <c r="D62" s="16"/>
      <c r="E62" s="16" t="s">
        <v>123</v>
      </c>
      <c r="F62" s="16" t="s">
        <v>124</v>
      </c>
      <c r="G62" s="16" t="s">
        <v>125</v>
      </c>
      <c r="H62" s="16" t="s">
        <v>126</v>
      </c>
      <c r="I62" s="16" t="s">
        <v>78</v>
      </c>
    </row>
    <row r="63" spans="1:9" x14ac:dyDescent="0.3">
      <c r="C63" s="18" cm="1">
        <f t="array" ref="C63:C68">IF(LEN(B54:B59)&gt;4,1,0)</f>
        <v>1</v>
      </c>
      <c r="D63" s="18"/>
      <c r="E63" s="18" cm="1">
        <f t="array" ref="E63:E68">IF(_xlfn.ANCHORARRAY(C63),ROW($B$54:$B$59)-ROW(B53),"Falso")</f>
        <v>1</v>
      </c>
      <c r="F63" s="18" cm="1">
        <f t="array" ref="F63:F68">+LARGE(E63:E68,ROW($E$63:$E$68)-ROW($E$62))</f>
        <v>6</v>
      </c>
      <c r="G63" s="18" t="str" cm="1">
        <f t="array" ref="G63:G68">INDEX(B54:B59,_xlfn.ANCHORARRAY(F63))</f>
        <v>zebra</v>
      </c>
      <c r="H63" s="18" t="str" cm="1">
        <f t="array" ref="H63:H68">IFERROR(_xlfn.ANCHORARRAY(G63),"")</f>
        <v>zebra</v>
      </c>
      <c r="I63" s="2"/>
    </row>
    <row r="64" spans="1:9" x14ac:dyDescent="0.3">
      <c r="C64" s="18">
        <v>1</v>
      </c>
      <c r="D64" s="18"/>
      <c r="E64" s="18">
        <v>2</v>
      </c>
      <c r="F64" s="18">
        <v>5</v>
      </c>
      <c r="G64" s="18" t="str">
        <v>girafa</v>
      </c>
      <c r="H64" s="18" t="str">
        <v>girafa</v>
      </c>
      <c r="I64" s="2"/>
    </row>
    <row r="65" spans="2:12" x14ac:dyDescent="0.3">
      <c r="C65" s="18">
        <v>0</v>
      </c>
      <c r="D65" s="18"/>
      <c r="E65" s="18" t="str">
        <v>Falso</v>
      </c>
      <c r="F65" s="18">
        <v>4</v>
      </c>
      <c r="G65" s="18" t="str">
        <v>hipopótamo</v>
      </c>
      <c r="H65" s="18" t="str">
        <v>hipopótamo</v>
      </c>
      <c r="I65" s="2"/>
    </row>
    <row r="66" spans="2:12" x14ac:dyDescent="0.3">
      <c r="C66" s="18">
        <v>1</v>
      </c>
      <c r="D66" s="18"/>
      <c r="E66" s="18">
        <v>4</v>
      </c>
      <c r="F66" s="18">
        <v>2</v>
      </c>
      <c r="G66" s="18" t="str">
        <v>rinoceronte</v>
      </c>
      <c r="H66" s="18" t="str">
        <v>rinoceronte</v>
      </c>
      <c r="I66" s="2"/>
    </row>
    <row r="67" spans="2:12" x14ac:dyDescent="0.3">
      <c r="C67" s="18">
        <v>1</v>
      </c>
      <c r="D67" s="18"/>
      <c r="E67" s="18">
        <v>5</v>
      </c>
      <c r="F67" s="18">
        <v>1</v>
      </c>
      <c r="G67" s="18" t="str">
        <v>perro</v>
      </c>
      <c r="H67" s="18" t="str">
        <v>perro</v>
      </c>
      <c r="I67" s="2"/>
    </row>
    <row r="68" spans="2:12" x14ac:dyDescent="0.3">
      <c r="C68" s="18">
        <v>1</v>
      </c>
      <c r="D68" s="18"/>
      <c r="E68" s="18">
        <v>6</v>
      </c>
      <c r="F68" s="18" t="e">
        <v>#NUM!</v>
      </c>
      <c r="G68" s="18" t="e">
        <v>#NUM!</v>
      </c>
      <c r="H68" s="18" t="str">
        <v/>
      </c>
      <c r="I68" s="2"/>
    </row>
    <row r="70" spans="2:12" x14ac:dyDescent="0.3">
      <c r="B70" s="9" t="s">
        <v>130</v>
      </c>
    </row>
    <row r="71" spans="2:12" x14ac:dyDescent="0.3">
      <c r="C71" s="16" t="s">
        <v>122</v>
      </c>
      <c r="D71" s="16"/>
      <c r="E71" s="16" t="s">
        <v>123</v>
      </c>
      <c r="F71" s="16" t="s">
        <v>124</v>
      </c>
      <c r="G71" s="16" t="s">
        <v>125</v>
      </c>
      <c r="H71" s="16" t="s">
        <v>126</v>
      </c>
      <c r="I71" s="16" t="s">
        <v>78</v>
      </c>
      <c r="K71" s="16" t="s">
        <v>113</v>
      </c>
      <c r="L71" s="16" t="s">
        <v>78</v>
      </c>
    </row>
    <row r="72" spans="2:12" x14ac:dyDescent="0.3">
      <c r="C72" s="18" cm="1">
        <f t="array" ref="C72:C77">IF((LEN(B54:B59)&gt;4)*(C54:C59&gt;3),1,0)</f>
        <v>0</v>
      </c>
      <c r="D72" s="18"/>
      <c r="E72" s="18" t="str" cm="1">
        <f t="array" ref="E72:E77">IF(_xlfn.ANCHORARRAY(C72),ROW(B54:B59)-ROW(B53),"Falso")</f>
        <v>Falso</v>
      </c>
      <c r="F72" s="18" cm="1">
        <f t="array" ref="F72:F77">+LARGE(_xlfn.ANCHORARRAY(E72),ROW(_xlfn.ANCHORARRAY(E72))-ROW(E71))</f>
        <v>6</v>
      </c>
      <c r="G72" s="18" cm="1">
        <f t="array" ref="G72:G77">INDEX(A54:A59,_xlfn.ANCHORARRAY(F72))</f>
        <v>464</v>
      </c>
      <c r="H72" s="18" cm="1">
        <f t="array" ref="H72:H77">IFERROR(_xlfn.ANCHORARRAY(G72),"")</f>
        <v>464</v>
      </c>
      <c r="I72" s="2" t="str" cm="1">
        <f t="array" ref="I72:I74">INDEX(B54:B59,MATCH(H72:H74,A54:A59,0))</f>
        <v>zebra</v>
      </c>
      <c r="K72" s="19"/>
      <c r="L72" s="19"/>
    </row>
    <row r="73" spans="2:12" x14ac:dyDescent="0.3">
      <c r="C73" s="18">
        <v>1</v>
      </c>
      <c r="D73" s="18"/>
      <c r="E73" s="18">
        <v>2</v>
      </c>
      <c r="F73" s="18">
        <v>4</v>
      </c>
      <c r="G73" s="18">
        <v>2134</v>
      </c>
      <c r="H73" s="18">
        <v>2134</v>
      </c>
      <c r="I73" s="2" t="str">
        <v>hipopótamo</v>
      </c>
      <c r="K73" s="19"/>
      <c r="L73" s="19"/>
    </row>
    <row r="74" spans="2:12" x14ac:dyDescent="0.3">
      <c r="C74" s="18">
        <v>0</v>
      </c>
      <c r="D74" s="18"/>
      <c r="E74" s="18" t="str">
        <v>Falso</v>
      </c>
      <c r="F74" s="18">
        <v>2</v>
      </c>
      <c r="G74" s="18">
        <v>762</v>
      </c>
      <c r="H74" s="18">
        <v>762</v>
      </c>
      <c r="I74" s="2" t="str">
        <v>rinoceronte</v>
      </c>
      <c r="K74" s="19"/>
      <c r="L74" s="19"/>
    </row>
    <row r="75" spans="2:12" x14ac:dyDescent="0.3">
      <c r="C75" s="18">
        <v>1</v>
      </c>
      <c r="D75" s="18"/>
      <c r="E75" s="18">
        <v>4</v>
      </c>
      <c r="F75" s="18" t="e">
        <v>#NUM!</v>
      </c>
      <c r="G75" s="18" t="e">
        <v>#NUM!</v>
      </c>
      <c r="H75" s="18" t="str">
        <v/>
      </c>
      <c r="I75" s="2"/>
      <c r="K75" s="19"/>
      <c r="L75" s="19"/>
    </row>
    <row r="76" spans="2:12" x14ac:dyDescent="0.3">
      <c r="C76" s="18">
        <v>0</v>
      </c>
      <c r="D76" s="18"/>
      <c r="E76" s="18" t="str">
        <v>Falso</v>
      </c>
      <c r="F76" s="18" t="e">
        <v>#NUM!</v>
      </c>
      <c r="G76" s="18" t="e">
        <v>#NUM!</v>
      </c>
      <c r="H76" s="18" t="str">
        <v/>
      </c>
      <c r="I76" s="2"/>
      <c r="K76" s="19"/>
      <c r="L76" s="19"/>
    </row>
    <row r="77" spans="2:12" x14ac:dyDescent="0.3">
      <c r="C77" s="18">
        <v>1</v>
      </c>
      <c r="D77" s="18"/>
      <c r="E77" s="18">
        <v>6</v>
      </c>
      <c r="F77" s="18" t="e">
        <v>#NUM!</v>
      </c>
      <c r="G77" s="18" t="e">
        <v>#NUM!</v>
      </c>
      <c r="H77" s="18" t="str">
        <v/>
      </c>
      <c r="I77" s="2"/>
      <c r="K77" s="19"/>
      <c r="L77" s="19"/>
    </row>
    <row r="79" spans="2:12" x14ac:dyDescent="0.3">
      <c r="B79" s="1" t="s">
        <v>151</v>
      </c>
      <c r="F79" s="1">
        <f>D79*E79</f>
        <v>0</v>
      </c>
    </row>
  </sheetData>
  <autoFilter ref="A17:B17" xr:uid="{00000000-0009-0000-0000-000001000000}">
    <sortState xmlns:xlrd2="http://schemas.microsoft.com/office/spreadsheetml/2017/richdata2" ref="A18:B32">
      <sortCondition ref="A17"/>
    </sortState>
  </autoFilter>
  <mergeCells count="1">
    <mergeCell ref="A34:C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Introducción</vt:lpstr>
      <vt:lpstr>Combinaciones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Mariana Velez Rivera</cp:lastModifiedBy>
  <dcterms:created xsi:type="dcterms:W3CDTF">2020-02-02T15:19:19Z</dcterms:created>
  <dcterms:modified xsi:type="dcterms:W3CDTF">2025-10-04T15:58:29Z</dcterms:modified>
</cp:coreProperties>
</file>