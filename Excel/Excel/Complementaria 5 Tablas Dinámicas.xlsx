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uniandes-my.sharepoint.com/personal/m_velezr_uniandes_edu_co/Documents/Documentos/Universidad/Programación/Excel/SAD-20250923T212200Z-1-001/SAD/Excel/"/>
    </mc:Choice>
  </mc:AlternateContent>
  <xr:revisionPtr revIDLastSave="8" documentId="8_{ACF5CB66-4807-4E62-896B-8AD6391D33DE}" xr6:coauthVersionLast="47" xr6:coauthVersionMax="47" xr10:uidLastSave="{6085C9F9-7DB3-4D94-810A-FDFD450DECB0}"/>
  <bookViews>
    <workbookView xWindow="-108" yWindow="-108" windowWidth="23256" windowHeight="12456" tabRatio="728" firstSheet="6" activeTab="6" xr2:uid="{00000000-000D-0000-FFFF-FFFF00000000}"/>
  </bookViews>
  <sheets>
    <sheet name="Ej. 1" sheetId="3" r:id="rId1"/>
    <sheet name="Ej.2" sheetId="5" r:id="rId2"/>
    <sheet name="Ej3" sheetId="7" r:id="rId3"/>
    <sheet name="Ej 4." sheetId="8" r:id="rId4"/>
    <sheet name="Ej.5" sheetId="12" r:id="rId5"/>
    <sheet name="Transactions" sheetId="1" r:id="rId6"/>
    <sheet name="Gráficos" sheetId="2" r:id="rId7"/>
    <sheet name="Hoja7" sheetId="13" r:id="rId8"/>
  </sheets>
  <definedNames>
    <definedName name="_xlnm._FilterDatabase" localSheetId="5" hidden="1">Transactions!$A$11:$G$2093</definedName>
    <definedName name="SegmentaciónDeDatos_Años__Enviado">#N/A</definedName>
    <definedName name="SegmentaciónDeDatos_Vendedor2">#N/A</definedName>
  </definedNames>
  <calcPr calcId="191028"/>
  <pivotCaches>
    <pivotCache cacheId="2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78" i="2" l="1"/>
  <c r="J177" i="2"/>
  <c r="J176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28" i="2" l="1"/>
  <c r="F128" i="2" l="1"/>
  <c r="F124" i="2"/>
  <c r="F121" i="2"/>
  <c r="F123" i="2"/>
  <c r="F117" i="2"/>
  <c r="F118" i="2"/>
  <c r="F116" i="2"/>
  <c r="F122" i="2"/>
  <c r="F125" i="2"/>
  <c r="F120" i="2"/>
  <c r="F127" i="2"/>
  <c r="F119" i="2"/>
  <c r="F126" i="2"/>
</calcChain>
</file>

<file path=xl/sharedStrings.xml><?xml version="1.0" encoding="utf-8"?>
<sst xmlns="http://schemas.openxmlformats.org/spreadsheetml/2006/main" count="8944" uniqueCount="346">
  <si>
    <t>Alice Mutton</t>
  </si>
  <si>
    <t>Aniseed Syrup</t>
  </si>
  <si>
    <t>Boston Crab Meat</t>
  </si>
  <si>
    <t>Camembert Pierrot</t>
  </si>
  <si>
    <t>Carnarvon Tigers</t>
  </si>
  <si>
    <t>Chai</t>
  </si>
  <si>
    <t>Chang</t>
  </si>
  <si>
    <t>Chartreuse verte</t>
  </si>
  <si>
    <t>Chef Anton's Cajun Seasoning</t>
  </si>
  <si>
    <t>Chef Anton's Gumbo Mix</t>
  </si>
  <si>
    <t>Chocolade</t>
  </si>
  <si>
    <t>Côte de Blaye</t>
  </si>
  <si>
    <t>Escargots de Bourgogne</t>
  </si>
  <si>
    <t>Filo Mix</t>
  </si>
  <si>
    <t>Fløtemysost</t>
  </si>
  <si>
    <t>Geitost</t>
  </si>
  <si>
    <t>Genen Shouyu</t>
  </si>
  <si>
    <t>Gnocchi di nonna Alice</t>
  </si>
  <si>
    <t>Gorgonzola Telino</t>
  </si>
  <si>
    <t>Grandma's Boysenberry Spread</t>
  </si>
  <si>
    <t>Gravad lax</t>
  </si>
  <si>
    <t>Guaraná Fantástica</t>
  </si>
  <si>
    <t>Gudbrandsdalsost</t>
  </si>
  <si>
    <t>Gula Malacca</t>
  </si>
  <si>
    <t>Gumbär Gummibärchen</t>
  </si>
  <si>
    <t>Gustaf's Knäckebröd</t>
  </si>
  <si>
    <t>Ikura</t>
  </si>
  <si>
    <t>Inlagd Sill</t>
  </si>
  <si>
    <t>Ipoh Coffee</t>
  </si>
  <si>
    <t>Jack's New England Clam Chowder</t>
  </si>
  <si>
    <t>Konbu</t>
  </si>
  <si>
    <t>Lakkalikööri</t>
  </si>
  <si>
    <t>Laughing Lumberjack Lager</t>
  </si>
  <si>
    <t>Longlife Tofu</t>
  </si>
  <si>
    <t>Louisiana Fiery Hot Pepper Sauce</t>
  </si>
  <si>
    <t>Louisiana Hot Spiced Okra</t>
  </si>
  <si>
    <t>Manjimup Dried Apples</t>
  </si>
  <si>
    <t>Mascarpone Fabioli</t>
  </si>
  <si>
    <t>Maxilaku</t>
  </si>
  <si>
    <t>Mishi Kobe Niku</t>
  </si>
  <si>
    <t>Mozzarella di Giovanni</t>
  </si>
  <si>
    <t>Nord-Ost Matjeshering</t>
  </si>
  <si>
    <t>Northwoods Cranberry Sauce</t>
  </si>
  <si>
    <t>NuNuCa Nuß-Nougat-Creme</t>
  </si>
  <si>
    <t>Original Frankfurter grüne Soße</t>
  </si>
  <si>
    <t>Outback Lager</t>
  </si>
  <si>
    <t>Pâté chinois</t>
  </si>
  <si>
    <t>Pavlova</t>
  </si>
  <si>
    <t>Perth Pasties</t>
  </si>
  <si>
    <t>Queso Cabrales</t>
  </si>
  <si>
    <t>Queso Manchego La Pastora</t>
  </si>
  <si>
    <t>Raclette Courdavault</t>
  </si>
  <si>
    <t>Ravioli Angelo</t>
  </si>
  <si>
    <t>Rhönbräu Klosterbier</t>
  </si>
  <si>
    <t>Röd Kaviar</t>
  </si>
  <si>
    <t>Røgede sild</t>
  </si>
  <si>
    <t>Rössle Sauerkraut</t>
  </si>
  <si>
    <t>Sasquatch Ale</t>
  </si>
  <si>
    <t>Schoggi Schokolade</t>
  </si>
  <si>
    <t>Scottish Longbreads</t>
  </si>
  <si>
    <t>Singaporean Hokkien Fried Mee</t>
  </si>
  <si>
    <t>Sir Rodney's Marmalade</t>
  </si>
  <si>
    <t>Sir Rodney's Scones</t>
  </si>
  <si>
    <t>Sirop d'érable</t>
  </si>
  <si>
    <t>Spegesild</t>
  </si>
  <si>
    <t>Steeleye Stout</t>
  </si>
  <si>
    <t>Tarte au sucre</t>
  </si>
  <si>
    <t>Teatime Chocolate Biscuits</t>
  </si>
  <si>
    <t>Thüringer Rostbratwurst</t>
  </si>
  <si>
    <t>Tofu</t>
  </si>
  <si>
    <t>Tourtière</t>
  </si>
  <si>
    <t>Tunnbröd</t>
  </si>
  <si>
    <t>Uncle Bob's Organic Dried Pears</t>
  </si>
  <si>
    <t>Valkoinen suklaa</t>
  </si>
  <si>
    <t>Vegie-spread</t>
  </si>
  <si>
    <t>Wimmers gute Semmelknödel</t>
  </si>
  <si>
    <t>Zaanse koeken</t>
  </si>
  <si>
    <t>Andrew Fuller</t>
  </si>
  <si>
    <t>Anne Dodsworth</t>
  </si>
  <si>
    <t>Janet Leverling</t>
  </si>
  <si>
    <t>Laura Callahan</t>
  </si>
  <si>
    <t>Margaret Peacock</t>
  </si>
  <si>
    <t>Michael Suyama</t>
  </si>
  <si>
    <t>Nancy Davolio</t>
  </si>
  <si>
    <t>Robert King</t>
  </si>
  <si>
    <t>Steven Buchanan</t>
  </si>
  <si>
    <t>IIND 2109</t>
  </si>
  <si>
    <t xml:space="preserve">Complementaria 5: Tablas dinamicas </t>
  </si>
  <si>
    <t>Cliente</t>
  </si>
  <si>
    <t>País</t>
  </si>
  <si>
    <t>Vendedor</t>
  </si>
  <si>
    <t>Enviado</t>
  </si>
  <si>
    <t>Producto</t>
  </si>
  <si>
    <t>Precio</t>
  </si>
  <si>
    <t>Cantidad</t>
  </si>
  <si>
    <t>Wilman Kala</t>
  </si>
  <si>
    <t>Finland</t>
  </si>
  <si>
    <t>Tradição Hipermercados</t>
  </si>
  <si>
    <t>Brazil</t>
  </si>
  <si>
    <t>Hanari Carnes</t>
  </si>
  <si>
    <t>Victuailles en stock</t>
  </si>
  <si>
    <t>France</t>
  </si>
  <si>
    <t>Suprêmes délices</t>
  </si>
  <si>
    <t>Belgium</t>
  </si>
  <si>
    <t>Chop-suey Chinese</t>
  </si>
  <si>
    <t>Switzerland</t>
  </si>
  <si>
    <t>Richter Supermarkt</t>
  </si>
  <si>
    <t>Wellington Importadora</t>
  </si>
  <si>
    <t>HILARIÓN-Abastos</t>
  </si>
  <si>
    <t>Venezuela</t>
  </si>
  <si>
    <t>Ernst Handel</t>
  </si>
  <si>
    <t>Austria</t>
  </si>
  <si>
    <t>Centro comercial Moctezuma</t>
  </si>
  <si>
    <t>Mexico</t>
  </si>
  <si>
    <t>Old World Delicatessen</t>
  </si>
  <si>
    <t>USA</t>
  </si>
  <si>
    <t>Que Delícia</t>
  </si>
  <si>
    <t>Rattlesnake Canyon Grocery</t>
  </si>
  <si>
    <t>Folk och fä HB</t>
  </si>
  <si>
    <t>Sweden</t>
  </si>
  <si>
    <t>Blondel père et fils</t>
  </si>
  <si>
    <t>Wartian Herkku</t>
  </si>
  <si>
    <t>Frankenversand</t>
  </si>
  <si>
    <t>Germany</t>
  </si>
  <si>
    <t>GROSELLA-Restaurante</t>
  </si>
  <si>
    <t>White Clover Markets</t>
  </si>
  <si>
    <t>Split Rail Beer &amp; Ale</t>
  </si>
  <si>
    <t>QUICK-Stop</t>
  </si>
  <si>
    <t>Vins et alcools Chevalier</t>
  </si>
  <si>
    <t>Magazzini Alimentari Riuniti</t>
  </si>
  <si>
    <t>Italy</t>
  </si>
  <si>
    <t>Tortuga Restaurante</t>
  </si>
  <si>
    <t>Morgenstern Gesundkost</t>
  </si>
  <si>
    <t>Berglunds snabbköp</t>
  </si>
  <si>
    <t>Lehmanns Marktstand</t>
  </si>
  <si>
    <t>Romero y tomillo</t>
  </si>
  <si>
    <t>Spain</t>
  </si>
  <si>
    <t>LILA-Supermercado</t>
  </si>
  <si>
    <t>Ricardo Adocicados</t>
  </si>
  <si>
    <t>Reggiani Caseifici</t>
  </si>
  <si>
    <t>B's Beverages</t>
  </si>
  <si>
    <t>UK</t>
  </si>
  <si>
    <t>Comércio Mineiro</t>
  </si>
  <si>
    <t>Hungry Owl All-Night Grocers</t>
  </si>
  <si>
    <t>Ireland</t>
  </si>
  <si>
    <t>Die Wandernde Kuh</t>
  </si>
  <si>
    <t>Godos Cocina Típica</t>
  </si>
  <si>
    <t>Lonesome Pine Restaurant</t>
  </si>
  <si>
    <t>Ana Trujillo Emparedados y helados</t>
  </si>
  <si>
    <t>The Big Cheese</t>
  </si>
  <si>
    <t>Du monde entier</t>
  </si>
  <si>
    <t>Island Trading</t>
  </si>
  <si>
    <t>Pericles Comidas clásicas</t>
  </si>
  <si>
    <t>Königlich Essen</t>
  </si>
  <si>
    <t>Save-a-lot Markets</t>
  </si>
  <si>
    <t>Bólido Comidas preparadas</t>
  </si>
  <si>
    <t>Furia Bacalhau e Frutos do Mar</t>
  </si>
  <si>
    <t>Portugal</t>
  </si>
  <si>
    <t>Bon app'</t>
  </si>
  <si>
    <t>Mère Paillarde</t>
  </si>
  <si>
    <t>Canada</t>
  </si>
  <si>
    <t>Princesa Isabel Vinhos</t>
  </si>
  <si>
    <t>Simons bistro</t>
  </si>
  <si>
    <t>Denmark</t>
  </si>
  <si>
    <t>Familia Arquibaldo</t>
  </si>
  <si>
    <t>La maison d'Asie</t>
  </si>
  <si>
    <t>Piccolo und mehr</t>
  </si>
  <si>
    <t>Around the Horn</t>
  </si>
  <si>
    <t>Seven Seas Imports</t>
  </si>
  <si>
    <t>Drachenblut Delikatessen</t>
  </si>
  <si>
    <t>Eastern Connection</t>
  </si>
  <si>
    <t>Antonio Moreno Taquería</t>
  </si>
  <si>
    <t>Galería del gastrónomo</t>
  </si>
  <si>
    <t>Vaffeljernet</t>
  </si>
  <si>
    <t>Queen Cozinha</t>
  </si>
  <si>
    <t>Wolski  Zajazd</t>
  </si>
  <si>
    <t>Poland</t>
  </si>
  <si>
    <t>Hungry Coyote Import Store</t>
  </si>
  <si>
    <t>Santé Gourmet</t>
  </si>
  <si>
    <t>Norway</t>
  </si>
  <si>
    <t>Bottom-Dollar Markets</t>
  </si>
  <si>
    <t>LINO-Delicateses</t>
  </si>
  <si>
    <t>Ottilies Käseladen</t>
  </si>
  <si>
    <t>Folies gourmandes</t>
  </si>
  <si>
    <t>Océano Atlántico Ltda.</t>
  </si>
  <si>
    <t>Argentina</t>
  </si>
  <si>
    <t>Franchi S.p.A.</t>
  </si>
  <si>
    <t>Gourmet Lanchonetes</t>
  </si>
  <si>
    <t>Consolidated Holdings</t>
  </si>
  <si>
    <t>Toms Spezialitäten</t>
  </si>
  <si>
    <t>Rancho grande</t>
  </si>
  <si>
    <t>Lazy K Kountry Store</t>
  </si>
  <si>
    <t>Laughing Bacchus Wine Cellars</t>
  </si>
  <si>
    <t>Blauer See Delikatessen</t>
  </si>
  <si>
    <t>North/South</t>
  </si>
  <si>
    <t>Cactus Comidas para llevar</t>
  </si>
  <si>
    <t>Great Lakes Food Market</t>
  </si>
  <si>
    <t>Maison Dewey</t>
  </si>
  <si>
    <t>Trail's Head Gourmet Provisioners</t>
  </si>
  <si>
    <t>Let's Stop N Shop</t>
  </si>
  <si>
    <t>The Cracker Box</t>
  </si>
  <si>
    <t>Alfreds Futterkiste</t>
  </si>
  <si>
    <t>France restauration</t>
  </si>
  <si>
    <t>Spécialités du monde</t>
  </si>
  <si>
    <t>La corne d'abondance</t>
  </si>
  <si>
    <t>Complementaria 5: Gráficos desde Excel</t>
  </si>
  <si>
    <r>
      <t>1. Realice los gráficos que se muestran a continuación utilizando los datos de las tablas que se encuentran dentro de esta hoja.</t>
    </r>
    <r>
      <rPr>
        <b/>
        <i/>
        <sz val="11"/>
        <color theme="1"/>
        <rFont val="Calibri"/>
        <family val="2"/>
        <scheme val="minor"/>
      </rPr>
      <t xml:space="preserve"> </t>
    </r>
  </si>
  <si>
    <r>
      <t xml:space="preserve">a. </t>
    </r>
    <r>
      <rPr>
        <sz val="11"/>
        <color theme="1"/>
        <rFont val="Calibri"/>
        <family val="2"/>
        <scheme val="minor"/>
      </rPr>
      <t>gráficos de línea</t>
    </r>
  </si>
  <si>
    <t>Tabla 1</t>
  </si>
  <si>
    <t xml:space="preserve">Día 1 </t>
  </si>
  <si>
    <t>Día 2</t>
  </si>
  <si>
    <t>Día 3</t>
  </si>
  <si>
    <t>Día 4</t>
  </si>
  <si>
    <t>Día 5</t>
  </si>
  <si>
    <t>Día 6</t>
  </si>
  <si>
    <t>Línea</t>
  </si>
  <si>
    <t>Columna</t>
  </si>
  <si>
    <t xml:space="preserve"> +/-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</si>
  <si>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</si>
  <si>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</si>
  <si>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</si>
  <si>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</si>
  <si>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</si>
  <si>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</si>
  <si>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</si>
  <si>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</si>
  <si>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</si>
  <si>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</si>
  <si>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 11</t>
  </si>
  <si>
    <t>Producto 12</t>
  </si>
  <si>
    <t>Producto 13</t>
  </si>
  <si>
    <t>Producto 14</t>
  </si>
  <si>
    <t>Producto 15</t>
  </si>
  <si>
    <t>Producto 16</t>
  </si>
  <si>
    <t>Producto 17</t>
  </si>
  <si>
    <t>Producto 18</t>
  </si>
  <si>
    <t>Resultado esperado</t>
  </si>
  <si>
    <r>
      <t>b.</t>
    </r>
    <r>
      <rPr>
        <sz val="11"/>
        <color theme="1"/>
        <rFont val="Calibri"/>
        <family val="2"/>
        <scheme val="minor"/>
      </rPr>
      <t xml:space="preserve"> Gráfico de torta con sub - gráfico</t>
    </r>
  </si>
  <si>
    <t>Tabla 2</t>
  </si>
  <si>
    <t>Criterio</t>
  </si>
  <si>
    <t>Puntos FIFA 2015</t>
  </si>
  <si>
    <t>Bélgica</t>
  </si>
  <si>
    <t>Alemania</t>
  </si>
  <si>
    <t>Colombia</t>
  </si>
  <si>
    <t>Brasil</t>
  </si>
  <si>
    <t>Rumania</t>
  </si>
  <si>
    <t>Inglaterra</t>
  </si>
  <si>
    <t>Gales</t>
  </si>
  <si>
    <t>Chile</t>
  </si>
  <si>
    <r>
      <t xml:space="preserve">c. </t>
    </r>
    <r>
      <rPr>
        <sz val="11"/>
        <color theme="1"/>
        <rFont val="Calibri"/>
        <family val="2"/>
        <scheme val="minor"/>
      </rPr>
      <t>Gráfico compuesto de columnas.</t>
    </r>
  </si>
  <si>
    <t>Tabla 3</t>
  </si>
  <si>
    <t>Sucursal</t>
  </si>
  <si>
    <t>Objetivo</t>
  </si>
  <si>
    <t>Ventas 2013</t>
  </si>
  <si>
    <t>AcumVentas 2014</t>
  </si>
  <si>
    <t>Sucursal 1</t>
  </si>
  <si>
    <t>Sucursal 2</t>
  </si>
  <si>
    <t>Sucursal 3</t>
  </si>
  <si>
    <t>Sucursal 4</t>
  </si>
  <si>
    <t>Sucursal 5</t>
  </si>
  <si>
    <t>Sucursal 6</t>
  </si>
  <si>
    <t>Sucursal 7</t>
  </si>
  <si>
    <r>
      <t xml:space="preserve">d. </t>
    </r>
    <r>
      <rPr>
        <sz val="11"/>
        <color theme="1"/>
        <rFont val="Calibri"/>
        <family val="2"/>
        <scheme val="minor"/>
      </rPr>
      <t>Gráfico compuesto de línea y de columnas</t>
    </r>
  </si>
  <si>
    <t>Tabla 4</t>
  </si>
  <si>
    <t>Fecha</t>
  </si>
  <si>
    <t>Preventa</t>
  </si>
  <si>
    <t>CallCenter</t>
  </si>
  <si>
    <t>EDI</t>
  </si>
  <si>
    <t>Total</t>
  </si>
  <si>
    <t>% De Venta</t>
  </si>
  <si>
    <r>
      <t xml:space="preserve">e. </t>
    </r>
    <r>
      <rPr>
        <sz val="11"/>
        <color theme="1"/>
        <rFont val="Calibri"/>
        <family val="2"/>
        <scheme val="minor"/>
      </rPr>
      <t>Diagrama de Gantt</t>
    </r>
  </si>
  <si>
    <t>Tabla 5</t>
  </si>
  <si>
    <t>Fecha inicio</t>
  </si>
  <si>
    <t>Tiempo Req (Días)</t>
  </si>
  <si>
    <t xml:space="preserve">Tarea 1 </t>
  </si>
  <si>
    <t xml:space="preserve">Tarea 2 </t>
  </si>
  <si>
    <t>Parcial 1</t>
  </si>
  <si>
    <t>Parcial 2</t>
  </si>
  <si>
    <t>Proyecto 1</t>
  </si>
  <si>
    <t>Proyecto 2</t>
  </si>
  <si>
    <r>
      <t xml:space="preserve">f. </t>
    </r>
    <r>
      <rPr>
        <sz val="11"/>
        <color theme="1"/>
        <rFont val="Calibri"/>
        <family val="2"/>
        <scheme val="minor"/>
      </rPr>
      <t>Gráfico compuesto de línea y de columnas</t>
    </r>
  </si>
  <si>
    <t>Tabla 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</si>
  <si>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</si>
  <si>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</si>
  <si>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</si>
  <si>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</si>
  <si>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</si>
  <si>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</si>
  <si>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</si>
  <si>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</si>
  <si>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Promedio</t>
  </si>
  <si>
    <r>
      <rPr>
        <b/>
        <sz val="11"/>
        <color theme="1"/>
        <rFont val="Calibri"/>
        <family val="2"/>
        <scheme val="minor"/>
      </rPr>
      <t>g.</t>
    </r>
    <r>
      <rPr>
        <sz val="11"/>
        <color theme="1"/>
        <rFont val="Calibri"/>
        <family val="2"/>
        <scheme val="minor"/>
      </rPr>
      <t xml:space="preserve"> Gráfico con controles. Los CheckBox permitirán seleccionar a las personas que aparecen en la gráfica y el SpinButton controla la aparición de las series en el siguiente orden Ingresos, Comida, Rumba.</t>
    </r>
  </si>
  <si>
    <t>Ingresos</t>
  </si>
  <si>
    <t>Comida (Miles)</t>
  </si>
  <si>
    <t>Rumba (Miles)</t>
  </si>
  <si>
    <t>Juan</t>
  </si>
  <si>
    <t>Laura</t>
  </si>
  <si>
    <t>Pedro</t>
  </si>
  <si>
    <t>Juliana</t>
  </si>
  <si>
    <r>
      <t>h.</t>
    </r>
    <r>
      <rPr>
        <sz val="11"/>
        <color rgb="FF000000"/>
        <rFont val="Calibri"/>
        <family val="2"/>
      </rPr>
      <t xml:space="preserve"> Realice los siguientes gráficos interactivos.</t>
    </r>
  </si>
  <si>
    <t>Dias</t>
  </si>
  <si>
    <t>Porcentaje</t>
  </si>
  <si>
    <t>Soleados</t>
  </si>
  <si>
    <t>Nublados o Lluviosos</t>
  </si>
  <si>
    <t>Happiness</t>
  </si>
  <si>
    <t xml:space="preserve">Porcentaje </t>
  </si>
  <si>
    <t xml:space="preserve">Total </t>
  </si>
  <si>
    <t>Etiquetas de fila</t>
  </si>
  <si>
    <t>Total general</t>
  </si>
  <si>
    <t>Etiquetas de columna</t>
  </si>
  <si>
    <t>2010</t>
  </si>
  <si>
    <t>2011</t>
  </si>
  <si>
    <t>2012</t>
  </si>
  <si>
    <t>Suma de Cantidad</t>
  </si>
  <si>
    <t>Promedio de Cantidad</t>
  </si>
  <si>
    <t>Total 2010</t>
  </si>
  <si>
    <t>Total 2011</t>
  </si>
  <si>
    <t>Total 2012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</si>
  <si>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</si>
  <si>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</si>
  <si>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</si>
  <si>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</si>
  <si>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</si>
  <si>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</si>
  <si>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</si>
  <si>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</si>
  <si>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</si>
  <si>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</si>
  <si>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</si>
  <si>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</si>
  <si>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Grupo1</t>
  </si>
  <si>
    <t>Grupo2</t>
  </si>
  <si>
    <t>Grupo3</t>
  </si>
  <si>
    <t>Cambio Porcentual</t>
  </si>
  <si>
    <t>Años (Enviado)</t>
  </si>
  <si>
    <t>Suma de Proyección 2013</t>
  </si>
  <si>
    <t>Categoría (Eje X)</t>
  </si>
  <si>
    <t>P. 1 (Línea)</t>
  </si>
  <si>
    <t>P. 1 Prom. (Columna)</t>
  </si>
  <si>
    <t>P. 2 (Línea)</t>
  </si>
  <si>
    <t>P. 2 Prom. (Columna)</t>
  </si>
  <si>
    <t>P. 3 (Línea)</t>
  </si>
  <si>
    <t>P. 3 Prom. (Columna)</t>
  </si>
  <si>
    <t>Prom. 1</t>
  </si>
  <si>
    <t>Prom. 2</t>
  </si>
  <si>
    <t>Prom.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</si>
</sst>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(* #,##0.00_);_(* \(#,##0.00\);_(* &quot;-&quot;??_);_(@_)"/>
    <numFmt numFmtId="165" formatCode="0.0"/>
    <numFmt numFmtId="166" formatCode="dd/mm/yyyy;@"/>
    <numFmt numFmtId="167" formatCode="_(* #,##0_);_(* \(#,##0\);_(* &quot;-&quot;??_);_(@_)"/>
    <numFmt numFmtId="168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right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2" xfId="0" applyFill="1" applyBorder="1"/>
    <xf numFmtId="0" fontId="4" fillId="2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1" xfId="0" applyFill="1" applyBorder="1" applyAlignment="1">
      <alignment horizontal="left"/>
    </xf>
    <xf numFmtId="166" fontId="0" fillId="2" borderId="1" xfId="0" applyNumberFormat="1" applyFill="1" applyBorder="1" applyAlignment="1">
      <alignment horizontal="left"/>
    </xf>
    <xf numFmtId="165" fontId="0" fillId="2" borderId="1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166" fontId="0" fillId="2" borderId="9" xfId="0" applyNumberFormat="1" applyFill="1" applyBorder="1" applyAlignment="1">
      <alignment horizontal="left"/>
    </xf>
    <xf numFmtId="165" fontId="0" fillId="2" borderId="9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0" xfId="1" applyFill="1"/>
    <xf numFmtId="0" fontId="4" fillId="0" borderId="0" xfId="1"/>
    <xf numFmtId="0" fontId="2" fillId="2" borderId="0" xfId="1" applyFont="1" applyFill="1" applyAlignment="1">
      <alignment horizontal="right"/>
    </xf>
    <xf numFmtId="0" fontId="3" fillId="2" borderId="0" xfId="1" applyFont="1" applyFill="1"/>
    <xf numFmtId="0" fontId="4" fillId="2" borderId="2" xfId="1" applyFill="1" applyBorder="1"/>
    <xf numFmtId="0" fontId="4" fillId="2" borderId="2" xfId="1" applyFill="1" applyBorder="1" applyAlignment="1">
      <alignment vertical="center"/>
    </xf>
    <xf numFmtId="0" fontId="4" fillId="2" borderId="0" xfId="1" applyFill="1" applyAlignment="1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/>
    <xf numFmtId="0" fontId="4" fillId="0" borderId="0" xfId="1" applyAlignment="1">
      <alignment vertical="center"/>
    </xf>
    <xf numFmtId="0" fontId="5" fillId="0" borderId="0" xfId="1" applyFont="1"/>
    <xf numFmtId="0" fontId="1" fillId="0" borderId="0" xfId="1" applyFont="1"/>
    <xf numFmtId="0" fontId="6" fillId="4" borderId="3" xfId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/>
    </xf>
    <xf numFmtId="0" fontId="6" fillId="4" borderId="5" xfId="1" applyFont="1" applyFill="1" applyBorder="1" applyAlignment="1">
      <alignment horizontal="center"/>
    </xf>
    <xf numFmtId="0" fontId="1" fillId="4" borderId="11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6" fillId="4" borderId="6" xfId="1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4" fillId="0" borderId="11" xfId="1" applyBorder="1"/>
    <xf numFmtId="0" fontId="4" fillId="0" borderId="12" xfId="1" applyBorder="1"/>
    <xf numFmtId="0" fontId="6" fillId="4" borderId="8" xfId="1" applyFont="1" applyFill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4" fillId="0" borderId="13" xfId="1" applyBorder="1"/>
    <xf numFmtId="0" fontId="6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8" fillId="0" borderId="0" xfId="1" applyFont="1"/>
    <xf numFmtId="17" fontId="5" fillId="0" borderId="6" xfId="1" applyNumberFormat="1" applyFont="1" applyBorder="1" applyAlignment="1">
      <alignment horizontal="center"/>
    </xf>
    <xf numFmtId="167" fontId="5" fillId="0" borderId="1" xfId="2" applyNumberFormat="1" applyFont="1" applyBorder="1" applyAlignment="1">
      <alignment horizontal="center"/>
    </xf>
    <xf numFmtId="167" fontId="5" fillId="0" borderId="1" xfId="1" applyNumberFormat="1" applyFont="1" applyBorder="1" applyAlignment="1">
      <alignment horizontal="center"/>
    </xf>
    <xf numFmtId="168" fontId="5" fillId="0" borderId="7" xfId="3" applyNumberFormat="1" applyFont="1" applyBorder="1" applyAlignment="1">
      <alignment horizontal="center"/>
    </xf>
    <xf numFmtId="17" fontId="5" fillId="0" borderId="8" xfId="1" applyNumberFormat="1" applyFont="1" applyBorder="1" applyAlignment="1">
      <alignment horizontal="center"/>
    </xf>
    <xf numFmtId="167" fontId="5" fillId="0" borderId="9" xfId="2" applyNumberFormat="1" applyFont="1" applyBorder="1" applyAlignment="1">
      <alignment horizontal="center"/>
    </xf>
    <xf numFmtId="168" fontId="5" fillId="0" borderId="10" xfId="3" applyNumberFormat="1" applyFont="1" applyBorder="1" applyAlignment="1">
      <alignment horizontal="center"/>
    </xf>
    <xf numFmtId="0" fontId="5" fillId="0" borderId="15" xfId="1" applyFont="1" applyBorder="1" applyAlignment="1">
      <alignment horizontal="center"/>
    </xf>
    <xf numFmtId="168" fontId="5" fillId="0" borderId="16" xfId="3" applyNumberFormat="1" applyFont="1" applyBorder="1" applyAlignment="1">
      <alignment horizontal="center"/>
    </xf>
    <xf numFmtId="0" fontId="5" fillId="0" borderId="6" xfId="4" applyBorder="1" applyAlignment="1">
      <alignment horizontal="center"/>
    </xf>
    <xf numFmtId="14" fontId="5" fillId="0" borderId="1" xfId="4" applyNumberFormat="1" applyBorder="1" applyAlignment="1">
      <alignment horizontal="center"/>
    </xf>
    <xf numFmtId="0" fontId="5" fillId="0" borderId="7" xfId="4" applyBorder="1" applyAlignment="1">
      <alignment horizontal="center"/>
    </xf>
    <xf numFmtId="0" fontId="5" fillId="0" borderId="8" xfId="4" applyBorder="1" applyAlignment="1">
      <alignment horizontal="center"/>
    </xf>
    <xf numFmtId="14" fontId="5" fillId="0" borderId="9" xfId="4" applyNumberFormat="1" applyBorder="1" applyAlignment="1">
      <alignment horizontal="center"/>
    </xf>
    <xf numFmtId="0" fontId="5" fillId="0" borderId="10" xfId="4" applyBorder="1" applyAlignment="1">
      <alignment horizontal="center"/>
    </xf>
    <xf numFmtId="0" fontId="4" fillId="0" borderId="0" xfId="1" applyAlignment="1">
      <alignment horizontal="center"/>
    </xf>
    <xf numFmtId="0" fontId="4" fillId="0" borderId="1" xfId="1" applyBorder="1" applyAlignment="1">
      <alignment horizontal="center"/>
    </xf>
    <xf numFmtId="44" fontId="0" fillId="0" borderId="1" xfId="5" applyFont="1" applyBorder="1" applyAlignment="1">
      <alignment horizontal="center"/>
    </xf>
    <xf numFmtId="0" fontId="11" fillId="0" borderId="1" xfId="0" applyFont="1" applyBorder="1"/>
    <xf numFmtId="0" fontId="11" fillId="0" borderId="17" xfId="0" applyFont="1" applyBorder="1"/>
    <xf numFmtId="0" fontId="11" fillId="0" borderId="18" xfId="0" applyFont="1" applyBorder="1"/>
    <xf numFmtId="9" fontId="11" fillId="0" borderId="19" xfId="0" applyNumberFormat="1" applyFont="1" applyBorder="1"/>
    <xf numFmtId="0" fontId="10" fillId="0" borderId="0" xfId="0" applyFont="1"/>
    <xf numFmtId="0" fontId="11" fillId="0" borderId="0" xfId="0" applyFont="1"/>
    <xf numFmtId="0" fontId="1" fillId="2" borderId="0" xfId="1" applyFont="1" applyFill="1" applyAlignment="1">
      <alignment horizontal="left"/>
    </xf>
    <xf numFmtId="0" fontId="1" fillId="0" borderId="14" xfId="1" applyFont="1" applyBorder="1" applyAlignment="1">
      <alignment horizontal="center"/>
    </xf>
    <xf numFmtId="0" fontId="1" fillId="0" borderId="0" xfId="1" applyFont="1" applyAlignment="1">
      <alignment horizontal="left" vertical="center" wrapText="1"/>
    </xf>
    <xf numFmtId="0" fontId="1" fillId="2" borderId="0" xfId="1" applyFont="1" applyFill="1" applyAlignment="1">
      <alignment horizontal="left"/>
    </xf>
    <xf numFmtId="0" fontId="1" fillId="0" borderId="0" xfId="1" applyFont="1" applyAlignment="1">
      <alignment horizontal="center"/>
    </xf>
    <xf numFmtId="0" fontId="1" fillId="0" borderId="0" xfId="1" applyFont="1" applyAlignment="1">
      <alignment horizontal="left"/>
    </xf>
    <xf numFmtId="0" fontId="9" fillId="0" borderId="0" xfId="0" applyFont="1"/>
    <xf numFmtId="0" fontId="10" fillId="0" borderId="0" xfId="0" applyFont="1"/>
    <xf numFmtId="0" fontId="5" fillId="0" borderId="0" xfId="1" applyFont="1" applyAlignment="1">
      <alignment horizontal="left"/>
    </xf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0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6">
    <cellStyle name="Millares 2" xfId="2" xr:uid="{00000000-0005-0000-0000-000000000000}"/>
    <cellStyle name="Moneda 2" xfId="5" xr:uid="{00000000-0005-0000-0000-000001000000}"/>
    <cellStyle name="Normal" xfId="0" builtinId="0"/>
    <cellStyle name="Normal 2" xfId="1" xr:uid="{00000000-0005-0000-0000-000003000000}"/>
    <cellStyle name="Normal 2 2" xfId="4" xr:uid="{00000000-0005-0000-0000-000004000000}"/>
    <cellStyle name="Porcentaje 2" xfId="3" xr:uid="{00000000-0005-0000-0000-000005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[Complementaria 5 Tablas Dinámicas.xlsx]Ej 4.!TablaDinámica4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 4.'!$B$3</c:f>
              <c:strCache>
                <c:ptCount val="1"/>
                <c:pt idx="0">
                  <c:v>Suma de 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'Ej 4.'!$A$4:$A$233</c:f>
              <c:multiLvlStrCache>
                <c:ptCount val="193"/>
                <c:lvl>
                  <c:pt idx="0">
                    <c:v>ago</c:v>
                  </c:pt>
                  <c:pt idx="1">
                    <c:v>sep</c:v>
                  </c:pt>
                  <c:pt idx="2">
                    <c:v>oct</c:v>
                  </c:pt>
                  <c:pt idx="3">
                    <c:v>nov</c:v>
                  </c:pt>
                  <c:pt idx="4">
                    <c:v>dic</c:v>
                  </c:pt>
                  <c:pt idx="5">
                    <c:v>ene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ago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dic</c:v>
                  </c:pt>
                  <c:pt idx="16">
                    <c:v>ene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abr</c:v>
                  </c:pt>
                  <c:pt idx="20">
                    <c:v>may</c:v>
                  </c:pt>
                  <c:pt idx="21">
                    <c:v>jul</c:v>
                  </c:pt>
                  <c:pt idx="22">
                    <c:v>oct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abr</c:v>
                  </c:pt>
                  <c:pt idx="26">
                    <c:v>may</c:v>
                  </c:pt>
                  <c:pt idx="27">
                    <c:v>jun</c:v>
                  </c:pt>
                  <c:pt idx="28">
                    <c:v>jul</c:v>
                  </c:pt>
                  <c:pt idx="29">
                    <c:v>sep</c:v>
                  </c:pt>
                  <c:pt idx="30">
                    <c:v>oct</c:v>
                  </c:pt>
                  <c:pt idx="31">
                    <c:v>nov</c:v>
                  </c:pt>
                  <c:pt idx="32">
                    <c:v>dic</c:v>
                  </c:pt>
                  <c:pt idx="33">
                    <c:v>ene</c:v>
                  </c:pt>
                  <c:pt idx="34">
                    <c:v>feb</c:v>
                  </c:pt>
                  <c:pt idx="35">
                    <c:v>mar</c:v>
                  </c:pt>
                  <c:pt idx="36">
                    <c:v>abr</c:v>
                  </c:pt>
                  <c:pt idx="37">
                    <c:v>may</c:v>
                  </c:pt>
                  <c:pt idx="38">
                    <c:v>jul</c:v>
                  </c:pt>
                  <c:pt idx="39">
                    <c:v>ago</c:v>
                  </c:pt>
                  <c:pt idx="40">
                    <c:v>oct</c:v>
                  </c:pt>
                  <c:pt idx="41">
                    <c:v>nov</c:v>
                  </c:pt>
                  <c:pt idx="42">
                    <c:v>dic</c:v>
                  </c:pt>
                  <c:pt idx="43">
                    <c:v>ene</c:v>
                  </c:pt>
                  <c:pt idx="44">
                    <c:v>feb</c:v>
                  </c:pt>
                  <c:pt idx="45">
                    <c:v>mar</c:v>
                  </c:pt>
                  <c:pt idx="46">
                    <c:v>abr</c:v>
                  </c:pt>
                  <c:pt idx="47">
                    <c:v>may</c:v>
                  </c:pt>
                  <c:pt idx="48">
                    <c:v>jun</c:v>
                  </c:pt>
                  <c:pt idx="49">
                    <c:v>jul</c:v>
                  </c:pt>
                  <c:pt idx="50">
                    <c:v>ago</c:v>
                  </c:pt>
                  <c:pt idx="51">
                    <c:v>sep</c:v>
                  </c:pt>
                  <c:pt idx="52">
                    <c:v>oct</c:v>
                  </c:pt>
                  <c:pt idx="53">
                    <c:v>nov</c:v>
                  </c:pt>
                  <c:pt idx="54">
                    <c:v>dic</c:v>
                  </c:pt>
                  <c:pt idx="55">
                    <c:v>ene</c:v>
                  </c:pt>
                  <c:pt idx="56">
                    <c:v>feb</c:v>
                  </c:pt>
                  <c:pt idx="57">
                    <c:v>mar</c:v>
                  </c:pt>
                  <c:pt idx="58">
                    <c:v>abr</c:v>
                  </c:pt>
                  <c:pt idx="59">
                    <c:v>may</c:v>
                  </c:pt>
                  <c:pt idx="60">
                    <c:v>jul</c:v>
                  </c:pt>
                  <c:pt idx="61">
                    <c:v>ago</c:v>
                  </c:pt>
                  <c:pt idx="62">
                    <c:v>sep</c:v>
                  </c:pt>
                  <c:pt idx="63">
                    <c:v>oct</c:v>
                  </c:pt>
                  <c:pt idx="64">
                    <c:v>nov</c:v>
                  </c:pt>
                  <c:pt idx="65">
                    <c:v>dic</c:v>
                  </c:pt>
                  <c:pt idx="66">
                    <c:v>ene</c:v>
                  </c:pt>
                  <c:pt idx="67">
                    <c:v>feb</c:v>
                  </c:pt>
                  <c:pt idx="68">
                    <c:v>mar</c:v>
                  </c:pt>
                  <c:pt idx="69">
                    <c:v>abr</c:v>
                  </c:pt>
                  <c:pt idx="70">
                    <c:v>may</c:v>
                  </c:pt>
                  <c:pt idx="71">
                    <c:v>jun</c:v>
                  </c:pt>
                  <c:pt idx="72">
                    <c:v>jul</c:v>
                  </c:pt>
                  <c:pt idx="73">
                    <c:v>ago</c:v>
                  </c:pt>
                  <c:pt idx="74">
                    <c:v>sep</c:v>
                  </c:pt>
                  <c:pt idx="75">
                    <c:v>oct</c:v>
                  </c:pt>
                  <c:pt idx="76">
                    <c:v>nov</c:v>
                  </c:pt>
                  <c:pt idx="77">
                    <c:v>dic</c:v>
                  </c:pt>
                  <c:pt idx="78">
                    <c:v>ene</c:v>
                  </c:pt>
                  <c:pt idx="79">
                    <c:v>feb</c:v>
                  </c:pt>
                  <c:pt idx="80">
                    <c:v>mar</c:v>
                  </c:pt>
                  <c:pt idx="81">
                    <c:v>abr</c:v>
                  </c:pt>
                  <c:pt idx="82">
                    <c:v>may</c:v>
                  </c:pt>
                  <c:pt idx="83">
                    <c:v>jul</c:v>
                  </c:pt>
                  <c:pt idx="84">
                    <c:v>ago</c:v>
                  </c:pt>
                  <c:pt idx="85">
                    <c:v>sep</c:v>
                  </c:pt>
                  <c:pt idx="86">
                    <c:v>oct</c:v>
                  </c:pt>
                  <c:pt idx="87">
                    <c:v>nov</c:v>
                  </c:pt>
                  <c:pt idx="88">
                    <c:v>dic</c:v>
                  </c:pt>
                  <c:pt idx="89">
                    <c:v>ene</c:v>
                  </c:pt>
                  <c:pt idx="90">
                    <c:v>feb</c:v>
                  </c:pt>
                  <c:pt idx="91">
                    <c:v>mar</c:v>
                  </c:pt>
                  <c:pt idx="92">
                    <c:v>abr</c:v>
                  </c:pt>
                  <c:pt idx="93">
                    <c:v>may</c:v>
                  </c:pt>
                  <c:pt idx="94">
                    <c:v>jun</c:v>
                  </c:pt>
                  <c:pt idx="95">
                    <c:v>jul</c:v>
                  </c:pt>
                  <c:pt idx="96">
                    <c:v>ago</c:v>
                  </c:pt>
                  <c:pt idx="97">
                    <c:v>sep</c:v>
                  </c:pt>
                  <c:pt idx="98">
                    <c:v>oct</c:v>
                  </c:pt>
                  <c:pt idx="99">
                    <c:v>nov</c:v>
                  </c:pt>
                  <c:pt idx="100">
                    <c:v>dic</c:v>
                  </c:pt>
                  <c:pt idx="101">
                    <c:v>ene</c:v>
                  </c:pt>
                  <c:pt idx="102">
                    <c:v>feb</c:v>
                  </c:pt>
                  <c:pt idx="103">
                    <c:v>mar</c:v>
                  </c:pt>
                  <c:pt idx="104">
                    <c:v>abr</c:v>
                  </c:pt>
                  <c:pt idx="105">
                    <c:v>may</c:v>
                  </c:pt>
                  <c:pt idx="106">
                    <c:v>jul</c:v>
                  </c:pt>
                  <c:pt idx="107">
                    <c:v>ago</c:v>
                  </c:pt>
                  <c:pt idx="108">
                    <c:v>sep</c:v>
                  </c:pt>
                  <c:pt idx="109">
                    <c:v>oct</c:v>
                  </c:pt>
                  <c:pt idx="110">
                    <c:v>nov</c:v>
                  </c:pt>
                  <c:pt idx="111">
                    <c:v>dic</c:v>
                  </c:pt>
                  <c:pt idx="112">
                    <c:v>ene</c:v>
                  </c:pt>
                  <c:pt idx="113">
                    <c:v>feb</c:v>
                  </c:pt>
                  <c:pt idx="114">
                    <c:v>mar</c:v>
                  </c:pt>
                  <c:pt idx="115">
                    <c:v>abr</c:v>
                  </c:pt>
                  <c:pt idx="116">
                    <c:v>may</c:v>
                  </c:pt>
                  <c:pt idx="117">
                    <c:v>jun</c:v>
                  </c:pt>
                  <c:pt idx="118">
                    <c:v>jul</c:v>
                  </c:pt>
                  <c:pt idx="119">
                    <c:v>ago</c:v>
                  </c:pt>
                  <c:pt idx="120">
                    <c:v>sep</c:v>
                  </c:pt>
                  <c:pt idx="121">
                    <c:v>oct</c:v>
                  </c:pt>
                  <c:pt idx="122">
                    <c:v>nov</c:v>
                  </c:pt>
                  <c:pt idx="123">
                    <c:v>dic</c:v>
                  </c:pt>
                  <c:pt idx="124">
                    <c:v>ene</c:v>
                  </c:pt>
                  <c:pt idx="125">
                    <c:v>feb</c:v>
                  </c:pt>
                  <c:pt idx="126">
                    <c:v>mar</c:v>
                  </c:pt>
                  <c:pt idx="127">
                    <c:v>abr</c:v>
                  </c:pt>
                  <c:pt idx="128">
                    <c:v>jul</c:v>
                  </c:pt>
                  <c:pt idx="129">
                    <c:v>ago</c:v>
                  </c:pt>
                  <c:pt idx="130">
                    <c:v>sep</c:v>
                  </c:pt>
                  <c:pt idx="131">
                    <c:v>oct</c:v>
                  </c:pt>
                  <c:pt idx="132">
                    <c:v>nov</c:v>
                  </c:pt>
                  <c:pt idx="133">
                    <c:v>dic</c:v>
                  </c:pt>
                  <c:pt idx="134">
                    <c:v>ene</c:v>
                  </c:pt>
                  <c:pt idx="135">
                    <c:v>feb</c:v>
                  </c:pt>
                  <c:pt idx="136">
                    <c:v>mar</c:v>
                  </c:pt>
                  <c:pt idx="137">
                    <c:v>abr</c:v>
                  </c:pt>
                  <c:pt idx="138">
                    <c:v>may</c:v>
                  </c:pt>
                  <c:pt idx="139">
                    <c:v>jun</c:v>
                  </c:pt>
                  <c:pt idx="140">
                    <c:v>jul</c:v>
                  </c:pt>
                  <c:pt idx="141">
                    <c:v>ago</c:v>
                  </c:pt>
                  <c:pt idx="142">
                    <c:v>sep</c:v>
                  </c:pt>
                  <c:pt idx="143">
                    <c:v>oct</c:v>
                  </c:pt>
                  <c:pt idx="144">
                    <c:v>nov</c:v>
                  </c:pt>
                  <c:pt idx="145">
                    <c:v>dic</c:v>
                  </c:pt>
                  <c:pt idx="146">
                    <c:v>ene</c:v>
                  </c:pt>
                  <c:pt idx="147">
                    <c:v>feb</c:v>
                  </c:pt>
                  <c:pt idx="148">
                    <c:v>mar</c:v>
                  </c:pt>
                  <c:pt idx="149">
                    <c:v>abr</c:v>
                  </c:pt>
                  <c:pt idx="150">
                    <c:v>may</c:v>
                  </c:pt>
                  <c:pt idx="151">
                    <c:v>ago</c:v>
                  </c:pt>
                  <c:pt idx="152">
                    <c:v>sep</c:v>
                  </c:pt>
                  <c:pt idx="153">
                    <c:v>oct</c:v>
                  </c:pt>
                  <c:pt idx="154">
                    <c:v>nov</c:v>
                  </c:pt>
                  <c:pt idx="155">
                    <c:v>dic</c:v>
                  </c:pt>
                  <c:pt idx="156">
                    <c:v>ene</c:v>
                  </c:pt>
                  <c:pt idx="157">
                    <c:v>feb</c:v>
                  </c:pt>
                  <c:pt idx="158">
                    <c:v>mar</c:v>
                  </c:pt>
                  <c:pt idx="159">
                    <c:v>abr</c:v>
                  </c:pt>
                  <c:pt idx="160">
                    <c:v>may</c:v>
                  </c:pt>
                  <c:pt idx="161">
                    <c:v>jun</c:v>
                  </c:pt>
                  <c:pt idx="162">
                    <c:v>jul</c:v>
                  </c:pt>
                  <c:pt idx="163">
                    <c:v>ago</c:v>
                  </c:pt>
                  <c:pt idx="164">
                    <c:v>sep</c:v>
                  </c:pt>
                  <c:pt idx="165">
                    <c:v>oct</c:v>
                  </c:pt>
                  <c:pt idx="166">
                    <c:v>nov</c:v>
                  </c:pt>
                  <c:pt idx="167">
                    <c:v>dic</c:v>
                  </c:pt>
                  <c:pt idx="168">
                    <c:v>ene</c:v>
                  </c:pt>
                  <c:pt idx="169">
                    <c:v>feb</c:v>
                  </c:pt>
                  <c:pt idx="170">
                    <c:v>mar</c:v>
                  </c:pt>
                  <c:pt idx="171">
                    <c:v>abr</c:v>
                  </c:pt>
                  <c:pt idx="172">
                    <c:v>may</c:v>
                  </c:pt>
                  <c:pt idx="173">
                    <c:v>jul</c:v>
                  </c:pt>
                  <c:pt idx="174">
                    <c:v>ago</c:v>
                  </c:pt>
                  <c:pt idx="175">
                    <c:v>sep</c:v>
                  </c:pt>
                  <c:pt idx="176">
                    <c:v>oct</c:v>
                  </c:pt>
                  <c:pt idx="177">
                    <c:v>nov</c:v>
                  </c:pt>
                  <c:pt idx="178">
                    <c:v>dic</c:v>
                  </c:pt>
                  <c:pt idx="179">
                    <c:v>ene</c:v>
                  </c:pt>
                  <c:pt idx="180">
                    <c:v>mar</c:v>
                  </c:pt>
                  <c:pt idx="181">
                    <c:v>may</c:v>
                  </c:pt>
                  <c:pt idx="182">
                    <c:v>jun</c:v>
                  </c:pt>
                  <c:pt idx="183">
                    <c:v>jul</c:v>
                  </c:pt>
                  <c:pt idx="184">
                    <c:v>ago</c:v>
                  </c:pt>
                  <c:pt idx="185">
                    <c:v>sep</c:v>
                  </c:pt>
                  <c:pt idx="186">
                    <c:v>oct</c:v>
                  </c:pt>
                  <c:pt idx="187">
                    <c:v>nov</c:v>
                  </c:pt>
                  <c:pt idx="188">
                    <c:v>dic</c:v>
                  </c:pt>
                  <c:pt idx="189">
                    <c:v>ene</c:v>
                  </c:pt>
                  <c:pt idx="190">
                    <c:v>feb</c:v>
                  </c:pt>
                  <c:pt idx="191">
                    <c:v>mar</c:v>
                  </c:pt>
                  <c:pt idx="192">
                    <c:v>abr</c:v>
                  </c:pt>
                </c:lvl>
                <c:lvl>
                  <c:pt idx="0">
                    <c:v>2010</c:v>
                  </c:pt>
                  <c:pt idx="5">
                    <c:v>2011</c:v>
                  </c:pt>
                  <c:pt idx="16">
                    <c:v>2012</c:v>
                  </c:pt>
                  <c:pt idx="21">
                    <c:v>2010</c:v>
                  </c:pt>
                  <c:pt idx="24">
                    <c:v>2011</c:v>
                  </c:pt>
                  <c:pt idx="33">
                    <c:v>2012</c:v>
                  </c:pt>
                  <c:pt idx="38">
                    <c:v>2010</c:v>
                  </c:pt>
                  <c:pt idx="43">
                    <c:v>2011</c:v>
                  </c:pt>
                  <c:pt idx="55">
                    <c:v>2012</c:v>
                  </c:pt>
                  <c:pt idx="60">
                    <c:v>2010</c:v>
                  </c:pt>
                  <c:pt idx="66">
                    <c:v>2011</c:v>
                  </c:pt>
                  <c:pt idx="78">
                    <c:v>2012</c:v>
                  </c:pt>
                  <c:pt idx="83">
                    <c:v>2010</c:v>
                  </c:pt>
                  <c:pt idx="89">
                    <c:v>2011</c:v>
                  </c:pt>
                  <c:pt idx="101">
                    <c:v>2012</c:v>
                  </c:pt>
                  <c:pt idx="106">
                    <c:v>2010</c:v>
                  </c:pt>
                  <c:pt idx="112">
                    <c:v>2011</c:v>
                  </c:pt>
                  <c:pt idx="124">
                    <c:v>2012</c:v>
                  </c:pt>
                  <c:pt idx="128">
                    <c:v>2010</c:v>
                  </c:pt>
                  <c:pt idx="134">
                    <c:v>2011</c:v>
                  </c:pt>
                  <c:pt idx="146">
                    <c:v>2012</c:v>
                  </c:pt>
                  <c:pt idx="151">
                    <c:v>2010</c:v>
                  </c:pt>
                  <c:pt idx="156">
                    <c:v>2011</c:v>
                  </c:pt>
                  <c:pt idx="168">
                    <c:v>2012</c:v>
                  </c:pt>
                  <c:pt idx="173">
                    <c:v>2010</c:v>
                  </c:pt>
                  <c:pt idx="179">
                    <c:v>2011</c:v>
                  </c:pt>
                  <c:pt idx="189">
                    <c:v>2012</c:v>
                  </c:pt>
                </c:lvl>
                <c:lvl>
                  <c:pt idx="0">
                    <c:v>Andrew Fuller</c:v>
                  </c:pt>
                  <c:pt idx="21">
                    <c:v>Anne Dodsworth</c:v>
                  </c:pt>
                  <c:pt idx="38">
                    <c:v>Janet Leverling</c:v>
                  </c:pt>
                  <c:pt idx="60">
                    <c:v>Laura Callahan</c:v>
                  </c:pt>
                  <c:pt idx="83">
                    <c:v>Margaret Peacock</c:v>
                  </c:pt>
                  <c:pt idx="106">
                    <c:v>Michael Suyama</c:v>
                  </c:pt>
                  <c:pt idx="128">
                    <c:v>Nancy Davolio</c:v>
                  </c:pt>
                  <c:pt idx="151">
                    <c:v>Robert King</c:v>
                  </c:pt>
                  <c:pt idx="173">
                    <c:v>Steven Buchanan</c:v>
                  </c:pt>
                </c:lvl>
              </c:multiLvlStrCache>
            </c:multiLvlStrRef>
          </c:cat>
          <c:val>
            <c:numRef>
              <c:f>'Ej 4.'!$B$4:$B$233</c:f>
              <c:numCache>
                <c:formatCode>General</c:formatCode>
                <c:ptCount val="193"/>
                <c:pt idx="0">
                  <c:v>82</c:v>
                </c:pt>
                <c:pt idx="1">
                  <c:v>129</c:v>
                </c:pt>
                <c:pt idx="2">
                  <c:v>210</c:v>
                </c:pt>
                <c:pt idx="3">
                  <c:v>267</c:v>
                </c:pt>
                <c:pt idx="4">
                  <c:v>197</c:v>
                </c:pt>
                <c:pt idx="5">
                  <c:v>430</c:v>
                </c:pt>
                <c:pt idx="6">
                  <c:v>187</c:v>
                </c:pt>
                <c:pt idx="7">
                  <c:v>57</c:v>
                </c:pt>
                <c:pt idx="8">
                  <c:v>495</c:v>
                </c:pt>
                <c:pt idx="9">
                  <c:v>316</c:v>
                </c:pt>
                <c:pt idx="10">
                  <c:v>399</c:v>
                </c:pt>
                <c:pt idx="11">
                  <c:v>15</c:v>
                </c:pt>
                <c:pt idx="12">
                  <c:v>279</c:v>
                </c:pt>
                <c:pt idx="13">
                  <c:v>316</c:v>
                </c:pt>
                <c:pt idx="14">
                  <c:v>95</c:v>
                </c:pt>
                <c:pt idx="15">
                  <c:v>183</c:v>
                </c:pt>
                <c:pt idx="16">
                  <c:v>265</c:v>
                </c:pt>
                <c:pt idx="17">
                  <c:v>159</c:v>
                </c:pt>
                <c:pt idx="18">
                  <c:v>376</c:v>
                </c:pt>
                <c:pt idx="19">
                  <c:v>1348</c:v>
                </c:pt>
                <c:pt idx="20">
                  <c:v>33</c:v>
                </c:pt>
                <c:pt idx="21">
                  <c:v>294</c:v>
                </c:pt>
                <c:pt idx="22">
                  <c:v>256</c:v>
                </c:pt>
                <c:pt idx="23">
                  <c:v>25</c:v>
                </c:pt>
                <c:pt idx="24">
                  <c:v>74</c:v>
                </c:pt>
                <c:pt idx="25">
                  <c:v>157</c:v>
                </c:pt>
                <c:pt idx="26">
                  <c:v>40</c:v>
                </c:pt>
                <c:pt idx="27">
                  <c:v>161</c:v>
                </c:pt>
                <c:pt idx="28">
                  <c:v>4</c:v>
                </c:pt>
                <c:pt idx="29">
                  <c:v>125</c:v>
                </c:pt>
                <c:pt idx="30">
                  <c:v>66</c:v>
                </c:pt>
                <c:pt idx="31">
                  <c:v>246</c:v>
                </c:pt>
                <c:pt idx="32">
                  <c:v>1</c:v>
                </c:pt>
                <c:pt idx="33">
                  <c:v>301</c:v>
                </c:pt>
                <c:pt idx="34">
                  <c:v>294</c:v>
                </c:pt>
                <c:pt idx="35">
                  <c:v>150</c:v>
                </c:pt>
                <c:pt idx="36">
                  <c:v>383</c:v>
                </c:pt>
                <c:pt idx="37">
                  <c:v>65</c:v>
                </c:pt>
                <c:pt idx="38">
                  <c:v>182</c:v>
                </c:pt>
                <c:pt idx="39">
                  <c:v>228</c:v>
                </c:pt>
                <c:pt idx="40">
                  <c:v>226</c:v>
                </c:pt>
                <c:pt idx="41">
                  <c:v>180</c:v>
                </c:pt>
                <c:pt idx="42">
                  <c:v>124</c:v>
                </c:pt>
                <c:pt idx="43">
                  <c:v>239</c:v>
                </c:pt>
                <c:pt idx="44">
                  <c:v>621</c:v>
                </c:pt>
                <c:pt idx="45">
                  <c:v>249</c:v>
                </c:pt>
                <c:pt idx="46">
                  <c:v>161</c:v>
                </c:pt>
                <c:pt idx="47">
                  <c:v>368</c:v>
                </c:pt>
                <c:pt idx="48">
                  <c:v>586</c:v>
                </c:pt>
                <c:pt idx="49">
                  <c:v>157</c:v>
                </c:pt>
                <c:pt idx="50">
                  <c:v>100</c:v>
                </c:pt>
                <c:pt idx="51">
                  <c:v>316</c:v>
                </c:pt>
                <c:pt idx="52">
                  <c:v>464</c:v>
                </c:pt>
                <c:pt idx="53">
                  <c:v>285</c:v>
                </c:pt>
                <c:pt idx="54">
                  <c:v>701</c:v>
                </c:pt>
                <c:pt idx="55">
                  <c:v>603</c:v>
                </c:pt>
                <c:pt idx="56">
                  <c:v>875</c:v>
                </c:pt>
                <c:pt idx="57">
                  <c:v>496</c:v>
                </c:pt>
                <c:pt idx="58">
                  <c:v>534</c:v>
                </c:pt>
                <c:pt idx="59">
                  <c:v>157</c:v>
                </c:pt>
                <c:pt idx="60">
                  <c:v>29</c:v>
                </c:pt>
                <c:pt idx="61">
                  <c:v>333</c:v>
                </c:pt>
                <c:pt idx="62">
                  <c:v>105</c:v>
                </c:pt>
                <c:pt idx="63">
                  <c:v>124</c:v>
                </c:pt>
                <c:pt idx="64">
                  <c:v>16</c:v>
                </c:pt>
                <c:pt idx="65">
                  <c:v>103</c:v>
                </c:pt>
                <c:pt idx="66">
                  <c:v>518</c:v>
                </c:pt>
                <c:pt idx="67">
                  <c:v>241</c:v>
                </c:pt>
                <c:pt idx="68">
                  <c:v>392</c:v>
                </c:pt>
                <c:pt idx="69">
                  <c:v>121</c:v>
                </c:pt>
                <c:pt idx="70">
                  <c:v>247</c:v>
                </c:pt>
                <c:pt idx="71">
                  <c:v>88</c:v>
                </c:pt>
                <c:pt idx="72">
                  <c:v>48</c:v>
                </c:pt>
                <c:pt idx="73">
                  <c:v>447</c:v>
                </c:pt>
                <c:pt idx="74">
                  <c:v>44</c:v>
                </c:pt>
                <c:pt idx="75">
                  <c:v>276</c:v>
                </c:pt>
                <c:pt idx="76">
                  <c:v>365</c:v>
                </c:pt>
                <c:pt idx="77">
                  <c:v>169</c:v>
                </c:pt>
                <c:pt idx="78">
                  <c:v>535</c:v>
                </c:pt>
                <c:pt idx="79">
                  <c:v>121</c:v>
                </c:pt>
                <c:pt idx="80">
                  <c:v>666</c:v>
                </c:pt>
                <c:pt idx="81">
                  <c:v>582</c:v>
                </c:pt>
                <c:pt idx="82">
                  <c:v>175</c:v>
                </c:pt>
                <c:pt idx="83">
                  <c:v>364</c:v>
                </c:pt>
                <c:pt idx="84">
                  <c:v>215</c:v>
                </c:pt>
                <c:pt idx="85">
                  <c:v>123</c:v>
                </c:pt>
                <c:pt idx="86">
                  <c:v>508</c:v>
                </c:pt>
                <c:pt idx="87">
                  <c:v>444</c:v>
                </c:pt>
                <c:pt idx="88">
                  <c:v>558</c:v>
                </c:pt>
                <c:pt idx="89">
                  <c:v>440</c:v>
                </c:pt>
                <c:pt idx="90">
                  <c:v>697</c:v>
                </c:pt>
                <c:pt idx="91">
                  <c:v>617</c:v>
                </c:pt>
                <c:pt idx="92">
                  <c:v>282</c:v>
                </c:pt>
                <c:pt idx="93">
                  <c:v>280</c:v>
                </c:pt>
                <c:pt idx="94">
                  <c:v>259</c:v>
                </c:pt>
                <c:pt idx="95">
                  <c:v>294</c:v>
                </c:pt>
                <c:pt idx="96">
                  <c:v>552</c:v>
                </c:pt>
                <c:pt idx="97">
                  <c:v>559</c:v>
                </c:pt>
                <c:pt idx="98">
                  <c:v>391</c:v>
                </c:pt>
                <c:pt idx="99">
                  <c:v>278</c:v>
                </c:pt>
                <c:pt idx="100">
                  <c:v>449</c:v>
                </c:pt>
                <c:pt idx="101">
                  <c:v>267</c:v>
                </c:pt>
                <c:pt idx="102">
                  <c:v>848</c:v>
                </c:pt>
                <c:pt idx="103">
                  <c:v>579</c:v>
                </c:pt>
                <c:pt idx="104">
                  <c:v>475</c:v>
                </c:pt>
                <c:pt idx="105">
                  <c:v>12</c:v>
                </c:pt>
                <c:pt idx="106">
                  <c:v>49</c:v>
                </c:pt>
                <c:pt idx="107">
                  <c:v>181</c:v>
                </c:pt>
                <c:pt idx="108">
                  <c:v>228</c:v>
                </c:pt>
                <c:pt idx="109">
                  <c:v>20</c:v>
                </c:pt>
                <c:pt idx="110">
                  <c:v>112</c:v>
                </c:pt>
                <c:pt idx="111">
                  <c:v>267</c:v>
                </c:pt>
                <c:pt idx="112">
                  <c:v>106</c:v>
                </c:pt>
                <c:pt idx="113">
                  <c:v>181</c:v>
                </c:pt>
                <c:pt idx="114">
                  <c:v>42</c:v>
                </c:pt>
                <c:pt idx="115">
                  <c:v>215</c:v>
                </c:pt>
                <c:pt idx="116">
                  <c:v>130</c:v>
                </c:pt>
                <c:pt idx="117">
                  <c:v>173</c:v>
                </c:pt>
                <c:pt idx="118">
                  <c:v>10</c:v>
                </c:pt>
                <c:pt idx="119">
                  <c:v>126</c:v>
                </c:pt>
                <c:pt idx="120">
                  <c:v>75</c:v>
                </c:pt>
                <c:pt idx="121">
                  <c:v>172</c:v>
                </c:pt>
                <c:pt idx="122">
                  <c:v>231</c:v>
                </c:pt>
                <c:pt idx="123">
                  <c:v>264</c:v>
                </c:pt>
                <c:pt idx="124">
                  <c:v>166</c:v>
                </c:pt>
                <c:pt idx="125">
                  <c:v>154</c:v>
                </c:pt>
                <c:pt idx="126">
                  <c:v>313</c:v>
                </c:pt>
                <c:pt idx="127">
                  <c:v>268</c:v>
                </c:pt>
                <c:pt idx="128">
                  <c:v>121</c:v>
                </c:pt>
                <c:pt idx="129">
                  <c:v>194</c:v>
                </c:pt>
                <c:pt idx="130">
                  <c:v>133</c:v>
                </c:pt>
                <c:pt idx="131">
                  <c:v>246</c:v>
                </c:pt>
                <c:pt idx="132">
                  <c:v>192</c:v>
                </c:pt>
                <c:pt idx="133">
                  <c:v>417</c:v>
                </c:pt>
                <c:pt idx="134">
                  <c:v>621</c:v>
                </c:pt>
                <c:pt idx="135">
                  <c:v>40</c:v>
                </c:pt>
                <c:pt idx="136">
                  <c:v>347</c:v>
                </c:pt>
                <c:pt idx="137">
                  <c:v>56</c:v>
                </c:pt>
                <c:pt idx="138">
                  <c:v>357</c:v>
                </c:pt>
                <c:pt idx="139">
                  <c:v>229</c:v>
                </c:pt>
                <c:pt idx="140">
                  <c:v>361</c:v>
                </c:pt>
                <c:pt idx="141">
                  <c:v>526</c:v>
                </c:pt>
                <c:pt idx="142">
                  <c:v>359</c:v>
                </c:pt>
                <c:pt idx="143">
                  <c:v>465</c:v>
                </c:pt>
                <c:pt idx="144">
                  <c:v>250</c:v>
                </c:pt>
                <c:pt idx="145">
                  <c:v>426</c:v>
                </c:pt>
                <c:pt idx="146">
                  <c:v>413</c:v>
                </c:pt>
                <c:pt idx="147">
                  <c:v>432</c:v>
                </c:pt>
                <c:pt idx="148">
                  <c:v>483</c:v>
                </c:pt>
                <c:pt idx="149">
                  <c:v>713</c:v>
                </c:pt>
                <c:pt idx="150">
                  <c:v>202</c:v>
                </c:pt>
                <c:pt idx="151">
                  <c:v>39</c:v>
                </c:pt>
                <c:pt idx="152">
                  <c:v>91</c:v>
                </c:pt>
                <c:pt idx="153">
                  <c:v>176</c:v>
                </c:pt>
                <c:pt idx="154">
                  <c:v>103</c:v>
                </c:pt>
                <c:pt idx="155">
                  <c:v>76</c:v>
                </c:pt>
                <c:pt idx="156">
                  <c:v>228</c:v>
                </c:pt>
                <c:pt idx="157">
                  <c:v>20</c:v>
                </c:pt>
                <c:pt idx="158">
                  <c:v>145</c:v>
                </c:pt>
                <c:pt idx="159">
                  <c:v>447</c:v>
                </c:pt>
                <c:pt idx="160">
                  <c:v>198</c:v>
                </c:pt>
                <c:pt idx="161">
                  <c:v>117</c:v>
                </c:pt>
                <c:pt idx="162">
                  <c:v>196</c:v>
                </c:pt>
                <c:pt idx="163">
                  <c:v>217</c:v>
                </c:pt>
                <c:pt idx="164">
                  <c:v>291</c:v>
                </c:pt>
                <c:pt idx="165">
                  <c:v>314</c:v>
                </c:pt>
                <c:pt idx="166">
                  <c:v>70</c:v>
                </c:pt>
                <c:pt idx="167">
                  <c:v>9</c:v>
                </c:pt>
                <c:pt idx="168">
                  <c:v>305</c:v>
                </c:pt>
                <c:pt idx="169">
                  <c:v>328</c:v>
                </c:pt>
                <c:pt idx="170">
                  <c:v>307</c:v>
                </c:pt>
                <c:pt idx="171">
                  <c:v>567</c:v>
                </c:pt>
                <c:pt idx="172">
                  <c:v>205</c:v>
                </c:pt>
                <c:pt idx="173">
                  <c:v>84</c:v>
                </c:pt>
                <c:pt idx="174">
                  <c:v>80</c:v>
                </c:pt>
                <c:pt idx="175">
                  <c:v>80</c:v>
                </c:pt>
                <c:pt idx="176">
                  <c:v>90</c:v>
                </c:pt>
                <c:pt idx="177">
                  <c:v>246</c:v>
                </c:pt>
                <c:pt idx="178">
                  <c:v>170</c:v>
                </c:pt>
                <c:pt idx="179">
                  <c:v>28</c:v>
                </c:pt>
                <c:pt idx="180">
                  <c:v>188</c:v>
                </c:pt>
                <c:pt idx="181">
                  <c:v>247</c:v>
                </c:pt>
                <c:pt idx="182">
                  <c:v>58</c:v>
                </c:pt>
                <c:pt idx="183">
                  <c:v>278</c:v>
                </c:pt>
                <c:pt idx="184">
                  <c:v>35</c:v>
                </c:pt>
                <c:pt idx="185">
                  <c:v>223</c:v>
                </c:pt>
                <c:pt idx="186">
                  <c:v>361</c:v>
                </c:pt>
                <c:pt idx="187">
                  <c:v>28</c:v>
                </c:pt>
                <c:pt idx="188">
                  <c:v>53</c:v>
                </c:pt>
                <c:pt idx="189">
                  <c:v>277</c:v>
                </c:pt>
                <c:pt idx="190">
                  <c:v>343</c:v>
                </c:pt>
                <c:pt idx="191">
                  <c:v>157</c:v>
                </c:pt>
                <c:pt idx="19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7-4C1D-AB60-A8315163E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836175"/>
        <c:axId val="496831855"/>
      </c:barChart>
      <c:lineChart>
        <c:grouping val="standard"/>
        <c:varyColors val="0"/>
        <c:ser>
          <c:idx val="1"/>
          <c:order val="1"/>
          <c:tx>
            <c:strRef>
              <c:f>'Ej 4.'!$C$3</c:f>
              <c:strCache>
                <c:ptCount val="1"/>
                <c:pt idx="0">
                  <c:v>Cambio Porcentual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'Ej 4.'!$A$4:$A$233</c:f>
              <c:multiLvlStrCache>
                <c:ptCount val="193"/>
                <c:lvl>
                  <c:pt idx="0">
                    <c:v>ago</c:v>
                  </c:pt>
                  <c:pt idx="1">
                    <c:v>sep</c:v>
                  </c:pt>
                  <c:pt idx="2">
                    <c:v>oct</c:v>
                  </c:pt>
                  <c:pt idx="3">
                    <c:v>nov</c:v>
                  </c:pt>
                  <c:pt idx="4">
                    <c:v>dic</c:v>
                  </c:pt>
                  <c:pt idx="5">
                    <c:v>ene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ago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dic</c:v>
                  </c:pt>
                  <c:pt idx="16">
                    <c:v>ene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abr</c:v>
                  </c:pt>
                  <c:pt idx="20">
                    <c:v>may</c:v>
                  </c:pt>
                  <c:pt idx="21">
                    <c:v>jul</c:v>
                  </c:pt>
                  <c:pt idx="22">
                    <c:v>oct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abr</c:v>
                  </c:pt>
                  <c:pt idx="26">
                    <c:v>may</c:v>
                  </c:pt>
                  <c:pt idx="27">
                    <c:v>jun</c:v>
                  </c:pt>
                  <c:pt idx="28">
                    <c:v>jul</c:v>
                  </c:pt>
                  <c:pt idx="29">
                    <c:v>sep</c:v>
                  </c:pt>
                  <c:pt idx="30">
                    <c:v>oct</c:v>
                  </c:pt>
                  <c:pt idx="31">
                    <c:v>nov</c:v>
                  </c:pt>
                  <c:pt idx="32">
                    <c:v>dic</c:v>
                  </c:pt>
                  <c:pt idx="33">
                    <c:v>ene</c:v>
                  </c:pt>
                  <c:pt idx="34">
                    <c:v>feb</c:v>
                  </c:pt>
                  <c:pt idx="35">
                    <c:v>mar</c:v>
                  </c:pt>
                  <c:pt idx="36">
                    <c:v>abr</c:v>
                  </c:pt>
                  <c:pt idx="37">
                    <c:v>may</c:v>
                  </c:pt>
                  <c:pt idx="38">
                    <c:v>jul</c:v>
                  </c:pt>
                  <c:pt idx="39">
                    <c:v>ago</c:v>
                  </c:pt>
                  <c:pt idx="40">
                    <c:v>oct</c:v>
                  </c:pt>
                  <c:pt idx="41">
                    <c:v>nov</c:v>
                  </c:pt>
                  <c:pt idx="42">
                    <c:v>dic</c:v>
                  </c:pt>
                  <c:pt idx="43">
                    <c:v>ene</c:v>
                  </c:pt>
                  <c:pt idx="44">
                    <c:v>feb</c:v>
                  </c:pt>
                  <c:pt idx="45">
                    <c:v>mar</c:v>
                  </c:pt>
                  <c:pt idx="46">
                    <c:v>abr</c:v>
                  </c:pt>
                  <c:pt idx="47">
                    <c:v>may</c:v>
                  </c:pt>
                  <c:pt idx="48">
                    <c:v>jun</c:v>
                  </c:pt>
                  <c:pt idx="49">
                    <c:v>jul</c:v>
                  </c:pt>
                  <c:pt idx="50">
                    <c:v>ago</c:v>
                  </c:pt>
                  <c:pt idx="51">
                    <c:v>sep</c:v>
                  </c:pt>
                  <c:pt idx="52">
                    <c:v>oct</c:v>
                  </c:pt>
                  <c:pt idx="53">
                    <c:v>nov</c:v>
                  </c:pt>
                  <c:pt idx="54">
                    <c:v>dic</c:v>
                  </c:pt>
                  <c:pt idx="55">
                    <c:v>ene</c:v>
                  </c:pt>
                  <c:pt idx="56">
                    <c:v>feb</c:v>
                  </c:pt>
                  <c:pt idx="57">
                    <c:v>mar</c:v>
                  </c:pt>
                  <c:pt idx="58">
                    <c:v>abr</c:v>
                  </c:pt>
                  <c:pt idx="59">
                    <c:v>may</c:v>
                  </c:pt>
                  <c:pt idx="60">
                    <c:v>jul</c:v>
                  </c:pt>
                  <c:pt idx="61">
                    <c:v>ago</c:v>
                  </c:pt>
                  <c:pt idx="62">
                    <c:v>sep</c:v>
                  </c:pt>
                  <c:pt idx="63">
                    <c:v>oct</c:v>
                  </c:pt>
                  <c:pt idx="64">
                    <c:v>nov</c:v>
                  </c:pt>
                  <c:pt idx="65">
                    <c:v>dic</c:v>
                  </c:pt>
                  <c:pt idx="66">
                    <c:v>ene</c:v>
                  </c:pt>
                  <c:pt idx="67">
                    <c:v>feb</c:v>
                  </c:pt>
                  <c:pt idx="68">
                    <c:v>mar</c:v>
                  </c:pt>
                  <c:pt idx="69">
                    <c:v>abr</c:v>
                  </c:pt>
                  <c:pt idx="70">
                    <c:v>may</c:v>
                  </c:pt>
                  <c:pt idx="71">
                    <c:v>jun</c:v>
                  </c:pt>
                  <c:pt idx="72">
                    <c:v>jul</c:v>
                  </c:pt>
                  <c:pt idx="73">
                    <c:v>ago</c:v>
                  </c:pt>
                  <c:pt idx="74">
                    <c:v>sep</c:v>
                  </c:pt>
                  <c:pt idx="75">
                    <c:v>oct</c:v>
                  </c:pt>
                  <c:pt idx="76">
                    <c:v>nov</c:v>
                  </c:pt>
                  <c:pt idx="77">
                    <c:v>dic</c:v>
                  </c:pt>
                  <c:pt idx="78">
                    <c:v>ene</c:v>
                  </c:pt>
                  <c:pt idx="79">
                    <c:v>feb</c:v>
                  </c:pt>
                  <c:pt idx="80">
                    <c:v>mar</c:v>
                  </c:pt>
                  <c:pt idx="81">
                    <c:v>abr</c:v>
                  </c:pt>
                  <c:pt idx="82">
                    <c:v>may</c:v>
                  </c:pt>
                  <c:pt idx="83">
                    <c:v>jul</c:v>
                  </c:pt>
                  <c:pt idx="84">
                    <c:v>ago</c:v>
                  </c:pt>
                  <c:pt idx="85">
                    <c:v>sep</c:v>
                  </c:pt>
                  <c:pt idx="86">
                    <c:v>oct</c:v>
                  </c:pt>
                  <c:pt idx="87">
                    <c:v>nov</c:v>
                  </c:pt>
                  <c:pt idx="88">
                    <c:v>dic</c:v>
                  </c:pt>
                  <c:pt idx="89">
                    <c:v>ene</c:v>
                  </c:pt>
                  <c:pt idx="90">
                    <c:v>feb</c:v>
                  </c:pt>
                  <c:pt idx="91">
                    <c:v>mar</c:v>
                  </c:pt>
                  <c:pt idx="92">
                    <c:v>abr</c:v>
                  </c:pt>
                  <c:pt idx="93">
                    <c:v>may</c:v>
                  </c:pt>
                  <c:pt idx="94">
                    <c:v>jun</c:v>
                  </c:pt>
                  <c:pt idx="95">
                    <c:v>jul</c:v>
                  </c:pt>
                  <c:pt idx="96">
                    <c:v>ago</c:v>
                  </c:pt>
                  <c:pt idx="97">
                    <c:v>sep</c:v>
                  </c:pt>
                  <c:pt idx="98">
                    <c:v>oct</c:v>
                  </c:pt>
                  <c:pt idx="99">
                    <c:v>nov</c:v>
                  </c:pt>
                  <c:pt idx="100">
                    <c:v>dic</c:v>
                  </c:pt>
                  <c:pt idx="101">
                    <c:v>ene</c:v>
                  </c:pt>
                  <c:pt idx="102">
                    <c:v>feb</c:v>
                  </c:pt>
                  <c:pt idx="103">
                    <c:v>mar</c:v>
                  </c:pt>
                  <c:pt idx="104">
                    <c:v>abr</c:v>
                  </c:pt>
                  <c:pt idx="105">
                    <c:v>may</c:v>
                  </c:pt>
                  <c:pt idx="106">
                    <c:v>jul</c:v>
                  </c:pt>
                  <c:pt idx="107">
                    <c:v>ago</c:v>
                  </c:pt>
                  <c:pt idx="108">
                    <c:v>sep</c:v>
                  </c:pt>
                  <c:pt idx="109">
                    <c:v>oct</c:v>
                  </c:pt>
                  <c:pt idx="110">
                    <c:v>nov</c:v>
                  </c:pt>
                  <c:pt idx="111">
                    <c:v>dic</c:v>
                  </c:pt>
                  <c:pt idx="112">
                    <c:v>ene</c:v>
                  </c:pt>
                  <c:pt idx="113">
                    <c:v>feb</c:v>
                  </c:pt>
                  <c:pt idx="114">
                    <c:v>mar</c:v>
                  </c:pt>
                  <c:pt idx="115">
                    <c:v>abr</c:v>
                  </c:pt>
                  <c:pt idx="116">
                    <c:v>may</c:v>
                  </c:pt>
                  <c:pt idx="117">
                    <c:v>jun</c:v>
                  </c:pt>
                  <c:pt idx="118">
                    <c:v>jul</c:v>
                  </c:pt>
                  <c:pt idx="119">
                    <c:v>ago</c:v>
                  </c:pt>
                  <c:pt idx="120">
                    <c:v>sep</c:v>
                  </c:pt>
                  <c:pt idx="121">
                    <c:v>oct</c:v>
                  </c:pt>
                  <c:pt idx="122">
                    <c:v>nov</c:v>
                  </c:pt>
                  <c:pt idx="123">
                    <c:v>dic</c:v>
                  </c:pt>
                  <c:pt idx="124">
                    <c:v>ene</c:v>
                  </c:pt>
                  <c:pt idx="125">
                    <c:v>feb</c:v>
                  </c:pt>
                  <c:pt idx="126">
                    <c:v>mar</c:v>
                  </c:pt>
                  <c:pt idx="127">
                    <c:v>abr</c:v>
                  </c:pt>
                  <c:pt idx="128">
                    <c:v>jul</c:v>
                  </c:pt>
                  <c:pt idx="129">
                    <c:v>ago</c:v>
                  </c:pt>
                  <c:pt idx="130">
                    <c:v>sep</c:v>
                  </c:pt>
                  <c:pt idx="131">
                    <c:v>oct</c:v>
                  </c:pt>
                  <c:pt idx="132">
                    <c:v>nov</c:v>
                  </c:pt>
                  <c:pt idx="133">
                    <c:v>dic</c:v>
                  </c:pt>
                  <c:pt idx="134">
                    <c:v>ene</c:v>
                  </c:pt>
                  <c:pt idx="135">
                    <c:v>feb</c:v>
                  </c:pt>
                  <c:pt idx="136">
                    <c:v>mar</c:v>
                  </c:pt>
                  <c:pt idx="137">
                    <c:v>abr</c:v>
                  </c:pt>
                  <c:pt idx="138">
                    <c:v>may</c:v>
                  </c:pt>
                  <c:pt idx="139">
                    <c:v>jun</c:v>
                  </c:pt>
                  <c:pt idx="140">
                    <c:v>jul</c:v>
                  </c:pt>
                  <c:pt idx="141">
                    <c:v>ago</c:v>
                  </c:pt>
                  <c:pt idx="142">
                    <c:v>sep</c:v>
                  </c:pt>
                  <c:pt idx="143">
                    <c:v>oct</c:v>
                  </c:pt>
                  <c:pt idx="144">
                    <c:v>nov</c:v>
                  </c:pt>
                  <c:pt idx="145">
                    <c:v>dic</c:v>
                  </c:pt>
                  <c:pt idx="146">
                    <c:v>ene</c:v>
                  </c:pt>
                  <c:pt idx="147">
                    <c:v>feb</c:v>
                  </c:pt>
                  <c:pt idx="148">
                    <c:v>mar</c:v>
                  </c:pt>
                  <c:pt idx="149">
                    <c:v>abr</c:v>
                  </c:pt>
                  <c:pt idx="150">
                    <c:v>may</c:v>
                  </c:pt>
                  <c:pt idx="151">
                    <c:v>ago</c:v>
                  </c:pt>
                  <c:pt idx="152">
                    <c:v>sep</c:v>
                  </c:pt>
                  <c:pt idx="153">
                    <c:v>oct</c:v>
                  </c:pt>
                  <c:pt idx="154">
                    <c:v>nov</c:v>
                  </c:pt>
                  <c:pt idx="155">
                    <c:v>dic</c:v>
                  </c:pt>
                  <c:pt idx="156">
                    <c:v>ene</c:v>
                  </c:pt>
                  <c:pt idx="157">
                    <c:v>feb</c:v>
                  </c:pt>
                  <c:pt idx="158">
                    <c:v>mar</c:v>
                  </c:pt>
                  <c:pt idx="159">
                    <c:v>abr</c:v>
                  </c:pt>
                  <c:pt idx="160">
                    <c:v>may</c:v>
                  </c:pt>
                  <c:pt idx="161">
                    <c:v>jun</c:v>
                  </c:pt>
                  <c:pt idx="162">
                    <c:v>jul</c:v>
                  </c:pt>
                  <c:pt idx="163">
                    <c:v>ago</c:v>
                  </c:pt>
                  <c:pt idx="164">
                    <c:v>sep</c:v>
                  </c:pt>
                  <c:pt idx="165">
                    <c:v>oct</c:v>
                  </c:pt>
                  <c:pt idx="166">
                    <c:v>nov</c:v>
                  </c:pt>
                  <c:pt idx="167">
                    <c:v>dic</c:v>
                  </c:pt>
                  <c:pt idx="168">
                    <c:v>ene</c:v>
                  </c:pt>
                  <c:pt idx="169">
                    <c:v>feb</c:v>
                  </c:pt>
                  <c:pt idx="170">
                    <c:v>mar</c:v>
                  </c:pt>
                  <c:pt idx="171">
                    <c:v>abr</c:v>
                  </c:pt>
                  <c:pt idx="172">
                    <c:v>may</c:v>
                  </c:pt>
                  <c:pt idx="173">
                    <c:v>jul</c:v>
                  </c:pt>
                  <c:pt idx="174">
                    <c:v>ago</c:v>
                  </c:pt>
                  <c:pt idx="175">
                    <c:v>sep</c:v>
                  </c:pt>
                  <c:pt idx="176">
                    <c:v>oct</c:v>
                  </c:pt>
                  <c:pt idx="177">
                    <c:v>nov</c:v>
                  </c:pt>
                  <c:pt idx="178">
                    <c:v>dic</c:v>
                  </c:pt>
                  <c:pt idx="179">
                    <c:v>ene</c:v>
                  </c:pt>
                  <c:pt idx="180">
                    <c:v>mar</c:v>
                  </c:pt>
                  <c:pt idx="181">
                    <c:v>may</c:v>
                  </c:pt>
                  <c:pt idx="182">
                    <c:v>jun</c:v>
                  </c:pt>
                  <c:pt idx="183">
                    <c:v>jul</c:v>
                  </c:pt>
                  <c:pt idx="184">
                    <c:v>ago</c:v>
                  </c:pt>
                  <c:pt idx="185">
                    <c:v>sep</c:v>
                  </c:pt>
                  <c:pt idx="186">
                    <c:v>oct</c:v>
                  </c:pt>
                  <c:pt idx="187">
                    <c:v>nov</c:v>
                  </c:pt>
                  <c:pt idx="188">
                    <c:v>dic</c:v>
                  </c:pt>
                  <c:pt idx="189">
                    <c:v>ene</c:v>
                  </c:pt>
                  <c:pt idx="190">
                    <c:v>feb</c:v>
                  </c:pt>
                  <c:pt idx="191">
                    <c:v>mar</c:v>
                  </c:pt>
                  <c:pt idx="192">
                    <c:v>abr</c:v>
                  </c:pt>
                </c:lvl>
                <c:lvl>
                  <c:pt idx="0">
                    <c:v>2010</c:v>
                  </c:pt>
                  <c:pt idx="5">
                    <c:v>2011</c:v>
                  </c:pt>
                  <c:pt idx="16">
                    <c:v>2012</c:v>
                  </c:pt>
                  <c:pt idx="21">
                    <c:v>2010</c:v>
                  </c:pt>
                  <c:pt idx="24">
                    <c:v>2011</c:v>
                  </c:pt>
                  <c:pt idx="33">
                    <c:v>2012</c:v>
                  </c:pt>
                  <c:pt idx="38">
                    <c:v>2010</c:v>
                  </c:pt>
                  <c:pt idx="43">
                    <c:v>2011</c:v>
                  </c:pt>
                  <c:pt idx="55">
                    <c:v>2012</c:v>
                  </c:pt>
                  <c:pt idx="60">
                    <c:v>2010</c:v>
                  </c:pt>
                  <c:pt idx="66">
                    <c:v>2011</c:v>
                  </c:pt>
                  <c:pt idx="78">
                    <c:v>2012</c:v>
                  </c:pt>
                  <c:pt idx="83">
                    <c:v>2010</c:v>
                  </c:pt>
                  <c:pt idx="89">
                    <c:v>2011</c:v>
                  </c:pt>
                  <c:pt idx="101">
                    <c:v>2012</c:v>
                  </c:pt>
                  <c:pt idx="106">
                    <c:v>2010</c:v>
                  </c:pt>
                  <c:pt idx="112">
                    <c:v>2011</c:v>
                  </c:pt>
                  <c:pt idx="124">
                    <c:v>2012</c:v>
                  </c:pt>
                  <c:pt idx="128">
                    <c:v>2010</c:v>
                  </c:pt>
                  <c:pt idx="134">
                    <c:v>2011</c:v>
                  </c:pt>
                  <c:pt idx="146">
                    <c:v>2012</c:v>
                  </c:pt>
                  <c:pt idx="151">
                    <c:v>2010</c:v>
                  </c:pt>
                  <c:pt idx="156">
                    <c:v>2011</c:v>
                  </c:pt>
                  <c:pt idx="168">
                    <c:v>2012</c:v>
                  </c:pt>
                  <c:pt idx="173">
                    <c:v>2010</c:v>
                  </c:pt>
                  <c:pt idx="179">
                    <c:v>2011</c:v>
                  </c:pt>
                  <c:pt idx="189">
                    <c:v>2012</c:v>
                  </c:pt>
                </c:lvl>
                <c:lvl>
                  <c:pt idx="0">
                    <c:v>Andrew Fuller</c:v>
                  </c:pt>
                  <c:pt idx="21">
                    <c:v>Anne Dodsworth</c:v>
                  </c:pt>
                  <c:pt idx="38">
                    <c:v>Janet Leverling</c:v>
                  </c:pt>
                  <c:pt idx="60">
                    <c:v>Laura Callahan</c:v>
                  </c:pt>
                  <c:pt idx="83">
                    <c:v>Margaret Peacock</c:v>
                  </c:pt>
                  <c:pt idx="106">
                    <c:v>Michael Suyama</c:v>
                  </c:pt>
                  <c:pt idx="128">
                    <c:v>Nancy Davolio</c:v>
                  </c:pt>
                  <c:pt idx="151">
                    <c:v>Robert King</c:v>
                  </c:pt>
                  <c:pt idx="173">
                    <c:v>Steven Buchanan</c:v>
                  </c:pt>
                </c:lvl>
              </c:multiLvlStrCache>
            </c:multiLvlStrRef>
          </c:cat>
          <c:val>
            <c:numRef>
              <c:f>'Ej 4.'!$C$4:$C$233</c:f>
              <c:numCache>
                <c:formatCode>0.00%</c:formatCode>
                <c:ptCount val="193"/>
                <c:pt idx="1">
                  <c:v>0.57317073170731703</c:v>
                </c:pt>
                <c:pt idx="2">
                  <c:v>0.62790697674418605</c:v>
                </c:pt>
                <c:pt idx="3">
                  <c:v>0.27142857142857141</c:v>
                </c:pt>
                <c:pt idx="4">
                  <c:v>-0.26217228464419473</c:v>
                </c:pt>
                <c:pt idx="6">
                  <c:v>-0.56511627906976747</c:v>
                </c:pt>
                <c:pt idx="7">
                  <c:v>-0.69518716577540107</c:v>
                </c:pt>
                <c:pt idx="8">
                  <c:v>7.6842105263157894</c:v>
                </c:pt>
                <c:pt idx="9">
                  <c:v>-0.36161616161616161</c:v>
                </c:pt>
                <c:pt idx="10">
                  <c:v>0.26265822784810128</c:v>
                </c:pt>
                <c:pt idx="11">
                  <c:v>-0.96240601503759393</c:v>
                </c:pt>
                <c:pt idx="12">
                  <c:v>17.600000000000001</c:v>
                </c:pt>
                <c:pt idx="13">
                  <c:v>0.13261648745519714</c:v>
                </c:pt>
                <c:pt idx="14">
                  <c:v>-0.69936708860759489</c:v>
                </c:pt>
                <c:pt idx="15">
                  <c:v>0.9263157894736842</c:v>
                </c:pt>
                <c:pt idx="17">
                  <c:v>-0.4</c:v>
                </c:pt>
                <c:pt idx="18">
                  <c:v>1.3647798742138364</c:v>
                </c:pt>
                <c:pt idx="19">
                  <c:v>2.5851063829787235</c:v>
                </c:pt>
                <c:pt idx="20">
                  <c:v>-0.97551928783382791</c:v>
                </c:pt>
                <c:pt idx="22">
                  <c:v>-0.12925170068027211</c:v>
                </c:pt>
                <c:pt idx="23">
                  <c:v>-0.90234375</c:v>
                </c:pt>
                <c:pt idx="25">
                  <c:v>1.1216216216216217</c:v>
                </c:pt>
                <c:pt idx="26">
                  <c:v>-0.74522292993630568</c:v>
                </c:pt>
                <c:pt idx="27">
                  <c:v>3.0249999999999999</c:v>
                </c:pt>
                <c:pt idx="28">
                  <c:v>-0.97515527950310554</c:v>
                </c:pt>
                <c:pt idx="29">
                  <c:v>30.25</c:v>
                </c:pt>
                <c:pt idx="30">
                  <c:v>-0.47199999999999998</c:v>
                </c:pt>
                <c:pt idx="31">
                  <c:v>2.7272727272727271</c:v>
                </c:pt>
                <c:pt idx="32">
                  <c:v>-0.99593495934959353</c:v>
                </c:pt>
                <c:pt idx="34">
                  <c:v>-2.3255813953488372E-2</c:v>
                </c:pt>
                <c:pt idx="35">
                  <c:v>-0.48979591836734693</c:v>
                </c:pt>
                <c:pt idx="36">
                  <c:v>1.5533333333333332</c:v>
                </c:pt>
                <c:pt idx="37">
                  <c:v>-0.83028720626631858</c:v>
                </c:pt>
                <c:pt idx="39">
                  <c:v>0.25274725274725274</c:v>
                </c:pt>
                <c:pt idx="40">
                  <c:v>-8.771929824561403E-3</c:v>
                </c:pt>
                <c:pt idx="41">
                  <c:v>-0.20353982300884957</c:v>
                </c:pt>
                <c:pt idx="42">
                  <c:v>-0.31111111111111112</c:v>
                </c:pt>
                <c:pt idx="44">
                  <c:v>1.598326359832636</c:v>
                </c:pt>
                <c:pt idx="45">
                  <c:v>-0.59903381642512077</c:v>
                </c:pt>
                <c:pt idx="46">
                  <c:v>-0.3534136546184739</c:v>
                </c:pt>
                <c:pt idx="47">
                  <c:v>1.2857142857142858</c:v>
                </c:pt>
                <c:pt idx="48">
                  <c:v>0.59239130434782605</c:v>
                </c:pt>
                <c:pt idx="49">
                  <c:v>-0.73208191126279865</c:v>
                </c:pt>
                <c:pt idx="50">
                  <c:v>-0.36305732484076431</c:v>
                </c:pt>
                <c:pt idx="51">
                  <c:v>2.16</c:v>
                </c:pt>
                <c:pt idx="52">
                  <c:v>0.46835443037974683</c:v>
                </c:pt>
                <c:pt idx="53">
                  <c:v>-0.38577586206896552</c:v>
                </c:pt>
                <c:pt idx="54">
                  <c:v>1.4596491228070176</c:v>
                </c:pt>
                <c:pt idx="56">
                  <c:v>0.45107794361525705</c:v>
                </c:pt>
                <c:pt idx="57">
                  <c:v>-0.43314285714285716</c:v>
                </c:pt>
                <c:pt idx="58">
                  <c:v>7.6612903225806453E-2</c:v>
                </c:pt>
                <c:pt idx="59">
                  <c:v>-0.70599250936329583</c:v>
                </c:pt>
                <c:pt idx="61">
                  <c:v>10.482758620689655</c:v>
                </c:pt>
                <c:pt idx="62">
                  <c:v>-0.68468468468468469</c:v>
                </c:pt>
                <c:pt idx="63">
                  <c:v>0.18095238095238095</c:v>
                </c:pt>
                <c:pt idx="64">
                  <c:v>-0.87096774193548387</c:v>
                </c:pt>
                <c:pt idx="65">
                  <c:v>5.4375</c:v>
                </c:pt>
                <c:pt idx="67">
                  <c:v>-0.53474903474903479</c:v>
                </c:pt>
                <c:pt idx="68">
                  <c:v>0.62655601659751037</c:v>
                </c:pt>
                <c:pt idx="69">
                  <c:v>-0.69132653061224492</c:v>
                </c:pt>
                <c:pt idx="70">
                  <c:v>1.0413223140495869</c:v>
                </c:pt>
                <c:pt idx="71">
                  <c:v>-0.64372469635627527</c:v>
                </c:pt>
                <c:pt idx="72">
                  <c:v>-0.45454545454545453</c:v>
                </c:pt>
                <c:pt idx="73">
                  <c:v>8.3125</c:v>
                </c:pt>
                <c:pt idx="74">
                  <c:v>-0.90156599552572703</c:v>
                </c:pt>
                <c:pt idx="75">
                  <c:v>5.2727272727272725</c:v>
                </c:pt>
                <c:pt idx="76">
                  <c:v>0.32246376811594202</c:v>
                </c:pt>
                <c:pt idx="77">
                  <c:v>-0.53698630136986303</c:v>
                </c:pt>
                <c:pt idx="79">
                  <c:v>-0.77383177570093453</c:v>
                </c:pt>
                <c:pt idx="80">
                  <c:v>4.5041322314049586</c:v>
                </c:pt>
                <c:pt idx="81">
                  <c:v>-0.12612612612612611</c:v>
                </c:pt>
                <c:pt idx="82">
                  <c:v>-0.69931271477663226</c:v>
                </c:pt>
                <c:pt idx="84">
                  <c:v>-0.40934065934065933</c:v>
                </c:pt>
                <c:pt idx="85">
                  <c:v>-0.42790697674418604</c:v>
                </c:pt>
                <c:pt idx="86">
                  <c:v>3.1300813008130079</c:v>
                </c:pt>
                <c:pt idx="87">
                  <c:v>-0.12598425196850394</c:v>
                </c:pt>
                <c:pt idx="88">
                  <c:v>0.25675675675675674</c:v>
                </c:pt>
                <c:pt idx="90">
                  <c:v>0.58409090909090911</c:v>
                </c:pt>
                <c:pt idx="91">
                  <c:v>-0.11477761836441894</c:v>
                </c:pt>
                <c:pt idx="92">
                  <c:v>-0.5429497568881686</c:v>
                </c:pt>
                <c:pt idx="93">
                  <c:v>-7.0921985815602835E-3</c:v>
                </c:pt>
                <c:pt idx="94">
                  <c:v>-7.4999999999999997E-2</c:v>
                </c:pt>
                <c:pt idx="95">
                  <c:v>0.13513513513513514</c:v>
                </c:pt>
                <c:pt idx="96">
                  <c:v>0.87755102040816324</c:v>
                </c:pt>
                <c:pt idx="97">
                  <c:v>1.2681159420289856E-2</c:v>
                </c:pt>
                <c:pt idx="98">
                  <c:v>-0.30053667262969591</c:v>
                </c:pt>
                <c:pt idx="99">
                  <c:v>-0.28900255754475701</c:v>
                </c:pt>
                <c:pt idx="100">
                  <c:v>0.6151079136690647</c:v>
                </c:pt>
                <c:pt idx="102">
                  <c:v>2.1760299625468167</c:v>
                </c:pt>
                <c:pt idx="103">
                  <c:v>-0.31721698113207547</c:v>
                </c:pt>
                <c:pt idx="104">
                  <c:v>-0.17962003454231434</c:v>
                </c:pt>
                <c:pt idx="105">
                  <c:v>-0.97473684210526312</c:v>
                </c:pt>
                <c:pt idx="107">
                  <c:v>2.693877551020408</c:v>
                </c:pt>
                <c:pt idx="108">
                  <c:v>0.25966850828729282</c:v>
                </c:pt>
                <c:pt idx="109">
                  <c:v>-0.91228070175438591</c:v>
                </c:pt>
                <c:pt idx="110">
                  <c:v>4.5999999999999996</c:v>
                </c:pt>
                <c:pt idx="111">
                  <c:v>1.3839285714285714</c:v>
                </c:pt>
                <c:pt idx="113">
                  <c:v>0.70754716981132071</c:v>
                </c:pt>
                <c:pt idx="114">
                  <c:v>-0.76795580110497241</c:v>
                </c:pt>
                <c:pt idx="115">
                  <c:v>4.1190476190476186</c:v>
                </c:pt>
                <c:pt idx="116">
                  <c:v>-0.39534883720930231</c:v>
                </c:pt>
                <c:pt idx="117">
                  <c:v>0.33076923076923076</c:v>
                </c:pt>
                <c:pt idx="118">
                  <c:v>-0.94219653179190754</c:v>
                </c:pt>
                <c:pt idx="119">
                  <c:v>11.6</c:v>
                </c:pt>
                <c:pt idx="120">
                  <c:v>-0.40476190476190477</c:v>
                </c:pt>
                <c:pt idx="121">
                  <c:v>1.2933333333333332</c:v>
                </c:pt>
                <c:pt idx="122">
                  <c:v>0.34302325581395349</c:v>
                </c:pt>
                <c:pt idx="123">
                  <c:v>0.14285714285714285</c:v>
                </c:pt>
                <c:pt idx="125">
                  <c:v>-7.2289156626506021E-2</c:v>
                </c:pt>
                <c:pt idx="126">
                  <c:v>1.0324675324675325</c:v>
                </c:pt>
                <c:pt idx="127">
                  <c:v>-0.14376996805111822</c:v>
                </c:pt>
                <c:pt idx="129">
                  <c:v>0.60330578512396693</c:v>
                </c:pt>
                <c:pt idx="130">
                  <c:v>-0.31443298969072164</c:v>
                </c:pt>
                <c:pt idx="131">
                  <c:v>0.84962406015037595</c:v>
                </c:pt>
                <c:pt idx="132">
                  <c:v>-0.21951219512195122</c:v>
                </c:pt>
                <c:pt idx="133">
                  <c:v>1.171875</c:v>
                </c:pt>
                <c:pt idx="135">
                  <c:v>-0.93558776167471824</c:v>
                </c:pt>
                <c:pt idx="136">
                  <c:v>7.6749999999999998</c:v>
                </c:pt>
                <c:pt idx="137">
                  <c:v>-0.83861671469740628</c:v>
                </c:pt>
                <c:pt idx="138">
                  <c:v>5.375</c:v>
                </c:pt>
                <c:pt idx="139">
                  <c:v>-0.35854341736694678</c:v>
                </c:pt>
                <c:pt idx="140">
                  <c:v>0.57641921397379914</c:v>
                </c:pt>
                <c:pt idx="141">
                  <c:v>0.45706371191135736</c:v>
                </c:pt>
                <c:pt idx="142">
                  <c:v>-0.31749049429657794</c:v>
                </c:pt>
                <c:pt idx="143">
                  <c:v>0.29526462395543174</c:v>
                </c:pt>
                <c:pt idx="144">
                  <c:v>-0.46236559139784944</c:v>
                </c:pt>
                <c:pt idx="145">
                  <c:v>0.70399999999999996</c:v>
                </c:pt>
                <c:pt idx="147">
                  <c:v>4.6004842615012108E-2</c:v>
                </c:pt>
                <c:pt idx="148">
                  <c:v>0.11805555555555555</c:v>
                </c:pt>
                <c:pt idx="149">
                  <c:v>0.47619047619047616</c:v>
                </c:pt>
                <c:pt idx="150">
                  <c:v>-0.71669004207573628</c:v>
                </c:pt>
                <c:pt idx="152">
                  <c:v>1.3333333333333333</c:v>
                </c:pt>
                <c:pt idx="153">
                  <c:v>0.93406593406593408</c:v>
                </c:pt>
                <c:pt idx="154">
                  <c:v>-0.41477272727272729</c:v>
                </c:pt>
                <c:pt idx="155">
                  <c:v>-0.26213592233009708</c:v>
                </c:pt>
                <c:pt idx="157">
                  <c:v>-0.91228070175438591</c:v>
                </c:pt>
                <c:pt idx="158">
                  <c:v>6.25</c:v>
                </c:pt>
                <c:pt idx="159">
                  <c:v>2.0827586206896553</c:v>
                </c:pt>
                <c:pt idx="160">
                  <c:v>-0.55704697986577179</c:v>
                </c:pt>
                <c:pt idx="161">
                  <c:v>-0.40909090909090912</c:v>
                </c:pt>
                <c:pt idx="162">
                  <c:v>0.67521367521367526</c:v>
                </c:pt>
                <c:pt idx="163">
                  <c:v>0.10714285714285714</c:v>
                </c:pt>
                <c:pt idx="164">
                  <c:v>0.34101382488479265</c:v>
                </c:pt>
                <c:pt idx="165">
                  <c:v>7.903780068728522E-2</c:v>
                </c:pt>
                <c:pt idx="166">
                  <c:v>-0.77707006369426757</c:v>
                </c:pt>
                <c:pt idx="167">
                  <c:v>-0.87142857142857144</c:v>
                </c:pt>
                <c:pt idx="169">
                  <c:v>7.5409836065573776E-2</c:v>
                </c:pt>
                <c:pt idx="170">
                  <c:v>-6.402439024390244E-2</c:v>
                </c:pt>
                <c:pt idx="171">
                  <c:v>0.84690553745928343</c:v>
                </c:pt>
                <c:pt idx="172">
                  <c:v>-0.63844797178130508</c:v>
                </c:pt>
                <c:pt idx="174">
                  <c:v>-4.7619047619047616E-2</c:v>
                </c:pt>
                <c:pt idx="175">
                  <c:v>0</c:v>
                </c:pt>
                <c:pt idx="176">
                  <c:v>0.125</c:v>
                </c:pt>
                <c:pt idx="177">
                  <c:v>1.7333333333333334</c:v>
                </c:pt>
                <c:pt idx="178">
                  <c:v>-0.30894308943089432</c:v>
                </c:pt>
                <c:pt idx="180">
                  <c:v>5.7142857142857144</c:v>
                </c:pt>
                <c:pt idx="181">
                  <c:v>0.31382978723404253</c:v>
                </c:pt>
                <c:pt idx="182">
                  <c:v>-0.76518218623481782</c:v>
                </c:pt>
                <c:pt idx="183">
                  <c:v>3.7931034482758621</c:v>
                </c:pt>
                <c:pt idx="184">
                  <c:v>-0.87410071942446044</c:v>
                </c:pt>
                <c:pt idx="185">
                  <c:v>5.371428571428571</c:v>
                </c:pt>
                <c:pt idx="186">
                  <c:v>0.6188340807174888</c:v>
                </c:pt>
                <c:pt idx="187">
                  <c:v>-0.92243767313019387</c:v>
                </c:pt>
                <c:pt idx="188">
                  <c:v>0.8928571428571429</c:v>
                </c:pt>
                <c:pt idx="190">
                  <c:v>0.23826714801444043</c:v>
                </c:pt>
                <c:pt idx="191">
                  <c:v>-0.54227405247813409</c:v>
                </c:pt>
                <c:pt idx="192">
                  <c:v>-0.93630573248407645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7-4C1D-AB60-A8315163E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826095"/>
        <c:axId val="496838095"/>
      </c:lineChart>
      <c:catAx>
        <c:axId val="49683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6831855"/>
        <c:crosses val="autoZero"/>
        <c:auto val="1"/>
        <c:lblAlgn val="ctr"/>
        <c:lblOffset val="100"/>
        <c:noMultiLvlLbl val="0"/>
      </c:catAx>
      <c:valAx>
        <c:axId val="49683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6836175"/>
        <c:crosses val="autoZero"/>
        <c:crossBetween val="between"/>
      </c:valAx>
      <c:valAx>
        <c:axId val="49683809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6826095"/>
        <c:crosses val="max"/>
        <c:crossBetween val="between"/>
      </c:valAx>
      <c:catAx>
        <c:axId val="496826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68380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[Complementaria 5 Tablas Dinámicas.xlsx]Ej.5!TablaDinámica5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Ej.5!$B$3</c:f>
              <c:strCache>
                <c:ptCount val="1"/>
                <c:pt idx="0">
                  <c:v>Suma de 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Ej.5!$A$4:$A$79</c:f>
              <c:strCache>
                <c:ptCount val="75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Camembert Pierrot</c:v>
                </c:pt>
                <c:pt idx="4">
                  <c:v>Carnarvon Tigers</c:v>
                </c:pt>
                <c:pt idx="5">
                  <c:v>Chai</c:v>
                </c:pt>
                <c:pt idx="6">
                  <c:v>Chang</c:v>
                </c:pt>
                <c:pt idx="7">
                  <c:v>Chartreuse verte</c:v>
                </c:pt>
                <c:pt idx="8">
                  <c:v>Chef Anton's Cajun Seasoning</c:v>
                </c:pt>
                <c:pt idx="9">
                  <c:v>Chef Anton's Gumbo Mix</c:v>
                </c:pt>
                <c:pt idx="10">
                  <c:v>Chocolade</c:v>
                </c:pt>
                <c:pt idx="11">
                  <c:v>Côte de Blaye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Fløtemysost</c:v>
                </c:pt>
                <c:pt idx="15">
                  <c:v>Geitost</c:v>
                </c:pt>
                <c:pt idx="16">
                  <c:v>Gnocchi di nonna Alice</c:v>
                </c:pt>
                <c:pt idx="17">
                  <c:v>Gorgonzola Telino</c:v>
                </c:pt>
                <c:pt idx="18">
                  <c:v>Grandma's Boysenberry Spread</c:v>
                </c:pt>
                <c:pt idx="19">
                  <c:v>Gravad lax</c:v>
                </c:pt>
                <c:pt idx="20">
                  <c:v>Guaraná Fantástica</c:v>
                </c:pt>
                <c:pt idx="21">
                  <c:v>Gudbrandsdalsost</c:v>
                </c:pt>
                <c:pt idx="22">
                  <c:v>Gula Malacca</c:v>
                </c:pt>
                <c:pt idx="23">
                  <c:v>Gumbär Gummibärchen</c:v>
                </c:pt>
                <c:pt idx="24">
                  <c:v>Gustaf's Knäckebröd</c:v>
                </c:pt>
                <c:pt idx="25">
                  <c:v>Ikura</c:v>
                </c:pt>
                <c:pt idx="26">
                  <c:v>Inlagd Sill</c:v>
                </c:pt>
                <c:pt idx="27">
                  <c:v>Ipoh Coffee</c:v>
                </c:pt>
                <c:pt idx="28">
                  <c:v>Jack's New England Clam Chowder</c:v>
                </c:pt>
                <c:pt idx="29">
                  <c:v>Konbu</c:v>
                </c:pt>
                <c:pt idx="30">
                  <c:v>Lakkalikööri</c:v>
                </c:pt>
                <c:pt idx="31">
                  <c:v>Laughing Lumberjack Lager</c:v>
                </c:pt>
                <c:pt idx="32">
                  <c:v>Longlife Tofu</c:v>
                </c:pt>
                <c:pt idx="33">
                  <c:v>Louisiana Fiery Hot Pepper Sauce</c:v>
                </c:pt>
                <c:pt idx="34">
                  <c:v>Manjimup Dried Apples</c:v>
                </c:pt>
                <c:pt idx="35">
                  <c:v>Mascarpone Fabioli</c:v>
                </c:pt>
                <c:pt idx="36">
                  <c:v>Maxilaku</c:v>
                </c:pt>
                <c:pt idx="37">
                  <c:v>Mishi Kobe Niku</c:v>
                </c:pt>
                <c:pt idx="38">
                  <c:v>Mozzarella di Giovanni</c:v>
                </c:pt>
                <c:pt idx="39">
                  <c:v>Nord-Ost Matjeshering</c:v>
                </c:pt>
                <c:pt idx="40">
                  <c:v>Northwoods Cranberry Sauce</c:v>
                </c:pt>
                <c:pt idx="41">
                  <c:v>NuNuCa Nuß-Nougat-Creme</c:v>
                </c:pt>
                <c:pt idx="42">
                  <c:v>Original Frankfurter grüne Soße</c:v>
                </c:pt>
                <c:pt idx="43">
                  <c:v>Outback Lager</c:v>
                </c:pt>
                <c:pt idx="44">
                  <c:v>Pâté chinois</c:v>
                </c:pt>
                <c:pt idx="45">
                  <c:v>Pavlova</c:v>
                </c:pt>
                <c:pt idx="46">
                  <c:v>Perth Pasties</c:v>
                </c:pt>
                <c:pt idx="47">
                  <c:v>Queso Cabrales</c:v>
                </c:pt>
                <c:pt idx="48">
                  <c:v>Queso Manchego La Pastora</c:v>
                </c:pt>
                <c:pt idx="49">
                  <c:v>Raclette Courdavault</c:v>
                </c:pt>
                <c:pt idx="50">
                  <c:v>Ravioli Angelo</c:v>
                </c:pt>
                <c:pt idx="51">
                  <c:v>Rhönbräu Klosterbier</c:v>
                </c:pt>
                <c:pt idx="52">
                  <c:v>Röd Kaviar</c:v>
                </c:pt>
                <c:pt idx="53">
                  <c:v>Røgede sild</c:v>
                </c:pt>
                <c:pt idx="54">
                  <c:v>Rössle Sauerkraut</c:v>
                </c:pt>
                <c:pt idx="55">
                  <c:v>Sasquatch Ale</c:v>
                </c:pt>
                <c:pt idx="56">
                  <c:v>Schoggi Schokolade</c:v>
                </c:pt>
                <c:pt idx="57">
                  <c:v>Scottish Longbreads</c:v>
                </c:pt>
                <c:pt idx="58">
                  <c:v>Singaporean Hokkien Fried Mee</c:v>
                </c:pt>
                <c:pt idx="59">
                  <c:v>Sir Rodney's Marmalade</c:v>
                </c:pt>
                <c:pt idx="60">
                  <c:v>Sir Rodney's Scones</c:v>
                </c:pt>
                <c:pt idx="61">
                  <c:v>Sirop d'érable</c:v>
                </c:pt>
                <c:pt idx="62">
                  <c:v>Spegesild</c:v>
                </c:pt>
                <c:pt idx="63">
                  <c:v>Steeleye Stout</c:v>
                </c:pt>
                <c:pt idx="64">
                  <c:v>Tarte au sucre</c:v>
                </c:pt>
                <c:pt idx="65">
                  <c:v>Teatime Chocolate Biscuits</c:v>
                </c:pt>
                <c:pt idx="66">
                  <c:v>Thüringer Rostbratwurst</c:v>
                </c:pt>
                <c:pt idx="67">
                  <c:v>Tofu</c:v>
                </c:pt>
                <c:pt idx="68">
                  <c:v>Tourtière</c:v>
                </c:pt>
                <c:pt idx="69">
                  <c:v>Tunnbröd</c:v>
                </c:pt>
                <c:pt idx="70">
                  <c:v>Uncle Bob's Organic Dried Pears</c:v>
                </c:pt>
                <c:pt idx="71">
                  <c:v>Valkoinen suklaa</c:v>
                </c:pt>
                <c:pt idx="72">
                  <c:v>Vegie-spread</c:v>
                </c:pt>
                <c:pt idx="73">
                  <c:v>Wimmers gute Semmelknödel</c:v>
                </c:pt>
                <c:pt idx="74">
                  <c:v>Zaanse koeken</c:v>
                </c:pt>
              </c:strCache>
            </c:strRef>
          </c:cat>
          <c:val>
            <c:numRef>
              <c:f>Ej.5!$B$4:$B$79</c:f>
              <c:numCache>
                <c:formatCode>General</c:formatCode>
                <c:ptCount val="75"/>
                <c:pt idx="0">
                  <c:v>240</c:v>
                </c:pt>
                <c:pt idx="1">
                  <c:v>104</c:v>
                </c:pt>
                <c:pt idx="2">
                  <c:v>304</c:v>
                </c:pt>
                <c:pt idx="3">
                  <c:v>469</c:v>
                </c:pt>
                <c:pt idx="4">
                  <c:v>151</c:v>
                </c:pt>
                <c:pt idx="5">
                  <c:v>359</c:v>
                </c:pt>
                <c:pt idx="6">
                  <c:v>354</c:v>
                </c:pt>
                <c:pt idx="7">
                  <c:v>242</c:v>
                </c:pt>
                <c:pt idx="8">
                  <c:v>81</c:v>
                </c:pt>
                <c:pt idx="9">
                  <c:v>150</c:v>
                </c:pt>
                <c:pt idx="10">
                  <c:v>8</c:v>
                </c:pt>
                <c:pt idx="11">
                  <c:v>270</c:v>
                </c:pt>
                <c:pt idx="12">
                  <c:v>202</c:v>
                </c:pt>
                <c:pt idx="13">
                  <c:v>145</c:v>
                </c:pt>
                <c:pt idx="14">
                  <c:v>337</c:v>
                </c:pt>
                <c:pt idx="15">
                  <c:v>177</c:v>
                </c:pt>
                <c:pt idx="16">
                  <c:v>196</c:v>
                </c:pt>
                <c:pt idx="17">
                  <c:v>277</c:v>
                </c:pt>
                <c:pt idx="18">
                  <c:v>144</c:v>
                </c:pt>
                <c:pt idx="19">
                  <c:v>68</c:v>
                </c:pt>
                <c:pt idx="20">
                  <c:v>536</c:v>
                </c:pt>
                <c:pt idx="21">
                  <c:v>159</c:v>
                </c:pt>
                <c:pt idx="22">
                  <c:v>77</c:v>
                </c:pt>
                <c:pt idx="23">
                  <c:v>232</c:v>
                </c:pt>
                <c:pt idx="24">
                  <c:v>133</c:v>
                </c:pt>
                <c:pt idx="25">
                  <c:v>346</c:v>
                </c:pt>
                <c:pt idx="26">
                  <c:v>234</c:v>
                </c:pt>
                <c:pt idx="27">
                  <c:v>150</c:v>
                </c:pt>
                <c:pt idx="28">
                  <c:v>309</c:v>
                </c:pt>
                <c:pt idx="29">
                  <c:v>635</c:v>
                </c:pt>
                <c:pt idx="30">
                  <c:v>386</c:v>
                </c:pt>
                <c:pt idx="31">
                  <c:v>94</c:v>
                </c:pt>
                <c:pt idx="32">
                  <c:v>55</c:v>
                </c:pt>
                <c:pt idx="33">
                  <c:v>102</c:v>
                </c:pt>
                <c:pt idx="34">
                  <c:v>238</c:v>
                </c:pt>
                <c:pt idx="35">
                  <c:v>146</c:v>
                </c:pt>
                <c:pt idx="36">
                  <c:v>159</c:v>
                </c:pt>
                <c:pt idx="37">
                  <c:v>3</c:v>
                </c:pt>
                <c:pt idx="38">
                  <c:v>203</c:v>
                </c:pt>
                <c:pt idx="39">
                  <c:v>217</c:v>
                </c:pt>
                <c:pt idx="40">
                  <c:v>116</c:v>
                </c:pt>
                <c:pt idx="41">
                  <c:v>110</c:v>
                </c:pt>
                <c:pt idx="42">
                  <c:v>266</c:v>
                </c:pt>
                <c:pt idx="43">
                  <c:v>236</c:v>
                </c:pt>
                <c:pt idx="44">
                  <c:v>314</c:v>
                </c:pt>
                <c:pt idx="45">
                  <c:v>374</c:v>
                </c:pt>
                <c:pt idx="46">
                  <c:v>149</c:v>
                </c:pt>
                <c:pt idx="47">
                  <c:v>282</c:v>
                </c:pt>
                <c:pt idx="48">
                  <c:v>94</c:v>
                </c:pt>
                <c:pt idx="49">
                  <c:v>553</c:v>
                </c:pt>
                <c:pt idx="50">
                  <c:v>149</c:v>
                </c:pt>
                <c:pt idx="51">
                  <c:v>441</c:v>
                </c:pt>
                <c:pt idx="52">
                  <c:v>10</c:v>
                </c:pt>
                <c:pt idx="53">
                  <c:v>101</c:v>
                </c:pt>
                <c:pt idx="54">
                  <c:v>87</c:v>
                </c:pt>
                <c:pt idx="55">
                  <c:v>165</c:v>
                </c:pt>
                <c:pt idx="56">
                  <c:v>65</c:v>
                </c:pt>
                <c:pt idx="57">
                  <c:v>281</c:v>
                </c:pt>
                <c:pt idx="58">
                  <c:v>229</c:v>
                </c:pt>
                <c:pt idx="59">
                  <c:v>110</c:v>
                </c:pt>
                <c:pt idx="60">
                  <c:v>328</c:v>
                </c:pt>
                <c:pt idx="61">
                  <c:v>203</c:v>
                </c:pt>
                <c:pt idx="62">
                  <c:v>125</c:v>
                </c:pt>
                <c:pt idx="63">
                  <c:v>239</c:v>
                </c:pt>
                <c:pt idx="64">
                  <c:v>378</c:v>
                </c:pt>
                <c:pt idx="65">
                  <c:v>286</c:v>
                </c:pt>
                <c:pt idx="66">
                  <c:v>332</c:v>
                </c:pt>
                <c:pt idx="67">
                  <c:v>15</c:v>
                </c:pt>
                <c:pt idx="68">
                  <c:v>100</c:v>
                </c:pt>
                <c:pt idx="69">
                  <c:v>186</c:v>
                </c:pt>
                <c:pt idx="70">
                  <c:v>398</c:v>
                </c:pt>
                <c:pt idx="71">
                  <c:v>33</c:v>
                </c:pt>
                <c:pt idx="72">
                  <c:v>147</c:v>
                </c:pt>
                <c:pt idx="73">
                  <c:v>238</c:v>
                </c:pt>
                <c:pt idx="7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0-4D31-A2F3-1DBC59183F2B}"/>
            </c:ext>
          </c:extLst>
        </c:ser>
        <c:ser>
          <c:idx val="1"/>
          <c:order val="1"/>
          <c:tx>
            <c:strRef>
              <c:f>Ej.5!$C$3</c:f>
              <c:strCache>
                <c:ptCount val="1"/>
                <c:pt idx="0">
                  <c:v>Suma de Proyección 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Ej.5!$A$4:$A$79</c:f>
              <c:strCache>
                <c:ptCount val="75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Camembert Pierrot</c:v>
                </c:pt>
                <c:pt idx="4">
                  <c:v>Carnarvon Tigers</c:v>
                </c:pt>
                <c:pt idx="5">
                  <c:v>Chai</c:v>
                </c:pt>
                <c:pt idx="6">
                  <c:v>Chang</c:v>
                </c:pt>
                <c:pt idx="7">
                  <c:v>Chartreuse verte</c:v>
                </c:pt>
                <c:pt idx="8">
                  <c:v>Chef Anton's Cajun Seasoning</c:v>
                </c:pt>
                <c:pt idx="9">
                  <c:v>Chef Anton's Gumbo Mix</c:v>
                </c:pt>
                <c:pt idx="10">
                  <c:v>Chocolade</c:v>
                </c:pt>
                <c:pt idx="11">
                  <c:v>Côte de Blaye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Fløtemysost</c:v>
                </c:pt>
                <c:pt idx="15">
                  <c:v>Geitost</c:v>
                </c:pt>
                <c:pt idx="16">
                  <c:v>Gnocchi di nonna Alice</c:v>
                </c:pt>
                <c:pt idx="17">
                  <c:v>Gorgonzola Telino</c:v>
                </c:pt>
                <c:pt idx="18">
                  <c:v>Grandma's Boysenberry Spread</c:v>
                </c:pt>
                <c:pt idx="19">
                  <c:v>Gravad lax</c:v>
                </c:pt>
                <c:pt idx="20">
                  <c:v>Guaraná Fantástica</c:v>
                </c:pt>
                <c:pt idx="21">
                  <c:v>Gudbrandsdalsost</c:v>
                </c:pt>
                <c:pt idx="22">
                  <c:v>Gula Malacca</c:v>
                </c:pt>
                <c:pt idx="23">
                  <c:v>Gumbär Gummibärchen</c:v>
                </c:pt>
                <c:pt idx="24">
                  <c:v>Gustaf's Knäckebröd</c:v>
                </c:pt>
                <c:pt idx="25">
                  <c:v>Ikura</c:v>
                </c:pt>
                <c:pt idx="26">
                  <c:v>Inlagd Sill</c:v>
                </c:pt>
                <c:pt idx="27">
                  <c:v>Ipoh Coffee</c:v>
                </c:pt>
                <c:pt idx="28">
                  <c:v>Jack's New England Clam Chowder</c:v>
                </c:pt>
                <c:pt idx="29">
                  <c:v>Konbu</c:v>
                </c:pt>
                <c:pt idx="30">
                  <c:v>Lakkalikööri</c:v>
                </c:pt>
                <c:pt idx="31">
                  <c:v>Laughing Lumberjack Lager</c:v>
                </c:pt>
                <c:pt idx="32">
                  <c:v>Longlife Tofu</c:v>
                </c:pt>
                <c:pt idx="33">
                  <c:v>Louisiana Fiery Hot Pepper Sauce</c:v>
                </c:pt>
                <c:pt idx="34">
                  <c:v>Manjimup Dried Apples</c:v>
                </c:pt>
                <c:pt idx="35">
                  <c:v>Mascarpone Fabioli</c:v>
                </c:pt>
                <c:pt idx="36">
                  <c:v>Maxilaku</c:v>
                </c:pt>
                <c:pt idx="37">
                  <c:v>Mishi Kobe Niku</c:v>
                </c:pt>
                <c:pt idx="38">
                  <c:v>Mozzarella di Giovanni</c:v>
                </c:pt>
                <c:pt idx="39">
                  <c:v>Nord-Ost Matjeshering</c:v>
                </c:pt>
                <c:pt idx="40">
                  <c:v>Northwoods Cranberry Sauce</c:v>
                </c:pt>
                <c:pt idx="41">
                  <c:v>NuNuCa Nuß-Nougat-Creme</c:v>
                </c:pt>
                <c:pt idx="42">
                  <c:v>Original Frankfurter grüne Soße</c:v>
                </c:pt>
                <c:pt idx="43">
                  <c:v>Outback Lager</c:v>
                </c:pt>
                <c:pt idx="44">
                  <c:v>Pâté chinois</c:v>
                </c:pt>
                <c:pt idx="45">
                  <c:v>Pavlova</c:v>
                </c:pt>
                <c:pt idx="46">
                  <c:v>Perth Pasties</c:v>
                </c:pt>
                <c:pt idx="47">
                  <c:v>Queso Cabrales</c:v>
                </c:pt>
                <c:pt idx="48">
                  <c:v>Queso Manchego La Pastora</c:v>
                </c:pt>
                <c:pt idx="49">
                  <c:v>Raclette Courdavault</c:v>
                </c:pt>
                <c:pt idx="50">
                  <c:v>Ravioli Angelo</c:v>
                </c:pt>
                <c:pt idx="51">
                  <c:v>Rhönbräu Klosterbier</c:v>
                </c:pt>
                <c:pt idx="52">
                  <c:v>Röd Kaviar</c:v>
                </c:pt>
                <c:pt idx="53">
                  <c:v>Røgede sild</c:v>
                </c:pt>
                <c:pt idx="54">
                  <c:v>Rössle Sauerkraut</c:v>
                </c:pt>
                <c:pt idx="55">
                  <c:v>Sasquatch Ale</c:v>
                </c:pt>
                <c:pt idx="56">
                  <c:v>Schoggi Schokolade</c:v>
                </c:pt>
                <c:pt idx="57">
                  <c:v>Scottish Longbreads</c:v>
                </c:pt>
                <c:pt idx="58">
                  <c:v>Singaporean Hokkien Fried Mee</c:v>
                </c:pt>
                <c:pt idx="59">
                  <c:v>Sir Rodney's Marmalade</c:v>
                </c:pt>
                <c:pt idx="60">
                  <c:v>Sir Rodney's Scones</c:v>
                </c:pt>
                <c:pt idx="61">
                  <c:v>Sirop d'érable</c:v>
                </c:pt>
                <c:pt idx="62">
                  <c:v>Spegesild</c:v>
                </c:pt>
                <c:pt idx="63">
                  <c:v>Steeleye Stout</c:v>
                </c:pt>
                <c:pt idx="64">
                  <c:v>Tarte au sucre</c:v>
                </c:pt>
                <c:pt idx="65">
                  <c:v>Teatime Chocolate Biscuits</c:v>
                </c:pt>
                <c:pt idx="66">
                  <c:v>Thüringer Rostbratwurst</c:v>
                </c:pt>
                <c:pt idx="67">
                  <c:v>Tofu</c:v>
                </c:pt>
                <c:pt idx="68">
                  <c:v>Tourtière</c:v>
                </c:pt>
                <c:pt idx="69">
                  <c:v>Tunnbröd</c:v>
                </c:pt>
                <c:pt idx="70">
                  <c:v>Uncle Bob's Organic Dried Pears</c:v>
                </c:pt>
                <c:pt idx="71">
                  <c:v>Valkoinen suklaa</c:v>
                </c:pt>
                <c:pt idx="72">
                  <c:v>Vegie-spread</c:v>
                </c:pt>
                <c:pt idx="73">
                  <c:v>Wimmers gute Semmelknödel</c:v>
                </c:pt>
                <c:pt idx="74">
                  <c:v>Zaanse koeken</c:v>
                </c:pt>
              </c:strCache>
            </c:strRef>
          </c:cat>
          <c:val>
            <c:numRef>
              <c:f>Ej.5!$C$4:$C$79</c:f>
              <c:numCache>
                <c:formatCode>General</c:formatCode>
                <c:ptCount val="75"/>
                <c:pt idx="0">
                  <c:v>408</c:v>
                </c:pt>
                <c:pt idx="1">
                  <c:v>176.79999999999998</c:v>
                </c:pt>
                <c:pt idx="2">
                  <c:v>456</c:v>
                </c:pt>
                <c:pt idx="3">
                  <c:v>703.5</c:v>
                </c:pt>
                <c:pt idx="4">
                  <c:v>256.7</c:v>
                </c:pt>
                <c:pt idx="5">
                  <c:v>538.5</c:v>
                </c:pt>
                <c:pt idx="6">
                  <c:v>531</c:v>
                </c:pt>
                <c:pt idx="7">
                  <c:v>411.4</c:v>
                </c:pt>
                <c:pt idx="8">
                  <c:v>137.69999999999999</c:v>
                </c:pt>
                <c:pt idx="9">
                  <c:v>255</c:v>
                </c:pt>
                <c:pt idx="10">
                  <c:v>13.6</c:v>
                </c:pt>
                <c:pt idx="11">
                  <c:v>459</c:v>
                </c:pt>
                <c:pt idx="12">
                  <c:v>343.4</c:v>
                </c:pt>
                <c:pt idx="13">
                  <c:v>246.5</c:v>
                </c:pt>
                <c:pt idx="14">
                  <c:v>505.5</c:v>
                </c:pt>
                <c:pt idx="15">
                  <c:v>300.89999999999998</c:v>
                </c:pt>
                <c:pt idx="16">
                  <c:v>333.2</c:v>
                </c:pt>
                <c:pt idx="17">
                  <c:v>470.9</c:v>
                </c:pt>
                <c:pt idx="18">
                  <c:v>244.79999999999998</c:v>
                </c:pt>
                <c:pt idx="19">
                  <c:v>115.6</c:v>
                </c:pt>
                <c:pt idx="20">
                  <c:v>804</c:v>
                </c:pt>
                <c:pt idx="21">
                  <c:v>270.3</c:v>
                </c:pt>
                <c:pt idx="22">
                  <c:v>130.9</c:v>
                </c:pt>
                <c:pt idx="23">
                  <c:v>394.4</c:v>
                </c:pt>
                <c:pt idx="24">
                  <c:v>226.1</c:v>
                </c:pt>
                <c:pt idx="25">
                  <c:v>519</c:v>
                </c:pt>
                <c:pt idx="26">
                  <c:v>397.8</c:v>
                </c:pt>
                <c:pt idx="27">
                  <c:v>255</c:v>
                </c:pt>
                <c:pt idx="28">
                  <c:v>463.5</c:v>
                </c:pt>
                <c:pt idx="29">
                  <c:v>952.5</c:v>
                </c:pt>
                <c:pt idx="30">
                  <c:v>579</c:v>
                </c:pt>
                <c:pt idx="31">
                  <c:v>159.79999999999998</c:v>
                </c:pt>
                <c:pt idx="32">
                  <c:v>93.5</c:v>
                </c:pt>
                <c:pt idx="33">
                  <c:v>173.4</c:v>
                </c:pt>
                <c:pt idx="34">
                  <c:v>404.59999999999997</c:v>
                </c:pt>
                <c:pt idx="35">
                  <c:v>248.2</c:v>
                </c:pt>
                <c:pt idx="36">
                  <c:v>270.3</c:v>
                </c:pt>
                <c:pt idx="37">
                  <c:v>5.0999999999999996</c:v>
                </c:pt>
                <c:pt idx="38">
                  <c:v>345.09999999999997</c:v>
                </c:pt>
                <c:pt idx="39">
                  <c:v>368.9</c:v>
                </c:pt>
                <c:pt idx="40">
                  <c:v>197.2</c:v>
                </c:pt>
                <c:pt idx="41">
                  <c:v>187</c:v>
                </c:pt>
                <c:pt idx="42">
                  <c:v>452.2</c:v>
                </c:pt>
                <c:pt idx="43">
                  <c:v>401.2</c:v>
                </c:pt>
                <c:pt idx="44">
                  <c:v>471</c:v>
                </c:pt>
                <c:pt idx="45">
                  <c:v>561</c:v>
                </c:pt>
                <c:pt idx="46">
                  <c:v>253.29999999999998</c:v>
                </c:pt>
                <c:pt idx="47">
                  <c:v>479.4</c:v>
                </c:pt>
                <c:pt idx="48">
                  <c:v>159.79999999999998</c:v>
                </c:pt>
                <c:pt idx="49">
                  <c:v>829.5</c:v>
                </c:pt>
                <c:pt idx="50">
                  <c:v>253.29999999999998</c:v>
                </c:pt>
                <c:pt idx="51">
                  <c:v>661.5</c:v>
                </c:pt>
                <c:pt idx="52">
                  <c:v>17</c:v>
                </c:pt>
                <c:pt idx="53">
                  <c:v>171.7</c:v>
                </c:pt>
                <c:pt idx="54">
                  <c:v>147.9</c:v>
                </c:pt>
                <c:pt idx="55">
                  <c:v>280.5</c:v>
                </c:pt>
                <c:pt idx="56">
                  <c:v>110.5</c:v>
                </c:pt>
                <c:pt idx="57">
                  <c:v>477.7</c:v>
                </c:pt>
                <c:pt idx="58">
                  <c:v>389.3</c:v>
                </c:pt>
                <c:pt idx="59">
                  <c:v>187</c:v>
                </c:pt>
                <c:pt idx="60">
                  <c:v>492</c:v>
                </c:pt>
                <c:pt idx="61">
                  <c:v>345.09999999999997</c:v>
                </c:pt>
                <c:pt idx="62">
                  <c:v>212.5</c:v>
                </c:pt>
                <c:pt idx="63">
                  <c:v>406.3</c:v>
                </c:pt>
                <c:pt idx="64">
                  <c:v>567</c:v>
                </c:pt>
                <c:pt idx="65">
                  <c:v>486.2</c:v>
                </c:pt>
                <c:pt idx="66">
                  <c:v>498</c:v>
                </c:pt>
                <c:pt idx="67">
                  <c:v>25.5</c:v>
                </c:pt>
                <c:pt idx="68">
                  <c:v>170</c:v>
                </c:pt>
                <c:pt idx="69">
                  <c:v>316.2</c:v>
                </c:pt>
                <c:pt idx="70">
                  <c:v>597</c:v>
                </c:pt>
                <c:pt idx="71">
                  <c:v>56.1</c:v>
                </c:pt>
                <c:pt idx="72">
                  <c:v>249.9</c:v>
                </c:pt>
                <c:pt idx="73">
                  <c:v>404.59999999999997</c:v>
                </c:pt>
                <c:pt idx="74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0-4D31-A2F3-1DBC59183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1977935"/>
        <c:axId val="411978415"/>
      </c:barChart>
      <c:catAx>
        <c:axId val="411977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1978415"/>
        <c:crosses val="autoZero"/>
        <c:auto val="1"/>
        <c:lblAlgn val="ctr"/>
        <c:lblOffset val="100"/>
        <c:noMultiLvlLbl val="0"/>
      </c:catAx>
      <c:valAx>
        <c:axId val="41197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197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Gráficos!$A$59:$A$68</c:f>
              <c:strCache>
                <c:ptCount val="10"/>
                <c:pt idx="0">
                  <c:v>Argentina</c:v>
                </c:pt>
                <c:pt idx="1">
                  <c:v>Bélgica</c:v>
                </c:pt>
                <c:pt idx="2">
                  <c:v>Alemania</c:v>
                </c:pt>
                <c:pt idx="3">
                  <c:v>Colombia</c:v>
                </c:pt>
                <c:pt idx="4">
                  <c:v>Brasil</c:v>
                </c:pt>
                <c:pt idx="5">
                  <c:v>Portugal</c:v>
                </c:pt>
                <c:pt idx="6">
                  <c:v>Rumania</c:v>
                </c:pt>
                <c:pt idx="7">
                  <c:v>Inglaterra</c:v>
                </c:pt>
                <c:pt idx="8">
                  <c:v>Gales</c:v>
                </c:pt>
                <c:pt idx="9">
                  <c:v>Chile</c:v>
                </c:pt>
              </c:strCache>
            </c:strRef>
          </c:cat>
          <c:val>
            <c:numRef>
              <c:f>Gráficos!$B$59:$B$68</c:f>
              <c:numCache>
                <c:formatCode>General</c:formatCode>
                <c:ptCount val="10"/>
                <c:pt idx="0">
                  <c:v>1425</c:v>
                </c:pt>
                <c:pt idx="1">
                  <c:v>1244</c:v>
                </c:pt>
                <c:pt idx="2">
                  <c:v>1226</c:v>
                </c:pt>
                <c:pt idx="3">
                  <c:v>1218</c:v>
                </c:pt>
                <c:pt idx="4">
                  <c:v>1186</c:v>
                </c:pt>
                <c:pt idx="5">
                  <c:v>1177</c:v>
                </c:pt>
                <c:pt idx="6">
                  <c:v>1166</c:v>
                </c:pt>
                <c:pt idx="7">
                  <c:v>1157</c:v>
                </c:pt>
                <c:pt idx="8">
                  <c:v>1155</c:v>
                </c:pt>
                <c:pt idx="9">
                  <c:v>1124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E-4C19-B61E-C23BE68E8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7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Gráficos!$B$115</c:f>
              <c:strCache>
                <c:ptCount val="1"/>
                <c:pt idx="0">
                  <c:v>Preventa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>
                  <a:alpha val="96000"/>
                </a:srgbClr>
              </a:solidFill>
            </a:ln>
            <a:effectLst/>
          </c:spPr>
          <c:invertIfNegative val="0"/>
          <c:cat>
            <c:numRef>
              <c:f>Gráficos!$A$116:$A$127</c:f>
              <c:numCache>
                <c:formatCode>mmm\-yy</c:formatCode>
                <c:ptCount val="1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</c:numCache>
            </c:numRef>
          </c:cat>
          <c:val>
            <c:numRef>
              <c:f>Gráficos!$B$116:$B$127</c:f>
              <c:numCache>
                <c:formatCode>_(* #,##0_);_(* \(#,##0\);_(* "-"??_);_(@_)</c:formatCode>
                <c:ptCount val="12"/>
                <c:pt idx="0">
                  <c:v>2121</c:v>
                </c:pt>
                <c:pt idx="1">
                  <c:v>1346</c:v>
                </c:pt>
                <c:pt idx="2">
                  <c:v>1888</c:v>
                </c:pt>
                <c:pt idx="3">
                  <c:v>1084</c:v>
                </c:pt>
                <c:pt idx="4">
                  <c:v>3488</c:v>
                </c:pt>
                <c:pt idx="5">
                  <c:v>2683</c:v>
                </c:pt>
                <c:pt idx="6">
                  <c:v>4248</c:v>
                </c:pt>
                <c:pt idx="7">
                  <c:v>3247</c:v>
                </c:pt>
                <c:pt idx="8">
                  <c:v>2113</c:v>
                </c:pt>
                <c:pt idx="9">
                  <c:v>4659</c:v>
                </c:pt>
                <c:pt idx="10">
                  <c:v>3317</c:v>
                </c:pt>
                <c:pt idx="11">
                  <c:v>3488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6-46B2-B66D-06940476B8FF}"/>
            </c:ext>
          </c:extLst>
        </c:ser>
        <c:ser>
          <c:idx val="1"/>
          <c:order val="1"/>
          <c:tx>
            <c:strRef>
              <c:f>Gráficos!$C$115</c:f>
              <c:strCache>
                <c:ptCount val="1"/>
                <c:pt idx="0">
                  <c:v>CallCenter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Gráficos!$A$116:$A$127</c:f>
              <c:numCache>
                <c:formatCode>mmm\-yy</c:formatCode>
                <c:ptCount val="1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</c:numCache>
            </c:numRef>
          </c:cat>
          <c:val>
            <c:numRef>
              <c:f>Gráficos!$C$116:$C$127</c:f>
              <c:numCache>
                <c:formatCode>_(* #,##0_);_(* \(#,##0\);_(* "-"??_);_(@_)</c:formatCode>
                <c:ptCount val="12"/>
                <c:pt idx="0">
                  <c:v>216</c:v>
                </c:pt>
                <c:pt idx="1">
                  <c:v>299</c:v>
                </c:pt>
                <c:pt idx="2">
                  <c:v>205</c:v>
                </c:pt>
                <c:pt idx="3">
                  <c:v>231</c:v>
                </c:pt>
                <c:pt idx="4">
                  <c:v>220</c:v>
                </c:pt>
                <c:pt idx="5">
                  <c:v>279</c:v>
                </c:pt>
                <c:pt idx="6">
                  <c:v>263</c:v>
                </c:pt>
                <c:pt idx="7">
                  <c:v>217</c:v>
                </c:pt>
                <c:pt idx="8">
                  <c:v>264</c:v>
                </c:pt>
                <c:pt idx="9">
                  <c:v>263</c:v>
                </c:pt>
                <c:pt idx="10">
                  <c:v>296</c:v>
                </c:pt>
                <c:pt idx="11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A6-46B2-B66D-06940476B8FF}"/>
            </c:ext>
          </c:extLst>
        </c:ser>
        <c:ser>
          <c:idx val="2"/>
          <c:order val="2"/>
          <c:tx>
            <c:strRef>
              <c:f>Gráficos!$D$115</c:f>
              <c:strCache>
                <c:ptCount val="1"/>
                <c:pt idx="0">
                  <c:v>EDI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Gráficos!$A$116:$A$127</c:f>
              <c:numCache>
                <c:formatCode>mmm\-yy</c:formatCode>
                <c:ptCount val="1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</c:numCache>
            </c:numRef>
          </c:cat>
          <c:val>
            <c:numRef>
              <c:f>Gráficos!$D$116:$D$127</c:f>
              <c:numCache>
                <c:formatCode>_(* #,##0_);_(* \(#,##0\);_(* "-"??_);_(@_)</c:formatCode>
                <c:ptCount val="12"/>
                <c:pt idx="0">
                  <c:v>72</c:v>
                </c:pt>
                <c:pt idx="1">
                  <c:v>67</c:v>
                </c:pt>
                <c:pt idx="2">
                  <c:v>77</c:v>
                </c:pt>
                <c:pt idx="3">
                  <c:v>60</c:v>
                </c:pt>
                <c:pt idx="4">
                  <c:v>10</c:v>
                </c:pt>
                <c:pt idx="5">
                  <c:v>97</c:v>
                </c:pt>
                <c:pt idx="6">
                  <c:v>39</c:v>
                </c:pt>
                <c:pt idx="7">
                  <c:v>17</c:v>
                </c:pt>
                <c:pt idx="8">
                  <c:v>33</c:v>
                </c:pt>
                <c:pt idx="9">
                  <c:v>94</c:v>
                </c:pt>
                <c:pt idx="10">
                  <c:v>56</c:v>
                </c:pt>
                <c:pt idx="1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A6-46B2-B66D-06940476B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0144367"/>
        <c:axId val="310147247"/>
      </c:barChart>
      <c:lineChart>
        <c:grouping val="standard"/>
        <c:varyColors val="0"/>
        <c:ser>
          <c:idx val="4"/>
          <c:order val="3"/>
          <c:tx>
            <c:strRef>
              <c:f>Gráficos!$F$115</c:f>
              <c:strCache>
                <c:ptCount val="1"/>
                <c:pt idx="0">
                  <c:v>% De Venta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Gráficos!$A$116:$A$127</c:f>
              <c:numCache>
                <c:formatCode>mmm\-yy</c:formatCode>
                <c:ptCount val="1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</c:numCache>
            </c:numRef>
          </c:cat>
          <c:val>
            <c:numRef>
              <c:f>Gráficos!$F$116:$F$127</c:f>
              <c:numCache>
                <c:formatCode>0.0%</c:formatCode>
                <c:ptCount val="12"/>
                <c:pt idx="0">
                  <c:v>6.4346386024894495E-2</c:v>
                </c:pt>
                <c:pt idx="1">
                  <c:v>4.5728938511672632E-2</c:v>
                </c:pt>
                <c:pt idx="2">
                  <c:v>5.7962497996687859E-2</c:v>
                </c:pt>
                <c:pt idx="3">
                  <c:v>3.6727389283615575E-2</c:v>
                </c:pt>
                <c:pt idx="4">
                  <c:v>9.9310860622896527E-2</c:v>
                </c:pt>
                <c:pt idx="5">
                  <c:v>8.1708424595330953E-2</c:v>
                </c:pt>
                <c:pt idx="6">
                  <c:v>0.12153426999305518</c:v>
                </c:pt>
                <c:pt idx="7">
                  <c:v>9.298039425182969E-2</c:v>
                </c:pt>
                <c:pt idx="8">
                  <c:v>6.4373096853464401E-2</c:v>
                </c:pt>
                <c:pt idx="9">
                  <c:v>0.13398151610662962</c:v>
                </c:pt>
                <c:pt idx="10">
                  <c:v>9.8002030022971309E-2</c:v>
                </c:pt>
                <c:pt idx="11">
                  <c:v>0.10334419573695176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5A6-46B2-B66D-06940476B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28895"/>
        <c:axId val="498625535"/>
      </c:lineChart>
      <c:dateAx>
        <c:axId val="31014436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alpha val="14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0147247"/>
        <c:crosses val="autoZero"/>
        <c:auto val="1"/>
        <c:lblOffset val="100"/>
        <c:baseTimeUnit val="months"/>
      </c:dateAx>
      <c:valAx>
        <c:axId val="31014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21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0144367"/>
        <c:crosses val="autoZero"/>
        <c:crossBetween val="between"/>
      </c:valAx>
      <c:valAx>
        <c:axId val="498625535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8628895"/>
        <c:crosses val="max"/>
        <c:crossBetween val="between"/>
      </c:valAx>
      <c:dateAx>
        <c:axId val="49862889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out"/>
        <c:minorTickMark val="none"/>
        <c:tickLblPos val="nextTo"/>
        <c:crossAx val="498625535"/>
        <c:auto val="1"/>
        <c:lblOffset val="100"/>
        <c:baseTimeUnit val="months"/>
      </c:date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Gráficos!$C$150</c:f>
              <c:strCache>
                <c:ptCount val="1"/>
                <c:pt idx="0">
                  <c:v>Tiempo Req (Días)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Gráficos!$A$151:$B$156</c:f>
              <c:multiLvlStrCache>
                <c:ptCount val="6"/>
                <c:lvl>
                  <c:pt idx="0">
                    <c:v>5/08/2011</c:v>
                  </c:pt>
                  <c:pt idx="1">
                    <c:v>19/08/2011</c:v>
                  </c:pt>
                  <c:pt idx="2">
                    <c:v>16/09/2011</c:v>
                  </c:pt>
                  <c:pt idx="3">
                    <c:v>4/11/2011</c:v>
                  </c:pt>
                  <c:pt idx="4">
                    <c:v>23/09/2011</c:v>
                  </c:pt>
                  <c:pt idx="5">
                    <c:v>29/10/2011</c:v>
                  </c:pt>
                </c:lvl>
                <c:lvl>
                  <c:pt idx="0">
                    <c:v>Tarea 1 </c:v>
                  </c:pt>
                  <c:pt idx="1">
                    <c:v>Tarea 2 </c:v>
                  </c:pt>
                  <c:pt idx="2">
                    <c:v>Parcial 1</c:v>
                  </c:pt>
                  <c:pt idx="3">
                    <c:v>Parcial 2</c:v>
                  </c:pt>
                  <c:pt idx="4">
                    <c:v>Proyecto 1</c:v>
                  </c:pt>
                  <c:pt idx="5">
                    <c:v>Proyecto 2</c:v>
                  </c:pt>
                </c:lvl>
              </c:multiLvlStrCache>
            </c:multiLvlStrRef>
          </c:cat>
          <c:val>
            <c:numRef>
              <c:f>Gráficos!$C$151:$C$156</c:f>
              <c:numCache>
                <c:formatCode>General</c:formatCode>
                <c:ptCount val="6"/>
                <c:pt idx="0">
                  <c:v>3.5</c:v>
                </c:pt>
                <c:pt idx="1">
                  <c:v>6</c:v>
                </c:pt>
                <c:pt idx="2">
                  <c:v>3</c:v>
                </c:pt>
                <c:pt idx="3">
                  <c:v>2.5</c:v>
                </c:pt>
                <c:pt idx="4">
                  <c:v>10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8-4AFA-A562-E7FB9D4F2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058351"/>
        <c:axId val="410058831"/>
      </c:barChart>
      <c:catAx>
        <c:axId val="41005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0058831"/>
        <c:crosses val="autoZero"/>
        <c:auto val="1"/>
        <c:lblAlgn val="ctr"/>
        <c:lblOffset val="100"/>
        <c:noMultiLvlLbl val="0"/>
      </c:catAx>
      <c:valAx>
        <c:axId val="41005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005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Gráficos!$J$175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Gráficos!$B$175:$I$175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Gráficos!$J$176:$J$178</c:f>
              <c:numCache>
                <c:formatCode>General</c:formatCode>
                <c:ptCount val="3"/>
                <c:pt idx="0">
                  <c:v>228.375</c:v>
                </c:pt>
                <c:pt idx="1">
                  <c:v>332.5</c:v>
                </c:pt>
                <c:pt idx="2">
                  <c:v>302.125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F28-4865-B063-2AE42B152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1439119"/>
        <c:axId val="501435279"/>
      </c:barChart>
      <c:lineChart>
        <c:grouping val="standard"/>
        <c:varyColors val="0"/>
        <c:ser>
          <c:idx val="0"/>
          <c:order val="0"/>
          <c:tx>
            <c:strRef>
              <c:f>Gráficos!$A$176</c:f>
              <c:strCache>
                <c:ptCount val="1"/>
                <c:pt idx="0">
                  <c:v>Producto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Gráficos!$B$175:$I$175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Gráficos!$B$176:$I$176</c:f>
              <c:numCache>
                <c:formatCode>General</c:formatCode>
                <c:ptCount val="8"/>
                <c:pt idx="0">
                  <c:v>287</c:v>
                </c:pt>
                <c:pt idx="1">
                  <c:v>200</c:v>
                </c:pt>
                <c:pt idx="2">
                  <c:v>270</c:v>
                </c:pt>
                <c:pt idx="3">
                  <c:v>282</c:v>
                </c:pt>
                <c:pt idx="4">
                  <c:v>248</c:v>
                </c:pt>
                <c:pt idx="5">
                  <c:v>200</c:v>
                </c:pt>
                <c:pt idx="6">
                  <c:v>184</c:v>
                </c:pt>
                <c:pt idx="7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28-4865-B063-2AE42B1528E2}"/>
            </c:ext>
          </c:extLst>
        </c:ser>
        <c:ser>
          <c:idx val="1"/>
          <c:order val="1"/>
          <c:tx>
            <c:strRef>
              <c:f>Gráficos!$A$177</c:f>
              <c:strCache>
                <c:ptCount val="1"/>
                <c:pt idx="0">
                  <c:v>Producto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Gráficos!$B$175:$I$175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Gráficos!$B$177:$I$177</c:f>
              <c:numCache>
                <c:formatCode>General</c:formatCode>
                <c:ptCount val="8"/>
                <c:pt idx="0">
                  <c:v>325</c:v>
                </c:pt>
                <c:pt idx="1">
                  <c:v>400</c:v>
                </c:pt>
                <c:pt idx="2">
                  <c:v>390</c:v>
                </c:pt>
                <c:pt idx="3">
                  <c:v>306</c:v>
                </c:pt>
                <c:pt idx="4">
                  <c:v>292</c:v>
                </c:pt>
                <c:pt idx="5">
                  <c:v>300</c:v>
                </c:pt>
                <c:pt idx="6">
                  <c:v>279</c:v>
                </c:pt>
                <c:pt idx="7">
                  <c:v>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28-4865-B063-2AE42B1528E2}"/>
            </c:ext>
          </c:extLst>
        </c:ser>
        <c:ser>
          <c:idx val="2"/>
          <c:order val="2"/>
          <c:tx>
            <c:strRef>
              <c:f>Gráficos!$A$178</c:f>
              <c:strCache>
                <c:ptCount val="1"/>
                <c:pt idx="0">
                  <c:v>Producto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Gráficos!$B$175:$I$175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Gráficos!$B$178:$I$178</c:f>
              <c:numCache>
                <c:formatCode>General</c:formatCode>
                <c:ptCount val="8"/>
                <c:pt idx="0">
                  <c:v>253</c:v>
                </c:pt>
                <c:pt idx="1">
                  <c:v>258</c:v>
                </c:pt>
                <c:pt idx="2">
                  <c:v>283</c:v>
                </c:pt>
                <c:pt idx="3">
                  <c:v>294</c:v>
                </c:pt>
                <c:pt idx="4">
                  <c:v>305</c:v>
                </c:pt>
                <c:pt idx="5">
                  <c:v>324</c:v>
                </c:pt>
                <c:pt idx="6">
                  <c:v>372</c:v>
                </c:pt>
                <c:pt idx="7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28-4865-B063-2AE42B152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439119"/>
        <c:axId val="501435279"/>
      </c:lineChart>
      <c:catAx>
        <c:axId val="50143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1435279"/>
        <c:crosses val="autoZero"/>
        <c:auto val="1"/>
        <c:lblAlgn val="ctr"/>
        <c:lblOffset val="100"/>
        <c:noMultiLvlLbl val="0"/>
      </c:catAx>
      <c:valAx>
        <c:axId val="50143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143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365760</xdr:colOff>
      <xdr:row>19</xdr:row>
      <xdr:rowOff>160020</xdr:rowOff>
    </xdr:from>
    <xdr:to>
      <xdr:col>9</xdr:col>
      <xdr:colOff>160020</xdr:colOff>
      <xdr:row>33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Vendedor2">
              <a:extLst>
                <a:ext uri="{FF2B5EF4-FFF2-40B4-BE49-F238E27FC236}">
                  <a16:creationId xmlns:a16="http://schemas.microsoft.com/office/drawing/2014/main" id="{BBB55198-2FDE-8935-3BC1-15BACFA8F1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9620" y="36347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434340</xdr:colOff>
      <xdr:row>19</xdr:row>
      <xdr:rowOff>60960</xdr:rowOff>
    </xdr:from>
    <xdr:to>
      <xdr:col>13</xdr:col>
      <xdr:colOff>388620</xdr:colOff>
      <xdr:row>32</xdr:row>
      <xdr:rowOff>150495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ños (Enviado)">
              <a:extLst>
                <a:ext uri="{FF2B5EF4-FFF2-40B4-BE49-F238E27FC236}">
                  <a16:creationId xmlns:a16="http://schemas.microsoft.com/office/drawing/2014/main" id="{DC3D424C-D259-8864-3E51-74764AEE3B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Enviado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82740" y="35356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6</xdr:row>
      <xdr:rowOff>45720</xdr:rowOff>
    </xdr:from>
    <xdr:to>
      <xdr:col>36</xdr:col>
      <xdr:colOff>632460</xdr:colOff>
      <xdr:row>24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1FA8D5-DB01-3E66-B635-24D2149D6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708660</xdr:colOff>
      <xdr:row>2</xdr:row>
      <xdr:rowOff>152400</xdr:rowOff>
    </xdr:from>
    <xdr:to>
      <xdr:col>9</xdr:col>
      <xdr:colOff>525780</xdr:colOff>
      <xdr:row>17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4859E7-C550-235E-EF40-AD6F1DE75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148589</xdr:colOff>
      <xdr:row>0</xdr:row>
      <xdr:rowOff>167638</xdr:rowOff>
    </xdr:from>
    <xdr:to>
      <xdr:col>1</xdr:col>
      <xdr:colOff>360314</xdr:colOff>
      <xdr:row>4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58" t="16753" r="6388" b="16581"/>
        <a:stretch/>
      </xdr:blipFill>
      <xdr:spPr>
        <a:xfrm>
          <a:off x="148589" y="167638"/>
          <a:ext cx="2412000" cy="746762"/>
        </a:xfrm>
        <a:prstGeom prst="rect">
          <a:avLst/>
        </a:prstGeom>
      </xdr:spPr>
    </xdr:pic>
    <xdr:clientData/>
  </xdr:twoCellAnchor>
  <xdr:twoCellAnchor>
    <xdr:from>
      <xdr:col>1</xdr:col>
      <xdr:colOff>714375</xdr:colOff>
      <xdr:row>0</xdr:row>
      <xdr:rowOff>180975</xdr:rowOff>
    </xdr:from>
    <xdr:to>
      <xdr:col>12</xdr:col>
      <xdr:colOff>586740</xdr:colOff>
      <xdr:row>3</xdr:row>
      <xdr:rowOff>137160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914650" y="180975"/>
          <a:ext cx="10178415" cy="575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4400" b="1"/>
            <a:t>Sistemas de Apoyo a la Decisión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651509</xdr:colOff>
      <xdr:row>0</xdr:row>
      <xdr:rowOff>148590</xdr:rowOff>
    </xdr:from>
    <xdr:to>
      <xdr:col>17</xdr:col>
      <xdr:colOff>1323974</xdr:colOff>
      <xdr:row>4</xdr:row>
      <xdr:rowOff>72390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299584" y="148590"/>
          <a:ext cx="1247394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4400" b="1"/>
            <a:t>Sistemas de Apoyo a la Decisión</a:t>
          </a:r>
        </a:p>
      </xdr:txBody>
    </xdr:sp>
    <xdr:clientData/>
  </xdr:twoCellAnchor>
  <xdr:twoCellAnchor editAs="oneCell">
    <xdr:from>
      <xdr:col>0</xdr:col>
      <xdr:colOff>148589</xdr:colOff>
      <xdr:row>0</xdr:row>
      <xdr:rowOff>167639</xdr:rowOff>
    </xdr:from>
    <xdr:to>
      <xdr:col>2</xdr:col>
      <xdr:colOff>162726</xdr:colOff>
      <xdr:row>4</xdr:row>
      <xdr:rowOff>64770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58" t="16753" r="6388" b="16581"/>
        <a:stretch/>
      </xdr:blipFill>
      <xdr:spPr>
        <a:xfrm>
          <a:off x="148589" y="167639"/>
          <a:ext cx="2414437" cy="621031"/>
        </a:xfrm>
        <a:prstGeom prst="rect">
          <a:avLst/>
        </a:prstGeom>
      </xdr:spPr>
    </xdr:pic>
    <xdr:clientData/>
  </xdr:twoCellAnchor>
  <xdr:twoCellAnchor>
    <xdr:from>
      <xdr:col>3</xdr:col>
      <xdr:colOff>651509</xdr:colOff>
      <xdr:row>0</xdr:row>
      <xdr:rowOff>148590</xdr:rowOff>
    </xdr:from>
    <xdr:to>
      <xdr:col>17</xdr:col>
      <xdr:colOff>1323974</xdr:colOff>
      <xdr:row>4</xdr:row>
      <xdr:rowOff>72390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299584" y="148590"/>
          <a:ext cx="1247394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4400" b="1"/>
            <a:t>Sistemas de Apoyo a la Decisión</a:t>
          </a:r>
        </a:p>
      </xdr:txBody>
    </xdr:sp>
    <xdr:clientData/>
  </xdr:twoCellAnchor>
  <xdr:twoCellAnchor editAs="oneCell">
    <xdr:from>
      <xdr:col>0</xdr:col>
      <xdr:colOff>176115</xdr:colOff>
      <xdr:row>34</xdr:row>
      <xdr:rowOff>122074</xdr:rowOff>
    </xdr:from>
    <xdr:to>
      <xdr:col>3</xdr:col>
      <xdr:colOff>838253</xdr:colOff>
      <xdr:row>53</xdr:row>
      <xdr:rowOff>173781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448" t="735" r="448" b="-735"/>
        <a:stretch/>
      </xdr:blipFill>
      <xdr:spPr>
        <a:xfrm>
          <a:off x="176115" y="6809013"/>
          <a:ext cx="4417709" cy="3745074"/>
        </a:xfrm>
        <a:prstGeom prst="rect">
          <a:avLst/>
        </a:prstGeom>
      </xdr:spPr>
    </xdr:pic>
    <xdr:clientData/>
  </xdr:twoCellAnchor>
  <xdr:twoCellAnchor editAs="oneCell">
    <xdr:from>
      <xdr:col>0</xdr:col>
      <xdr:colOff>54429</xdr:colOff>
      <xdr:row>70</xdr:row>
      <xdr:rowOff>74840</xdr:rowOff>
    </xdr:from>
    <xdr:to>
      <xdr:col>3</xdr:col>
      <xdr:colOff>740229</xdr:colOff>
      <xdr:row>84</xdr:row>
      <xdr:rowOff>14569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9" y="14067065"/>
          <a:ext cx="4333875" cy="2740079"/>
        </a:xfrm>
        <a:prstGeom prst="rect">
          <a:avLst/>
        </a:prstGeom>
      </xdr:spPr>
    </xdr:pic>
    <xdr:clientData/>
  </xdr:twoCellAnchor>
  <xdr:twoCellAnchor editAs="oneCell">
    <xdr:from>
      <xdr:col>0</xdr:col>
      <xdr:colOff>16008</xdr:colOff>
      <xdr:row>97</xdr:row>
      <xdr:rowOff>62432</xdr:rowOff>
    </xdr:from>
    <xdr:to>
      <xdr:col>4</xdr:col>
      <xdr:colOff>95250</xdr:colOff>
      <xdr:row>111</xdr:row>
      <xdr:rowOff>17819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29"/>
        <a:stretch/>
      </xdr:blipFill>
      <xdr:spPr>
        <a:xfrm>
          <a:off x="16008" y="19474382"/>
          <a:ext cx="4994142" cy="2755737"/>
        </a:xfrm>
        <a:prstGeom prst="rect">
          <a:avLst/>
        </a:prstGeom>
      </xdr:spPr>
    </xdr:pic>
    <xdr:clientData/>
  </xdr:twoCellAnchor>
  <xdr:twoCellAnchor editAs="oneCell">
    <xdr:from>
      <xdr:col>0</xdr:col>
      <xdr:colOff>13152</xdr:colOff>
      <xdr:row>130</xdr:row>
      <xdr:rowOff>56031</xdr:rowOff>
    </xdr:from>
    <xdr:to>
      <xdr:col>3</xdr:col>
      <xdr:colOff>1195028</xdr:colOff>
      <xdr:row>145</xdr:row>
      <xdr:rowOff>178375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52" y="26097381"/>
          <a:ext cx="4829951" cy="312271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158</xdr:row>
      <xdr:rowOff>40821</xdr:rowOff>
    </xdr:from>
    <xdr:to>
      <xdr:col>4</xdr:col>
      <xdr:colOff>728974</xdr:colOff>
      <xdr:row>171</xdr:row>
      <xdr:rowOff>68036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31701921"/>
          <a:ext cx="5643873" cy="2627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68036</xdr:rowOff>
    </xdr:from>
    <xdr:to>
      <xdr:col>7</xdr:col>
      <xdr:colOff>547369</xdr:colOff>
      <xdr:row>198</xdr:row>
      <xdr:rowOff>79821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6148736"/>
          <a:ext cx="7976869" cy="3612236"/>
        </a:xfrm>
        <a:prstGeom prst="rect">
          <a:avLst/>
        </a:prstGeom>
      </xdr:spPr>
    </xdr:pic>
    <xdr:clientData/>
  </xdr:twoCellAnchor>
  <xdr:twoCellAnchor editAs="oneCell">
    <xdr:from>
      <xdr:col>0</xdr:col>
      <xdr:colOff>127518</xdr:colOff>
      <xdr:row>210</xdr:row>
      <xdr:rowOff>60066</xdr:rowOff>
    </xdr:from>
    <xdr:to>
      <xdr:col>6</xdr:col>
      <xdr:colOff>414159</xdr:colOff>
      <xdr:row>221</xdr:row>
      <xdr:rowOff>33937</xdr:rowOff>
    </xdr:to>
    <xdr:pic>
      <xdr:nvPicPr>
        <xdr:cNvPr id="14" name="Imagen 10">
          <a:extLst>
            <a:ext uri="{FF2B5EF4-FFF2-40B4-BE49-F238E27FC236}">
              <a16:creationId xmlns:a16="http://schemas.microsoft.com/office/drawing/2014/main" id="{CC3336AC-294E-4DB8-936C-858313E83636}"/>
            </a:ext>
            <a:ext uri="{147F2762-F138-4A5C-976F-8EAC2B608ADB}">
              <a16:predDERef xmlns:a16="http://schemas.microsoft.com/office/drawing/2014/main" pre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518" y="42141516"/>
          <a:ext cx="6877941" cy="2174145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2</xdr:col>
      <xdr:colOff>304800</xdr:colOff>
      <xdr:row>223</xdr:row>
      <xdr:rowOff>66675</xdr:rowOff>
    </xdr:from>
    <xdr:to>
      <xdr:col>6</xdr:col>
      <xdr:colOff>57150</xdr:colOff>
      <xdr:row>229</xdr:row>
      <xdr:rowOff>104775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88DD4F9-CB2D-469D-A600-BD296FEEA05B}"/>
            </a:ext>
            <a:ext uri="{147F2762-F138-4A5C-976F-8EAC2B608ADB}">
              <a16:predDERef xmlns:a16="http://schemas.microsoft.com/office/drawing/2014/main" pred="{CC3336AC-294E-4DB8-936C-858313E83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" y="44748450"/>
          <a:ext cx="3943350" cy="1238250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561975</xdr:colOff>
      <xdr:row>230</xdr:row>
      <xdr:rowOff>142875</xdr:rowOff>
    </xdr:from>
    <xdr:to>
      <xdr:col>5</xdr:col>
      <xdr:colOff>104775</xdr:colOff>
      <xdr:row>240</xdr:row>
      <xdr:rowOff>180974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D864D7D-A008-4983-957E-9B7A9625AF0B}"/>
            </a:ext>
            <a:ext uri="{147F2762-F138-4A5C-976F-8EAC2B608ADB}">
              <a16:predDERef xmlns:a16="http://schemas.microsoft.com/office/drawing/2014/main" pred="{388DD4F9-CB2D-469D-A600-BD296FEEA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62275" y="46224825"/>
          <a:ext cx="2895600" cy="2038350"/>
        </a:xfrm>
        <a:prstGeom prst="rect">
          <a:avLst/>
        </a:prstGeom>
      </xdr:spPr>
    </xdr:pic>
    <xdr:clientData/>
  </xdr:twoCellAnchor>
  <xdr:twoCellAnchor>
    <xdr:from>
      <xdr:col>3</xdr:col>
      <xdr:colOff>1189652</xdr:colOff>
      <xdr:row>59</xdr:row>
      <xdr:rowOff>47430</xdr:rowOff>
    </xdr:from>
    <xdr:to>
      <xdr:col>10</xdr:col>
      <xdr:colOff>699795</xdr:colOff>
      <xdr:row>76</xdr:row>
      <xdr:rowOff>155509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903A281-9102-FDBD-6C01-F234F3F09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590550</xdr:colOff>
      <xdr:row>132</xdr:row>
      <xdr:rowOff>69850</xdr:rowOff>
    </xdr:from>
    <xdr:to>
      <xdr:col>9</xdr:col>
      <xdr:colOff>717550</xdr:colOff>
      <xdr:row>146</xdr:row>
      <xdr:rowOff>57150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91AA8EC6-10CD-F566-0A00-2C8E09758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72776</xdr:colOff>
      <xdr:row>151</xdr:row>
      <xdr:rowOff>15412</xdr:rowOff>
    </xdr:from>
    <xdr:to>
      <xdr:col>10</xdr:col>
      <xdr:colOff>192641</xdr:colOff>
      <xdr:row>164</xdr:row>
      <xdr:rowOff>190072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308A086B-585D-FCA7-8DEB-D22FA9B95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783771</xdr:colOff>
      <xdr:row>190</xdr:row>
      <xdr:rowOff>87087</xdr:rowOff>
    </xdr:from>
    <xdr:to>
      <xdr:col>15</xdr:col>
      <xdr:colOff>195943</xdr:colOff>
      <xdr:row>204</xdr:row>
      <xdr:rowOff>87087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83BC3E83-CC31-6DC2-0B63-9381658AE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Velez" refreshedDate="45937.668781597225" createdVersion="8" refreshedVersion="8" minRefreshableVersion="3" recordCount="2082" xr:uid="{EA50E5CE-A916-4564-B299-DCC4937BE967}">
  <cacheSource type="worksheet">
    <worksheetSource ref="A11:G2093" sheet="Transactions"/>
  </cacheSource>
  <cacheFields count="11">
    <cacheField name="Cliente" numFmtId="0">
      <sharedItems count="89">
        <s v="Wilman Kala"/>
        <s v="Tradição Hipermercados"/>
        <s v="Hanari Carnes"/>
        <s v="Victuailles en stock"/>
        <s v="Suprêmes délices"/>
        <s v="Chop-suey Chinese"/>
        <s v="Richter Supermarkt"/>
        <s v="Wellington Importadora"/>
        <s v="HILARIÓN-Abastos"/>
        <s v="Ernst Handel"/>
        <s v="Centro comercial Moctezuma"/>
        <s v="Old World Delicatessen"/>
        <s v="Que Delícia"/>
        <s v="Rattlesnake Canyon Grocery"/>
        <s v="Folk och fä HB"/>
        <s v="Blondel père et fils"/>
        <s v="Wartian Herkku"/>
        <s v="Frankenversand"/>
        <s v="GROSELLA-Restaurante"/>
        <s v="White Clover Markets"/>
        <s v="Split Rail Beer &amp; Ale"/>
        <s v="QUICK-Stop"/>
        <s v="Vins et alcools Chevalier"/>
        <s v="Magazzini Alimentari Riuniti"/>
        <s v="Tortuga Restaurante"/>
        <s v="Morgenstern Gesundkost"/>
        <s v="Berglunds snabbköp"/>
        <s v="Lehmanns Marktstand"/>
        <s v="Romero y tomillo"/>
        <s v="LILA-Supermercado"/>
        <s v="Ricardo Adocicados"/>
        <s v="Reggiani Caseifici"/>
        <s v="B's Beverages"/>
        <s v="Comércio Mineiro"/>
        <s v="Hungry Owl All-Night Grocers"/>
        <s v="Die Wandernde Kuh"/>
        <s v="Godos Cocina Típica"/>
        <s v="Lonesome Pine Restaurant"/>
        <s v="Ana Trujillo Emparedados y helados"/>
        <s v="The Big Cheese"/>
        <s v="Du monde entier"/>
        <s v="Island Trading"/>
        <s v="Pericles Comidas clásicas"/>
        <s v="Königlich Essen"/>
        <s v="Save-a-lot Markets"/>
        <s v="Bólido Comidas preparadas"/>
        <s v="Furia Bacalhau e Frutos do Mar"/>
        <s v="Bon app'"/>
        <s v="Mère Paillarde"/>
        <s v="Princesa Isabel Vinhos"/>
        <s v="Simons bistro"/>
        <s v="Familia Arquibaldo"/>
        <s v="La maison d'Asie"/>
        <s v="Piccolo und mehr"/>
        <s v="Around the Horn"/>
        <s v="Seven Seas Imports"/>
        <s v="Drachenblut Delikatessen"/>
        <s v="Eastern Connection"/>
        <s v="Antonio Moreno Taquería"/>
        <s v="Galería del gastrónomo"/>
        <s v="Vaffeljernet"/>
        <s v="Queen Cozinha"/>
        <s v="Wolski  Zajazd"/>
        <s v="Hungry Coyote Import Store"/>
        <s v="Santé Gourmet"/>
        <s v="Bottom-Dollar Markets"/>
        <s v="LINO-Delicateses"/>
        <s v="Ottilies Käseladen"/>
        <s v="Folies gourmandes"/>
        <s v="Océano Atlántico Ltda."/>
        <s v="Franchi S.p.A."/>
        <s v="Gourmet Lanchonetes"/>
        <s v="Consolidated Holdings"/>
        <s v="Toms Spezialitäten"/>
        <s v="Rancho grande"/>
        <s v="Lazy K Kountry Store"/>
        <s v="Laughing Bacchus Wine Cellars"/>
        <s v="Blauer See Delikatessen"/>
        <s v="North/South"/>
        <s v="Cactus Comidas para llevar"/>
        <s v="Great Lakes Food Market"/>
        <s v="Maison Dewey"/>
        <s v="Trail's Head Gourmet Provisioners"/>
        <s v="Let's Stop N Shop"/>
        <s v="The Cracker Box"/>
        <s v="Alfreds Futterkiste"/>
        <s v="France restauration"/>
        <s v="Spécialités du monde"/>
        <s v="La corne d'abondance"/>
      </sharedItems>
    </cacheField>
    <cacheField name="País" numFmtId="0">
      <sharedItems count="21">
        <s v="Finland"/>
        <s v="Brazil"/>
        <s v="France"/>
        <s v="Belgium"/>
        <s v="Switzerland"/>
        <s v="Venezuela"/>
        <s v="Austria"/>
        <s v="Mexico"/>
        <s v="USA"/>
        <s v="Sweden"/>
        <s v="Germany"/>
        <s v="Italy"/>
        <s v="Spain"/>
        <s v="UK"/>
        <s v="Ireland"/>
        <s v="Portugal"/>
        <s v="Canada"/>
        <s v="Denmark"/>
        <s v="Poland"/>
        <s v="Norway"/>
        <s v="Argentina"/>
      </sharedItems>
    </cacheField>
    <cacheField name="Vendedor" numFmtId="0">
      <sharedItems count="9">
        <s v="Steven Buchanan"/>
        <s v="Michael Suyama"/>
        <s v="Margaret Peacock"/>
        <s v="Janet Leverling"/>
        <s v="Anne Dodsworth"/>
        <s v="Nancy Davolio"/>
        <s v="Laura Callahan"/>
        <s v="Andrew Fuller"/>
        <s v="Robert King"/>
      </sharedItems>
      <fieldGroup par="9"/>
    </cacheField>
    <cacheField name="Enviado" numFmtId="166">
      <sharedItems containsSemiMixedTypes="0" containsNonDate="0" containsDate="1" containsString="0" minDate="2010-07-10T00:00:00" maxDate="2012-05-07T00:00:00" count="387">
        <d v="2010-07-16T00:00:00"/>
        <d v="2010-07-10T00:00:00"/>
        <d v="2010-07-12T00:00:00"/>
        <d v="2010-07-15T00:00:00"/>
        <d v="2010-07-11T00:00:00"/>
        <d v="2010-07-23T00:00:00"/>
        <d v="2010-07-17T00:00:00"/>
        <d v="2010-07-22T00:00:00"/>
        <d v="2010-07-25T00:00:00"/>
        <d v="2010-07-29T00:00:00"/>
        <d v="2010-07-30T00:00:00"/>
        <d v="2010-07-31T00:00:00"/>
        <d v="2010-08-23T00:00:00"/>
        <d v="2010-08-12T00:00:00"/>
        <d v="2010-08-06T00:00:00"/>
        <d v="2010-08-02T00:00:00"/>
        <d v="2010-08-09T00:00:00"/>
        <d v="2010-08-30T00:00:00"/>
        <d v="2010-08-16T00:00:00"/>
        <d v="2010-08-14T00:00:00"/>
        <d v="2010-08-13T00:00:00"/>
        <d v="2010-09-12T00:00:00"/>
        <d v="2010-08-21T00:00:00"/>
        <d v="2010-08-27T00:00:00"/>
        <d v="2010-08-26T00:00:00"/>
        <d v="2010-08-28T00:00:00"/>
        <d v="2010-09-03T00:00:00"/>
        <d v="2010-09-04T00:00:00"/>
        <d v="2010-09-02T00:00:00"/>
        <d v="2010-09-11T00:00:00"/>
        <d v="2010-09-05T00:00:00"/>
        <d v="2010-09-10T00:00:00"/>
        <d v="2010-09-13T00:00:00"/>
        <d v="2010-09-18T00:00:00"/>
        <d v="2010-09-17T00:00:00"/>
        <d v="2010-10-09T00:00:00"/>
        <d v="2010-09-23T00:00:00"/>
        <d v="2010-09-25T00:00:00"/>
        <d v="2010-09-24T00:00:00"/>
        <d v="2010-10-23T00:00:00"/>
        <d v="2010-09-27T00:00:00"/>
        <d v="2010-09-26T00:00:00"/>
        <d v="2010-10-03T00:00:00"/>
        <d v="2010-10-04T00:00:00"/>
        <d v="2010-10-08T00:00:00"/>
        <d v="2010-10-10T00:00:00"/>
        <d v="2010-10-11T00:00:00"/>
        <d v="2010-10-18T00:00:00"/>
        <d v="2010-10-14T00:00:00"/>
        <d v="2010-10-17T00:00:00"/>
        <d v="2010-10-28T00:00:00"/>
        <d v="2010-10-21T00:00:00"/>
        <d v="2010-10-25T00:00:00"/>
        <d v="2010-10-24T00:00:00"/>
        <d v="2010-10-29T00:00:00"/>
        <d v="2010-11-04T00:00:00"/>
        <d v="2010-11-08T00:00:00"/>
        <d v="2010-11-05T00:00:00"/>
        <d v="2010-11-06T00:00:00"/>
        <d v="2010-11-11T00:00:00"/>
        <d v="2010-11-15T00:00:00"/>
        <d v="2010-12-03T00:00:00"/>
        <d v="2010-11-20T00:00:00"/>
        <d v="2010-11-18T00:00:00"/>
        <d v="2010-11-25T00:00:00"/>
        <d v="2010-11-27T00:00:00"/>
        <d v="2010-12-02T00:00:00"/>
        <d v="2010-11-26T00:00:00"/>
        <d v="2010-11-28T00:00:00"/>
        <d v="2010-12-04T00:00:00"/>
        <d v="2010-12-30T00:00:00"/>
        <d v="2010-12-09T00:00:00"/>
        <d v="2010-12-27T00:00:00"/>
        <d v="2010-12-24T00:00:00"/>
        <d v="2010-12-11T00:00:00"/>
        <d v="2010-12-13T00:00:00"/>
        <d v="2010-12-19T00:00:00"/>
        <d v="2011-01-16T00:00:00"/>
        <d v="2010-12-16T00:00:00"/>
        <d v="2010-12-18T00:00:00"/>
        <d v="2010-12-20T00:00:00"/>
        <d v="2010-12-23T00:00:00"/>
        <d v="2010-12-25T00:00:00"/>
        <d v="2010-12-26T00:00:00"/>
        <d v="2010-12-31T00:00:00"/>
        <d v="2011-01-01T00:00:00"/>
        <d v="2011-01-03T00:00:00"/>
        <d v="2011-01-06T00:00:00"/>
        <d v="2011-01-02T00:00:00"/>
        <d v="2011-01-09T00:00:00"/>
        <d v="2011-01-08T00:00:00"/>
        <d v="2011-01-10T00:00:00"/>
        <d v="2011-01-22T00:00:00"/>
        <d v="2011-01-13T00:00:00"/>
        <d v="2011-01-30T00:00:00"/>
        <d v="2011-01-14T00:00:00"/>
        <d v="2011-01-15T00:00:00"/>
        <d v="2011-01-21T00:00:00"/>
        <d v="2011-01-17T00:00:00"/>
        <d v="2011-01-24T00:00:00"/>
        <d v="2011-01-27T00:00:00"/>
        <d v="2011-01-28T00:00:00"/>
        <d v="2011-01-31T00:00:00"/>
        <d v="2011-02-24T00:00:00"/>
        <d v="2011-02-14T00:00:00"/>
        <d v="2011-02-06T00:00:00"/>
        <d v="2011-03-03T00:00:00"/>
        <d v="2011-02-04T00:00:00"/>
        <d v="2011-02-07T00:00:00"/>
        <d v="2011-02-03T00:00:00"/>
        <d v="2011-03-04T00:00:00"/>
        <d v="2011-02-13T00:00:00"/>
        <d v="2011-02-11T00:00:00"/>
        <d v="2011-02-12T00:00:00"/>
        <d v="2011-02-10T00:00:00"/>
        <d v="2011-02-28T00:00:00"/>
        <d v="2011-03-14T00:00:00"/>
        <d v="2011-02-18T00:00:00"/>
        <d v="2011-02-21T00:00:00"/>
        <d v="2011-02-20T00:00:00"/>
        <d v="2011-02-19T00:00:00"/>
        <d v="2011-03-07T00:00:00"/>
        <d v="2011-02-27T00:00:00"/>
        <d v="2011-03-11T00:00:00"/>
        <d v="2011-03-12T00:00:00"/>
        <d v="2011-02-26T00:00:00"/>
        <d v="2011-02-25T00:00:00"/>
        <d v="2011-03-05T00:00:00"/>
        <d v="2011-03-18T00:00:00"/>
        <d v="2011-03-06T00:00:00"/>
        <d v="2011-03-13T00:00:00"/>
        <d v="2011-03-19T00:00:00"/>
        <d v="2011-03-21T00:00:00"/>
        <d v="2011-04-04T00:00:00"/>
        <d v="2011-03-24T00:00:00"/>
        <d v="2011-03-25T00:00:00"/>
        <d v="2011-03-26T00:00:00"/>
        <d v="2011-04-10T00:00:00"/>
        <d v="2011-04-25T00:00:00"/>
        <d v="2011-04-01T00:00:00"/>
        <d v="2011-03-31T00:00:00"/>
        <d v="2011-04-02T00:00:00"/>
        <d v="2011-03-28T00:00:00"/>
        <d v="2011-04-09T00:00:00"/>
        <d v="2011-04-03T00:00:00"/>
        <d v="2011-04-08T00:00:00"/>
        <d v="2011-04-11T00:00:00"/>
        <d v="2011-04-07T00:00:00"/>
        <d v="2011-04-16T00:00:00"/>
        <d v="2011-04-17T00:00:00"/>
        <d v="2011-04-29T00:00:00"/>
        <d v="2011-04-18T00:00:00"/>
        <d v="2011-04-21T00:00:00"/>
        <d v="2011-05-02T00:00:00"/>
        <d v="2011-04-22T00:00:00"/>
        <d v="2011-05-13T00:00:00"/>
        <d v="2011-04-28T00:00:00"/>
        <d v="2011-04-24T00:00:00"/>
        <d v="2011-05-16T00:00:00"/>
        <d v="2011-05-23T00:00:00"/>
        <d v="2011-05-01T00:00:00"/>
        <d v="2011-05-05T00:00:00"/>
        <d v="2011-05-06T00:00:00"/>
        <d v="2011-05-30T00:00:00"/>
        <d v="2011-05-07T00:00:00"/>
        <d v="2011-05-15T00:00:00"/>
        <d v="2011-05-09T00:00:00"/>
        <d v="2011-05-12T00:00:00"/>
        <d v="2011-05-19T00:00:00"/>
        <d v="2011-05-22T00:00:00"/>
        <d v="2011-05-14T00:00:00"/>
        <d v="2011-05-21T00:00:00"/>
        <d v="2011-06-06T00:00:00"/>
        <d v="2011-06-13T00:00:00"/>
        <d v="2011-05-29T00:00:00"/>
        <d v="2011-05-26T00:00:00"/>
        <d v="2011-06-26T00:00:00"/>
        <d v="2011-05-27T00:00:00"/>
        <d v="2011-06-02T00:00:00"/>
        <d v="2011-06-05T00:00:00"/>
        <d v="2011-06-03T00:00:00"/>
        <d v="2011-06-04T00:00:00"/>
        <d v="2011-06-10T00:00:00"/>
        <d v="2011-06-09T00:00:00"/>
        <d v="2011-06-12T00:00:00"/>
        <d v="2011-06-24T00:00:00"/>
        <d v="2011-06-16T00:00:00"/>
        <d v="2011-06-18T00:00:00"/>
        <d v="2011-06-17T00:00:00"/>
        <d v="2011-07-09T00:00:00"/>
        <d v="2011-07-11T00:00:00"/>
        <d v="2011-06-19T00:00:00"/>
        <d v="2011-07-04T00:00:00"/>
        <d v="2011-06-25T00:00:00"/>
        <d v="2011-06-20T00:00:00"/>
        <d v="2011-06-30T00:00:00"/>
        <d v="2011-07-25T00:00:00"/>
        <d v="2011-07-01T00:00:00"/>
        <d v="2011-07-02T00:00:00"/>
        <d v="2011-07-14T00:00:00"/>
        <d v="2011-07-10T00:00:00"/>
        <d v="2011-07-16T00:00:00"/>
        <d v="2011-08-13T00:00:00"/>
        <d v="2011-08-12T00:00:00"/>
        <d v="2011-07-18T00:00:00"/>
        <d v="2011-07-21T00:00:00"/>
        <d v="2011-07-22T00:00:00"/>
        <d v="2011-08-08T00:00:00"/>
        <d v="2011-07-29T00:00:00"/>
        <d v="2011-07-31T00:00:00"/>
        <d v="2011-08-01T00:00:00"/>
        <d v="2011-07-30T00:00:00"/>
        <d v="2011-08-06T00:00:00"/>
        <d v="2011-08-05T00:00:00"/>
        <d v="2011-08-04T00:00:00"/>
        <d v="2011-08-07T00:00:00"/>
        <d v="2011-08-14T00:00:00"/>
        <d v="2011-08-11T00:00:00"/>
        <d v="2011-08-19T00:00:00"/>
        <d v="2011-08-20T00:00:00"/>
        <d v="2011-08-21T00:00:00"/>
        <d v="2011-08-15T00:00:00"/>
        <d v="2011-08-18T00:00:00"/>
        <d v="2011-08-26T00:00:00"/>
        <d v="2011-09-01T00:00:00"/>
        <d v="2011-08-27T00:00:00"/>
        <d v="2011-08-28T00:00:00"/>
        <d v="2011-09-05T00:00:00"/>
        <d v="2011-09-02T00:00:00"/>
        <d v="2011-09-03T00:00:00"/>
        <d v="2011-09-09T00:00:00"/>
        <d v="2011-08-29T00:00:00"/>
        <d v="2011-09-11T00:00:00"/>
        <d v="2011-09-08T00:00:00"/>
        <d v="2011-09-19T00:00:00"/>
        <d v="2011-09-10T00:00:00"/>
        <d v="2011-09-15T00:00:00"/>
        <d v="2011-10-15T00:00:00"/>
        <d v="2011-09-18T00:00:00"/>
        <d v="2011-10-03T00:00:00"/>
        <d v="2011-09-17T00:00:00"/>
        <d v="2011-09-22T00:00:00"/>
        <d v="2011-09-23T00:00:00"/>
        <d v="2011-09-24T00:00:00"/>
        <d v="2011-09-26T00:00:00"/>
        <d v="2011-09-30T00:00:00"/>
        <d v="2011-09-29T00:00:00"/>
        <d v="2011-10-16T00:00:00"/>
        <d v="2011-10-01T00:00:00"/>
        <d v="2011-10-08T00:00:00"/>
        <d v="2011-10-30T00:00:00"/>
        <d v="2011-10-07T00:00:00"/>
        <d v="2011-10-22T00:00:00"/>
        <d v="2011-10-13T00:00:00"/>
        <d v="2011-10-10T00:00:00"/>
        <d v="2011-10-09T00:00:00"/>
        <d v="2011-10-14T00:00:00"/>
        <d v="2011-10-17T00:00:00"/>
        <d v="2011-10-21T00:00:00"/>
        <d v="2011-10-20T00:00:00"/>
        <d v="2011-11-07T00:00:00"/>
        <d v="2011-11-18T00:00:00"/>
        <d v="2011-10-23T00:00:00"/>
        <d v="2011-11-05T00:00:00"/>
        <d v="2011-11-20T00:00:00"/>
        <d v="2011-10-29T00:00:00"/>
        <d v="2011-10-31T00:00:00"/>
        <d v="2011-10-24T00:00:00"/>
        <d v="2011-10-27T00:00:00"/>
        <d v="2011-11-04T00:00:00"/>
        <d v="2011-11-25T00:00:00"/>
        <d v="2011-12-05T00:00:00"/>
        <d v="2011-11-11T00:00:00"/>
        <d v="2011-11-14T00:00:00"/>
        <d v="2011-11-10T00:00:00"/>
        <d v="2011-11-12T00:00:00"/>
        <d v="2011-11-21T00:00:00"/>
        <d v="2011-11-17T00:00:00"/>
        <d v="2011-11-24T00:00:00"/>
        <d v="2011-11-27T00:00:00"/>
        <d v="2011-11-26T00:00:00"/>
        <d v="2011-11-28T00:00:00"/>
        <d v="2011-12-19T00:00:00"/>
        <d v="2011-12-03T00:00:00"/>
        <d v="2011-12-02T00:00:00"/>
        <d v="2011-12-15T00:00:00"/>
        <d v="2011-12-04T00:00:00"/>
        <d v="2011-12-12T00:00:00"/>
        <d v="2011-12-10T00:00:00"/>
        <d v="2011-12-08T00:00:00"/>
        <d v="2011-12-09T00:00:00"/>
        <d v="2011-12-17T00:00:00"/>
        <d v="2012-01-02T00:00:00"/>
        <d v="2011-12-16T00:00:00"/>
        <d v="2011-12-26T00:00:00"/>
        <d v="2011-12-18T00:00:00"/>
        <d v="2012-01-21T00:00:00"/>
        <d v="2011-12-24T00:00:00"/>
        <d v="2012-01-14T00:00:00"/>
        <d v="2011-12-25T00:00:00"/>
        <d v="2011-12-22T00:00:00"/>
        <d v="2011-12-23T00:00:00"/>
        <d v="2012-01-19T00:00:00"/>
        <d v="2011-12-31T00:00:00"/>
        <d v="2012-01-01T00:00:00"/>
        <d v="2012-01-08T00:00:00"/>
        <d v="2012-01-20T00:00:00"/>
        <d v="2012-01-05T00:00:00"/>
        <d v="2012-01-06T00:00:00"/>
        <d v="2012-01-07T00:00:00"/>
        <d v="2012-01-09T00:00:00"/>
        <d v="2012-01-30T00:00:00"/>
        <d v="2012-01-12T00:00:00"/>
        <d v="2012-02-04T00:00:00"/>
        <d v="2012-01-13T00:00:00"/>
        <d v="2012-01-16T00:00:00"/>
        <d v="2012-01-15T00:00:00"/>
        <d v="2012-02-06T00:00:00"/>
        <d v="2012-01-23T00:00:00"/>
        <d v="2012-01-22T00:00:00"/>
        <d v="2012-02-16T00:00:00"/>
        <d v="2012-01-29T00:00:00"/>
        <d v="2012-01-26T00:00:00"/>
        <d v="2012-02-10T00:00:00"/>
        <d v="2012-02-02T00:00:00"/>
        <d v="2012-02-03T00:00:00"/>
        <d v="2012-02-05T00:00:00"/>
        <d v="2012-02-17T00:00:00"/>
        <d v="2012-02-09T00:00:00"/>
        <d v="2012-02-12T00:00:00"/>
        <d v="2012-02-11T00:00:00"/>
        <d v="2012-02-23T00:00:00"/>
        <d v="2012-02-13T00:00:00"/>
        <d v="2012-03-03T00:00:00"/>
        <d v="2012-02-19T00:00:00"/>
        <d v="2012-02-18T00:00:00"/>
        <d v="2012-02-20T00:00:00"/>
        <d v="2012-03-02T00:00:00"/>
        <d v="2012-02-27T00:00:00"/>
        <d v="2012-02-25T00:00:00"/>
        <d v="2012-03-06T00:00:00"/>
        <d v="2012-02-26T00:00:00"/>
        <d v="2012-03-04T00:00:00"/>
        <d v="2012-03-10T00:00:00"/>
        <d v="2012-03-05T00:00:00"/>
        <d v="2012-03-18T00:00:00"/>
        <d v="2012-03-09T00:00:00"/>
        <d v="2012-03-11T00:00:00"/>
        <d v="2012-03-13T00:00:00"/>
        <d v="2012-04-08T00:00:00"/>
        <d v="2012-03-12T00:00:00"/>
        <d v="2012-03-19T00:00:00"/>
        <d v="2012-03-24T00:00:00"/>
        <d v="2012-03-16T00:00:00"/>
        <d v="2012-03-23T00:00:00"/>
        <d v="2012-03-20T00:00:00"/>
        <d v="2012-03-17T00:00:00"/>
        <d v="2012-04-07T00:00:00"/>
        <d v="2012-03-25T00:00:00"/>
        <d v="2012-03-27T00:00:00"/>
        <d v="2012-03-30T00:00:00"/>
        <d v="2012-03-26T00:00:00"/>
        <d v="2012-04-02T00:00:00"/>
        <d v="2012-04-01T00:00:00"/>
        <d v="2012-04-24T00:00:00"/>
        <d v="2012-04-03T00:00:00"/>
        <d v="2012-04-10T00:00:00"/>
        <d v="2012-04-23T00:00:00"/>
        <d v="2012-03-31T00:00:00"/>
        <d v="2012-04-17T00:00:00"/>
        <d v="2012-04-06T00:00:00"/>
        <d v="2012-04-21T00:00:00"/>
        <d v="2012-04-09T00:00:00"/>
        <d v="2012-04-13T00:00:00"/>
        <d v="2012-04-14T00:00:00"/>
        <d v="2012-04-16T00:00:00"/>
        <d v="2012-04-20T00:00:00"/>
        <d v="2012-04-15T00:00:00"/>
        <d v="2012-05-04T00:00:00"/>
        <d v="2012-04-28T00:00:00"/>
        <d v="2012-04-22T00:00:00"/>
        <d v="2012-04-27T00:00:00"/>
        <d v="2012-04-30T00:00:00"/>
        <d v="2012-05-01T00:00:00"/>
        <d v="2012-04-29T00:00:00"/>
        <d v="2012-05-05T00:00:00"/>
        <d v="2012-05-06T00:00:00"/>
      </sharedItems>
      <fieldGroup par="8"/>
    </cacheField>
    <cacheField name="Producto" numFmtId="0">
      <sharedItems count="77">
        <s v="Queso Cabrales"/>
        <s v="Singaporean Hokkien Fried Mee"/>
        <s v="Mozzarella di Giovanni"/>
        <s v="Tofu"/>
        <s v="Manjimup Dried Apples"/>
        <s v="Jack's New England Clam Chowder"/>
        <s v="Louisiana Fiery Hot Pepper Sauce"/>
        <s v="Gustaf's Knäckebröd"/>
        <s v="Ravioli Angelo"/>
        <s v="Sir Rodney's Marmalade"/>
        <s v="Geitost"/>
        <s v="Camembert Pierrot"/>
        <s v="Gorgonzola Telino"/>
        <s v="Chartreuse verte"/>
        <s v="Maxilaku"/>
        <s v="Guaraná Fantástica"/>
        <s v="Pâté chinois"/>
        <s v="Longlife Tofu"/>
        <s v="Chang"/>
        <s v="Pavlova"/>
        <s v="Inlagd Sill"/>
        <s v="Raclette Courdavault"/>
        <s v="Perth Pasties"/>
        <s v="Original Frankfurter grüne Soße"/>
        <s v="Schoggi Schokolade"/>
        <s v="Chef Anton's Gumbo Mix"/>
        <s v="Mascarpone Fabioli"/>
        <s v="Sir Rodney's Scones"/>
        <s v="Gravad lax"/>
        <s v="Tarte au sucre"/>
        <s v="Outback Lager"/>
        <s v="Steeleye Stout"/>
        <s v="Uncle Bob's Organic Dried Pears"/>
        <s v="Gnocchi di nonna Alice"/>
        <s v="Nord-Ost Matjeshering"/>
        <s v="Alice Mutton"/>
        <s v="Queso Manchego La Pastora"/>
        <s v="Boston Crab Meat"/>
        <s v="Lakkalikööri"/>
        <s v="Thüringer Rostbratwurst"/>
        <s v="Ipoh Coffee"/>
        <s v="Ikura"/>
        <s v="Fløtemysost"/>
        <s v="Konbu"/>
        <s v="Rössle Sauerkraut"/>
        <s v="Gula Malacca"/>
        <s v="Vegie-spread"/>
        <s v="Röd Kaviar"/>
        <s v="Rhönbräu Klosterbier"/>
        <s v="Teatime Chocolate Biscuits"/>
        <s v="Genen Shouyu"/>
        <s v="Laughing Lumberjack Lager"/>
        <s v="Chai"/>
        <s v="Sasquatch Ale"/>
        <s v="Spegesild"/>
        <s v="Tourtière"/>
        <s v="Scottish Longbreads"/>
        <s v="Aniseed Syrup"/>
        <s v="Wimmers gute Semmelknödel"/>
        <s v="Carnarvon Tigers"/>
        <s v="Gudbrandsdalsost"/>
        <s v="Louisiana Hot Spiced Okra"/>
        <s v="Chef Anton's Cajun Seasoning"/>
        <s v="Grandma's Boysenberry Spread"/>
        <s v="Escargots de Bourgogne"/>
        <s v="Filo Mix"/>
        <s v="NuNuCa Nuß-Nougat-Creme"/>
        <s v="Côte de Blaye"/>
        <s v="Gumbär Gummibärchen"/>
        <s v="Zaanse koeken"/>
        <s v="Tunnbröd"/>
        <s v="Northwoods Cranberry Sauce"/>
        <s v="Valkoinen suklaa"/>
        <s v="Røgede sild"/>
        <s v="Chocolade"/>
        <s v="Sirop d'érable"/>
        <s v="Mishi Kobe Niku"/>
      </sharedItems>
    </cacheField>
    <cacheField name="Precio" numFmtId="165">
      <sharedItems containsSemiMixedTypes="0" containsString="0" containsNumber="1" minValue="2" maxValue="263.5"/>
    </cacheField>
    <cacheField name="Cantidad" numFmtId="0">
      <sharedItems containsSemiMixedTypes="0" containsString="0" containsNumber="1" containsInteger="1" minValue="1" maxValue="130" count="54">
        <n v="12"/>
        <n v="10"/>
        <n v="5"/>
        <n v="9"/>
        <n v="40"/>
        <n v="35"/>
        <n v="15"/>
        <n v="6"/>
        <n v="20"/>
        <n v="25"/>
        <n v="42"/>
        <n v="21"/>
        <n v="30"/>
        <n v="50"/>
        <n v="65"/>
        <n v="1"/>
        <n v="16"/>
        <n v="2"/>
        <n v="60"/>
        <n v="28"/>
        <n v="36"/>
        <n v="70"/>
        <n v="4"/>
        <n v="24"/>
        <n v="33"/>
        <n v="7"/>
        <n v="8"/>
        <n v="18"/>
        <n v="3"/>
        <n v="45"/>
        <n v="100"/>
        <n v="14"/>
        <n v="80"/>
        <n v="48"/>
        <n v="56"/>
        <n v="13"/>
        <n v="77"/>
        <n v="54"/>
        <n v="55"/>
        <n v="32"/>
        <n v="120"/>
        <n v="49"/>
        <n v="90"/>
        <n v="39"/>
        <n v="84"/>
        <n v="11"/>
        <n v="110"/>
        <n v="27"/>
        <n v="44"/>
        <n v="130"/>
        <n v="52"/>
        <n v="91"/>
        <n v="66"/>
        <n v="63"/>
      </sharedItems>
    </cacheField>
    <cacheField name="Meses (Enviado)" numFmtId="0" databaseField="0">
      <fieldGroup base="3">
        <rangePr groupBy="months" startDate="2010-07-10T00:00:00" endDate="2012-05-07T00:00:00"/>
        <groupItems count="14">
          <s v="&lt;10/07/201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7/05/2012"/>
        </groupItems>
      </fieldGroup>
    </cacheField>
    <cacheField name="Años (Enviado)" numFmtId="0" databaseField="0">
      <fieldGroup base="3">
        <rangePr groupBy="years" startDate="2010-07-10T00:00:00" endDate="2012-05-07T00:00:00"/>
        <groupItems count="5">
          <s v="&lt;10/07/2010"/>
          <s v="2010"/>
          <s v="2011"/>
          <s v="2012"/>
          <s v="&gt;7/05/2012"/>
        </groupItems>
      </fieldGroup>
    </cacheField>
    <cacheField name="Vendedor2" numFmtId="0" databaseField="0">
      <fieldGroup base="2">
        <discretePr count="9">
          <x v="2"/>
          <x v="1"/>
          <x v="1"/>
          <x v="0"/>
          <x v="0"/>
          <x v="2"/>
          <x v="1"/>
          <x v="0"/>
          <x v="2"/>
        </discretePr>
        <groupItems count="3">
          <s v="Grupo1"/>
          <s v="Grupo2"/>
          <s v="Grupo3"/>
        </groupItems>
      </fieldGroup>
    </cacheField>
    <cacheField name="Proyección 2013" numFmtId="0" formula=" IF(Cantidad &lt;300,Cantidad *1.7,Cantidad *1.5)" databaseField="0"/>
  </cacheFields>
  <extLst>
    <ext xmlns:x14="http://schemas.microsoft.com/office/spreadsheetml/2009/9/main" uri="{725AE2AE-9491-48be-B2B4-4EB974FC3084}">
      <x14:pivotCacheDefinition pivotCacheId="3085389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2">
  <r>
    <x v="0"/>
    <x v="0"/>
    <x v="0"/>
    <x v="0"/>
    <x v="0"/>
    <n v="14"/>
    <x v="0"/>
  </r>
  <r>
    <x v="0"/>
    <x v="0"/>
    <x v="0"/>
    <x v="0"/>
    <x v="1"/>
    <n v="9.8000000000000007"/>
    <x v="1"/>
  </r>
  <r>
    <x v="0"/>
    <x v="0"/>
    <x v="0"/>
    <x v="0"/>
    <x v="2"/>
    <n v="34.799999999999997"/>
    <x v="2"/>
  </r>
  <r>
    <x v="1"/>
    <x v="1"/>
    <x v="1"/>
    <x v="1"/>
    <x v="3"/>
    <n v="18.600000000000001"/>
    <x v="3"/>
  </r>
  <r>
    <x v="1"/>
    <x v="1"/>
    <x v="1"/>
    <x v="1"/>
    <x v="4"/>
    <n v="42.4"/>
    <x v="4"/>
  </r>
  <r>
    <x v="2"/>
    <x v="1"/>
    <x v="2"/>
    <x v="2"/>
    <x v="5"/>
    <n v="7.7"/>
    <x v="1"/>
  </r>
  <r>
    <x v="2"/>
    <x v="1"/>
    <x v="2"/>
    <x v="2"/>
    <x v="4"/>
    <n v="42.4"/>
    <x v="5"/>
  </r>
  <r>
    <x v="2"/>
    <x v="1"/>
    <x v="2"/>
    <x v="2"/>
    <x v="6"/>
    <n v="16.8"/>
    <x v="6"/>
  </r>
  <r>
    <x v="3"/>
    <x v="2"/>
    <x v="3"/>
    <x v="3"/>
    <x v="7"/>
    <n v="16.8"/>
    <x v="7"/>
  </r>
  <r>
    <x v="3"/>
    <x v="2"/>
    <x v="3"/>
    <x v="3"/>
    <x v="8"/>
    <n v="15.6"/>
    <x v="6"/>
  </r>
  <r>
    <x v="3"/>
    <x v="2"/>
    <x v="3"/>
    <x v="3"/>
    <x v="6"/>
    <n v="16.8"/>
    <x v="8"/>
  </r>
  <r>
    <x v="4"/>
    <x v="3"/>
    <x v="2"/>
    <x v="4"/>
    <x v="9"/>
    <n v="64.8"/>
    <x v="4"/>
  </r>
  <r>
    <x v="4"/>
    <x v="3"/>
    <x v="2"/>
    <x v="4"/>
    <x v="10"/>
    <n v="2"/>
    <x v="9"/>
  </r>
  <r>
    <x v="4"/>
    <x v="3"/>
    <x v="2"/>
    <x v="4"/>
    <x v="11"/>
    <n v="27.2"/>
    <x v="4"/>
  </r>
  <r>
    <x v="2"/>
    <x v="1"/>
    <x v="3"/>
    <x v="0"/>
    <x v="12"/>
    <n v="10"/>
    <x v="8"/>
  </r>
  <r>
    <x v="2"/>
    <x v="1"/>
    <x v="3"/>
    <x v="0"/>
    <x v="13"/>
    <n v="14.4"/>
    <x v="10"/>
  </r>
  <r>
    <x v="2"/>
    <x v="1"/>
    <x v="3"/>
    <x v="0"/>
    <x v="14"/>
    <n v="16"/>
    <x v="4"/>
  </r>
  <r>
    <x v="5"/>
    <x v="4"/>
    <x v="0"/>
    <x v="5"/>
    <x v="15"/>
    <n v="3.6"/>
    <x v="6"/>
  </r>
  <r>
    <x v="5"/>
    <x v="4"/>
    <x v="0"/>
    <x v="5"/>
    <x v="16"/>
    <n v="19.2"/>
    <x v="11"/>
  </r>
  <r>
    <x v="5"/>
    <x v="4"/>
    <x v="0"/>
    <x v="5"/>
    <x v="17"/>
    <n v="8"/>
    <x v="11"/>
  </r>
  <r>
    <x v="6"/>
    <x v="4"/>
    <x v="4"/>
    <x v="3"/>
    <x v="18"/>
    <n v="15.2"/>
    <x v="8"/>
  </r>
  <r>
    <x v="6"/>
    <x v="4"/>
    <x v="4"/>
    <x v="3"/>
    <x v="19"/>
    <n v="13.9"/>
    <x v="5"/>
  </r>
  <r>
    <x v="6"/>
    <x v="4"/>
    <x v="4"/>
    <x v="3"/>
    <x v="20"/>
    <n v="15.2"/>
    <x v="9"/>
  </r>
  <r>
    <x v="6"/>
    <x v="4"/>
    <x v="4"/>
    <x v="3"/>
    <x v="21"/>
    <n v="44"/>
    <x v="12"/>
  </r>
  <r>
    <x v="7"/>
    <x v="1"/>
    <x v="3"/>
    <x v="6"/>
    <x v="22"/>
    <n v="26.2"/>
    <x v="6"/>
  </r>
  <r>
    <x v="7"/>
    <x v="1"/>
    <x v="3"/>
    <x v="6"/>
    <x v="23"/>
    <n v="10.4"/>
    <x v="0"/>
  </r>
  <r>
    <x v="8"/>
    <x v="5"/>
    <x v="2"/>
    <x v="7"/>
    <x v="24"/>
    <n v="35.1"/>
    <x v="9"/>
  </r>
  <r>
    <x v="8"/>
    <x v="5"/>
    <x v="2"/>
    <x v="7"/>
    <x v="13"/>
    <n v="14.4"/>
    <x v="7"/>
  </r>
  <r>
    <x v="8"/>
    <x v="5"/>
    <x v="2"/>
    <x v="7"/>
    <x v="23"/>
    <n v="10.4"/>
    <x v="6"/>
  </r>
  <r>
    <x v="9"/>
    <x v="6"/>
    <x v="5"/>
    <x v="5"/>
    <x v="18"/>
    <n v="15.2"/>
    <x v="13"/>
  </r>
  <r>
    <x v="9"/>
    <x v="6"/>
    <x v="5"/>
    <x v="5"/>
    <x v="25"/>
    <n v="17"/>
    <x v="14"/>
  </r>
  <r>
    <x v="9"/>
    <x v="6"/>
    <x v="5"/>
    <x v="5"/>
    <x v="26"/>
    <n v="25.6"/>
    <x v="7"/>
  </r>
  <r>
    <x v="10"/>
    <x v="7"/>
    <x v="2"/>
    <x v="8"/>
    <x v="27"/>
    <n v="8"/>
    <x v="1"/>
  </r>
  <r>
    <x v="10"/>
    <x v="7"/>
    <x v="2"/>
    <x v="8"/>
    <x v="28"/>
    <n v="20.8"/>
    <x v="15"/>
  </r>
  <r>
    <x v="11"/>
    <x v="8"/>
    <x v="2"/>
    <x v="9"/>
    <x v="5"/>
    <n v="7.7"/>
    <x v="16"/>
  </r>
  <r>
    <x v="11"/>
    <x v="8"/>
    <x v="2"/>
    <x v="9"/>
    <x v="8"/>
    <n v="15.6"/>
    <x v="13"/>
  </r>
  <r>
    <x v="11"/>
    <x v="8"/>
    <x v="2"/>
    <x v="9"/>
    <x v="29"/>
    <n v="39.4"/>
    <x v="6"/>
  </r>
  <r>
    <x v="11"/>
    <x v="8"/>
    <x v="2"/>
    <x v="9"/>
    <x v="30"/>
    <n v="12"/>
    <x v="11"/>
  </r>
  <r>
    <x v="12"/>
    <x v="1"/>
    <x v="2"/>
    <x v="10"/>
    <x v="27"/>
    <n v="8"/>
    <x v="8"/>
  </r>
  <r>
    <x v="12"/>
    <x v="1"/>
    <x v="2"/>
    <x v="10"/>
    <x v="31"/>
    <n v="14.4"/>
    <x v="8"/>
  </r>
  <r>
    <x v="13"/>
    <x v="8"/>
    <x v="6"/>
    <x v="8"/>
    <x v="25"/>
    <n v="17"/>
    <x v="0"/>
  </r>
  <r>
    <x v="13"/>
    <x v="8"/>
    <x v="6"/>
    <x v="8"/>
    <x v="32"/>
    <n v="24"/>
    <x v="6"/>
  </r>
  <r>
    <x v="13"/>
    <x v="8"/>
    <x v="6"/>
    <x v="8"/>
    <x v="33"/>
    <n v="30.4"/>
    <x v="17"/>
  </r>
  <r>
    <x v="9"/>
    <x v="6"/>
    <x v="4"/>
    <x v="11"/>
    <x v="19"/>
    <n v="13.9"/>
    <x v="18"/>
  </r>
  <r>
    <x v="9"/>
    <x v="6"/>
    <x v="4"/>
    <x v="11"/>
    <x v="15"/>
    <n v="3.6"/>
    <x v="19"/>
  </r>
  <r>
    <x v="9"/>
    <x v="6"/>
    <x v="4"/>
    <x v="11"/>
    <x v="34"/>
    <n v="20.7"/>
    <x v="18"/>
  </r>
  <r>
    <x v="9"/>
    <x v="6"/>
    <x v="4"/>
    <x v="11"/>
    <x v="17"/>
    <n v="8"/>
    <x v="20"/>
  </r>
  <r>
    <x v="14"/>
    <x v="9"/>
    <x v="1"/>
    <x v="12"/>
    <x v="18"/>
    <n v="15.2"/>
    <x v="5"/>
  </r>
  <r>
    <x v="14"/>
    <x v="9"/>
    <x v="1"/>
    <x v="12"/>
    <x v="5"/>
    <n v="7.7"/>
    <x v="9"/>
  </r>
  <r>
    <x v="15"/>
    <x v="2"/>
    <x v="7"/>
    <x v="13"/>
    <x v="35"/>
    <n v="31.2"/>
    <x v="12"/>
  </r>
  <r>
    <x v="15"/>
    <x v="2"/>
    <x v="7"/>
    <x v="13"/>
    <x v="30"/>
    <n v="12"/>
    <x v="8"/>
  </r>
  <r>
    <x v="16"/>
    <x v="0"/>
    <x v="3"/>
    <x v="11"/>
    <x v="36"/>
    <n v="30.4"/>
    <x v="0"/>
  </r>
  <r>
    <x v="17"/>
    <x v="10"/>
    <x v="2"/>
    <x v="14"/>
    <x v="37"/>
    <n v="14.7"/>
    <x v="13"/>
  </r>
  <r>
    <x v="17"/>
    <x v="10"/>
    <x v="2"/>
    <x v="14"/>
    <x v="21"/>
    <n v="44"/>
    <x v="21"/>
  </r>
  <r>
    <x v="17"/>
    <x v="10"/>
    <x v="2"/>
    <x v="14"/>
    <x v="38"/>
    <n v="14.4"/>
    <x v="6"/>
  </r>
  <r>
    <x v="18"/>
    <x v="5"/>
    <x v="6"/>
    <x v="15"/>
    <x v="39"/>
    <n v="99"/>
    <x v="1"/>
  </r>
  <r>
    <x v="18"/>
    <x v="5"/>
    <x v="6"/>
    <x v="15"/>
    <x v="2"/>
    <n v="27.8"/>
    <x v="22"/>
  </r>
  <r>
    <x v="19"/>
    <x v="8"/>
    <x v="0"/>
    <x v="16"/>
    <x v="10"/>
    <n v="2"/>
    <x v="18"/>
  </r>
  <r>
    <x v="19"/>
    <x v="8"/>
    <x v="0"/>
    <x v="16"/>
    <x v="2"/>
    <n v="27.8"/>
    <x v="8"/>
  </r>
  <r>
    <x v="16"/>
    <x v="0"/>
    <x v="5"/>
    <x v="15"/>
    <x v="20"/>
    <n v="15.2"/>
    <x v="12"/>
  </r>
  <r>
    <x v="16"/>
    <x v="0"/>
    <x v="5"/>
    <x v="15"/>
    <x v="40"/>
    <n v="36.799999999999997"/>
    <x v="9"/>
  </r>
  <r>
    <x v="20"/>
    <x v="8"/>
    <x v="1"/>
    <x v="17"/>
    <x v="10"/>
    <n v="2"/>
    <x v="23"/>
  </r>
  <r>
    <x v="13"/>
    <x v="8"/>
    <x v="1"/>
    <x v="14"/>
    <x v="9"/>
    <n v="64.8"/>
    <x v="7"/>
  </r>
  <r>
    <x v="13"/>
    <x v="8"/>
    <x v="1"/>
    <x v="14"/>
    <x v="12"/>
    <n v="10"/>
    <x v="4"/>
  </r>
  <r>
    <x v="13"/>
    <x v="8"/>
    <x v="1"/>
    <x v="14"/>
    <x v="2"/>
    <n v="27.8"/>
    <x v="23"/>
  </r>
  <r>
    <x v="21"/>
    <x v="10"/>
    <x v="3"/>
    <x v="13"/>
    <x v="41"/>
    <n v="24.8"/>
    <x v="23"/>
  </r>
  <r>
    <x v="21"/>
    <x v="10"/>
    <x v="3"/>
    <x v="13"/>
    <x v="12"/>
    <n v="10"/>
    <x v="6"/>
  </r>
  <r>
    <x v="21"/>
    <x v="10"/>
    <x v="3"/>
    <x v="13"/>
    <x v="10"/>
    <n v="2"/>
    <x v="8"/>
  </r>
  <r>
    <x v="21"/>
    <x v="10"/>
    <x v="3"/>
    <x v="13"/>
    <x v="37"/>
    <n v="14.7"/>
    <x v="18"/>
  </r>
  <r>
    <x v="21"/>
    <x v="10"/>
    <x v="3"/>
    <x v="13"/>
    <x v="38"/>
    <n v="14.4"/>
    <x v="24"/>
  </r>
  <r>
    <x v="22"/>
    <x v="2"/>
    <x v="1"/>
    <x v="18"/>
    <x v="42"/>
    <n v="17.2"/>
    <x v="8"/>
  </r>
  <r>
    <x v="22"/>
    <x v="2"/>
    <x v="1"/>
    <x v="18"/>
    <x v="2"/>
    <n v="27.8"/>
    <x v="25"/>
  </r>
  <r>
    <x v="23"/>
    <x v="11"/>
    <x v="5"/>
    <x v="16"/>
    <x v="15"/>
    <n v="3.6"/>
    <x v="0"/>
  </r>
  <r>
    <x v="23"/>
    <x v="11"/>
    <x v="5"/>
    <x v="16"/>
    <x v="21"/>
    <n v="44"/>
    <x v="7"/>
  </r>
  <r>
    <x v="24"/>
    <x v="7"/>
    <x v="6"/>
    <x v="19"/>
    <x v="41"/>
    <n v="24.8"/>
    <x v="6"/>
  </r>
  <r>
    <x v="24"/>
    <x v="7"/>
    <x v="6"/>
    <x v="19"/>
    <x v="43"/>
    <n v="4.8"/>
    <x v="1"/>
  </r>
  <r>
    <x v="25"/>
    <x v="10"/>
    <x v="7"/>
    <x v="20"/>
    <x v="44"/>
    <n v="36.4"/>
    <x v="8"/>
  </r>
  <r>
    <x v="25"/>
    <x v="10"/>
    <x v="7"/>
    <x v="20"/>
    <x v="29"/>
    <n v="39.4"/>
    <x v="0"/>
  </r>
  <r>
    <x v="26"/>
    <x v="9"/>
    <x v="6"/>
    <x v="18"/>
    <x v="45"/>
    <n v="15.5"/>
    <x v="16"/>
  </r>
  <r>
    <x v="26"/>
    <x v="9"/>
    <x v="6"/>
    <x v="18"/>
    <x v="21"/>
    <n v="44"/>
    <x v="6"/>
  </r>
  <r>
    <x v="26"/>
    <x v="9"/>
    <x v="6"/>
    <x v="18"/>
    <x v="46"/>
    <n v="35.1"/>
    <x v="26"/>
  </r>
  <r>
    <x v="26"/>
    <x v="9"/>
    <x v="6"/>
    <x v="18"/>
    <x v="47"/>
    <n v="12"/>
    <x v="9"/>
  </r>
  <r>
    <x v="27"/>
    <x v="10"/>
    <x v="6"/>
    <x v="18"/>
    <x v="35"/>
    <n v="31.2"/>
    <x v="6"/>
  </r>
  <r>
    <x v="26"/>
    <x v="9"/>
    <x v="7"/>
    <x v="21"/>
    <x v="15"/>
    <n v="3.6"/>
    <x v="0"/>
  </r>
  <r>
    <x v="26"/>
    <x v="9"/>
    <x v="7"/>
    <x v="21"/>
    <x v="16"/>
    <n v="19.2"/>
    <x v="8"/>
  </r>
  <r>
    <x v="26"/>
    <x v="9"/>
    <x v="7"/>
    <x v="21"/>
    <x v="48"/>
    <n v="6.2"/>
    <x v="12"/>
  </r>
  <r>
    <x v="28"/>
    <x v="12"/>
    <x v="2"/>
    <x v="22"/>
    <x v="49"/>
    <n v="7.3"/>
    <x v="15"/>
  </r>
  <r>
    <x v="28"/>
    <x v="12"/>
    <x v="2"/>
    <x v="22"/>
    <x v="15"/>
    <n v="3.6"/>
    <x v="7"/>
  </r>
  <r>
    <x v="28"/>
    <x v="12"/>
    <x v="2"/>
    <x v="22"/>
    <x v="31"/>
    <n v="14.4"/>
    <x v="22"/>
  </r>
  <r>
    <x v="28"/>
    <x v="12"/>
    <x v="2"/>
    <x v="22"/>
    <x v="34"/>
    <n v="20.7"/>
    <x v="7"/>
  </r>
  <r>
    <x v="28"/>
    <x v="12"/>
    <x v="2"/>
    <x v="22"/>
    <x v="8"/>
    <n v="15.6"/>
    <x v="17"/>
  </r>
  <r>
    <x v="29"/>
    <x v="5"/>
    <x v="3"/>
    <x v="12"/>
    <x v="50"/>
    <n v="12.4"/>
    <x v="8"/>
  </r>
  <r>
    <x v="29"/>
    <x v="5"/>
    <x v="3"/>
    <x v="12"/>
    <x v="49"/>
    <n v="7.3"/>
    <x v="27"/>
  </r>
  <r>
    <x v="29"/>
    <x v="5"/>
    <x v="3"/>
    <x v="12"/>
    <x v="11"/>
    <n v="27.2"/>
    <x v="5"/>
  </r>
  <r>
    <x v="29"/>
    <x v="5"/>
    <x v="3"/>
    <x v="12"/>
    <x v="2"/>
    <n v="27.8"/>
    <x v="28"/>
  </r>
  <r>
    <x v="27"/>
    <x v="10"/>
    <x v="2"/>
    <x v="23"/>
    <x v="24"/>
    <n v="35.1"/>
    <x v="6"/>
  </r>
  <r>
    <x v="27"/>
    <x v="10"/>
    <x v="2"/>
    <x v="23"/>
    <x v="45"/>
    <n v="15.5"/>
    <x v="11"/>
  </r>
  <r>
    <x v="27"/>
    <x v="10"/>
    <x v="2"/>
    <x v="23"/>
    <x v="11"/>
    <n v="27.2"/>
    <x v="8"/>
  </r>
  <r>
    <x v="27"/>
    <x v="10"/>
    <x v="2"/>
    <x v="23"/>
    <x v="51"/>
    <n v="11.2"/>
    <x v="2"/>
  </r>
  <r>
    <x v="21"/>
    <x v="10"/>
    <x v="5"/>
    <x v="24"/>
    <x v="52"/>
    <n v="14.4"/>
    <x v="29"/>
  </r>
  <r>
    <x v="21"/>
    <x v="10"/>
    <x v="5"/>
    <x v="24"/>
    <x v="37"/>
    <n v="14.7"/>
    <x v="4"/>
  </r>
  <r>
    <x v="21"/>
    <x v="10"/>
    <x v="5"/>
    <x v="24"/>
    <x v="22"/>
    <n v="26.2"/>
    <x v="20"/>
  </r>
  <r>
    <x v="21"/>
    <x v="10"/>
    <x v="6"/>
    <x v="17"/>
    <x v="31"/>
    <n v="14.4"/>
    <x v="30"/>
  </r>
  <r>
    <x v="21"/>
    <x v="10"/>
    <x v="6"/>
    <x v="17"/>
    <x v="29"/>
    <n v="39.4"/>
    <x v="4"/>
  </r>
  <r>
    <x v="30"/>
    <x v="1"/>
    <x v="6"/>
    <x v="25"/>
    <x v="19"/>
    <n v="13.9"/>
    <x v="4"/>
  </r>
  <r>
    <x v="30"/>
    <x v="1"/>
    <x v="6"/>
    <x v="25"/>
    <x v="53"/>
    <n v="11.2"/>
    <x v="8"/>
  </r>
  <r>
    <x v="30"/>
    <x v="1"/>
    <x v="6"/>
    <x v="25"/>
    <x v="54"/>
    <n v="9.6"/>
    <x v="6"/>
  </r>
  <r>
    <x v="31"/>
    <x v="11"/>
    <x v="2"/>
    <x v="26"/>
    <x v="55"/>
    <n v="5.9"/>
    <x v="1"/>
  </r>
  <r>
    <x v="31"/>
    <x v="11"/>
    <x v="2"/>
    <x v="26"/>
    <x v="56"/>
    <n v="10"/>
    <x v="28"/>
  </r>
  <r>
    <x v="32"/>
    <x v="13"/>
    <x v="8"/>
    <x v="25"/>
    <x v="57"/>
    <n v="8"/>
    <x v="12"/>
  </r>
  <r>
    <x v="32"/>
    <x v="13"/>
    <x v="8"/>
    <x v="25"/>
    <x v="58"/>
    <n v="26.6"/>
    <x v="3"/>
  </r>
  <r>
    <x v="33"/>
    <x v="1"/>
    <x v="6"/>
    <x v="26"/>
    <x v="25"/>
    <n v="17"/>
    <x v="8"/>
  </r>
  <r>
    <x v="33"/>
    <x v="1"/>
    <x v="6"/>
    <x v="26"/>
    <x v="39"/>
    <n v="99"/>
    <x v="6"/>
  </r>
  <r>
    <x v="33"/>
    <x v="1"/>
    <x v="6"/>
    <x v="26"/>
    <x v="14"/>
    <n v="16"/>
    <x v="6"/>
  </r>
  <r>
    <x v="33"/>
    <x v="1"/>
    <x v="6"/>
    <x v="26"/>
    <x v="23"/>
    <n v="10.4"/>
    <x v="1"/>
  </r>
  <r>
    <x v="12"/>
    <x v="1"/>
    <x v="1"/>
    <x v="27"/>
    <x v="43"/>
    <n v="4.8"/>
    <x v="8"/>
  </r>
  <r>
    <x v="12"/>
    <x v="1"/>
    <x v="1"/>
    <x v="27"/>
    <x v="45"/>
    <n v="15.5"/>
    <x v="23"/>
  </r>
  <r>
    <x v="12"/>
    <x v="1"/>
    <x v="1"/>
    <x v="27"/>
    <x v="4"/>
    <n v="42.4"/>
    <x v="17"/>
  </r>
  <r>
    <x v="1"/>
    <x v="1"/>
    <x v="5"/>
    <x v="28"/>
    <x v="9"/>
    <n v="64.8"/>
    <x v="8"/>
  </r>
  <r>
    <x v="24"/>
    <x v="7"/>
    <x v="5"/>
    <x v="29"/>
    <x v="59"/>
    <n v="50"/>
    <x v="0"/>
  </r>
  <r>
    <x v="24"/>
    <x v="7"/>
    <x v="5"/>
    <x v="29"/>
    <x v="15"/>
    <n v="3.6"/>
    <x v="1"/>
  </r>
  <r>
    <x v="24"/>
    <x v="7"/>
    <x v="5"/>
    <x v="29"/>
    <x v="46"/>
    <n v="35.1"/>
    <x v="2"/>
  </r>
  <r>
    <x v="24"/>
    <x v="7"/>
    <x v="5"/>
    <x v="29"/>
    <x v="48"/>
    <n v="6.2"/>
    <x v="7"/>
  </r>
  <r>
    <x v="13"/>
    <x v="8"/>
    <x v="2"/>
    <x v="30"/>
    <x v="52"/>
    <n v="14.4"/>
    <x v="27"/>
  </r>
  <r>
    <x v="13"/>
    <x v="8"/>
    <x v="2"/>
    <x v="30"/>
    <x v="35"/>
    <n v="31.2"/>
    <x v="6"/>
  </r>
  <r>
    <x v="13"/>
    <x v="8"/>
    <x v="2"/>
    <x v="30"/>
    <x v="40"/>
    <n v="36.799999999999997"/>
    <x v="6"/>
  </r>
  <r>
    <x v="13"/>
    <x v="8"/>
    <x v="2"/>
    <x v="30"/>
    <x v="11"/>
    <n v="27.2"/>
    <x v="11"/>
  </r>
  <r>
    <x v="13"/>
    <x v="8"/>
    <x v="2"/>
    <x v="30"/>
    <x v="48"/>
    <n v="6.2"/>
    <x v="7"/>
  </r>
  <r>
    <x v="22"/>
    <x v="2"/>
    <x v="7"/>
    <x v="31"/>
    <x v="33"/>
    <n v="30.4"/>
    <x v="22"/>
  </r>
  <r>
    <x v="29"/>
    <x v="5"/>
    <x v="1"/>
    <x v="29"/>
    <x v="0"/>
    <n v="16.8"/>
    <x v="0"/>
  </r>
  <r>
    <x v="29"/>
    <x v="5"/>
    <x v="1"/>
    <x v="29"/>
    <x v="19"/>
    <n v="13.9"/>
    <x v="12"/>
  </r>
  <r>
    <x v="29"/>
    <x v="5"/>
    <x v="1"/>
    <x v="29"/>
    <x v="60"/>
    <n v="28.8"/>
    <x v="6"/>
  </r>
  <r>
    <x v="15"/>
    <x v="2"/>
    <x v="0"/>
    <x v="31"/>
    <x v="13"/>
    <n v="14.4"/>
    <x v="18"/>
  </r>
  <r>
    <x v="15"/>
    <x v="2"/>
    <x v="0"/>
    <x v="31"/>
    <x v="2"/>
    <n v="27.8"/>
    <x v="8"/>
  </r>
  <r>
    <x v="34"/>
    <x v="14"/>
    <x v="1"/>
    <x v="29"/>
    <x v="18"/>
    <n v="15.2"/>
    <x v="4"/>
  </r>
  <r>
    <x v="34"/>
    <x v="14"/>
    <x v="1"/>
    <x v="29"/>
    <x v="20"/>
    <n v="15.2"/>
    <x v="4"/>
  </r>
  <r>
    <x v="34"/>
    <x v="14"/>
    <x v="1"/>
    <x v="29"/>
    <x v="21"/>
    <n v="44"/>
    <x v="12"/>
  </r>
  <r>
    <x v="34"/>
    <x v="14"/>
    <x v="1"/>
    <x v="29"/>
    <x v="29"/>
    <n v="39.4"/>
    <x v="6"/>
  </r>
  <r>
    <x v="30"/>
    <x v="1"/>
    <x v="2"/>
    <x v="32"/>
    <x v="49"/>
    <n v="7.3"/>
    <x v="6"/>
  </r>
  <r>
    <x v="30"/>
    <x v="1"/>
    <x v="2"/>
    <x v="32"/>
    <x v="30"/>
    <n v="12"/>
    <x v="8"/>
  </r>
  <r>
    <x v="23"/>
    <x v="11"/>
    <x v="7"/>
    <x v="33"/>
    <x v="61"/>
    <n v="13.6"/>
    <x v="12"/>
  </r>
  <r>
    <x v="23"/>
    <x v="11"/>
    <x v="7"/>
    <x v="33"/>
    <x v="56"/>
    <n v="10"/>
    <x v="8"/>
  </r>
  <r>
    <x v="35"/>
    <x v="10"/>
    <x v="6"/>
    <x v="34"/>
    <x v="37"/>
    <n v="14.7"/>
    <x v="1"/>
  </r>
  <r>
    <x v="35"/>
    <x v="10"/>
    <x v="6"/>
    <x v="34"/>
    <x v="33"/>
    <n v="30.4"/>
    <x v="8"/>
  </r>
  <r>
    <x v="4"/>
    <x v="3"/>
    <x v="2"/>
    <x v="35"/>
    <x v="35"/>
    <n v="31.2"/>
    <x v="4"/>
  </r>
  <r>
    <x v="4"/>
    <x v="3"/>
    <x v="2"/>
    <x v="35"/>
    <x v="44"/>
    <n v="36.4"/>
    <x v="19"/>
  </r>
  <r>
    <x v="4"/>
    <x v="3"/>
    <x v="2"/>
    <x v="35"/>
    <x v="40"/>
    <n v="36.799999999999997"/>
    <x v="0"/>
  </r>
  <r>
    <x v="36"/>
    <x v="12"/>
    <x v="8"/>
    <x v="33"/>
    <x v="37"/>
    <n v="14.7"/>
    <x v="4"/>
  </r>
  <r>
    <x v="36"/>
    <x v="12"/>
    <x v="8"/>
    <x v="33"/>
    <x v="6"/>
    <n v="16.8"/>
    <x v="12"/>
  </r>
  <r>
    <x v="36"/>
    <x v="12"/>
    <x v="8"/>
    <x v="33"/>
    <x v="56"/>
    <n v="10"/>
    <x v="6"/>
  </r>
  <r>
    <x v="24"/>
    <x v="7"/>
    <x v="5"/>
    <x v="34"/>
    <x v="14"/>
    <n v="16"/>
    <x v="12"/>
  </r>
  <r>
    <x v="24"/>
    <x v="7"/>
    <x v="5"/>
    <x v="34"/>
    <x v="21"/>
    <n v="44"/>
    <x v="1"/>
  </r>
  <r>
    <x v="24"/>
    <x v="7"/>
    <x v="5"/>
    <x v="34"/>
    <x v="42"/>
    <n v="17.2"/>
    <x v="17"/>
  </r>
  <r>
    <x v="11"/>
    <x v="8"/>
    <x v="6"/>
    <x v="35"/>
    <x v="59"/>
    <n v="50"/>
    <x v="9"/>
  </r>
  <r>
    <x v="11"/>
    <x v="8"/>
    <x v="6"/>
    <x v="35"/>
    <x v="39"/>
    <n v="99"/>
    <x v="9"/>
  </r>
  <r>
    <x v="11"/>
    <x v="8"/>
    <x v="6"/>
    <x v="35"/>
    <x v="13"/>
    <n v="14.4"/>
    <x v="12"/>
  </r>
  <r>
    <x v="28"/>
    <x v="12"/>
    <x v="5"/>
    <x v="36"/>
    <x v="34"/>
    <n v="20.7"/>
    <x v="1"/>
  </r>
  <r>
    <x v="28"/>
    <x v="12"/>
    <x v="5"/>
    <x v="36"/>
    <x v="22"/>
    <n v="26.2"/>
    <x v="1"/>
  </r>
  <r>
    <x v="28"/>
    <x v="12"/>
    <x v="5"/>
    <x v="36"/>
    <x v="55"/>
    <n v="5.9"/>
    <x v="2"/>
  </r>
  <r>
    <x v="37"/>
    <x v="8"/>
    <x v="7"/>
    <x v="37"/>
    <x v="29"/>
    <n v="39.4"/>
    <x v="1"/>
  </r>
  <r>
    <x v="37"/>
    <x v="8"/>
    <x v="7"/>
    <x v="37"/>
    <x v="56"/>
    <n v="10"/>
    <x v="28"/>
  </r>
  <r>
    <x v="38"/>
    <x v="7"/>
    <x v="8"/>
    <x v="38"/>
    <x v="60"/>
    <n v="28.8"/>
    <x v="15"/>
  </r>
  <r>
    <x v="38"/>
    <x v="7"/>
    <x v="8"/>
    <x v="38"/>
    <x v="30"/>
    <n v="12"/>
    <x v="2"/>
  </r>
  <r>
    <x v="34"/>
    <x v="14"/>
    <x v="3"/>
    <x v="39"/>
    <x v="62"/>
    <n v="17.600000000000001"/>
    <x v="8"/>
  </r>
  <r>
    <x v="34"/>
    <x v="14"/>
    <x v="3"/>
    <x v="39"/>
    <x v="63"/>
    <n v="20"/>
    <x v="12"/>
  </r>
  <r>
    <x v="34"/>
    <x v="14"/>
    <x v="3"/>
    <x v="39"/>
    <x v="1"/>
    <n v="11.2"/>
    <x v="17"/>
  </r>
  <r>
    <x v="34"/>
    <x v="14"/>
    <x v="3"/>
    <x v="39"/>
    <x v="40"/>
    <n v="36.799999999999997"/>
    <x v="8"/>
  </r>
  <r>
    <x v="34"/>
    <x v="14"/>
    <x v="3"/>
    <x v="39"/>
    <x v="42"/>
    <n v="17.2"/>
    <x v="28"/>
  </r>
  <r>
    <x v="39"/>
    <x v="8"/>
    <x v="6"/>
    <x v="40"/>
    <x v="19"/>
    <n v="13.9"/>
    <x v="1"/>
  </r>
  <r>
    <x v="39"/>
    <x v="8"/>
    <x v="6"/>
    <x v="40"/>
    <x v="29"/>
    <n v="39.4"/>
    <x v="2"/>
  </r>
  <r>
    <x v="40"/>
    <x v="2"/>
    <x v="5"/>
    <x v="41"/>
    <x v="1"/>
    <n v="11.2"/>
    <x v="7"/>
  </r>
  <r>
    <x v="40"/>
    <x v="2"/>
    <x v="5"/>
    <x v="41"/>
    <x v="60"/>
    <n v="28.8"/>
    <x v="25"/>
  </r>
  <r>
    <x v="35"/>
    <x v="10"/>
    <x v="7"/>
    <x v="42"/>
    <x v="44"/>
    <n v="36.4"/>
    <x v="22"/>
  </r>
  <r>
    <x v="35"/>
    <x v="10"/>
    <x v="7"/>
    <x v="42"/>
    <x v="40"/>
    <n v="36.799999999999997"/>
    <x v="23"/>
  </r>
  <r>
    <x v="35"/>
    <x v="10"/>
    <x v="7"/>
    <x v="42"/>
    <x v="22"/>
    <n v="26.2"/>
    <x v="8"/>
  </r>
  <r>
    <x v="35"/>
    <x v="10"/>
    <x v="7"/>
    <x v="42"/>
    <x v="48"/>
    <n v="6.2"/>
    <x v="1"/>
  </r>
  <r>
    <x v="21"/>
    <x v="10"/>
    <x v="7"/>
    <x v="43"/>
    <x v="20"/>
    <n v="15.2"/>
    <x v="0"/>
  </r>
  <r>
    <x v="13"/>
    <x v="8"/>
    <x v="5"/>
    <x v="43"/>
    <x v="26"/>
    <n v="25.6"/>
    <x v="4"/>
  </r>
  <r>
    <x v="13"/>
    <x v="8"/>
    <x v="5"/>
    <x v="43"/>
    <x v="64"/>
    <n v="10.6"/>
    <x v="12"/>
  </r>
  <r>
    <x v="13"/>
    <x v="8"/>
    <x v="5"/>
    <x v="43"/>
    <x v="29"/>
    <n v="39.4"/>
    <x v="9"/>
  </r>
  <r>
    <x v="41"/>
    <x v="13"/>
    <x v="2"/>
    <x v="42"/>
    <x v="53"/>
    <n v="11.2"/>
    <x v="31"/>
  </r>
  <r>
    <x v="41"/>
    <x v="13"/>
    <x v="2"/>
    <x v="42"/>
    <x v="30"/>
    <n v="12"/>
    <x v="12"/>
  </r>
  <r>
    <x v="13"/>
    <x v="8"/>
    <x v="5"/>
    <x v="44"/>
    <x v="5"/>
    <n v="7.7"/>
    <x v="1"/>
  </r>
  <r>
    <x v="13"/>
    <x v="8"/>
    <x v="5"/>
    <x v="44"/>
    <x v="29"/>
    <n v="39.4"/>
    <x v="21"/>
  </r>
  <r>
    <x v="37"/>
    <x v="8"/>
    <x v="1"/>
    <x v="45"/>
    <x v="52"/>
    <n v="14.4"/>
    <x v="8"/>
  </r>
  <r>
    <x v="41"/>
    <x v="13"/>
    <x v="6"/>
    <x v="43"/>
    <x v="5"/>
    <n v="7.7"/>
    <x v="8"/>
  </r>
  <r>
    <x v="41"/>
    <x v="13"/>
    <x v="6"/>
    <x v="43"/>
    <x v="38"/>
    <n v="14.4"/>
    <x v="7"/>
  </r>
  <r>
    <x v="24"/>
    <x v="7"/>
    <x v="8"/>
    <x v="46"/>
    <x v="35"/>
    <n v="31.2"/>
    <x v="26"/>
  </r>
  <r>
    <x v="24"/>
    <x v="7"/>
    <x v="8"/>
    <x v="46"/>
    <x v="44"/>
    <n v="36.4"/>
    <x v="31"/>
  </r>
  <r>
    <x v="24"/>
    <x v="7"/>
    <x v="8"/>
    <x v="46"/>
    <x v="38"/>
    <n v="14.4"/>
    <x v="12"/>
  </r>
  <r>
    <x v="16"/>
    <x v="0"/>
    <x v="0"/>
    <x v="47"/>
    <x v="42"/>
    <n v="17.2"/>
    <x v="12"/>
  </r>
  <r>
    <x v="41"/>
    <x v="13"/>
    <x v="3"/>
    <x v="46"/>
    <x v="31"/>
    <n v="14.4"/>
    <x v="1"/>
  </r>
  <r>
    <x v="42"/>
    <x v="7"/>
    <x v="8"/>
    <x v="39"/>
    <x v="65"/>
    <n v="5.6"/>
    <x v="8"/>
  </r>
  <r>
    <x v="43"/>
    <x v="10"/>
    <x v="2"/>
    <x v="48"/>
    <x v="50"/>
    <n v="12.4"/>
    <x v="2"/>
  </r>
  <r>
    <x v="43"/>
    <x v="10"/>
    <x v="2"/>
    <x v="48"/>
    <x v="66"/>
    <n v="11.2"/>
    <x v="22"/>
  </r>
  <r>
    <x v="43"/>
    <x v="10"/>
    <x v="2"/>
    <x v="48"/>
    <x v="13"/>
    <n v="14.4"/>
    <x v="22"/>
  </r>
  <r>
    <x v="44"/>
    <x v="8"/>
    <x v="4"/>
    <x v="45"/>
    <x v="19"/>
    <n v="13.9"/>
    <x v="11"/>
  </r>
  <r>
    <x v="44"/>
    <x v="8"/>
    <x v="4"/>
    <x v="45"/>
    <x v="31"/>
    <n v="14.4"/>
    <x v="21"/>
  </r>
  <r>
    <x v="44"/>
    <x v="8"/>
    <x v="4"/>
    <x v="45"/>
    <x v="54"/>
    <n v="9.6"/>
    <x v="12"/>
  </r>
  <r>
    <x v="44"/>
    <x v="8"/>
    <x v="4"/>
    <x v="45"/>
    <x v="21"/>
    <n v="44"/>
    <x v="4"/>
  </r>
  <r>
    <x v="44"/>
    <x v="8"/>
    <x v="4"/>
    <x v="45"/>
    <x v="46"/>
    <n v="35.1"/>
    <x v="32"/>
  </r>
  <r>
    <x v="43"/>
    <x v="10"/>
    <x v="5"/>
    <x v="48"/>
    <x v="63"/>
    <n v="20"/>
    <x v="7"/>
  </r>
  <r>
    <x v="43"/>
    <x v="10"/>
    <x v="5"/>
    <x v="48"/>
    <x v="43"/>
    <n v="4.8"/>
    <x v="0"/>
  </r>
  <r>
    <x v="43"/>
    <x v="10"/>
    <x v="5"/>
    <x v="48"/>
    <x v="3"/>
    <n v="18.600000000000001"/>
    <x v="3"/>
  </r>
  <r>
    <x v="43"/>
    <x v="10"/>
    <x v="5"/>
    <x v="48"/>
    <x v="12"/>
    <n v="10"/>
    <x v="22"/>
  </r>
  <r>
    <x v="43"/>
    <x v="10"/>
    <x v="5"/>
    <x v="48"/>
    <x v="2"/>
    <n v="27.8"/>
    <x v="4"/>
  </r>
  <r>
    <x v="45"/>
    <x v="12"/>
    <x v="2"/>
    <x v="48"/>
    <x v="62"/>
    <n v="17.600000000000001"/>
    <x v="23"/>
  </r>
  <r>
    <x v="45"/>
    <x v="12"/>
    <x v="2"/>
    <x v="48"/>
    <x v="8"/>
    <n v="15.6"/>
    <x v="16"/>
  </r>
  <r>
    <x v="45"/>
    <x v="12"/>
    <x v="2"/>
    <x v="48"/>
    <x v="48"/>
    <n v="6.2"/>
    <x v="13"/>
  </r>
  <r>
    <x v="14"/>
    <x v="9"/>
    <x v="7"/>
    <x v="48"/>
    <x v="18"/>
    <n v="15.2"/>
    <x v="9"/>
  </r>
  <r>
    <x v="14"/>
    <x v="9"/>
    <x v="7"/>
    <x v="48"/>
    <x v="0"/>
    <n v="16.8"/>
    <x v="13"/>
  </r>
  <r>
    <x v="14"/>
    <x v="9"/>
    <x v="7"/>
    <x v="48"/>
    <x v="34"/>
    <n v="20.7"/>
    <x v="5"/>
  </r>
  <r>
    <x v="14"/>
    <x v="9"/>
    <x v="7"/>
    <x v="48"/>
    <x v="64"/>
    <n v="10.6"/>
    <x v="12"/>
  </r>
  <r>
    <x v="46"/>
    <x v="15"/>
    <x v="2"/>
    <x v="49"/>
    <x v="21"/>
    <n v="44"/>
    <x v="3"/>
  </r>
  <r>
    <x v="46"/>
    <x v="15"/>
    <x v="2"/>
    <x v="49"/>
    <x v="6"/>
    <n v="16.8"/>
    <x v="4"/>
  </r>
  <r>
    <x v="46"/>
    <x v="15"/>
    <x v="2"/>
    <x v="49"/>
    <x v="56"/>
    <n v="10"/>
    <x v="1"/>
  </r>
  <r>
    <x v="20"/>
    <x v="8"/>
    <x v="2"/>
    <x v="39"/>
    <x v="49"/>
    <n v="7.3"/>
    <x v="1"/>
  </r>
  <r>
    <x v="20"/>
    <x v="8"/>
    <x v="2"/>
    <x v="39"/>
    <x v="34"/>
    <n v="20.7"/>
    <x v="26"/>
  </r>
  <r>
    <x v="20"/>
    <x v="8"/>
    <x v="2"/>
    <x v="39"/>
    <x v="67"/>
    <n v="210.8"/>
    <x v="8"/>
  </r>
  <r>
    <x v="20"/>
    <x v="8"/>
    <x v="2"/>
    <x v="39"/>
    <x v="33"/>
    <n v="30.4"/>
    <x v="0"/>
  </r>
  <r>
    <x v="29"/>
    <x v="5"/>
    <x v="3"/>
    <x v="50"/>
    <x v="68"/>
    <n v="24.9"/>
    <x v="13"/>
  </r>
  <r>
    <x v="29"/>
    <x v="5"/>
    <x v="3"/>
    <x v="50"/>
    <x v="2"/>
    <n v="27.8"/>
    <x v="9"/>
  </r>
  <r>
    <x v="47"/>
    <x v="2"/>
    <x v="4"/>
    <x v="51"/>
    <x v="55"/>
    <n v="5.9"/>
    <x v="6"/>
  </r>
  <r>
    <x v="48"/>
    <x v="16"/>
    <x v="3"/>
    <x v="51"/>
    <x v="59"/>
    <n v="50"/>
    <x v="4"/>
  </r>
  <r>
    <x v="48"/>
    <x v="16"/>
    <x v="3"/>
    <x v="51"/>
    <x v="1"/>
    <n v="11.2"/>
    <x v="1"/>
  </r>
  <r>
    <x v="48"/>
    <x v="16"/>
    <x v="3"/>
    <x v="51"/>
    <x v="69"/>
    <n v="7.6"/>
    <x v="16"/>
  </r>
  <r>
    <x v="16"/>
    <x v="0"/>
    <x v="0"/>
    <x v="52"/>
    <x v="3"/>
    <n v="18.600000000000001"/>
    <x v="1"/>
  </r>
  <r>
    <x v="16"/>
    <x v="0"/>
    <x v="0"/>
    <x v="52"/>
    <x v="27"/>
    <n v="8"/>
    <x v="1"/>
  </r>
  <r>
    <x v="16"/>
    <x v="0"/>
    <x v="0"/>
    <x v="52"/>
    <x v="42"/>
    <n v="17.2"/>
    <x v="4"/>
  </r>
  <r>
    <x v="3"/>
    <x v="2"/>
    <x v="6"/>
    <x v="50"/>
    <x v="65"/>
    <n v="5.6"/>
    <x v="26"/>
  </r>
  <r>
    <x v="3"/>
    <x v="2"/>
    <x v="6"/>
    <x v="50"/>
    <x v="56"/>
    <n v="10"/>
    <x v="1"/>
  </r>
  <r>
    <x v="34"/>
    <x v="14"/>
    <x v="8"/>
    <x v="53"/>
    <x v="18"/>
    <n v="15.2"/>
    <x v="25"/>
  </r>
  <r>
    <x v="34"/>
    <x v="14"/>
    <x v="8"/>
    <x v="53"/>
    <x v="12"/>
    <n v="10"/>
    <x v="9"/>
  </r>
  <r>
    <x v="34"/>
    <x v="14"/>
    <x v="8"/>
    <x v="53"/>
    <x v="26"/>
    <n v="25.6"/>
    <x v="7"/>
  </r>
  <r>
    <x v="34"/>
    <x v="14"/>
    <x v="8"/>
    <x v="53"/>
    <x v="4"/>
    <n v="42.4"/>
    <x v="33"/>
  </r>
  <r>
    <x v="49"/>
    <x v="15"/>
    <x v="8"/>
    <x v="52"/>
    <x v="62"/>
    <n v="17.600000000000001"/>
    <x v="27"/>
  </r>
  <r>
    <x v="17"/>
    <x v="10"/>
    <x v="2"/>
    <x v="54"/>
    <x v="70"/>
    <n v="7.2"/>
    <x v="4"/>
  </r>
  <r>
    <x v="17"/>
    <x v="10"/>
    <x v="2"/>
    <x v="54"/>
    <x v="68"/>
    <n v="24.9"/>
    <x v="23"/>
  </r>
  <r>
    <x v="17"/>
    <x v="10"/>
    <x v="2"/>
    <x v="54"/>
    <x v="20"/>
    <n v="15.2"/>
    <x v="8"/>
  </r>
  <r>
    <x v="17"/>
    <x v="10"/>
    <x v="2"/>
    <x v="54"/>
    <x v="28"/>
    <n v="20.8"/>
    <x v="19"/>
  </r>
  <r>
    <x v="17"/>
    <x v="10"/>
    <x v="2"/>
    <x v="54"/>
    <x v="2"/>
    <n v="27.8"/>
    <x v="9"/>
  </r>
  <r>
    <x v="11"/>
    <x v="8"/>
    <x v="2"/>
    <x v="54"/>
    <x v="35"/>
    <n v="31.2"/>
    <x v="8"/>
  </r>
  <r>
    <x v="11"/>
    <x v="8"/>
    <x v="2"/>
    <x v="54"/>
    <x v="34"/>
    <n v="20.7"/>
    <x v="6"/>
  </r>
  <r>
    <x v="48"/>
    <x v="16"/>
    <x v="7"/>
    <x v="55"/>
    <x v="62"/>
    <n v="17.600000000000001"/>
    <x v="1"/>
  </r>
  <r>
    <x v="48"/>
    <x v="16"/>
    <x v="7"/>
    <x v="55"/>
    <x v="35"/>
    <n v="31.2"/>
    <x v="21"/>
  </r>
  <r>
    <x v="48"/>
    <x v="16"/>
    <x v="7"/>
    <x v="55"/>
    <x v="29"/>
    <n v="39.4"/>
    <x v="19"/>
  </r>
  <r>
    <x v="47"/>
    <x v="2"/>
    <x v="5"/>
    <x v="56"/>
    <x v="59"/>
    <n v="50"/>
    <x v="8"/>
  </r>
  <r>
    <x v="47"/>
    <x v="2"/>
    <x v="5"/>
    <x v="56"/>
    <x v="5"/>
    <n v="7.7"/>
    <x v="0"/>
  </r>
  <r>
    <x v="47"/>
    <x v="2"/>
    <x v="5"/>
    <x v="56"/>
    <x v="40"/>
    <n v="36.799999999999997"/>
    <x v="4"/>
  </r>
  <r>
    <x v="50"/>
    <x v="17"/>
    <x v="8"/>
    <x v="57"/>
    <x v="10"/>
    <n v="2"/>
    <x v="26"/>
  </r>
  <r>
    <x v="50"/>
    <x v="17"/>
    <x v="8"/>
    <x v="57"/>
    <x v="21"/>
    <n v="44"/>
    <x v="3"/>
  </r>
  <r>
    <x v="17"/>
    <x v="10"/>
    <x v="2"/>
    <x v="55"/>
    <x v="18"/>
    <n v="15.2"/>
    <x v="23"/>
  </r>
  <r>
    <x v="17"/>
    <x v="10"/>
    <x v="2"/>
    <x v="55"/>
    <x v="12"/>
    <n v="10"/>
    <x v="34"/>
  </r>
  <r>
    <x v="17"/>
    <x v="10"/>
    <x v="2"/>
    <x v="55"/>
    <x v="20"/>
    <n v="15.2"/>
    <x v="4"/>
  </r>
  <r>
    <x v="17"/>
    <x v="10"/>
    <x v="2"/>
    <x v="55"/>
    <x v="16"/>
    <n v="19.2"/>
    <x v="4"/>
  </r>
  <r>
    <x v="27"/>
    <x v="10"/>
    <x v="2"/>
    <x v="58"/>
    <x v="58"/>
    <n v="26.6"/>
    <x v="13"/>
  </r>
  <r>
    <x v="27"/>
    <x v="10"/>
    <x v="2"/>
    <x v="58"/>
    <x v="56"/>
    <n v="10"/>
    <x v="22"/>
  </r>
  <r>
    <x v="27"/>
    <x v="10"/>
    <x v="2"/>
    <x v="58"/>
    <x v="38"/>
    <n v="14.4"/>
    <x v="6"/>
  </r>
  <r>
    <x v="19"/>
    <x v="8"/>
    <x v="2"/>
    <x v="57"/>
    <x v="62"/>
    <n v="17.600000000000001"/>
    <x v="5"/>
  </r>
  <r>
    <x v="19"/>
    <x v="8"/>
    <x v="2"/>
    <x v="57"/>
    <x v="71"/>
    <n v="32"/>
    <x v="21"/>
  </r>
  <r>
    <x v="21"/>
    <x v="10"/>
    <x v="7"/>
    <x v="59"/>
    <x v="71"/>
    <n v="32"/>
    <x v="21"/>
  </r>
  <r>
    <x v="21"/>
    <x v="10"/>
    <x v="7"/>
    <x v="59"/>
    <x v="49"/>
    <n v="7.3"/>
    <x v="32"/>
  </r>
  <r>
    <x v="21"/>
    <x v="10"/>
    <x v="7"/>
    <x v="59"/>
    <x v="1"/>
    <n v="11.2"/>
    <x v="3"/>
  </r>
  <r>
    <x v="13"/>
    <x v="8"/>
    <x v="3"/>
    <x v="56"/>
    <x v="35"/>
    <n v="31.2"/>
    <x v="20"/>
  </r>
  <r>
    <x v="13"/>
    <x v="8"/>
    <x v="3"/>
    <x v="56"/>
    <x v="33"/>
    <n v="30.4"/>
    <x v="8"/>
  </r>
  <r>
    <x v="51"/>
    <x v="1"/>
    <x v="2"/>
    <x v="56"/>
    <x v="66"/>
    <n v="11.2"/>
    <x v="1"/>
  </r>
  <r>
    <x v="51"/>
    <x v="1"/>
    <x v="2"/>
    <x v="56"/>
    <x v="13"/>
    <n v="14.4"/>
    <x v="13"/>
  </r>
  <r>
    <x v="51"/>
    <x v="1"/>
    <x v="2"/>
    <x v="56"/>
    <x v="37"/>
    <n v="14.7"/>
    <x v="22"/>
  </r>
  <r>
    <x v="51"/>
    <x v="1"/>
    <x v="2"/>
    <x v="56"/>
    <x v="48"/>
    <n v="6.2"/>
    <x v="7"/>
  </r>
  <r>
    <x v="35"/>
    <x v="10"/>
    <x v="2"/>
    <x v="60"/>
    <x v="52"/>
    <n v="14.4"/>
    <x v="6"/>
  </r>
  <r>
    <x v="35"/>
    <x v="10"/>
    <x v="2"/>
    <x v="60"/>
    <x v="70"/>
    <n v="7.2"/>
    <x v="9"/>
  </r>
  <r>
    <x v="20"/>
    <x v="8"/>
    <x v="8"/>
    <x v="60"/>
    <x v="55"/>
    <n v="5.9"/>
    <x v="23"/>
  </r>
  <r>
    <x v="52"/>
    <x v="2"/>
    <x v="1"/>
    <x v="61"/>
    <x v="72"/>
    <n v="13"/>
    <x v="6"/>
  </r>
  <r>
    <x v="52"/>
    <x v="2"/>
    <x v="1"/>
    <x v="61"/>
    <x v="60"/>
    <n v="28.8"/>
    <x v="27"/>
  </r>
  <r>
    <x v="9"/>
    <x v="6"/>
    <x v="5"/>
    <x v="62"/>
    <x v="67"/>
    <n v="210.8"/>
    <x v="8"/>
  </r>
  <r>
    <x v="9"/>
    <x v="6"/>
    <x v="5"/>
    <x v="62"/>
    <x v="5"/>
    <n v="7.7"/>
    <x v="35"/>
  </r>
  <r>
    <x v="9"/>
    <x v="6"/>
    <x v="5"/>
    <x v="62"/>
    <x v="45"/>
    <n v="15.5"/>
    <x v="36"/>
  </r>
  <r>
    <x v="9"/>
    <x v="6"/>
    <x v="5"/>
    <x v="62"/>
    <x v="6"/>
    <n v="16.8"/>
    <x v="1"/>
  </r>
  <r>
    <x v="46"/>
    <x v="15"/>
    <x v="3"/>
    <x v="63"/>
    <x v="15"/>
    <n v="3.6"/>
    <x v="1"/>
  </r>
  <r>
    <x v="46"/>
    <x v="15"/>
    <x v="3"/>
    <x v="63"/>
    <x v="55"/>
    <n v="5.9"/>
    <x v="8"/>
  </r>
  <r>
    <x v="53"/>
    <x v="6"/>
    <x v="8"/>
    <x v="64"/>
    <x v="0"/>
    <n v="16.8"/>
    <x v="0"/>
  </r>
  <r>
    <x v="53"/>
    <x v="6"/>
    <x v="8"/>
    <x v="64"/>
    <x v="67"/>
    <n v="210.8"/>
    <x v="13"/>
  </r>
  <r>
    <x v="42"/>
    <x v="7"/>
    <x v="6"/>
    <x v="62"/>
    <x v="52"/>
    <n v="14.4"/>
    <x v="0"/>
  </r>
  <r>
    <x v="42"/>
    <x v="7"/>
    <x v="6"/>
    <x v="62"/>
    <x v="39"/>
    <n v="99"/>
    <x v="22"/>
  </r>
  <r>
    <x v="54"/>
    <x v="13"/>
    <x v="1"/>
    <x v="62"/>
    <x v="15"/>
    <n v="3.6"/>
    <x v="9"/>
  </r>
  <r>
    <x v="54"/>
    <x v="13"/>
    <x v="1"/>
    <x v="62"/>
    <x v="8"/>
    <n v="15.6"/>
    <x v="9"/>
  </r>
  <r>
    <x v="35"/>
    <x v="10"/>
    <x v="1"/>
    <x v="65"/>
    <x v="12"/>
    <n v="10"/>
    <x v="12"/>
  </r>
  <r>
    <x v="35"/>
    <x v="10"/>
    <x v="1"/>
    <x v="65"/>
    <x v="16"/>
    <n v="19.2"/>
    <x v="0"/>
  </r>
  <r>
    <x v="35"/>
    <x v="10"/>
    <x v="1"/>
    <x v="65"/>
    <x v="60"/>
    <n v="28.8"/>
    <x v="8"/>
  </r>
  <r>
    <x v="29"/>
    <x v="5"/>
    <x v="5"/>
    <x v="66"/>
    <x v="41"/>
    <n v="24.8"/>
    <x v="12"/>
  </r>
  <r>
    <x v="29"/>
    <x v="5"/>
    <x v="5"/>
    <x v="66"/>
    <x v="68"/>
    <n v="24.9"/>
    <x v="16"/>
  </r>
  <r>
    <x v="29"/>
    <x v="5"/>
    <x v="5"/>
    <x v="66"/>
    <x v="11"/>
    <n v="27.2"/>
    <x v="26"/>
  </r>
  <r>
    <x v="52"/>
    <x v="2"/>
    <x v="0"/>
    <x v="65"/>
    <x v="15"/>
    <n v="3.6"/>
    <x v="1"/>
  </r>
  <r>
    <x v="52"/>
    <x v="2"/>
    <x v="0"/>
    <x v="65"/>
    <x v="53"/>
    <n v="11.2"/>
    <x v="1"/>
  </r>
  <r>
    <x v="52"/>
    <x v="2"/>
    <x v="0"/>
    <x v="65"/>
    <x v="20"/>
    <n v="15.2"/>
    <x v="8"/>
  </r>
  <r>
    <x v="55"/>
    <x v="13"/>
    <x v="0"/>
    <x v="67"/>
    <x v="19"/>
    <n v="13.9"/>
    <x v="34"/>
  </r>
  <r>
    <x v="55"/>
    <x v="13"/>
    <x v="0"/>
    <x v="67"/>
    <x v="12"/>
    <n v="10"/>
    <x v="21"/>
  </r>
  <r>
    <x v="55"/>
    <x v="13"/>
    <x v="0"/>
    <x v="67"/>
    <x v="11"/>
    <n v="27.2"/>
    <x v="32"/>
  </r>
  <r>
    <x v="15"/>
    <x v="2"/>
    <x v="2"/>
    <x v="66"/>
    <x v="44"/>
    <n v="36.4"/>
    <x v="12"/>
  </r>
  <r>
    <x v="15"/>
    <x v="2"/>
    <x v="2"/>
    <x v="66"/>
    <x v="39"/>
    <n v="99"/>
    <x v="5"/>
  </r>
  <r>
    <x v="15"/>
    <x v="2"/>
    <x v="2"/>
    <x v="66"/>
    <x v="67"/>
    <n v="210.8"/>
    <x v="1"/>
  </r>
  <r>
    <x v="15"/>
    <x v="2"/>
    <x v="2"/>
    <x v="66"/>
    <x v="14"/>
    <n v="16"/>
    <x v="5"/>
  </r>
  <r>
    <x v="15"/>
    <x v="2"/>
    <x v="2"/>
    <x v="66"/>
    <x v="55"/>
    <n v="5.9"/>
    <x v="19"/>
  </r>
  <r>
    <x v="21"/>
    <x v="10"/>
    <x v="5"/>
    <x v="61"/>
    <x v="13"/>
    <n v="14.4"/>
    <x v="37"/>
  </r>
  <r>
    <x v="21"/>
    <x v="10"/>
    <x v="5"/>
    <x v="61"/>
    <x v="11"/>
    <n v="27.2"/>
    <x v="38"/>
  </r>
  <r>
    <x v="47"/>
    <x v="2"/>
    <x v="3"/>
    <x v="68"/>
    <x v="66"/>
    <n v="11.2"/>
    <x v="13"/>
  </r>
  <r>
    <x v="47"/>
    <x v="2"/>
    <x v="3"/>
    <x v="68"/>
    <x v="4"/>
    <n v="42.4"/>
    <x v="8"/>
  </r>
  <r>
    <x v="47"/>
    <x v="2"/>
    <x v="3"/>
    <x v="68"/>
    <x v="55"/>
    <n v="5.9"/>
    <x v="23"/>
  </r>
  <r>
    <x v="56"/>
    <x v="10"/>
    <x v="2"/>
    <x v="69"/>
    <x v="12"/>
    <n v="10"/>
    <x v="8"/>
  </r>
  <r>
    <x v="56"/>
    <x v="10"/>
    <x v="2"/>
    <x v="69"/>
    <x v="48"/>
    <n v="6.2"/>
    <x v="0"/>
  </r>
  <r>
    <x v="56"/>
    <x v="10"/>
    <x v="2"/>
    <x v="69"/>
    <x v="38"/>
    <n v="14.4"/>
    <x v="0"/>
  </r>
  <r>
    <x v="57"/>
    <x v="13"/>
    <x v="5"/>
    <x v="69"/>
    <x v="60"/>
    <n v="28.8"/>
    <x v="12"/>
  </r>
  <r>
    <x v="57"/>
    <x v="13"/>
    <x v="5"/>
    <x v="69"/>
    <x v="42"/>
    <n v="17.2"/>
    <x v="2"/>
  </r>
  <r>
    <x v="58"/>
    <x v="7"/>
    <x v="3"/>
    <x v="66"/>
    <x v="0"/>
    <n v="16.8"/>
    <x v="23"/>
  </r>
  <r>
    <x v="59"/>
    <x v="12"/>
    <x v="6"/>
    <x v="70"/>
    <x v="6"/>
    <n v="16.8"/>
    <x v="2"/>
  </r>
  <r>
    <x v="59"/>
    <x v="12"/>
    <x v="6"/>
    <x v="70"/>
    <x v="23"/>
    <n v="10.4"/>
    <x v="2"/>
  </r>
  <r>
    <x v="60"/>
    <x v="17"/>
    <x v="8"/>
    <x v="66"/>
    <x v="53"/>
    <n v="11.2"/>
    <x v="20"/>
  </r>
  <r>
    <x v="60"/>
    <x v="17"/>
    <x v="8"/>
    <x v="66"/>
    <x v="55"/>
    <n v="5.9"/>
    <x v="27"/>
  </r>
  <r>
    <x v="60"/>
    <x v="17"/>
    <x v="8"/>
    <x v="66"/>
    <x v="6"/>
    <n v="16.8"/>
    <x v="6"/>
  </r>
  <r>
    <x v="60"/>
    <x v="17"/>
    <x v="8"/>
    <x v="66"/>
    <x v="23"/>
    <n v="10.4"/>
    <x v="25"/>
  </r>
  <r>
    <x v="9"/>
    <x v="6"/>
    <x v="7"/>
    <x v="66"/>
    <x v="27"/>
    <n v="8"/>
    <x v="2"/>
  </r>
  <r>
    <x v="9"/>
    <x v="6"/>
    <x v="7"/>
    <x v="66"/>
    <x v="44"/>
    <n v="36.4"/>
    <x v="35"/>
  </r>
  <r>
    <x v="9"/>
    <x v="6"/>
    <x v="7"/>
    <x v="66"/>
    <x v="8"/>
    <n v="15.6"/>
    <x v="9"/>
  </r>
  <r>
    <x v="9"/>
    <x v="6"/>
    <x v="7"/>
    <x v="66"/>
    <x v="58"/>
    <n v="26.6"/>
    <x v="5"/>
  </r>
  <r>
    <x v="20"/>
    <x v="8"/>
    <x v="6"/>
    <x v="71"/>
    <x v="39"/>
    <n v="99"/>
    <x v="8"/>
  </r>
  <r>
    <x v="20"/>
    <x v="8"/>
    <x v="6"/>
    <x v="71"/>
    <x v="33"/>
    <n v="30.4"/>
    <x v="27"/>
  </r>
  <r>
    <x v="5"/>
    <x v="4"/>
    <x v="1"/>
    <x v="72"/>
    <x v="52"/>
    <n v="14.4"/>
    <x v="6"/>
  </r>
  <r>
    <x v="5"/>
    <x v="4"/>
    <x v="1"/>
    <x v="72"/>
    <x v="58"/>
    <n v="26.6"/>
    <x v="12"/>
  </r>
  <r>
    <x v="5"/>
    <x v="4"/>
    <x v="1"/>
    <x v="72"/>
    <x v="17"/>
    <n v="8"/>
    <x v="8"/>
  </r>
  <r>
    <x v="52"/>
    <x v="2"/>
    <x v="5"/>
    <x v="73"/>
    <x v="20"/>
    <n v="15.2"/>
    <x v="7"/>
  </r>
  <r>
    <x v="61"/>
    <x v="1"/>
    <x v="0"/>
    <x v="71"/>
    <x v="9"/>
    <n v="64.8"/>
    <x v="0"/>
  </r>
  <r>
    <x v="61"/>
    <x v="1"/>
    <x v="0"/>
    <x v="71"/>
    <x v="67"/>
    <n v="210.8"/>
    <x v="4"/>
  </r>
  <r>
    <x v="61"/>
    <x v="1"/>
    <x v="0"/>
    <x v="71"/>
    <x v="11"/>
    <n v="27.2"/>
    <x v="21"/>
  </r>
  <r>
    <x v="61"/>
    <x v="1"/>
    <x v="0"/>
    <x v="71"/>
    <x v="2"/>
    <n v="27.8"/>
    <x v="10"/>
  </r>
  <r>
    <x v="34"/>
    <x v="14"/>
    <x v="2"/>
    <x v="74"/>
    <x v="64"/>
    <n v="10.6"/>
    <x v="32"/>
  </r>
  <r>
    <x v="34"/>
    <x v="14"/>
    <x v="2"/>
    <x v="74"/>
    <x v="42"/>
    <n v="17.2"/>
    <x v="13"/>
  </r>
  <r>
    <x v="62"/>
    <x v="18"/>
    <x v="5"/>
    <x v="71"/>
    <x v="12"/>
    <n v="10"/>
    <x v="12"/>
  </r>
  <r>
    <x v="62"/>
    <x v="18"/>
    <x v="5"/>
    <x v="71"/>
    <x v="64"/>
    <n v="10.6"/>
    <x v="6"/>
  </r>
  <r>
    <x v="63"/>
    <x v="8"/>
    <x v="3"/>
    <x v="71"/>
    <x v="3"/>
    <n v="18.600000000000001"/>
    <x v="6"/>
  </r>
  <r>
    <x v="63"/>
    <x v="8"/>
    <x v="3"/>
    <x v="71"/>
    <x v="55"/>
    <n v="5.9"/>
    <x v="1"/>
  </r>
  <r>
    <x v="48"/>
    <x v="16"/>
    <x v="5"/>
    <x v="75"/>
    <x v="12"/>
    <n v="10"/>
    <x v="10"/>
  </r>
  <r>
    <x v="55"/>
    <x v="13"/>
    <x v="5"/>
    <x v="75"/>
    <x v="44"/>
    <n v="36.4"/>
    <x v="8"/>
  </r>
  <r>
    <x v="55"/>
    <x v="13"/>
    <x v="5"/>
    <x v="75"/>
    <x v="13"/>
    <n v="14.4"/>
    <x v="8"/>
  </r>
  <r>
    <x v="14"/>
    <x v="9"/>
    <x v="0"/>
    <x v="76"/>
    <x v="42"/>
    <n v="17.2"/>
    <x v="7"/>
  </r>
  <r>
    <x v="12"/>
    <x v="1"/>
    <x v="7"/>
    <x v="75"/>
    <x v="5"/>
    <n v="7.7"/>
    <x v="26"/>
  </r>
  <r>
    <x v="12"/>
    <x v="1"/>
    <x v="7"/>
    <x v="75"/>
    <x v="46"/>
    <n v="35.1"/>
    <x v="16"/>
  </r>
  <r>
    <x v="12"/>
    <x v="1"/>
    <x v="7"/>
    <x v="75"/>
    <x v="6"/>
    <n v="16.8"/>
    <x v="8"/>
  </r>
  <r>
    <x v="34"/>
    <x v="14"/>
    <x v="6"/>
    <x v="77"/>
    <x v="34"/>
    <n v="20.7"/>
    <x v="27"/>
  </r>
  <r>
    <x v="34"/>
    <x v="14"/>
    <x v="6"/>
    <x v="77"/>
    <x v="22"/>
    <n v="26.2"/>
    <x v="8"/>
  </r>
  <r>
    <x v="34"/>
    <x v="14"/>
    <x v="6"/>
    <x v="77"/>
    <x v="11"/>
    <n v="27.2"/>
    <x v="7"/>
  </r>
  <r>
    <x v="34"/>
    <x v="14"/>
    <x v="6"/>
    <x v="77"/>
    <x v="30"/>
    <n v="12"/>
    <x v="12"/>
  </r>
  <r>
    <x v="29"/>
    <x v="5"/>
    <x v="3"/>
    <x v="75"/>
    <x v="17"/>
    <n v="8"/>
    <x v="31"/>
  </r>
  <r>
    <x v="9"/>
    <x v="6"/>
    <x v="2"/>
    <x v="78"/>
    <x v="25"/>
    <n v="17"/>
    <x v="39"/>
  </r>
  <r>
    <x v="9"/>
    <x v="6"/>
    <x v="2"/>
    <x v="78"/>
    <x v="59"/>
    <n v="50"/>
    <x v="3"/>
  </r>
  <r>
    <x v="9"/>
    <x v="6"/>
    <x v="2"/>
    <x v="78"/>
    <x v="39"/>
    <n v="99"/>
    <x v="31"/>
  </r>
  <r>
    <x v="9"/>
    <x v="6"/>
    <x v="2"/>
    <x v="78"/>
    <x v="10"/>
    <n v="2"/>
    <x v="18"/>
  </r>
  <r>
    <x v="9"/>
    <x v="6"/>
    <x v="2"/>
    <x v="78"/>
    <x v="17"/>
    <n v="8"/>
    <x v="13"/>
  </r>
  <r>
    <x v="54"/>
    <x v="13"/>
    <x v="6"/>
    <x v="79"/>
    <x v="43"/>
    <n v="4.8"/>
    <x v="8"/>
  </r>
  <r>
    <x v="54"/>
    <x v="13"/>
    <x v="6"/>
    <x v="79"/>
    <x v="72"/>
    <n v="13"/>
    <x v="6"/>
  </r>
  <r>
    <x v="54"/>
    <x v="13"/>
    <x v="6"/>
    <x v="79"/>
    <x v="33"/>
    <n v="30.4"/>
    <x v="8"/>
  </r>
  <r>
    <x v="26"/>
    <x v="9"/>
    <x v="3"/>
    <x v="80"/>
    <x v="9"/>
    <n v="64.8"/>
    <x v="19"/>
  </r>
  <r>
    <x v="26"/>
    <x v="9"/>
    <x v="3"/>
    <x v="80"/>
    <x v="11"/>
    <n v="27.2"/>
    <x v="6"/>
  </r>
  <r>
    <x v="20"/>
    <x v="8"/>
    <x v="5"/>
    <x v="81"/>
    <x v="32"/>
    <n v="24"/>
    <x v="1"/>
  </r>
  <r>
    <x v="20"/>
    <x v="8"/>
    <x v="5"/>
    <x v="81"/>
    <x v="11"/>
    <n v="27.2"/>
    <x v="8"/>
  </r>
  <r>
    <x v="20"/>
    <x v="8"/>
    <x v="5"/>
    <x v="81"/>
    <x v="56"/>
    <n v="10"/>
    <x v="26"/>
  </r>
  <r>
    <x v="51"/>
    <x v="1"/>
    <x v="4"/>
    <x v="82"/>
    <x v="15"/>
    <n v="3.6"/>
    <x v="6"/>
  </r>
  <r>
    <x v="51"/>
    <x v="1"/>
    <x v="4"/>
    <x v="82"/>
    <x v="53"/>
    <n v="11.2"/>
    <x v="1"/>
  </r>
  <r>
    <x v="64"/>
    <x v="19"/>
    <x v="5"/>
    <x v="80"/>
    <x v="15"/>
    <n v="3.6"/>
    <x v="6"/>
  </r>
  <r>
    <x v="64"/>
    <x v="19"/>
    <x v="5"/>
    <x v="80"/>
    <x v="44"/>
    <n v="36.4"/>
    <x v="7"/>
  </r>
  <r>
    <x v="64"/>
    <x v="19"/>
    <x v="5"/>
    <x v="80"/>
    <x v="21"/>
    <n v="44"/>
    <x v="0"/>
  </r>
  <r>
    <x v="64"/>
    <x v="19"/>
    <x v="5"/>
    <x v="80"/>
    <x v="42"/>
    <n v="17.2"/>
    <x v="6"/>
  </r>
  <r>
    <x v="55"/>
    <x v="13"/>
    <x v="7"/>
    <x v="80"/>
    <x v="73"/>
    <n v="7.6"/>
    <x v="6"/>
  </r>
  <r>
    <x v="55"/>
    <x v="13"/>
    <x v="7"/>
    <x v="80"/>
    <x v="65"/>
    <n v="5.6"/>
    <x v="8"/>
  </r>
  <r>
    <x v="55"/>
    <x v="13"/>
    <x v="7"/>
    <x v="80"/>
    <x v="22"/>
    <n v="26.2"/>
    <x v="4"/>
  </r>
  <r>
    <x v="65"/>
    <x v="16"/>
    <x v="2"/>
    <x v="73"/>
    <x v="41"/>
    <n v="24.8"/>
    <x v="16"/>
  </r>
  <r>
    <x v="65"/>
    <x v="16"/>
    <x v="2"/>
    <x v="73"/>
    <x v="16"/>
    <n v="19.2"/>
    <x v="6"/>
  </r>
  <r>
    <x v="65"/>
    <x v="16"/>
    <x v="2"/>
    <x v="73"/>
    <x v="29"/>
    <n v="39.4"/>
    <x v="8"/>
  </r>
  <r>
    <x v="65"/>
    <x v="16"/>
    <x v="2"/>
    <x v="73"/>
    <x v="30"/>
    <n v="12"/>
    <x v="12"/>
  </r>
  <r>
    <x v="9"/>
    <x v="6"/>
    <x v="1"/>
    <x v="83"/>
    <x v="12"/>
    <n v="10"/>
    <x v="18"/>
  </r>
  <r>
    <x v="9"/>
    <x v="6"/>
    <x v="1"/>
    <x v="83"/>
    <x v="31"/>
    <n v="14.4"/>
    <x v="4"/>
  </r>
  <r>
    <x v="9"/>
    <x v="6"/>
    <x v="1"/>
    <x v="83"/>
    <x v="54"/>
    <n v="9.6"/>
    <x v="29"/>
  </r>
  <r>
    <x v="9"/>
    <x v="6"/>
    <x v="1"/>
    <x v="83"/>
    <x v="2"/>
    <n v="27.8"/>
    <x v="23"/>
  </r>
  <r>
    <x v="56"/>
    <x v="10"/>
    <x v="3"/>
    <x v="84"/>
    <x v="43"/>
    <n v="4.8"/>
    <x v="27"/>
  </r>
  <r>
    <x v="53"/>
    <x v="6"/>
    <x v="7"/>
    <x v="85"/>
    <x v="60"/>
    <n v="28.8"/>
    <x v="13"/>
  </r>
  <r>
    <x v="44"/>
    <x v="8"/>
    <x v="5"/>
    <x v="86"/>
    <x v="18"/>
    <n v="15.2"/>
    <x v="9"/>
  </r>
  <r>
    <x v="44"/>
    <x v="8"/>
    <x v="5"/>
    <x v="86"/>
    <x v="3"/>
    <n v="18.600000000000001"/>
    <x v="10"/>
  </r>
  <r>
    <x v="44"/>
    <x v="8"/>
    <x v="5"/>
    <x v="86"/>
    <x v="66"/>
    <n v="11.2"/>
    <x v="25"/>
  </r>
  <r>
    <x v="44"/>
    <x v="8"/>
    <x v="5"/>
    <x v="86"/>
    <x v="68"/>
    <n v="24.9"/>
    <x v="21"/>
  </r>
  <r>
    <x v="44"/>
    <x v="8"/>
    <x v="5"/>
    <x v="86"/>
    <x v="12"/>
    <n v="10"/>
    <x v="39"/>
  </r>
  <r>
    <x v="63"/>
    <x v="8"/>
    <x v="5"/>
    <x v="86"/>
    <x v="43"/>
    <n v="4.8"/>
    <x v="1"/>
  </r>
  <r>
    <x v="63"/>
    <x v="8"/>
    <x v="5"/>
    <x v="86"/>
    <x v="29"/>
    <n v="39.4"/>
    <x v="1"/>
  </r>
  <r>
    <x v="8"/>
    <x v="5"/>
    <x v="1"/>
    <x v="86"/>
    <x v="54"/>
    <n v="9.6"/>
    <x v="19"/>
  </r>
  <r>
    <x v="8"/>
    <x v="5"/>
    <x v="1"/>
    <x v="86"/>
    <x v="22"/>
    <n v="26.2"/>
    <x v="21"/>
  </r>
  <r>
    <x v="8"/>
    <x v="5"/>
    <x v="1"/>
    <x v="86"/>
    <x v="60"/>
    <n v="28.8"/>
    <x v="26"/>
  </r>
  <r>
    <x v="17"/>
    <x v="10"/>
    <x v="5"/>
    <x v="87"/>
    <x v="70"/>
    <n v="7.2"/>
    <x v="4"/>
  </r>
  <r>
    <x v="17"/>
    <x v="10"/>
    <x v="5"/>
    <x v="87"/>
    <x v="42"/>
    <n v="17.2"/>
    <x v="18"/>
  </r>
  <r>
    <x v="17"/>
    <x v="10"/>
    <x v="5"/>
    <x v="87"/>
    <x v="2"/>
    <n v="27.8"/>
    <x v="11"/>
  </r>
  <r>
    <x v="49"/>
    <x v="15"/>
    <x v="0"/>
    <x v="88"/>
    <x v="27"/>
    <n v="8"/>
    <x v="1"/>
  </r>
  <r>
    <x v="49"/>
    <x v="15"/>
    <x v="0"/>
    <x v="88"/>
    <x v="4"/>
    <n v="42.4"/>
    <x v="27"/>
  </r>
  <r>
    <x v="44"/>
    <x v="8"/>
    <x v="7"/>
    <x v="89"/>
    <x v="31"/>
    <n v="14.4"/>
    <x v="12"/>
  </r>
  <r>
    <x v="44"/>
    <x v="8"/>
    <x v="7"/>
    <x v="89"/>
    <x v="16"/>
    <n v="19.2"/>
    <x v="40"/>
  </r>
  <r>
    <x v="60"/>
    <x v="17"/>
    <x v="6"/>
    <x v="90"/>
    <x v="56"/>
    <n v="10"/>
    <x v="18"/>
  </r>
  <r>
    <x v="60"/>
    <x v="17"/>
    <x v="6"/>
    <x v="90"/>
    <x v="42"/>
    <n v="17.2"/>
    <x v="12"/>
  </r>
  <r>
    <x v="60"/>
    <x v="17"/>
    <x v="6"/>
    <x v="90"/>
    <x v="38"/>
    <n v="14.4"/>
    <x v="5"/>
  </r>
  <r>
    <x v="60"/>
    <x v="17"/>
    <x v="6"/>
    <x v="90"/>
    <x v="23"/>
    <n v="10.4"/>
    <x v="31"/>
  </r>
  <r>
    <x v="57"/>
    <x v="13"/>
    <x v="5"/>
    <x v="77"/>
    <x v="39"/>
    <n v="99"/>
    <x v="11"/>
  </r>
  <r>
    <x v="57"/>
    <x v="13"/>
    <x v="5"/>
    <x v="77"/>
    <x v="31"/>
    <n v="14.4"/>
    <x v="5"/>
  </r>
  <r>
    <x v="57"/>
    <x v="13"/>
    <x v="5"/>
    <x v="77"/>
    <x v="14"/>
    <n v="16"/>
    <x v="12"/>
  </r>
  <r>
    <x v="13"/>
    <x v="8"/>
    <x v="5"/>
    <x v="91"/>
    <x v="34"/>
    <n v="20.7"/>
    <x v="27"/>
  </r>
  <r>
    <x v="13"/>
    <x v="8"/>
    <x v="5"/>
    <x v="91"/>
    <x v="33"/>
    <n v="30.4"/>
    <x v="21"/>
  </r>
  <r>
    <x v="13"/>
    <x v="8"/>
    <x v="5"/>
    <x v="91"/>
    <x v="6"/>
    <n v="16.8"/>
    <x v="8"/>
  </r>
  <r>
    <x v="13"/>
    <x v="8"/>
    <x v="5"/>
    <x v="91"/>
    <x v="42"/>
    <n v="17.2"/>
    <x v="18"/>
  </r>
  <r>
    <x v="9"/>
    <x v="6"/>
    <x v="6"/>
    <x v="91"/>
    <x v="70"/>
    <n v="7.2"/>
    <x v="18"/>
  </r>
  <r>
    <x v="9"/>
    <x v="6"/>
    <x v="6"/>
    <x v="91"/>
    <x v="46"/>
    <n v="35.1"/>
    <x v="14"/>
  </r>
  <r>
    <x v="9"/>
    <x v="6"/>
    <x v="2"/>
    <x v="89"/>
    <x v="19"/>
    <n v="13.9"/>
    <x v="11"/>
  </r>
  <r>
    <x v="9"/>
    <x v="6"/>
    <x v="2"/>
    <x v="89"/>
    <x v="74"/>
    <n v="10.199999999999999"/>
    <x v="21"/>
  </r>
  <r>
    <x v="23"/>
    <x v="11"/>
    <x v="7"/>
    <x v="90"/>
    <x v="68"/>
    <n v="24.9"/>
    <x v="12"/>
  </r>
  <r>
    <x v="23"/>
    <x v="11"/>
    <x v="7"/>
    <x v="90"/>
    <x v="1"/>
    <n v="11.2"/>
    <x v="4"/>
  </r>
  <r>
    <x v="23"/>
    <x v="11"/>
    <x v="7"/>
    <x v="90"/>
    <x v="14"/>
    <n v="16"/>
    <x v="12"/>
  </r>
  <r>
    <x v="66"/>
    <x v="5"/>
    <x v="5"/>
    <x v="92"/>
    <x v="57"/>
    <n v="8"/>
    <x v="13"/>
  </r>
  <r>
    <x v="61"/>
    <x v="1"/>
    <x v="8"/>
    <x v="93"/>
    <x v="52"/>
    <n v="14.4"/>
    <x v="1"/>
  </r>
  <r>
    <x v="61"/>
    <x v="1"/>
    <x v="8"/>
    <x v="93"/>
    <x v="27"/>
    <n v="8"/>
    <x v="12"/>
  </r>
  <r>
    <x v="61"/>
    <x v="1"/>
    <x v="8"/>
    <x v="93"/>
    <x v="44"/>
    <n v="36.4"/>
    <x v="10"/>
  </r>
  <r>
    <x v="61"/>
    <x v="1"/>
    <x v="8"/>
    <x v="93"/>
    <x v="20"/>
    <n v="15.2"/>
    <x v="2"/>
  </r>
  <r>
    <x v="61"/>
    <x v="1"/>
    <x v="8"/>
    <x v="93"/>
    <x v="37"/>
    <n v="14.7"/>
    <x v="17"/>
  </r>
  <r>
    <x v="67"/>
    <x v="10"/>
    <x v="7"/>
    <x v="94"/>
    <x v="0"/>
    <n v="16.8"/>
    <x v="12"/>
  </r>
  <r>
    <x v="67"/>
    <x v="10"/>
    <x v="7"/>
    <x v="94"/>
    <x v="60"/>
    <n v="28.8"/>
    <x v="6"/>
  </r>
  <r>
    <x v="67"/>
    <x v="10"/>
    <x v="7"/>
    <x v="94"/>
    <x v="42"/>
    <n v="17.2"/>
    <x v="6"/>
  </r>
  <r>
    <x v="68"/>
    <x v="2"/>
    <x v="6"/>
    <x v="95"/>
    <x v="28"/>
    <n v="20.8"/>
    <x v="1"/>
  </r>
  <r>
    <x v="68"/>
    <x v="2"/>
    <x v="6"/>
    <x v="95"/>
    <x v="55"/>
    <n v="5.9"/>
    <x v="7"/>
  </r>
  <r>
    <x v="68"/>
    <x v="2"/>
    <x v="6"/>
    <x v="95"/>
    <x v="29"/>
    <n v="39.4"/>
    <x v="5"/>
  </r>
  <r>
    <x v="69"/>
    <x v="20"/>
    <x v="3"/>
    <x v="95"/>
    <x v="3"/>
    <n v="18.600000000000001"/>
    <x v="0"/>
  </r>
  <r>
    <x v="69"/>
    <x v="20"/>
    <x v="3"/>
    <x v="95"/>
    <x v="27"/>
    <n v="8"/>
    <x v="0"/>
  </r>
  <r>
    <x v="65"/>
    <x v="16"/>
    <x v="3"/>
    <x v="96"/>
    <x v="10"/>
    <n v="2"/>
    <x v="41"/>
  </r>
  <r>
    <x v="65"/>
    <x v="16"/>
    <x v="3"/>
    <x v="96"/>
    <x v="21"/>
    <n v="44"/>
    <x v="16"/>
  </r>
  <r>
    <x v="65"/>
    <x v="16"/>
    <x v="4"/>
    <x v="97"/>
    <x v="5"/>
    <n v="7.7"/>
    <x v="9"/>
  </r>
  <r>
    <x v="65"/>
    <x v="16"/>
    <x v="4"/>
    <x v="97"/>
    <x v="45"/>
    <n v="15.5"/>
    <x v="4"/>
  </r>
  <r>
    <x v="65"/>
    <x v="16"/>
    <x v="4"/>
    <x v="97"/>
    <x v="21"/>
    <n v="44"/>
    <x v="3"/>
  </r>
  <r>
    <x v="16"/>
    <x v="0"/>
    <x v="6"/>
    <x v="96"/>
    <x v="3"/>
    <n v="18.600000000000001"/>
    <x v="8"/>
  </r>
  <r>
    <x v="52"/>
    <x v="2"/>
    <x v="3"/>
    <x v="77"/>
    <x v="52"/>
    <n v="14.4"/>
    <x v="23"/>
  </r>
  <r>
    <x v="52"/>
    <x v="2"/>
    <x v="3"/>
    <x v="77"/>
    <x v="29"/>
    <n v="39.4"/>
    <x v="4"/>
  </r>
  <r>
    <x v="52"/>
    <x v="2"/>
    <x v="3"/>
    <x v="77"/>
    <x v="38"/>
    <n v="14.4"/>
    <x v="31"/>
  </r>
  <r>
    <x v="51"/>
    <x v="1"/>
    <x v="7"/>
    <x v="98"/>
    <x v="49"/>
    <n v="7.3"/>
    <x v="27"/>
  </r>
  <r>
    <x v="51"/>
    <x v="1"/>
    <x v="7"/>
    <x v="98"/>
    <x v="10"/>
    <n v="2"/>
    <x v="13"/>
  </r>
  <r>
    <x v="63"/>
    <x v="8"/>
    <x v="3"/>
    <x v="99"/>
    <x v="35"/>
    <n v="31.2"/>
    <x v="17"/>
  </r>
  <r>
    <x v="63"/>
    <x v="8"/>
    <x v="3"/>
    <x v="99"/>
    <x v="10"/>
    <n v="2"/>
    <x v="8"/>
  </r>
  <r>
    <x v="16"/>
    <x v="0"/>
    <x v="6"/>
    <x v="100"/>
    <x v="49"/>
    <n v="7.3"/>
    <x v="8"/>
  </r>
  <r>
    <x v="16"/>
    <x v="0"/>
    <x v="6"/>
    <x v="100"/>
    <x v="22"/>
    <n v="26.2"/>
    <x v="1"/>
  </r>
  <r>
    <x v="16"/>
    <x v="0"/>
    <x v="6"/>
    <x v="100"/>
    <x v="8"/>
    <n v="15.6"/>
    <x v="8"/>
  </r>
  <r>
    <x v="50"/>
    <x v="17"/>
    <x v="2"/>
    <x v="101"/>
    <x v="67"/>
    <n v="210.8"/>
    <x v="13"/>
  </r>
  <r>
    <x v="50"/>
    <x v="17"/>
    <x v="2"/>
    <x v="101"/>
    <x v="54"/>
    <n v="9.6"/>
    <x v="17"/>
  </r>
  <r>
    <x v="50"/>
    <x v="17"/>
    <x v="2"/>
    <x v="101"/>
    <x v="56"/>
    <n v="10"/>
    <x v="20"/>
  </r>
  <r>
    <x v="50"/>
    <x v="17"/>
    <x v="2"/>
    <x v="101"/>
    <x v="23"/>
    <n v="10.4"/>
    <x v="5"/>
  </r>
  <r>
    <x v="21"/>
    <x v="10"/>
    <x v="2"/>
    <x v="99"/>
    <x v="18"/>
    <n v="15.2"/>
    <x v="18"/>
  </r>
  <r>
    <x v="21"/>
    <x v="10"/>
    <x v="2"/>
    <x v="99"/>
    <x v="69"/>
    <n v="7.6"/>
    <x v="38"/>
  </r>
  <r>
    <x v="21"/>
    <x v="10"/>
    <x v="2"/>
    <x v="99"/>
    <x v="75"/>
    <n v="22.8"/>
    <x v="16"/>
  </r>
  <r>
    <x v="21"/>
    <x v="10"/>
    <x v="2"/>
    <x v="99"/>
    <x v="17"/>
    <n v="8"/>
    <x v="6"/>
  </r>
  <r>
    <x v="6"/>
    <x v="4"/>
    <x v="2"/>
    <x v="94"/>
    <x v="11"/>
    <n v="27.2"/>
    <x v="18"/>
  </r>
  <r>
    <x v="6"/>
    <x v="4"/>
    <x v="2"/>
    <x v="94"/>
    <x v="60"/>
    <n v="28.8"/>
    <x v="8"/>
  </r>
  <r>
    <x v="7"/>
    <x v="1"/>
    <x v="3"/>
    <x v="100"/>
    <x v="76"/>
    <n v="77.599999999999994"/>
    <x v="8"/>
  </r>
  <r>
    <x v="7"/>
    <x v="1"/>
    <x v="3"/>
    <x v="100"/>
    <x v="43"/>
    <n v="4.8"/>
    <x v="17"/>
  </r>
  <r>
    <x v="7"/>
    <x v="1"/>
    <x v="3"/>
    <x v="100"/>
    <x v="30"/>
    <n v="12"/>
    <x v="26"/>
  </r>
  <r>
    <x v="7"/>
    <x v="1"/>
    <x v="3"/>
    <x v="100"/>
    <x v="47"/>
    <n v="12"/>
    <x v="8"/>
  </r>
  <r>
    <x v="12"/>
    <x v="1"/>
    <x v="6"/>
    <x v="100"/>
    <x v="49"/>
    <n v="7.3"/>
    <x v="22"/>
  </r>
  <r>
    <x v="12"/>
    <x v="1"/>
    <x v="6"/>
    <x v="100"/>
    <x v="68"/>
    <n v="24.9"/>
    <x v="12"/>
  </r>
  <r>
    <x v="12"/>
    <x v="1"/>
    <x v="6"/>
    <x v="100"/>
    <x v="22"/>
    <n v="26.2"/>
    <x v="6"/>
  </r>
  <r>
    <x v="12"/>
    <x v="1"/>
    <x v="6"/>
    <x v="100"/>
    <x v="23"/>
    <n v="10.4"/>
    <x v="1"/>
  </r>
  <r>
    <x v="70"/>
    <x v="11"/>
    <x v="7"/>
    <x v="102"/>
    <x v="68"/>
    <n v="24.9"/>
    <x v="17"/>
  </r>
  <r>
    <x v="71"/>
    <x v="1"/>
    <x v="1"/>
    <x v="103"/>
    <x v="12"/>
    <n v="10"/>
    <x v="31"/>
  </r>
  <r>
    <x v="71"/>
    <x v="1"/>
    <x v="1"/>
    <x v="103"/>
    <x v="21"/>
    <n v="44"/>
    <x v="8"/>
  </r>
  <r>
    <x v="48"/>
    <x v="16"/>
    <x v="8"/>
    <x v="100"/>
    <x v="31"/>
    <n v="14.4"/>
    <x v="18"/>
  </r>
  <r>
    <x v="48"/>
    <x v="16"/>
    <x v="8"/>
    <x v="100"/>
    <x v="67"/>
    <n v="210.8"/>
    <x v="41"/>
  </r>
  <r>
    <x v="48"/>
    <x v="16"/>
    <x v="8"/>
    <x v="100"/>
    <x v="56"/>
    <n v="10"/>
    <x v="12"/>
  </r>
  <r>
    <x v="52"/>
    <x v="2"/>
    <x v="1"/>
    <x v="104"/>
    <x v="16"/>
    <n v="19.2"/>
    <x v="1"/>
  </r>
  <r>
    <x v="52"/>
    <x v="2"/>
    <x v="1"/>
    <x v="104"/>
    <x v="38"/>
    <n v="14.4"/>
    <x v="8"/>
  </r>
  <r>
    <x v="59"/>
    <x v="12"/>
    <x v="2"/>
    <x v="105"/>
    <x v="33"/>
    <n v="30.4"/>
    <x v="2"/>
  </r>
  <r>
    <x v="59"/>
    <x v="12"/>
    <x v="2"/>
    <x v="105"/>
    <x v="58"/>
    <n v="26.6"/>
    <x v="25"/>
  </r>
  <r>
    <x v="53"/>
    <x v="6"/>
    <x v="2"/>
    <x v="106"/>
    <x v="3"/>
    <n v="18.600000000000001"/>
    <x v="5"/>
  </r>
  <r>
    <x v="31"/>
    <x v="11"/>
    <x v="8"/>
    <x v="107"/>
    <x v="54"/>
    <n v="9.6"/>
    <x v="8"/>
  </r>
  <r>
    <x v="34"/>
    <x v="14"/>
    <x v="3"/>
    <x v="108"/>
    <x v="72"/>
    <n v="13"/>
    <x v="4"/>
  </r>
  <r>
    <x v="34"/>
    <x v="14"/>
    <x v="3"/>
    <x v="108"/>
    <x v="46"/>
    <n v="35.1"/>
    <x v="5"/>
  </r>
  <r>
    <x v="9"/>
    <x v="6"/>
    <x v="2"/>
    <x v="109"/>
    <x v="35"/>
    <n v="31.2"/>
    <x v="29"/>
  </r>
  <r>
    <x v="9"/>
    <x v="6"/>
    <x v="2"/>
    <x v="109"/>
    <x v="27"/>
    <n v="8"/>
    <x v="13"/>
  </r>
  <r>
    <x v="9"/>
    <x v="6"/>
    <x v="2"/>
    <x v="109"/>
    <x v="33"/>
    <n v="30.4"/>
    <x v="12"/>
  </r>
  <r>
    <x v="9"/>
    <x v="6"/>
    <x v="2"/>
    <x v="109"/>
    <x v="21"/>
    <n v="44"/>
    <x v="21"/>
  </r>
  <r>
    <x v="65"/>
    <x v="16"/>
    <x v="2"/>
    <x v="108"/>
    <x v="35"/>
    <n v="31.2"/>
    <x v="13"/>
  </r>
  <r>
    <x v="65"/>
    <x v="16"/>
    <x v="2"/>
    <x v="108"/>
    <x v="37"/>
    <n v="14.7"/>
    <x v="13"/>
  </r>
  <r>
    <x v="65"/>
    <x v="16"/>
    <x v="2"/>
    <x v="108"/>
    <x v="69"/>
    <n v="7.6"/>
    <x v="12"/>
  </r>
  <r>
    <x v="20"/>
    <x v="8"/>
    <x v="3"/>
    <x v="108"/>
    <x v="68"/>
    <n v="24.9"/>
    <x v="1"/>
  </r>
  <r>
    <x v="20"/>
    <x v="8"/>
    <x v="3"/>
    <x v="108"/>
    <x v="55"/>
    <n v="5.9"/>
    <x v="4"/>
  </r>
  <r>
    <x v="49"/>
    <x v="15"/>
    <x v="3"/>
    <x v="110"/>
    <x v="33"/>
    <n v="30.4"/>
    <x v="19"/>
  </r>
  <r>
    <x v="14"/>
    <x v="9"/>
    <x v="3"/>
    <x v="111"/>
    <x v="0"/>
    <n v="16.8"/>
    <x v="7"/>
  </r>
  <r>
    <x v="14"/>
    <x v="9"/>
    <x v="3"/>
    <x v="111"/>
    <x v="38"/>
    <n v="14.4"/>
    <x v="27"/>
  </r>
  <r>
    <x v="72"/>
    <x v="13"/>
    <x v="6"/>
    <x v="108"/>
    <x v="18"/>
    <n v="15.2"/>
    <x v="1"/>
  </r>
  <r>
    <x v="72"/>
    <x v="13"/>
    <x v="6"/>
    <x v="108"/>
    <x v="7"/>
    <n v="16.8"/>
    <x v="0"/>
  </r>
  <r>
    <x v="72"/>
    <x v="13"/>
    <x v="6"/>
    <x v="108"/>
    <x v="2"/>
    <n v="27.8"/>
    <x v="1"/>
  </r>
  <r>
    <x v="15"/>
    <x v="2"/>
    <x v="3"/>
    <x v="112"/>
    <x v="54"/>
    <n v="9.6"/>
    <x v="2"/>
  </r>
  <r>
    <x v="15"/>
    <x v="2"/>
    <x v="3"/>
    <x v="112"/>
    <x v="33"/>
    <n v="30.4"/>
    <x v="4"/>
  </r>
  <r>
    <x v="15"/>
    <x v="2"/>
    <x v="3"/>
    <x v="112"/>
    <x v="58"/>
    <n v="26.6"/>
    <x v="12"/>
  </r>
  <r>
    <x v="15"/>
    <x v="2"/>
    <x v="3"/>
    <x v="112"/>
    <x v="48"/>
    <n v="6.2"/>
    <x v="23"/>
  </r>
  <r>
    <x v="16"/>
    <x v="0"/>
    <x v="6"/>
    <x v="113"/>
    <x v="22"/>
    <n v="26.2"/>
    <x v="6"/>
  </r>
  <r>
    <x v="73"/>
    <x v="10"/>
    <x v="3"/>
    <x v="104"/>
    <x v="49"/>
    <n v="7.3"/>
    <x v="6"/>
  </r>
  <r>
    <x v="73"/>
    <x v="10"/>
    <x v="3"/>
    <x v="104"/>
    <x v="53"/>
    <n v="11.2"/>
    <x v="8"/>
  </r>
  <r>
    <x v="73"/>
    <x v="10"/>
    <x v="3"/>
    <x v="104"/>
    <x v="8"/>
    <n v="15.6"/>
    <x v="6"/>
  </r>
  <r>
    <x v="48"/>
    <x v="16"/>
    <x v="1"/>
    <x v="114"/>
    <x v="36"/>
    <n v="30.4"/>
    <x v="6"/>
  </r>
  <r>
    <x v="48"/>
    <x v="16"/>
    <x v="1"/>
    <x v="114"/>
    <x v="19"/>
    <n v="13.9"/>
    <x v="16"/>
  </r>
  <r>
    <x v="48"/>
    <x v="16"/>
    <x v="1"/>
    <x v="114"/>
    <x v="58"/>
    <n v="26.6"/>
    <x v="7"/>
  </r>
  <r>
    <x v="48"/>
    <x v="16"/>
    <x v="1"/>
    <x v="114"/>
    <x v="17"/>
    <n v="8"/>
    <x v="12"/>
  </r>
  <r>
    <x v="44"/>
    <x v="8"/>
    <x v="2"/>
    <x v="115"/>
    <x v="18"/>
    <n v="15.2"/>
    <x v="29"/>
  </r>
  <r>
    <x v="44"/>
    <x v="8"/>
    <x v="2"/>
    <x v="115"/>
    <x v="19"/>
    <n v="13.9"/>
    <x v="41"/>
  </r>
  <r>
    <x v="44"/>
    <x v="8"/>
    <x v="2"/>
    <x v="115"/>
    <x v="39"/>
    <n v="99"/>
    <x v="23"/>
  </r>
  <r>
    <x v="44"/>
    <x v="8"/>
    <x v="2"/>
    <x v="115"/>
    <x v="75"/>
    <n v="22.8"/>
    <x v="42"/>
  </r>
  <r>
    <x v="11"/>
    <x v="8"/>
    <x v="3"/>
    <x v="116"/>
    <x v="24"/>
    <n v="35.1"/>
    <x v="13"/>
  </r>
  <r>
    <x v="9"/>
    <x v="6"/>
    <x v="3"/>
    <x v="117"/>
    <x v="0"/>
    <n v="16.8"/>
    <x v="12"/>
  </r>
  <r>
    <x v="9"/>
    <x v="6"/>
    <x v="3"/>
    <x v="117"/>
    <x v="55"/>
    <n v="5.9"/>
    <x v="32"/>
  </r>
  <r>
    <x v="9"/>
    <x v="6"/>
    <x v="3"/>
    <x v="117"/>
    <x v="61"/>
    <n v="13.6"/>
    <x v="18"/>
  </r>
  <r>
    <x v="31"/>
    <x v="11"/>
    <x v="6"/>
    <x v="104"/>
    <x v="0"/>
    <n v="16.8"/>
    <x v="7"/>
  </r>
  <r>
    <x v="31"/>
    <x v="11"/>
    <x v="6"/>
    <x v="104"/>
    <x v="44"/>
    <n v="36.4"/>
    <x v="0"/>
  </r>
  <r>
    <x v="26"/>
    <x v="9"/>
    <x v="3"/>
    <x v="118"/>
    <x v="35"/>
    <n v="31.2"/>
    <x v="1"/>
  </r>
  <r>
    <x v="26"/>
    <x v="9"/>
    <x v="3"/>
    <x v="118"/>
    <x v="68"/>
    <n v="24.9"/>
    <x v="6"/>
  </r>
  <r>
    <x v="26"/>
    <x v="9"/>
    <x v="3"/>
    <x v="118"/>
    <x v="31"/>
    <n v="14.4"/>
    <x v="26"/>
  </r>
  <r>
    <x v="26"/>
    <x v="9"/>
    <x v="3"/>
    <x v="118"/>
    <x v="5"/>
    <n v="7.7"/>
    <x v="12"/>
  </r>
  <r>
    <x v="26"/>
    <x v="9"/>
    <x v="3"/>
    <x v="119"/>
    <x v="13"/>
    <n v="14.4"/>
    <x v="7"/>
  </r>
  <r>
    <x v="26"/>
    <x v="9"/>
    <x v="3"/>
    <x v="119"/>
    <x v="55"/>
    <n v="5.9"/>
    <x v="6"/>
  </r>
  <r>
    <x v="73"/>
    <x v="10"/>
    <x v="1"/>
    <x v="120"/>
    <x v="49"/>
    <n v="7.3"/>
    <x v="0"/>
  </r>
  <r>
    <x v="73"/>
    <x v="10"/>
    <x v="1"/>
    <x v="120"/>
    <x v="15"/>
    <n v="3.6"/>
    <x v="8"/>
  </r>
  <r>
    <x v="73"/>
    <x v="10"/>
    <x v="1"/>
    <x v="120"/>
    <x v="12"/>
    <n v="10"/>
    <x v="28"/>
  </r>
  <r>
    <x v="73"/>
    <x v="10"/>
    <x v="1"/>
    <x v="120"/>
    <x v="65"/>
    <n v="5.6"/>
    <x v="6"/>
  </r>
  <r>
    <x v="30"/>
    <x v="1"/>
    <x v="2"/>
    <x v="121"/>
    <x v="49"/>
    <n v="7.3"/>
    <x v="4"/>
  </r>
  <r>
    <x v="30"/>
    <x v="1"/>
    <x v="2"/>
    <x v="121"/>
    <x v="6"/>
    <n v="16.8"/>
    <x v="5"/>
  </r>
  <r>
    <x v="30"/>
    <x v="1"/>
    <x v="2"/>
    <x v="121"/>
    <x v="42"/>
    <n v="17.2"/>
    <x v="17"/>
  </r>
  <r>
    <x v="74"/>
    <x v="20"/>
    <x v="2"/>
    <x v="103"/>
    <x v="68"/>
    <n v="24.9"/>
    <x v="7"/>
  </r>
  <r>
    <x v="74"/>
    <x v="20"/>
    <x v="2"/>
    <x v="103"/>
    <x v="37"/>
    <n v="14.7"/>
    <x v="8"/>
  </r>
  <r>
    <x v="15"/>
    <x v="2"/>
    <x v="3"/>
    <x v="122"/>
    <x v="41"/>
    <n v="24.8"/>
    <x v="31"/>
  </r>
  <r>
    <x v="15"/>
    <x v="2"/>
    <x v="3"/>
    <x v="122"/>
    <x v="65"/>
    <n v="5.6"/>
    <x v="8"/>
  </r>
  <r>
    <x v="15"/>
    <x v="2"/>
    <x v="3"/>
    <x v="122"/>
    <x v="29"/>
    <n v="39.4"/>
    <x v="5"/>
  </r>
  <r>
    <x v="3"/>
    <x v="2"/>
    <x v="6"/>
    <x v="123"/>
    <x v="41"/>
    <n v="24.8"/>
    <x v="8"/>
  </r>
  <r>
    <x v="3"/>
    <x v="2"/>
    <x v="6"/>
    <x v="123"/>
    <x v="55"/>
    <n v="5.9"/>
    <x v="7"/>
  </r>
  <r>
    <x v="21"/>
    <x v="10"/>
    <x v="2"/>
    <x v="124"/>
    <x v="16"/>
    <n v="19.2"/>
    <x v="40"/>
  </r>
  <r>
    <x v="21"/>
    <x v="10"/>
    <x v="2"/>
    <x v="124"/>
    <x v="58"/>
    <n v="26.6"/>
    <x v="5"/>
  </r>
  <r>
    <x v="21"/>
    <x v="10"/>
    <x v="2"/>
    <x v="124"/>
    <x v="6"/>
    <n v="16.8"/>
    <x v="19"/>
  </r>
  <r>
    <x v="21"/>
    <x v="10"/>
    <x v="2"/>
    <x v="124"/>
    <x v="23"/>
    <n v="10.4"/>
    <x v="38"/>
  </r>
  <r>
    <x v="44"/>
    <x v="8"/>
    <x v="6"/>
    <x v="125"/>
    <x v="44"/>
    <n v="36.4"/>
    <x v="6"/>
  </r>
  <r>
    <x v="44"/>
    <x v="8"/>
    <x v="6"/>
    <x v="125"/>
    <x v="45"/>
    <n v="15.5"/>
    <x v="30"/>
  </r>
  <r>
    <x v="54"/>
    <x v="13"/>
    <x v="5"/>
    <x v="125"/>
    <x v="74"/>
    <n v="10.199999999999999"/>
    <x v="6"/>
  </r>
  <r>
    <x v="54"/>
    <x v="13"/>
    <x v="5"/>
    <x v="125"/>
    <x v="30"/>
    <n v="12"/>
    <x v="9"/>
  </r>
  <r>
    <x v="52"/>
    <x v="2"/>
    <x v="2"/>
    <x v="126"/>
    <x v="19"/>
    <n v="13.9"/>
    <x v="8"/>
  </r>
  <r>
    <x v="52"/>
    <x v="2"/>
    <x v="2"/>
    <x v="126"/>
    <x v="10"/>
    <n v="2"/>
    <x v="8"/>
  </r>
  <r>
    <x v="52"/>
    <x v="2"/>
    <x v="2"/>
    <x v="126"/>
    <x v="54"/>
    <n v="9.6"/>
    <x v="1"/>
  </r>
  <r>
    <x v="16"/>
    <x v="0"/>
    <x v="6"/>
    <x v="106"/>
    <x v="13"/>
    <n v="14.4"/>
    <x v="8"/>
  </r>
  <r>
    <x v="16"/>
    <x v="0"/>
    <x v="6"/>
    <x v="106"/>
    <x v="22"/>
    <n v="26.2"/>
    <x v="13"/>
  </r>
  <r>
    <x v="16"/>
    <x v="0"/>
    <x v="6"/>
    <x v="106"/>
    <x v="75"/>
    <n v="22.8"/>
    <x v="9"/>
  </r>
  <r>
    <x v="16"/>
    <x v="0"/>
    <x v="6"/>
    <x v="106"/>
    <x v="42"/>
    <n v="17.2"/>
    <x v="12"/>
  </r>
  <r>
    <x v="43"/>
    <x v="10"/>
    <x v="6"/>
    <x v="115"/>
    <x v="27"/>
    <n v="8"/>
    <x v="4"/>
  </r>
  <r>
    <x v="43"/>
    <x v="10"/>
    <x v="6"/>
    <x v="115"/>
    <x v="14"/>
    <n v="16"/>
    <x v="11"/>
  </r>
  <r>
    <x v="43"/>
    <x v="10"/>
    <x v="7"/>
    <x v="106"/>
    <x v="21"/>
    <n v="44"/>
    <x v="20"/>
  </r>
  <r>
    <x v="4"/>
    <x v="3"/>
    <x v="8"/>
    <x v="110"/>
    <x v="68"/>
    <n v="24.9"/>
    <x v="12"/>
  </r>
  <r>
    <x v="4"/>
    <x v="3"/>
    <x v="8"/>
    <x v="110"/>
    <x v="44"/>
    <n v="36.4"/>
    <x v="12"/>
  </r>
  <r>
    <x v="4"/>
    <x v="3"/>
    <x v="8"/>
    <x v="110"/>
    <x v="40"/>
    <n v="36.799999999999997"/>
    <x v="8"/>
  </r>
  <r>
    <x v="4"/>
    <x v="3"/>
    <x v="8"/>
    <x v="110"/>
    <x v="33"/>
    <n v="30.4"/>
    <x v="6"/>
  </r>
  <r>
    <x v="4"/>
    <x v="3"/>
    <x v="8"/>
    <x v="110"/>
    <x v="42"/>
    <n v="17.2"/>
    <x v="13"/>
  </r>
  <r>
    <x v="3"/>
    <x v="2"/>
    <x v="2"/>
    <x v="115"/>
    <x v="32"/>
    <n v="24"/>
    <x v="16"/>
  </r>
  <r>
    <x v="3"/>
    <x v="2"/>
    <x v="2"/>
    <x v="115"/>
    <x v="54"/>
    <n v="9.6"/>
    <x v="8"/>
  </r>
  <r>
    <x v="3"/>
    <x v="2"/>
    <x v="2"/>
    <x v="115"/>
    <x v="2"/>
    <n v="27.8"/>
    <x v="4"/>
  </r>
  <r>
    <x v="14"/>
    <x v="9"/>
    <x v="6"/>
    <x v="106"/>
    <x v="56"/>
    <n v="10"/>
    <x v="11"/>
  </r>
  <r>
    <x v="14"/>
    <x v="9"/>
    <x v="6"/>
    <x v="106"/>
    <x v="48"/>
    <n v="6.2"/>
    <x v="22"/>
  </r>
  <r>
    <x v="29"/>
    <x v="5"/>
    <x v="5"/>
    <x v="127"/>
    <x v="27"/>
    <n v="8"/>
    <x v="4"/>
  </r>
  <r>
    <x v="29"/>
    <x v="5"/>
    <x v="5"/>
    <x v="127"/>
    <x v="34"/>
    <n v="20.7"/>
    <x v="19"/>
  </r>
  <r>
    <x v="29"/>
    <x v="5"/>
    <x v="5"/>
    <x v="127"/>
    <x v="16"/>
    <n v="19.2"/>
    <x v="18"/>
  </r>
  <r>
    <x v="72"/>
    <x v="13"/>
    <x v="7"/>
    <x v="128"/>
    <x v="43"/>
    <n v="4.8"/>
    <x v="15"/>
  </r>
  <r>
    <x v="72"/>
    <x v="13"/>
    <x v="7"/>
    <x v="128"/>
    <x v="70"/>
    <n v="7.2"/>
    <x v="11"/>
  </r>
  <r>
    <x v="4"/>
    <x v="3"/>
    <x v="0"/>
    <x v="129"/>
    <x v="49"/>
    <n v="7.3"/>
    <x v="11"/>
  </r>
  <r>
    <x v="4"/>
    <x v="3"/>
    <x v="0"/>
    <x v="129"/>
    <x v="1"/>
    <n v="11.2"/>
    <x v="13"/>
  </r>
  <r>
    <x v="46"/>
    <x v="15"/>
    <x v="2"/>
    <x v="116"/>
    <x v="62"/>
    <n v="17.600000000000001"/>
    <x v="16"/>
  </r>
  <r>
    <x v="46"/>
    <x v="15"/>
    <x v="2"/>
    <x v="116"/>
    <x v="40"/>
    <n v="36.799999999999997"/>
    <x v="28"/>
  </r>
  <r>
    <x v="46"/>
    <x v="15"/>
    <x v="2"/>
    <x v="116"/>
    <x v="33"/>
    <n v="30.4"/>
    <x v="12"/>
  </r>
  <r>
    <x v="46"/>
    <x v="15"/>
    <x v="2"/>
    <x v="116"/>
    <x v="11"/>
    <n v="27.2"/>
    <x v="8"/>
  </r>
  <r>
    <x v="60"/>
    <x v="17"/>
    <x v="5"/>
    <x v="116"/>
    <x v="15"/>
    <n v="3.6"/>
    <x v="9"/>
  </r>
  <r>
    <x v="60"/>
    <x v="17"/>
    <x v="5"/>
    <x v="116"/>
    <x v="39"/>
    <n v="99"/>
    <x v="27"/>
  </r>
  <r>
    <x v="60"/>
    <x v="17"/>
    <x v="5"/>
    <x v="116"/>
    <x v="37"/>
    <n v="14.7"/>
    <x v="8"/>
  </r>
  <r>
    <x v="60"/>
    <x v="17"/>
    <x v="5"/>
    <x v="116"/>
    <x v="73"/>
    <n v="7.6"/>
    <x v="12"/>
  </r>
  <r>
    <x v="60"/>
    <x v="17"/>
    <x v="5"/>
    <x v="116"/>
    <x v="72"/>
    <n v="13"/>
    <x v="9"/>
  </r>
  <r>
    <x v="33"/>
    <x v="1"/>
    <x v="2"/>
    <x v="130"/>
    <x v="0"/>
    <n v="16.8"/>
    <x v="1"/>
  </r>
  <r>
    <x v="33"/>
    <x v="1"/>
    <x v="2"/>
    <x v="130"/>
    <x v="54"/>
    <n v="9.6"/>
    <x v="2"/>
  </r>
  <r>
    <x v="23"/>
    <x v="11"/>
    <x v="6"/>
    <x v="123"/>
    <x v="15"/>
    <n v="3.6"/>
    <x v="19"/>
  </r>
  <r>
    <x v="23"/>
    <x v="11"/>
    <x v="6"/>
    <x v="123"/>
    <x v="66"/>
    <n v="11.2"/>
    <x v="0"/>
  </r>
  <r>
    <x v="43"/>
    <x v="10"/>
    <x v="3"/>
    <x v="124"/>
    <x v="34"/>
    <n v="20.7"/>
    <x v="26"/>
  </r>
  <r>
    <x v="43"/>
    <x v="10"/>
    <x v="3"/>
    <x v="124"/>
    <x v="40"/>
    <n v="36.799999999999997"/>
    <x v="6"/>
  </r>
  <r>
    <x v="19"/>
    <x v="8"/>
    <x v="5"/>
    <x v="116"/>
    <x v="18"/>
    <n v="15.2"/>
    <x v="4"/>
  </r>
  <r>
    <x v="19"/>
    <x v="8"/>
    <x v="5"/>
    <x v="116"/>
    <x v="19"/>
    <n v="13.9"/>
    <x v="5"/>
  </r>
  <r>
    <x v="19"/>
    <x v="8"/>
    <x v="5"/>
    <x v="116"/>
    <x v="45"/>
    <n v="15.5"/>
    <x v="17"/>
  </r>
  <r>
    <x v="47"/>
    <x v="2"/>
    <x v="2"/>
    <x v="116"/>
    <x v="59"/>
    <n v="50"/>
    <x v="12"/>
  </r>
  <r>
    <x v="47"/>
    <x v="2"/>
    <x v="2"/>
    <x v="116"/>
    <x v="70"/>
    <n v="7.2"/>
    <x v="6"/>
  </r>
  <r>
    <x v="47"/>
    <x v="2"/>
    <x v="2"/>
    <x v="116"/>
    <x v="58"/>
    <n v="26.6"/>
    <x v="26"/>
  </r>
  <r>
    <x v="32"/>
    <x v="13"/>
    <x v="7"/>
    <x v="128"/>
    <x v="32"/>
    <n v="24"/>
    <x v="12"/>
  </r>
  <r>
    <x v="32"/>
    <x v="13"/>
    <x v="7"/>
    <x v="128"/>
    <x v="33"/>
    <n v="30.4"/>
    <x v="8"/>
  </r>
  <r>
    <x v="55"/>
    <x v="13"/>
    <x v="6"/>
    <x v="131"/>
    <x v="15"/>
    <n v="3.6"/>
    <x v="32"/>
  </r>
  <r>
    <x v="55"/>
    <x v="13"/>
    <x v="6"/>
    <x v="131"/>
    <x v="4"/>
    <n v="42.4"/>
    <x v="27"/>
  </r>
  <r>
    <x v="41"/>
    <x v="13"/>
    <x v="5"/>
    <x v="132"/>
    <x v="10"/>
    <n v="2"/>
    <x v="0"/>
  </r>
  <r>
    <x v="41"/>
    <x v="13"/>
    <x v="5"/>
    <x v="132"/>
    <x v="42"/>
    <n v="17.2"/>
    <x v="0"/>
  </r>
  <r>
    <x v="42"/>
    <x v="7"/>
    <x v="0"/>
    <x v="132"/>
    <x v="3"/>
    <n v="18.600000000000001"/>
    <x v="0"/>
  </r>
  <r>
    <x v="42"/>
    <x v="7"/>
    <x v="0"/>
    <x v="132"/>
    <x v="44"/>
    <n v="36.4"/>
    <x v="27"/>
  </r>
  <r>
    <x v="42"/>
    <x v="7"/>
    <x v="0"/>
    <x v="132"/>
    <x v="37"/>
    <n v="14.7"/>
    <x v="11"/>
  </r>
  <r>
    <x v="42"/>
    <x v="7"/>
    <x v="0"/>
    <x v="132"/>
    <x v="48"/>
    <n v="6.2"/>
    <x v="1"/>
  </r>
  <r>
    <x v="4"/>
    <x v="3"/>
    <x v="4"/>
    <x v="133"/>
    <x v="12"/>
    <n v="10"/>
    <x v="5"/>
  </r>
  <r>
    <x v="4"/>
    <x v="3"/>
    <x v="4"/>
    <x v="133"/>
    <x v="61"/>
    <n v="13.6"/>
    <x v="18"/>
  </r>
  <r>
    <x v="4"/>
    <x v="3"/>
    <x v="4"/>
    <x v="133"/>
    <x v="38"/>
    <n v="14.4"/>
    <x v="10"/>
  </r>
  <r>
    <x v="8"/>
    <x v="5"/>
    <x v="6"/>
    <x v="134"/>
    <x v="16"/>
    <n v="19.2"/>
    <x v="17"/>
  </r>
  <r>
    <x v="8"/>
    <x v="5"/>
    <x v="6"/>
    <x v="134"/>
    <x v="30"/>
    <n v="12"/>
    <x v="0"/>
  </r>
  <r>
    <x v="49"/>
    <x v="15"/>
    <x v="0"/>
    <x v="135"/>
    <x v="52"/>
    <n v="14.4"/>
    <x v="6"/>
  </r>
  <r>
    <x v="49"/>
    <x v="15"/>
    <x v="0"/>
    <x v="135"/>
    <x v="27"/>
    <n v="8"/>
    <x v="11"/>
  </r>
  <r>
    <x v="49"/>
    <x v="15"/>
    <x v="0"/>
    <x v="135"/>
    <x v="13"/>
    <n v="14.4"/>
    <x v="8"/>
  </r>
  <r>
    <x v="3"/>
    <x v="2"/>
    <x v="7"/>
    <x v="136"/>
    <x v="41"/>
    <n v="24.8"/>
    <x v="8"/>
  </r>
  <r>
    <x v="13"/>
    <x v="8"/>
    <x v="3"/>
    <x v="132"/>
    <x v="67"/>
    <n v="210.8"/>
    <x v="12"/>
  </r>
  <r>
    <x v="13"/>
    <x v="8"/>
    <x v="3"/>
    <x v="132"/>
    <x v="22"/>
    <n v="26.2"/>
    <x v="19"/>
  </r>
  <r>
    <x v="13"/>
    <x v="8"/>
    <x v="3"/>
    <x v="132"/>
    <x v="21"/>
    <n v="44"/>
    <x v="18"/>
  </r>
  <r>
    <x v="13"/>
    <x v="8"/>
    <x v="3"/>
    <x v="132"/>
    <x v="58"/>
    <n v="26.6"/>
    <x v="12"/>
  </r>
  <r>
    <x v="68"/>
    <x v="2"/>
    <x v="1"/>
    <x v="134"/>
    <x v="69"/>
    <n v="7.6"/>
    <x v="12"/>
  </r>
  <r>
    <x v="68"/>
    <x v="2"/>
    <x v="1"/>
    <x v="134"/>
    <x v="21"/>
    <n v="44"/>
    <x v="0"/>
  </r>
  <r>
    <x v="30"/>
    <x v="1"/>
    <x v="6"/>
    <x v="135"/>
    <x v="14"/>
    <n v="16"/>
    <x v="23"/>
  </r>
  <r>
    <x v="30"/>
    <x v="1"/>
    <x v="6"/>
    <x v="135"/>
    <x v="11"/>
    <n v="27.2"/>
    <x v="4"/>
  </r>
  <r>
    <x v="75"/>
    <x v="8"/>
    <x v="5"/>
    <x v="137"/>
    <x v="37"/>
    <n v="14.7"/>
    <x v="1"/>
  </r>
  <r>
    <x v="19"/>
    <x v="8"/>
    <x v="8"/>
    <x v="138"/>
    <x v="53"/>
    <n v="11.2"/>
    <x v="5"/>
  </r>
  <r>
    <x v="19"/>
    <x v="8"/>
    <x v="8"/>
    <x v="138"/>
    <x v="23"/>
    <n v="10.4"/>
    <x v="12"/>
  </r>
  <r>
    <x v="32"/>
    <x v="13"/>
    <x v="3"/>
    <x v="139"/>
    <x v="27"/>
    <n v="8"/>
    <x v="31"/>
  </r>
  <r>
    <x v="32"/>
    <x v="13"/>
    <x v="3"/>
    <x v="139"/>
    <x v="37"/>
    <n v="14.7"/>
    <x v="1"/>
  </r>
  <r>
    <x v="32"/>
    <x v="13"/>
    <x v="3"/>
    <x v="139"/>
    <x v="4"/>
    <n v="42.4"/>
    <x v="28"/>
  </r>
  <r>
    <x v="66"/>
    <x v="5"/>
    <x v="2"/>
    <x v="140"/>
    <x v="18"/>
    <n v="15.2"/>
    <x v="8"/>
  </r>
  <r>
    <x v="66"/>
    <x v="5"/>
    <x v="2"/>
    <x v="140"/>
    <x v="57"/>
    <n v="8"/>
    <x v="8"/>
  </r>
  <r>
    <x v="66"/>
    <x v="5"/>
    <x v="2"/>
    <x v="140"/>
    <x v="16"/>
    <n v="19.2"/>
    <x v="12"/>
  </r>
  <r>
    <x v="66"/>
    <x v="5"/>
    <x v="2"/>
    <x v="140"/>
    <x v="30"/>
    <n v="12"/>
    <x v="18"/>
  </r>
  <r>
    <x v="8"/>
    <x v="5"/>
    <x v="5"/>
    <x v="141"/>
    <x v="0"/>
    <n v="16.8"/>
    <x v="2"/>
  </r>
  <r>
    <x v="8"/>
    <x v="5"/>
    <x v="5"/>
    <x v="141"/>
    <x v="4"/>
    <n v="42.4"/>
    <x v="9"/>
  </r>
  <r>
    <x v="8"/>
    <x v="5"/>
    <x v="5"/>
    <x v="141"/>
    <x v="17"/>
    <n v="8"/>
    <x v="16"/>
  </r>
  <r>
    <x v="61"/>
    <x v="1"/>
    <x v="7"/>
    <x v="142"/>
    <x v="49"/>
    <n v="7.3"/>
    <x v="2"/>
  </r>
  <r>
    <x v="61"/>
    <x v="1"/>
    <x v="7"/>
    <x v="142"/>
    <x v="68"/>
    <n v="24.9"/>
    <x v="12"/>
  </r>
  <r>
    <x v="61"/>
    <x v="1"/>
    <x v="7"/>
    <x v="142"/>
    <x v="55"/>
    <n v="5.9"/>
    <x v="23"/>
  </r>
  <r>
    <x v="17"/>
    <x v="10"/>
    <x v="6"/>
    <x v="141"/>
    <x v="21"/>
    <n v="44"/>
    <x v="12"/>
  </r>
  <r>
    <x v="17"/>
    <x v="10"/>
    <x v="6"/>
    <x v="141"/>
    <x v="47"/>
    <n v="12"/>
    <x v="8"/>
  </r>
  <r>
    <x v="53"/>
    <x v="6"/>
    <x v="1"/>
    <x v="143"/>
    <x v="0"/>
    <n v="16.8"/>
    <x v="6"/>
  </r>
  <r>
    <x v="53"/>
    <x v="6"/>
    <x v="1"/>
    <x v="143"/>
    <x v="19"/>
    <n v="13.9"/>
    <x v="27"/>
  </r>
  <r>
    <x v="8"/>
    <x v="5"/>
    <x v="8"/>
    <x v="144"/>
    <x v="21"/>
    <n v="44"/>
    <x v="18"/>
  </r>
  <r>
    <x v="8"/>
    <x v="5"/>
    <x v="8"/>
    <x v="144"/>
    <x v="56"/>
    <n v="10"/>
    <x v="12"/>
  </r>
  <r>
    <x v="8"/>
    <x v="5"/>
    <x v="8"/>
    <x v="144"/>
    <x v="48"/>
    <n v="6.2"/>
    <x v="20"/>
  </r>
  <r>
    <x v="46"/>
    <x v="15"/>
    <x v="6"/>
    <x v="145"/>
    <x v="45"/>
    <n v="15.5"/>
    <x v="6"/>
  </r>
  <r>
    <x v="46"/>
    <x v="15"/>
    <x v="6"/>
    <x v="145"/>
    <x v="23"/>
    <n v="10.4"/>
    <x v="25"/>
  </r>
  <r>
    <x v="65"/>
    <x v="16"/>
    <x v="3"/>
    <x v="146"/>
    <x v="66"/>
    <n v="11.2"/>
    <x v="18"/>
  </r>
  <r>
    <x v="65"/>
    <x v="16"/>
    <x v="3"/>
    <x v="146"/>
    <x v="1"/>
    <n v="11.2"/>
    <x v="8"/>
  </r>
  <r>
    <x v="52"/>
    <x v="2"/>
    <x v="2"/>
    <x v="137"/>
    <x v="6"/>
    <n v="16.8"/>
    <x v="6"/>
  </r>
  <r>
    <x v="52"/>
    <x v="2"/>
    <x v="2"/>
    <x v="137"/>
    <x v="61"/>
    <n v="13.6"/>
    <x v="1"/>
  </r>
  <r>
    <x v="52"/>
    <x v="2"/>
    <x v="2"/>
    <x v="137"/>
    <x v="60"/>
    <n v="28.8"/>
    <x v="1"/>
  </r>
  <r>
    <x v="33"/>
    <x v="1"/>
    <x v="2"/>
    <x v="143"/>
    <x v="33"/>
    <n v="30.4"/>
    <x v="12"/>
  </r>
  <r>
    <x v="76"/>
    <x v="16"/>
    <x v="3"/>
    <x v="146"/>
    <x v="70"/>
    <n v="7.2"/>
    <x v="1"/>
  </r>
  <r>
    <x v="76"/>
    <x v="16"/>
    <x v="3"/>
    <x v="146"/>
    <x v="5"/>
    <n v="7.7"/>
    <x v="8"/>
  </r>
  <r>
    <x v="76"/>
    <x v="16"/>
    <x v="3"/>
    <x v="146"/>
    <x v="23"/>
    <n v="10.4"/>
    <x v="2"/>
  </r>
  <r>
    <x v="1"/>
    <x v="1"/>
    <x v="8"/>
    <x v="147"/>
    <x v="12"/>
    <n v="10"/>
    <x v="8"/>
  </r>
  <r>
    <x v="27"/>
    <x v="10"/>
    <x v="8"/>
    <x v="147"/>
    <x v="33"/>
    <n v="30.4"/>
    <x v="31"/>
  </r>
  <r>
    <x v="27"/>
    <x v="10"/>
    <x v="8"/>
    <x v="147"/>
    <x v="2"/>
    <n v="27.8"/>
    <x v="9"/>
  </r>
  <r>
    <x v="27"/>
    <x v="10"/>
    <x v="8"/>
    <x v="147"/>
    <x v="23"/>
    <n v="10.4"/>
    <x v="9"/>
  </r>
  <r>
    <x v="8"/>
    <x v="5"/>
    <x v="6"/>
    <x v="146"/>
    <x v="15"/>
    <n v="4.5"/>
    <x v="31"/>
  </r>
  <r>
    <x v="8"/>
    <x v="5"/>
    <x v="6"/>
    <x v="146"/>
    <x v="37"/>
    <n v="18.399999999999999"/>
    <x v="2"/>
  </r>
  <r>
    <x v="8"/>
    <x v="5"/>
    <x v="6"/>
    <x v="146"/>
    <x v="1"/>
    <n v="14"/>
    <x v="12"/>
  </r>
  <r>
    <x v="29"/>
    <x v="5"/>
    <x v="2"/>
    <x v="148"/>
    <x v="44"/>
    <n v="45.6"/>
    <x v="8"/>
  </r>
  <r>
    <x v="29"/>
    <x v="5"/>
    <x v="2"/>
    <x v="148"/>
    <x v="14"/>
    <n v="20"/>
    <x v="9"/>
  </r>
  <r>
    <x v="52"/>
    <x v="2"/>
    <x v="1"/>
    <x v="149"/>
    <x v="50"/>
    <n v="15.5"/>
    <x v="0"/>
  </r>
  <r>
    <x v="52"/>
    <x v="2"/>
    <x v="1"/>
    <x v="149"/>
    <x v="44"/>
    <n v="45.6"/>
    <x v="26"/>
  </r>
  <r>
    <x v="77"/>
    <x v="10"/>
    <x v="4"/>
    <x v="148"/>
    <x v="55"/>
    <n v="7.45"/>
    <x v="8"/>
  </r>
  <r>
    <x v="42"/>
    <x v="7"/>
    <x v="7"/>
    <x v="150"/>
    <x v="73"/>
    <n v="9.5"/>
    <x v="11"/>
  </r>
  <r>
    <x v="42"/>
    <x v="7"/>
    <x v="7"/>
    <x v="150"/>
    <x v="22"/>
    <n v="32.799999999999997"/>
    <x v="7"/>
  </r>
  <r>
    <x v="42"/>
    <x v="7"/>
    <x v="7"/>
    <x v="150"/>
    <x v="51"/>
    <n v="14"/>
    <x v="12"/>
  </r>
  <r>
    <x v="34"/>
    <x v="14"/>
    <x v="1"/>
    <x v="148"/>
    <x v="3"/>
    <n v="23.25"/>
    <x v="21"/>
  </r>
  <r>
    <x v="34"/>
    <x v="14"/>
    <x v="1"/>
    <x v="148"/>
    <x v="6"/>
    <n v="21.05"/>
    <x v="8"/>
  </r>
  <r>
    <x v="19"/>
    <x v="8"/>
    <x v="2"/>
    <x v="151"/>
    <x v="18"/>
    <n v="19"/>
    <x v="0"/>
  </r>
  <r>
    <x v="19"/>
    <x v="8"/>
    <x v="2"/>
    <x v="151"/>
    <x v="27"/>
    <n v="10"/>
    <x v="0"/>
  </r>
  <r>
    <x v="19"/>
    <x v="8"/>
    <x v="2"/>
    <x v="151"/>
    <x v="22"/>
    <n v="32.799999999999997"/>
    <x v="1"/>
  </r>
  <r>
    <x v="19"/>
    <x v="8"/>
    <x v="2"/>
    <x v="151"/>
    <x v="75"/>
    <n v="28.5"/>
    <x v="9"/>
  </r>
  <r>
    <x v="48"/>
    <x v="16"/>
    <x v="3"/>
    <x v="152"/>
    <x v="29"/>
    <n v="49.3"/>
    <x v="28"/>
  </r>
  <r>
    <x v="43"/>
    <x v="10"/>
    <x v="4"/>
    <x v="153"/>
    <x v="66"/>
    <n v="14"/>
    <x v="27"/>
  </r>
  <r>
    <x v="43"/>
    <x v="10"/>
    <x v="4"/>
    <x v="153"/>
    <x v="30"/>
    <n v="15"/>
    <x v="31"/>
  </r>
  <r>
    <x v="58"/>
    <x v="7"/>
    <x v="8"/>
    <x v="154"/>
    <x v="40"/>
    <n v="46"/>
    <x v="6"/>
  </r>
  <r>
    <x v="58"/>
    <x v="7"/>
    <x v="8"/>
    <x v="154"/>
    <x v="74"/>
    <n v="12.75"/>
    <x v="6"/>
  </r>
  <r>
    <x v="67"/>
    <x v="10"/>
    <x v="5"/>
    <x v="155"/>
    <x v="43"/>
    <n v="6"/>
    <x v="1"/>
  </r>
  <r>
    <x v="67"/>
    <x v="10"/>
    <x v="5"/>
    <x v="155"/>
    <x v="13"/>
    <n v="18"/>
    <x v="1"/>
  </r>
  <r>
    <x v="77"/>
    <x v="10"/>
    <x v="2"/>
    <x v="150"/>
    <x v="44"/>
    <n v="45.6"/>
    <x v="28"/>
  </r>
  <r>
    <x v="44"/>
    <x v="8"/>
    <x v="1"/>
    <x v="156"/>
    <x v="39"/>
    <n v="123.79"/>
    <x v="20"/>
  </r>
  <r>
    <x v="44"/>
    <x v="8"/>
    <x v="1"/>
    <x v="156"/>
    <x v="48"/>
    <n v="7.75"/>
    <x v="20"/>
  </r>
  <r>
    <x v="47"/>
    <x v="2"/>
    <x v="2"/>
    <x v="152"/>
    <x v="62"/>
    <n v="22"/>
    <x v="13"/>
  </r>
  <r>
    <x v="47"/>
    <x v="2"/>
    <x v="2"/>
    <x v="152"/>
    <x v="32"/>
    <n v="30"/>
    <x v="13"/>
  </r>
  <r>
    <x v="47"/>
    <x v="2"/>
    <x v="2"/>
    <x v="152"/>
    <x v="71"/>
    <n v="40"/>
    <x v="1"/>
  </r>
  <r>
    <x v="51"/>
    <x v="1"/>
    <x v="8"/>
    <x v="157"/>
    <x v="15"/>
    <n v="4.5"/>
    <x v="1"/>
  </r>
  <r>
    <x v="51"/>
    <x v="1"/>
    <x v="8"/>
    <x v="157"/>
    <x v="54"/>
    <n v="12"/>
    <x v="3"/>
  </r>
  <r>
    <x v="51"/>
    <x v="1"/>
    <x v="8"/>
    <x v="157"/>
    <x v="69"/>
    <n v="9.5"/>
    <x v="7"/>
  </r>
  <r>
    <x v="51"/>
    <x v="1"/>
    <x v="8"/>
    <x v="157"/>
    <x v="11"/>
    <n v="34"/>
    <x v="0"/>
  </r>
  <r>
    <x v="35"/>
    <x v="10"/>
    <x v="8"/>
    <x v="156"/>
    <x v="27"/>
    <n v="10"/>
    <x v="4"/>
  </r>
  <r>
    <x v="35"/>
    <x v="10"/>
    <x v="8"/>
    <x v="156"/>
    <x v="26"/>
    <n v="32"/>
    <x v="13"/>
  </r>
  <r>
    <x v="35"/>
    <x v="10"/>
    <x v="8"/>
    <x v="156"/>
    <x v="75"/>
    <n v="28.5"/>
    <x v="6"/>
  </r>
  <r>
    <x v="9"/>
    <x v="6"/>
    <x v="3"/>
    <x v="158"/>
    <x v="9"/>
    <n v="81"/>
    <x v="43"/>
  </r>
  <r>
    <x v="9"/>
    <x v="6"/>
    <x v="3"/>
    <x v="158"/>
    <x v="44"/>
    <n v="45.6"/>
    <x v="5"/>
  </r>
  <r>
    <x v="9"/>
    <x v="6"/>
    <x v="3"/>
    <x v="158"/>
    <x v="33"/>
    <n v="38"/>
    <x v="21"/>
  </r>
  <r>
    <x v="9"/>
    <x v="6"/>
    <x v="3"/>
    <x v="158"/>
    <x v="6"/>
    <n v="21.05"/>
    <x v="43"/>
  </r>
  <r>
    <x v="9"/>
    <x v="6"/>
    <x v="3"/>
    <x v="158"/>
    <x v="48"/>
    <n v="7.75"/>
    <x v="13"/>
  </r>
  <r>
    <x v="21"/>
    <x v="10"/>
    <x v="7"/>
    <x v="159"/>
    <x v="76"/>
    <n v="97"/>
    <x v="16"/>
  </r>
  <r>
    <x v="21"/>
    <x v="10"/>
    <x v="7"/>
    <x v="159"/>
    <x v="19"/>
    <n v="17.45"/>
    <x v="13"/>
  </r>
  <r>
    <x v="21"/>
    <x v="10"/>
    <x v="7"/>
    <x v="159"/>
    <x v="24"/>
    <n v="43.9"/>
    <x v="40"/>
  </r>
  <r>
    <x v="21"/>
    <x v="10"/>
    <x v="7"/>
    <x v="159"/>
    <x v="10"/>
    <n v="2.5"/>
    <x v="16"/>
  </r>
  <r>
    <x v="21"/>
    <x v="10"/>
    <x v="7"/>
    <x v="159"/>
    <x v="11"/>
    <n v="34"/>
    <x v="44"/>
  </r>
  <r>
    <x v="34"/>
    <x v="14"/>
    <x v="7"/>
    <x v="160"/>
    <x v="59"/>
    <n v="62.5"/>
    <x v="9"/>
  </r>
  <r>
    <x v="34"/>
    <x v="14"/>
    <x v="7"/>
    <x v="160"/>
    <x v="5"/>
    <n v="9.65"/>
    <x v="32"/>
  </r>
  <r>
    <x v="34"/>
    <x v="14"/>
    <x v="7"/>
    <x v="160"/>
    <x v="1"/>
    <n v="14"/>
    <x v="8"/>
  </r>
  <r>
    <x v="78"/>
    <x v="13"/>
    <x v="3"/>
    <x v="150"/>
    <x v="65"/>
    <n v="7"/>
    <x v="7"/>
  </r>
  <r>
    <x v="78"/>
    <x v="13"/>
    <x v="3"/>
    <x v="150"/>
    <x v="21"/>
    <n v="55"/>
    <x v="22"/>
  </r>
  <r>
    <x v="78"/>
    <x v="13"/>
    <x v="3"/>
    <x v="150"/>
    <x v="30"/>
    <n v="15"/>
    <x v="7"/>
  </r>
  <r>
    <x v="24"/>
    <x v="7"/>
    <x v="2"/>
    <x v="161"/>
    <x v="15"/>
    <n v="4.5"/>
    <x v="2"/>
  </r>
  <r>
    <x v="24"/>
    <x v="7"/>
    <x v="2"/>
    <x v="161"/>
    <x v="67"/>
    <n v="263.5"/>
    <x v="6"/>
  </r>
  <r>
    <x v="24"/>
    <x v="7"/>
    <x v="2"/>
    <x v="161"/>
    <x v="45"/>
    <n v="19.45"/>
    <x v="3"/>
  </r>
  <r>
    <x v="5"/>
    <x v="4"/>
    <x v="1"/>
    <x v="160"/>
    <x v="41"/>
    <n v="31"/>
    <x v="16"/>
  </r>
  <r>
    <x v="5"/>
    <x v="4"/>
    <x v="1"/>
    <x v="160"/>
    <x v="33"/>
    <n v="38"/>
    <x v="4"/>
  </r>
  <r>
    <x v="5"/>
    <x v="4"/>
    <x v="1"/>
    <x v="160"/>
    <x v="11"/>
    <n v="34"/>
    <x v="1"/>
  </r>
  <r>
    <x v="64"/>
    <x v="19"/>
    <x v="8"/>
    <x v="160"/>
    <x v="15"/>
    <n v="4.5"/>
    <x v="26"/>
  </r>
  <r>
    <x v="64"/>
    <x v="19"/>
    <x v="8"/>
    <x v="160"/>
    <x v="22"/>
    <n v="32.799999999999997"/>
    <x v="2"/>
  </r>
  <r>
    <x v="79"/>
    <x v="20"/>
    <x v="6"/>
    <x v="153"/>
    <x v="31"/>
    <n v="18"/>
    <x v="28"/>
  </r>
  <r>
    <x v="79"/>
    <x v="20"/>
    <x v="6"/>
    <x v="153"/>
    <x v="5"/>
    <n v="9.65"/>
    <x v="1"/>
  </r>
  <r>
    <x v="79"/>
    <x v="20"/>
    <x v="6"/>
    <x v="153"/>
    <x v="56"/>
    <n v="12.5"/>
    <x v="7"/>
  </r>
  <r>
    <x v="27"/>
    <x v="10"/>
    <x v="2"/>
    <x v="162"/>
    <x v="52"/>
    <n v="18"/>
    <x v="4"/>
  </r>
  <r>
    <x v="27"/>
    <x v="10"/>
    <x v="2"/>
    <x v="162"/>
    <x v="71"/>
    <n v="40"/>
    <x v="23"/>
  </r>
  <r>
    <x v="27"/>
    <x v="10"/>
    <x v="2"/>
    <x v="162"/>
    <x v="34"/>
    <n v="25.89"/>
    <x v="8"/>
  </r>
  <r>
    <x v="27"/>
    <x v="10"/>
    <x v="2"/>
    <x v="162"/>
    <x v="37"/>
    <n v="18.399999999999999"/>
    <x v="9"/>
  </r>
  <r>
    <x v="55"/>
    <x v="13"/>
    <x v="8"/>
    <x v="163"/>
    <x v="35"/>
    <n v="39"/>
    <x v="9"/>
  </r>
  <r>
    <x v="55"/>
    <x v="13"/>
    <x v="8"/>
    <x v="163"/>
    <x v="9"/>
    <n v="81"/>
    <x v="6"/>
  </r>
  <r>
    <x v="55"/>
    <x v="13"/>
    <x v="8"/>
    <x v="163"/>
    <x v="28"/>
    <n v="26"/>
    <x v="27"/>
  </r>
  <r>
    <x v="55"/>
    <x v="13"/>
    <x v="8"/>
    <x v="163"/>
    <x v="5"/>
    <n v="9.65"/>
    <x v="7"/>
  </r>
  <r>
    <x v="26"/>
    <x v="9"/>
    <x v="5"/>
    <x v="164"/>
    <x v="41"/>
    <n v="31"/>
    <x v="17"/>
  </r>
  <r>
    <x v="26"/>
    <x v="9"/>
    <x v="5"/>
    <x v="164"/>
    <x v="34"/>
    <n v="25.89"/>
    <x v="1"/>
  </r>
  <r>
    <x v="26"/>
    <x v="9"/>
    <x v="5"/>
    <x v="164"/>
    <x v="40"/>
    <n v="46"/>
    <x v="18"/>
  </r>
  <r>
    <x v="26"/>
    <x v="9"/>
    <x v="5"/>
    <x v="164"/>
    <x v="55"/>
    <n v="7.45"/>
    <x v="6"/>
  </r>
  <r>
    <x v="47"/>
    <x v="2"/>
    <x v="5"/>
    <x v="159"/>
    <x v="20"/>
    <n v="19"/>
    <x v="12"/>
  </r>
  <r>
    <x v="47"/>
    <x v="2"/>
    <x v="5"/>
    <x v="159"/>
    <x v="37"/>
    <n v="18.399999999999999"/>
    <x v="6"/>
  </r>
  <r>
    <x v="16"/>
    <x v="0"/>
    <x v="2"/>
    <x v="165"/>
    <x v="52"/>
    <n v="18"/>
    <x v="26"/>
  </r>
  <r>
    <x v="16"/>
    <x v="0"/>
    <x v="2"/>
    <x v="165"/>
    <x v="43"/>
    <n v="6"/>
    <x v="1"/>
  </r>
  <r>
    <x v="16"/>
    <x v="0"/>
    <x v="2"/>
    <x v="165"/>
    <x v="33"/>
    <n v="38"/>
    <x v="12"/>
  </r>
  <r>
    <x v="21"/>
    <x v="10"/>
    <x v="8"/>
    <x v="164"/>
    <x v="62"/>
    <n v="22"/>
    <x v="13"/>
  </r>
  <r>
    <x v="21"/>
    <x v="10"/>
    <x v="8"/>
    <x v="164"/>
    <x v="20"/>
    <n v="19"/>
    <x v="12"/>
  </r>
  <r>
    <x v="80"/>
    <x v="8"/>
    <x v="1"/>
    <x v="166"/>
    <x v="0"/>
    <n v="21"/>
    <x v="28"/>
  </r>
  <r>
    <x v="80"/>
    <x v="8"/>
    <x v="1"/>
    <x v="166"/>
    <x v="10"/>
    <n v="2.5"/>
    <x v="26"/>
  </r>
  <r>
    <x v="80"/>
    <x v="8"/>
    <x v="1"/>
    <x v="166"/>
    <x v="2"/>
    <n v="34.799999999999997"/>
    <x v="3"/>
  </r>
  <r>
    <x v="81"/>
    <x v="3"/>
    <x v="0"/>
    <x v="166"/>
    <x v="16"/>
    <n v="24"/>
    <x v="31"/>
  </r>
  <r>
    <x v="81"/>
    <x v="3"/>
    <x v="0"/>
    <x v="166"/>
    <x v="56"/>
    <n v="12.5"/>
    <x v="8"/>
  </r>
  <r>
    <x v="81"/>
    <x v="3"/>
    <x v="0"/>
    <x v="166"/>
    <x v="60"/>
    <n v="36"/>
    <x v="1"/>
  </r>
  <r>
    <x v="53"/>
    <x v="6"/>
    <x v="3"/>
    <x v="167"/>
    <x v="35"/>
    <n v="39"/>
    <x v="4"/>
  </r>
  <r>
    <x v="53"/>
    <x v="6"/>
    <x v="3"/>
    <x v="167"/>
    <x v="40"/>
    <n v="46"/>
    <x v="9"/>
  </r>
  <r>
    <x v="53"/>
    <x v="6"/>
    <x v="3"/>
    <x v="167"/>
    <x v="75"/>
    <n v="28.5"/>
    <x v="8"/>
  </r>
  <r>
    <x v="53"/>
    <x v="6"/>
    <x v="3"/>
    <x v="167"/>
    <x v="38"/>
    <n v="18"/>
    <x v="13"/>
  </r>
  <r>
    <x v="69"/>
    <x v="20"/>
    <x v="8"/>
    <x v="168"/>
    <x v="21"/>
    <n v="55"/>
    <x v="17"/>
  </r>
  <r>
    <x v="57"/>
    <x v="13"/>
    <x v="8"/>
    <x v="167"/>
    <x v="34"/>
    <n v="25.89"/>
    <x v="6"/>
  </r>
  <r>
    <x v="57"/>
    <x v="13"/>
    <x v="8"/>
    <x v="167"/>
    <x v="61"/>
    <n v="17"/>
    <x v="23"/>
  </r>
  <r>
    <x v="14"/>
    <x v="9"/>
    <x v="6"/>
    <x v="169"/>
    <x v="62"/>
    <n v="22"/>
    <x v="13"/>
  </r>
  <r>
    <x v="14"/>
    <x v="9"/>
    <x v="6"/>
    <x v="169"/>
    <x v="2"/>
    <n v="34.799999999999997"/>
    <x v="23"/>
  </r>
  <r>
    <x v="14"/>
    <x v="9"/>
    <x v="6"/>
    <x v="169"/>
    <x v="47"/>
    <n v="15"/>
    <x v="23"/>
  </r>
  <r>
    <x v="27"/>
    <x v="10"/>
    <x v="6"/>
    <x v="170"/>
    <x v="34"/>
    <n v="25.89"/>
    <x v="1"/>
  </r>
  <r>
    <x v="27"/>
    <x v="10"/>
    <x v="6"/>
    <x v="170"/>
    <x v="37"/>
    <n v="18.399999999999999"/>
    <x v="1"/>
  </r>
  <r>
    <x v="27"/>
    <x v="10"/>
    <x v="6"/>
    <x v="170"/>
    <x v="55"/>
    <n v="7.45"/>
    <x v="1"/>
  </r>
  <r>
    <x v="58"/>
    <x v="7"/>
    <x v="2"/>
    <x v="171"/>
    <x v="0"/>
    <n v="21"/>
    <x v="13"/>
  </r>
  <r>
    <x v="58"/>
    <x v="7"/>
    <x v="2"/>
    <x v="171"/>
    <x v="37"/>
    <n v="18.399999999999999"/>
    <x v="1"/>
  </r>
  <r>
    <x v="58"/>
    <x v="7"/>
    <x v="2"/>
    <x v="171"/>
    <x v="8"/>
    <n v="19.5"/>
    <x v="2"/>
  </r>
  <r>
    <x v="58"/>
    <x v="7"/>
    <x v="2"/>
    <x v="171"/>
    <x v="21"/>
    <n v="55"/>
    <x v="6"/>
  </r>
  <r>
    <x v="27"/>
    <x v="10"/>
    <x v="3"/>
    <x v="172"/>
    <x v="36"/>
    <n v="38"/>
    <x v="6"/>
  </r>
  <r>
    <x v="27"/>
    <x v="10"/>
    <x v="3"/>
    <x v="172"/>
    <x v="12"/>
    <n v="12.5"/>
    <x v="8"/>
  </r>
  <r>
    <x v="27"/>
    <x v="10"/>
    <x v="3"/>
    <x v="172"/>
    <x v="10"/>
    <n v="2.5"/>
    <x v="12"/>
  </r>
  <r>
    <x v="27"/>
    <x v="10"/>
    <x v="3"/>
    <x v="172"/>
    <x v="11"/>
    <n v="34"/>
    <x v="5"/>
  </r>
  <r>
    <x v="6"/>
    <x v="4"/>
    <x v="5"/>
    <x v="168"/>
    <x v="12"/>
    <n v="12.5"/>
    <x v="12"/>
  </r>
  <r>
    <x v="6"/>
    <x v="4"/>
    <x v="5"/>
    <x v="168"/>
    <x v="4"/>
    <n v="53"/>
    <x v="7"/>
  </r>
  <r>
    <x v="6"/>
    <x v="4"/>
    <x v="5"/>
    <x v="168"/>
    <x v="64"/>
    <n v="13.25"/>
    <x v="8"/>
  </r>
  <r>
    <x v="6"/>
    <x v="4"/>
    <x v="5"/>
    <x v="168"/>
    <x v="2"/>
    <n v="34.799999999999997"/>
    <x v="11"/>
  </r>
  <r>
    <x v="6"/>
    <x v="4"/>
    <x v="5"/>
    <x v="168"/>
    <x v="47"/>
    <n v="15"/>
    <x v="3"/>
  </r>
  <r>
    <x v="32"/>
    <x v="13"/>
    <x v="4"/>
    <x v="158"/>
    <x v="30"/>
    <n v="15"/>
    <x v="25"/>
  </r>
  <r>
    <x v="32"/>
    <x v="13"/>
    <x v="4"/>
    <x v="158"/>
    <x v="2"/>
    <n v="34.799999999999997"/>
    <x v="15"/>
  </r>
  <r>
    <x v="32"/>
    <x v="13"/>
    <x v="1"/>
    <x v="159"/>
    <x v="43"/>
    <n v="6"/>
    <x v="26"/>
  </r>
  <r>
    <x v="32"/>
    <x v="13"/>
    <x v="1"/>
    <x v="159"/>
    <x v="27"/>
    <n v="10"/>
    <x v="6"/>
  </r>
  <r>
    <x v="32"/>
    <x v="13"/>
    <x v="1"/>
    <x v="159"/>
    <x v="10"/>
    <n v="2.5"/>
    <x v="6"/>
  </r>
  <r>
    <x v="32"/>
    <x v="13"/>
    <x v="1"/>
    <x v="159"/>
    <x v="14"/>
    <n v="20"/>
    <x v="7"/>
  </r>
  <r>
    <x v="21"/>
    <x v="10"/>
    <x v="3"/>
    <x v="173"/>
    <x v="57"/>
    <n v="10"/>
    <x v="18"/>
  </r>
  <r>
    <x v="21"/>
    <x v="10"/>
    <x v="3"/>
    <x v="173"/>
    <x v="68"/>
    <n v="31.23"/>
    <x v="4"/>
  </r>
  <r>
    <x v="21"/>
    <x v="10"/>
    <x v="3"/>
    <x v="173"/>
    <x v="67"/>
    <n v="263.5"/>
    <x v="12"/>
  </r>
  <r>
    <x v="21"/>
    <x v="10"/>
    <x v="3"/>
    <x v="173"/>
    <x v="56"/>
    <n v="12.5"/>
    <x v="5"/>
  </r>
  <r>
    <x v="2"/>
    <x v="1"/>
    <x v="7"/>
    <x v="174"/>
    <x v="15"/>
    <n v="4.5"/>
    <x v="5"/>
  </r>
  <r>
    <x v="2"/>
    <x v="1"/>
    <x v="7"/>
    <x v="174"/>
    <x v="67"/>
    <n v="263.5"/>
    <x v="22"/>
  </r>
  <r>
    <x v="2"/>
    <x v="1"/>
    <x v="7"/>
    <x v="174"/>
    <x v="6"/>
    <n v="21.05"/>
    <x v="20"/>
  </r>
  <r>
    <x v="2"/>
    <x v="1"/>
    <x v="7"/>
    <x v="174"/>
    <x v="42"/>
    <n v="21.5"/>
    <x v="3"/>
  </r>
  <r>
    <x v="43"/>
    <x v="10"/>
    <x v="5"/>
    <x v="175"/>
    <x v="0"/>
    <n v="21"/>
    <x v="6"/>
  </r>
  <r>
    <x v="43"/>
    <x v="10"/>
    <x v="5"/>
    <x v="175"/>
    <x v="55"/>
    <n v="7.45"/>
    <x v="23"/>
  </r>
  <r>
    <x v="29"/>
    <x v="5"/>
    <x v="6"/>
    <x v="159"/>
    <x v="36"/>
    <n v="38"/>
    <x v="12"/>
  </r>
  <r>
    <x v="29"/>
    <x v="5"/>
    <x v="6"/>
    <x v="159"/>
    <x v="70"/>
    <n v="9"/>
    <x v="21"/>
  </r>
  <r>
    <x v="37"/>
    <x v="8"/>
    <x v="2"/>
    <x v="163"/>
    <x v="44"/>
    <n v="45.6"/>
    <x v="25"/>
  </r>
  <r>
    <x v="37"/>
    <x v="8"/>
    <x v="2"/>
    <x v="163"/>
    <x v="51"/>
    <n v="14"/>
    <x v="25"/>
  </r>
  <r>
    <x v="75"/>
    <x v="8"/>
    <x v="6"/>
    <x v="176"/>
    <x v="0"/>
    <n v="21"/>
    <x v="1"/>
  </r>
  <r>
    <x v="3"/>
    <x v="2"/>
    <x v="5"/>
    <x v="177"/>
    <x v="32"/>
    <n v="30"/>
    <x v="1"/>
  </r>
  <r>
    <x v="3"/>
    <x v="2"/>
    <x v="5"/>
    <x v="177"/>
    <x v="31"/>
    <n v="18"/>
    <x v="12"/>
  </r>
  <r>
    <x v="3"/>
    <x v="2"/>
    <x v="5"/>
    <x v="177"/>
    <x v="29"/>
    <n v="49.3"/>
    <x v="4"/>
  </r>
  <r>
    <x v="55"/>
    <x v="13"/>
    <x v="3"/>
    <x v="178"/>
    <x v="26"/>
    <n v="32"/>
    <x v="23"/>
  </r>
  <r>
    <x v="55"/>
    <x v="13"/>
    <x v="3"/>
    <x v="178"/>
    <x v="20"/>
    <n v="19"/>
    <x v="18"/>
  </r>
  <r>
    <x v="73"/>
    <x v="10"/>
    <x v="3"/>
    <x v="178"/>
    <x v="53"/>
    <n v="14"/>
    <x v="1"/>
  </r>
  <r>
    <x v="73"/>
    <x v="10"/>
    <x v="3"/>
    <x v="178"/>
    <x v="5"/>
    <n v="9.65"/>
    <x v="31"/>
  </r>
  <r>
    <x v="21"/>
    <x v="10"/>
    <x v="0"/>
    <x v="163"/>
    <x v="12"/>
    <n v="12.5"/>
    <x v="38"/>
  </r>
  <r>
    <x v="21"/>
    <x v="10"/>
    <x v="0"/>
    <x v="163"/>
    <x v="73"/>
    <n v="9.5"/>
    <x v="30"/>
  </r>
  <r>
    <x v="21"/>
    <x v="10"/>
    <x v="0"/>
    <x v="163"/>
    <x v="4"/>
    <n v="53"/>
    <x v="33"/>
  </r>
  <r>
    <x v="36"/>
    <x v="12"/>
    <x v="8"/>
    <x v="172"/>
    <x v="35"/>
    <n v="39"/>
    <x v="26"/>
  </r>
  <r>
    <x v="36"/>
    <x v="12"/>
    <x v="8"/>
    <x v="172"/>
    <x v="49"/>
    <n v="9.1999999999999993"/>
    <x v="1"/>
  </r>
  <r>
    <x v="36"/>
    <x v="12"/>
    <x v="8"/>
    <x v="172"/>
    <x v="27"/>
    <n v="10"/>
    <x v="7"/>
  </r>
  <r>
    <x v="36"/>
    <x v="12"/>
    <x v="8"/>
    <x v="172"/>
    <x v="75"/>
    <n v="28.5"/>
    <x v="1"/>
  </r>
  <r>
    <x v="46"/>
    <x v="15"/>
    <x v="2"/>
    <x v="172"/>
    <x v="19"/>
    <n v="17.45"/>
    <x v="4"/>
  </r>
  <r>
    <x v="46"/>
    <x v="15"/>
    <x v="2"/>
    <x v="172"/>
    <x v="31"/>
    <n v="18"/>
    <x v="8"/>
  </r>
  <r>
    <x v="46"/>
    <x v="15"/>
    <x v="2"/>
    <x v="172"/>
    <x v="45"/>
    <n v="19.45"/>
    <x v="4"/>
  </r>
  <r>
    <x v="8"/>
    <x v="5"/>
    <x v="7"/>
    <x v="179"/>
    <x v="60"/>
    <n v="36"/>
    <x v="27"/>
  </r>
  <r>
    <x v="8"/>
    <x v="5"/>
    <x v="7"/>
    <x v="179"/>
    <x v="48"/>
    <n v="7.75"/>
    <x v="12"/>
  </r>
  <r>
    <x v="16"/>
    <x v="0"/>
    <x v="7"/>
    <x v="180"/>
    <x v="0"/>
    <n v="21"/>
    <x v="6"/>
  </r>
  <r>
    <x v="16"/>
    <x v="0"/>
    <x v="7"/>
    <x v="180"/>
    <x v="19"/>
    <n v="17.45"/>
    <x v="31"/>
  </r>
  <r>
    <x v="16"/>
    <x v="0"/>
    <x v="7"/>
    <x v="180"/>
    <x v="7"/>
    <n v="21"/>
    <x v="23"/>
  </r>
  <r>
    <x v="16"/>
    <x v="0"/>
    <x v="7"/>
    <x v="180"/>
    <x v="12"/>
    <n v="12.5"/>
    <x v="12"/>
  </r>
  <r>
    <x v="16"/>
    <x v="0"/>
    <x v="7"/>
    <x v="180"/>
    <x v="31"/>
    <n v="18"/>
    <x v="7"/>
  </r>
  <r>
    <x v="67"/>
    <x v="10"/>
    <x v="2"/>
    <x v="179"/>
    <x v="19"/>
    <n v="17.45"/>
    <x v="12"/>
  </r>
  <r>
    <x v="67"/>
    <x v="10"/>
    <x v="2"/>
    <x v="179"/>
    <x v="70"/>
    <n v="9"/>
    <x v="8"/>
  </r>
  <r>
    <x v="67"/>
    <x v="10"/>
    <x v="2"/>
    <x v="179"/>
    <x v="29"/>
    <n v="49.3"/>
    <x v="8"/>
  </r>
  <r>
    <x v="67"/>
    <x v="10"/>
    <x v="2"/>
    <x v="179"/>
    <x v="23"/>
    <n v="13"/>
    <x v="1"/>
  </r>
  <r>
    <x v="44"/>
    <x v="8"/>
    <x v="1"/>
    <x v="181"/>
    <x v="3"/>
    <n v="23.25"/>
    <x v="12"/>
  </r>
  <r>
    <x v="44"/>
    <x v="8"/>
    <x v="1"/>
    <x v="181"/>
    <x v="49"/>
    <n v="9.1999999999999993"/>
    <x v="5"/>
  </r>
  <r>
    <x v="44"/>
    <x v="8"/>
    <x v="1"/>
    <x v="181"/>
    <x v="15"/>
    <n v="4.5"/>
    <x v="27"/>
  </r>
  <r>
    <x v="44"/>
    <x v="8"/>
    <x v="1"/>
    <x v="181"/>
    <x v="4"/>
    <n v="53"/>
    <x v="8"/>
  </r>
  <r>
    <x v="44"/>
    <x v="8"/>
    <x v="1"/>
    <x v="181"/>
    <x v="33"/>
    <n v="38"/>
    <x v="4"/>
  </r>
  <r>
    <x v="50"/>
    <x v="17"/>
    <x v="7"/>
    <x v="173"/>
    <x v="2"/>
    <n v="34.799999999999997"/>
    <x v="23"/>
  </r>
  <r>
    <x v="27"/>
    <x v="10"/>
    <x v="4"/>
    <x v="172"/>
    <x v="58"/>
    <n v="33.25"/>
    <x v="12"/>
  </r>
  <r>
    <x v="27"/>
    <x v="10"/>
    <x v="4"/>
    <x v="172"/>
    <x v="48"/>
    <n v="7.75"/>
    <x v="8"/>
  </r>
  <r>
    <x v="54"/>
    <x v="13"/>
    <x v="5"/>
    <x v="182"/>
    <x v="69"/>
    <n v="9.5"/>
    <x v="9"/>
  </r>
  <r>
    <x v="54"/>
    <x v="13"/>
    <x v="5"/>
    <x v="182"/>
    <x v="4"/>
    <n v="53"/>
    <x v="8"/>
  </r>
  <r>
    <x v="54"/>
    <x v="13"/>
    <x v="5"/>
    <x v="182"/>
    <x v="65"/>
    <n v="7"/>
    <x v="12"/>
  </r>
  <r>
    <x v="54"/>
    <x v="13"/>
    <x v="5"/>
    <x v="182"/>
    <x v="22"/>
    <n v="32.799999999999997"/>
    <x v="27"/>
  </r>
  <r>
    <x v="54"/>
    <x v="13"/>
    <x v="5"/>
    <x v="182"/>
    <x v="47"/>
    <n v="15"/>
    <x v="28"/>
  </r>
  <r>
    <x v="15"/>
    <x v="2"/>
    <x v="1"/>
    <x v="173"/>
    <x v="5"/>
    <n v="9.65"/>
    <x v="0"/>
  </r>
  <r>
    <x v="15"/>
    <x v="2"/>
    <x v="1"/>
    <x v="173"/>
    <x v="16"/>
    <n v="24"/>
    <x v="27"/>
  </r>
  <r>
    <x v="17"/>
    <x v="10"/>
    <x v="6"/>
    <x v="183"/>
    <x v="34"/>
    <n v="25.89"/>
    <x v="8"/>
  </r>
  <r>
    <x v="17"/>
    <x v="10"/>
    <x v="6"/>
    <x v="183"/>
    <x v="29"/>
    <n v="49.3"/>
    <x v="6"/>
  </r>
  <r>
    <x v="14"/>
    <x v="9"/>
    <x v="7"/>
    <x v="183"/>
    <x v="45"/>
    <n v="19.45"/>
    <x v="1"/>
  </r>
  <r>
    <x v="14"/>
    <x v="9"/>
    <x v="7"/>
    <x v="183"/>
    <x v="4"/>
    <n v="53"/>
    <x v="13"/>
  </r>
  <r>
    <x v="31"/>
    <x v="11"/>
    <x v="5"/>
    <x v="184"/>
    <x v="10"/>
    <n v="2.5"/>
    <x v="8"/>
  </r>
  <r>
    <x v="31"/>
    <x v="11"/>
    <x v="5"/>
    <x v="184"/>
    <x v="29"/>
    <n v="49.3"/>
    <x v="1"/>
  </r>
  <r>
    <x v="30"/>
    <x v="1"/>
    <x v="7"/>
    <x v="185"/>
    <x v="20"/>
    <n v="19"/>
    <x v="9"/>
  </r>
  <r>
    <x v="30"/>
    <x v="1"/>
    <x v="7"/>
    <x v="185"/>
    <x v="65"/>
    <n v="7"/>
    <x v="21"/>
  </r>
  <r>
    <x v="13"/>
    <x v="8"/>
    <x v="2"/>
    <x v="186"/>
    <x v="35"/>
    <n v="39"/>
    <x v="16"/>
  </r>
  <r>
    <x v="13"/>
    <x v="8"/>
    <x v="2"/>
    <x v="186"/>
    <x v="12"/>
    <n v="12.5"/>
    <x v="7"/>
  </r>
  <r>
    <x v="13"/>
    <x v="8"/>
    <x v="2"/>
    <x v="186"/>
    <x v="16"/>
    <n v="24"/>
    <x v="9"/>
  </r>
  <r>
    <x v="48"/>
    <x v="16"/>
    <x v="6"/>
    <x v="187"/>
    <x v="15"/>
    <n v="4.5"/>
    <x v="9"/>
  </r>
  <r>
    <x v="48"/>
    <x v="16"/>
    <x v="6"/>
    <x v="187"/>
    <x v="58"/>
    <n v="33.25"/>
    <x v="27"/>
  </r>
  <r>
    <x v="15"/>
    <x v="2"/>
    <x v="4"/>
    <x v="187"/>
    <x v="0"/>
    <n v="21"/>
    <x v="5"/>
  </r>
  <r>
    <x v="15"/>
    <x v="2"/>
    <x v="4"/>
    <x v="187"/>
    <x v="59"/>
    <n v="62.5"/>
    <x v="27"/>
  </r>
  <r>
    <x v="15"/>
    <x v="2"/>
    <x v="4"/>
    <x v="187"/>
    <x v="38"/>
    <n v="18"/>
    <x v="1"/>
  </r>
  <r>
    <x v="34"/>
    <x v="14"/>
    <x v="5"/>
    <x v="188"/>
    <x v="12"/>
    <n v="12.5"/>
    <x v="18"/>
  </r>
  <r>
    <x v="34"/>
    <x v="14"/>
    <x v="5"/>
    <x v="188"/>
    <x v="4"/>
    <n v="53"/>
    <x v="28"/>
  </r>
  <r>
    <x v="34"/>
    <x v="14"/>
    <x v="5"/>
    <x v="188"/>
    <x v="21"/>
    <n v="55"/>
    <x v="4"/>
  </r>
  <r>
    <x v="59"/>
    <x v="12"/>
    <x v="3"/>
    <x v="189"/>
    <x v="41"/>
    <n v="31"/>
    <x v="2"/>
  </r>
  <r>
    <x v="13"/>
    <x v="8"/>
    <x v="0"/>
    <x v="190"/>
    <x v="12"/>
    <n v="12.5"/>
    <x v="5"/>
  </r>
  <r>
    <x v="13"/>
    <x v="8"/>
    <x v="0"/>
    <x v="190"/>
    <x v="38"/>
    <n v="18"/>
    <x v="12"/>
  </r>
  <r>
    <x v="48"/>
    <x v="16"/>
    <x v="3"/>
    <x v="191"/>
    <x v="0"/>
    <n v="21"/>
    <x v="6"/>
  </r>
  <r>
    <x v="48"/>
    <x v="16"/>
    <x v="3"/>
    <x v="191"/>
    <x v="33"/>
    <n v="38"/>
    <x v="18"/>
  </r>
  <r>
    <x v="9"/>
    <x v="6"/>
    <x v="6"/>
    <x v="192"/>
    <x v="3"/>
    <n v="23.25"/>
    <x v="45"/>
  </r>
  <r>
    <x v="9"/>
    <x v="6"/>
    <x v="6"/>
    <x v="192"/>
    <x v="1"/>
    <n v="14"/>
    <x v="19"/>
  </r>
  <r>
    <x v="26"/>
    <x v="9"/>
    <x v="3"/>
    <x v="193"/>
    <x v="19"/>
    <n v="17.45"/>
    <x v="0"/>
  </r>
  <r>
    <x v="26"/>
    <x v="9"/>
    <x v="3"/>
    <x v="193"/>
    <x v="26"/>
    <n v="32"/>
    <x v="1"/>
  </r>
  <r>
    <x v="26"/>
    <x v="9"/>
    <x v="3"/>
    <x v="193"/>
    <x v="37"/>
    <n v="18.399999999999999"/>
    <x v="13"/>
  </r>
  <r>
    <x v="26"/>
    <x v="9"/>
    <x v="3"/>
    <x v="193"/>
    <x v="48"/>
    <n v="7.75"/>
    <x v="6"/>
  </r>
  <r>
    <x v="58"/>
    <x v="7"/>
    <x v="8"/>
    <x v="194"/>
    <x v="35"/>
    <n v="39"/>
    <x v="27"/>
  </r>
  <r>
    <x v="58"/>
    <x v="7"/>
    <x v="8"/>
    <x v="194"/>
    <x v="53"/>
    <n v="14"/>
    <x v="4"/>
  </r>
  <r>
    <x v="58"/>
    <x v="7"/>
    <x v="8"/>
    <x v="194"/>
    <x v="22"/>
    <n v="32.799999999999997"/>
    <x v="9"/>
  </r>
  <r>
    <x v="82"/>
    <x v="8"/>
    <x v="2"/>
    <x v="195"/>
    <x v="10"/>
    <n v="2.5"/>
    <x v="31"/>
  </r>
  <r>
    <x v="82"/>
    <x v="8"/>
    <x v="2"/>
    <x v="195"/>
    <x v="37"/>
    <n v="18.399999999999999"/>
    <x v="17"/>
  </r>
  <r>
    <x v="82"/>
    <x v="8"/>
    <x v="2"/>
    <x v="195"/>
    <x v="29"/>
    <n v="49.3"/>
    <x v="1"/>
  </r>
  <r>
    <x v="82"/>
    <x v="8"/>
    <x v="2"/>
    <x v="195"/>
    <x v="58"/>
    <n v="33.25"/>
    <x v="7"/>
  </r>
  <r>
    <x v="25"/>
    <x v="10"/>
    <x v="0"/>
    <x v="195"/>
    <x v="21"/>
    <n v="55"/>
    <x v="0"/>
  </r>
  <r>
    <x v="25"/>
    <x v="10"/>
    <x v="0"/>
    <x v="195"/>
    <x v="46"/>
    <n v="43.9"/>
    <x v="7"/>
  </r>
  <r>
    <x v="25"/>
    <x v="10"/>
    <x v="0"/>
    <x v="195"/>
    <x v="2"/>
    <n v="34.799999999999997"/>
    <x v="12"/>
  </r>
  <r>
    <x v="25"/>
    <x v="10"/>
    <x v="0"/>
    <x v="195"/>
    <x v="38"/>
    <n v="18"/>
    <x v="1"/>
  </r>
  <r>
    <x v="24"/>
    <x v="7"/>
    <x v="3"/>
    <x v="195"/>
    <x v="52"/>
    <n v="18"/>
    <x v="1"/>
  </r>
  <r>
    <x v="24"/>
    <x v="7"/>
    <x v="3"/>
    <x v="195"/>
    <x v="12"/>
    <n v="12.5"/>
    <x v="8"/>
  </r>
  <r>
    <x v="24"/>
    <x v="7"/>
    <x v="3"/>
    <x v="195"/>
    <x v="45"/>
    <n v="19.45"/>
    <x v="11"/>
  </r>
  <r>
    <x v="82"/>
    <x v="8"/>
    <x v="4"/>
    <x v="195"/>
    <x v="13"/>
    <n v="18"/>
    <x v="1"/>
  </r>
  <r>
    <x v="82"/>
    <x v="8"/>
    <x v="4"/>
    <x v="195"/>
    <x v="48"/>
    <n v="7.75"/>
    <x v="8"/>
  </r>
  <r>
    <x v="82"/>
    <x v="8"/>
    <x v="4"/>
    <x v="195"/>
    <x v="23"/>
    <n v="13"/>
    <x v="27"/>
  </r>
  <r>
    <x v="32"/>
    <x v="13"/>
    <x v="2"/>
    <x v="196"/>
    <x v="31"/>
    <n v="18"/>
    <x v="8"/>
  </r>
  <r>
    <x v="32"/>
    <x v="13"/>
    <x v="2"/>
    <x v="196"/>
    <x v="8"/>
    <n v="19.5"/>
    <x v="7"/>
  </r>
  <r>
    <x v="83"/>
    <x v="8"/>
    <x v="5"/>
    <x v="192"/>
    <x v="50"/>
    <n v="15.5"/>
    <x v="1"/>
  </r>
  <r>
    <x v="83"/>
    <x v="8"/>
    <x v="5"/>
    <x v="192"/>
    <x v="48"/>
    <n v="7.75"/>
    <x v="11"/>
  </r>
  <r>
    <x v="67"/>
    <x v="10"/>
    <x v="2"/>
    <x v="197"/>
    <x v="3"/>
    <n v="23.25"/>
    <x v="6"/>
  </r>
  <r>
    <x v="67"/>
    <x v="10"/>
    <x v="2"/>
    <x v="197"/>
    <x v="5"/>
    <n v="9.65"/>
    <x v="3"/>
  </r>
  <r>
    <x v="67"/>
    <x v="10"/>
    <x v="2"/>
    <x v="197"/>
    <x v="6"/>
    <n v="21.05"/>
    <x v="12"/>
  </r>
  <r>
    <x v="51"/>
    <x v="1"/>
    <x v="3"/>
    <x v="198"/>
    <x v="48"/>
    <n v="7.75"/>
    <x v="13"/>
  </r>
  <r>
    <x v="77"/>
    <x v="10"/>
    <x v="3"/>
    <x v="199"/>
    <x v="8"/>
    <n v="19.5"/>
    <x v="22"/>
  </r>
  <r>
    <x v="77"/>
    <x v="10"/>
    <x v="3"/>
    <x v="199"/>
    <x v="38"/>
    <n v="18"/>
    <x v="31"/>
  </r>
  <r>
    <x v="16"/>
    <x v="0"/>
    <x v="7"/>
    <x v="192"/>
    <x v="39"/>
    <n v="123.79"/>
    <x v="1"/>
  </r>
  <r>
    <x v="16"/>
    <x v="0"/>
    <x v="7"/>
    <x v="192"/>
    <x v="11"/>
    <n v="34"/>
    <x v="23"/>
  </r>
  <r>
    <x v="16"/>
    <x v="0"/>
    <x v="7"/>
    <x v="192"/>
    <x v="60"/>
    <n v="36"/>
    <x v="1"/>
  </r>
  <r>
    <x v="15"/>
    <x v="2"/>
    <x v="2"/>
    <x v="192"/>
    <x v="12"/>
    <n v="12.5"/>
    <x v="13"/>
  </r>
  <r>
    <x v="7"/>
    <x v="1"/>
    <x v="8"/>
    <x v="200"/>
    <x v="69"/>
    <n v="9.5"/>
    <x v="6"/>
  </r>
  <r>
    <x v="31"/>
    <x v="11"/>
    <x v="4"/>
    <x v="189"/>
    <x v="65"/>
    <n v="7"/>
    <x v="22"/>
  </r>
  <r>
    <x v="12"/>
    <x v="1"/>
    <x v="5"/>
    <x v="189"/>
    <x v="68"/>
    <n v="31.23"/>
    <x v="7"/>
  </r>
  <r>
    <x v="12"/>
    <x v="1"/>
    <x v="5"/>
    <x v="189"/>
    <x v="31"/>
    <n v="18"/>
    <x v="8"/>
  </r>
  <r>
    <x v="12"/>
    <x v="1"/>
    <x v="5"/>
    <x v="189"/>
    <x v="23"/>
    <n v="13"/>
    <x v="8"/>
  </r>
  <r>
    <x v="21"/>
    <x v="10"/>
    <x v="7"/>
    <x v="200"/>
    <x v="59"/>
    <n v="62.5"/>
    <x v="4"/>
  </r>
  <r>
    <x v="21"/>
    <x v="10"/>
    <x v="7"/>
    <x v="200"/>
    <x v="1"/>
    <n v="14"/>
    <x v="30"/>
  </r>
  <r>
    <x v="80"/>
    <x v="8"/>
    <x v="6"/>
    <x v="199"/>
    <x v="31"/>
    <n v="18"/>
    <x v="22"/>
  </r>
  <r>
    <x v="48"/>
    <x v="16"/>
    <x v="2"/>
    <x v="199"/>
    <x v="52"/>
    <n v="18"/>
    <x v="8"/>
  </r>
  <r>
    <x v="48"/>
    <x v="16"/>
    <x v="2"/>
    <x v="199"/>
    <x v="23"/>
    <n v="13"/>
    <x v="18"/>
  </r>
  <r>
    <x v="60"/>
    <x v="17"/>
    <x v="5"/>
    <x v="201"/>
    <x v="57"/>
    <n v="10"/>
    <x v="31"/>
  </r>
  <r>
    <x v="60"/>
    <x v="17"/>
    <x v="5"/>
    <x v="201"/>
    <x v="32"/>
    <n v="30"/>
    <x v="1"/>
  </r>
  <r>
    <x v="60"/>
    <x v="17"/>
    <x v="5"/>
    <x v="201"/>
    <x v="55"/>
    <n v="7.45"/>
    <x v="13"/>
  </r>
  <r>
    <x v="27"/>
    <x v="10"/>
    <x v="3"/>
    <x v="201"/>
    <x v="50"/>
    <n v="15.5"/>
    <x v="9"/>
  </r>
  <r>
    <x v="27"/>
    <x v="10"/>
    <x v="3"/>
    <x v="201"/>
    <x v="68"/>
    <n v="31.23"/>
    <x v="2"/>
  </r>
  <r>
    <x v="27"/>
    <x v="10"/>
    <x v="8"/>
    <x v="202"/>
    <x v="9"/>
    <n v="81"/>
    <x v="11"/>
  </r>
  <r>
    <x v="27"/>
    <x v="10"/>
    <x v="8"/>
    <x v="202"/>
    <x v="60"/>
    <n v="36"/>
    <x v="8"/>
  </r>
  <r>
    <x v="27"/>
    <x v="10"/>
    <x v="8"/>
    <x v="202"/>
    <x v="38"/>
    <n v="18"/>
    <x v="22"/>
  </r>
  <r>
    <x v="11"/>
    <x v="8"/>
    <x v="3"/>
    <x v="201"/>
    <x v="65"/>
    <n v="7"/>
    <x v="23"/>
  </r>
  <r>
    <x v="11"/>
    <x v="8"/>
    <x v="3"/>
    <x v="201"/>
    <x v="64"/>
    <n v="13.25"/>
    <x v="12"/>
  </r>
  <r>
    <x v="9"/>
    <x v="6"/>
    <x v="7"/>
    <x v="199"/>
    <x v="31"/>
    <n v="18"/>
    <x v="12"/>
  </r>
  <r>
    <x v="9"/>
    <x v="6"/>
    <x v="7"/>
    <x v="199"/>
    <x v="75"/>
    <n v="28.5"/>
    <x v="40"/>
  </r>
  <r>
    <x v="9"/>
    <x v="6"/>
    <x v="7"/>
    <x v="199"/>
    <x v="60"/>
    <n v="36"/>
    <x v="14"/>
  </r>
  <r>
    <x v="19"/>
    <x v="8"/>
    <x v="6"/>
    <x v="203"/>
    <x v="33"/>
    <n v="38"/>
    <x v="2"/>
  </r>
  <r>
    <x v="19"/>
    <x v="8"/>
    <x v="6"/>
    <x v="203"/>
    <x v="46"/>
    <n v="43.9"/>
    <x v="23"/>
  </r>
  <r>
    <x v="19"/>
    <x v="8"/>
    <x v="6"/>
    <x v="203"/>
    <x v="48"/>
    <n v="7.75"/>
    <x v="12"/>
  </r>
  <r>
    <x v="53"/>
    <x v="6"/>
    <x v="8"/>
    <x v="204"/>
    <x v="15"/>
    <n v="4.5"/>
    <x v="5"/>
  </r>
  <r>
    <x v="53"/>
    <x v="6"/>
    <x v="8"/>
    <x v="204"/>
    <x v="8"/>
    <n v="19.5"/>
    <x v="8"/>
  </r>
  <r>
    <x v="53"/>
    <x v="6"/>
    <x v="8"/>
    <x v="204"/>
    <x v="6"/>
    <n v="21.05"/>
    <x v="0"/>
  </r>
  <r>
    <x v="13"/>
    <x v="8"/>
    <x v="5"/>
    <x v="204"/>
    <x v="24"/>
    <n v="43.9"/>
    <x v="13"/>
  </r>
  <r>
    <x v="13"/>
    <x v="8"/>
    <x v="5"/>
    <x v="204"/>
    <x v="42"/>
    <n v="21.5"/>
    <x v="3"/>
  </r>
  <r>
    <x v="32"/>
    <x v="13"/>
    <x v="1"/>
    <x v="205"/>
    <x v="29"/>
    <n v="49.3"/>
    <x v="1"/>
  </r>
  <r>
    <x v="63"/>
    <x v="8"/>
    <x v="2"/>
    <x v="205"/>
    <x v="55"/>
    <n v="7.45"/>
    <x v="22"/>
  </r>
  <r>
    <x v="63"/>
    <x v="8"/>
    <x v="2"/>
    <x v="205"/>
    <x v="47"/>
    <n v="15"/>
    <x v="12"/>
  </r>
  <r>
    <x v="8"/>
    <x v="5"/>
    <x v="8"/>
    <x v="206"/>
    <x v="43"/>
    <n v="6"/>
    <x v="18"/>
  </r>
  <r>
    <x v="8"/>
    <x v="5"/>
    <x v="8"/>
    <x v="206"/>
    <x v="21"/>
    <n v="55"/>
    <x v="5"/>
  </r>
  <r>
    <x v="60"/>
    <x v="17"/>
    <x v="6"/>
    <x v="206"/>
    <x v="23"/>
    <n v="13"/>
    <x v="2"/>
  </r>
  <r>
    <x v="44"/>
    <x v="8"/>
    <x v="6"/>
    <x v="207"/>
    <x v="7"/>
    <n v="21"/>
    <x v="33"/>
  </r>
  <r>
    <x v="44"/>
    <x v="8"/>
    <x v="6"/>
    <x v="207"/>
    <x v="14"/>
    <n v="20"/>
    <x v="9"/>
  </r>
  <r>
    <x v="46"/>
    <x v="15"/>
    <x v="5"/>
    <x v="208"/>
    <x v="74"/>
    <n v="12.75"/>
    <x v="7"/>
  </r>
  <r>
    <x v="46"/>
    <x v="15"/>
    <x v="5"/>
    <x v="208"/>
    <x v="38"/>
    <n v="18"/>
    <x v="1"/>
  </r>
  <r>
    <x v="48"/>
    <x v="16"/>
    <x v="5"/>
    <x v="208"/>
    <x v="19"/>
    <n v="17.45"/>
    <x v="12"/>
  </r>
  <r>
    <x v="48"/>
    <x v="16"/>
    <x v="5"/>
    <x v="208"/>
    <x v="21"/>
    <n v="55"/>
    <x v="8"/>
  </r>
  <r>
    <x v="48"/>
    <x v="16"/>
    <x v="5"/>
    <x v="208"/>
    <x v="11"/>
    <n v="34"/>
    <x v="21"/>
  </r>
  <r>
    <x v="48"/>
    <x v="16"/>
    <x v="5"/>
    <x v="208"/>
    <x v="42"/>
    <n v="21.5"/>
    <x v="6"/>
  </r>
  <r>
    <x v="1"/>
    <x v="1"/>
    <x v="2"/>
    <x v="209"/>
    <x v="62"/>
    <n v="22"/>
    <x v="8"/>
  </r>
  <r>
    <x v="1"/>
    <x v="1"/>
    <x v="2"/>
    <x v="209"/>
    <x v="16"/>
    <n v="24"/>
    <x v="8"/>
  </r>
  <r>
    <x v="1"/>
    <x v="1"/>
    <x v="2"/>
    <x v="209"/>
    <x v="29"/>
    <n v="49.3"/>
    <x v="1"/>
  </r>
  <r>
    <x v="44"/>
    <x v="8"/>
    <x v="0"/>
    <x v="196"/>
    <x v="32"/>
    <n v="30"/>
    <x v="29"/>
  </r>
  <r>
    <x v="44"/>
    <x v="8"/>
    <x v="0"/>
    <x v="196"/>
    <x v="35"/>
    <n v="39"/>
    <x v="30"/>
  </r>
  <r>
    <x v="44"/>
    <x v="8"/>
    <x v="0"/>
    <x v="196"/>
    <x v="10"/>
    <n v="2.5"/>
    <x v="31"/>
  </r>
  <r>
    <x v="44"/>
    <x v="8"/>
    <x v="0"/>
    <x v="196"/>
    <x v="37"/>
    <n v="18.399999999999999"/>
    <x v="10"/>
  </r>
  <r>
    <x v="44"/>
    <x v="8"/>
    <x v="0"/>
    <x v="196"/>
    <x v="2"/>
    <n v="34.799999999999997"/>
    <x v="0"/>
  </r>
  <r>
    <x v="73"/>
    <x v="10"/>
    <x v="2"/>
    <x v="210"/>
    <x v="33"/>
    <n v="38"/>
    <x v="19"/>
  </r>
  <r>
    <x v="40"/>
    <x v="2"/>
    <x v="8"/>
    <x v="211"/>
    <x v="52"/>
    <n v="18"/>
    <x v="28"/>
  </r>
  <r>
    <x v="40"/>
    <x v="2"/>
    <x v="8"/>
    <x v="211"/>
    <x v="41"/>
    <n v="31"/>
    <x v="1"/>
  </r>
  <r>
    <x v="40"/>
    <x v="2"/>
    <x v="8"/>
    <x v="211"/>
    <x v="27"/>
    <n v="10"/>
    <x v="7"/>
  </r>
  <r>
    <x v="52"/>
    <x v="2"/>
    <x v="6"/>
    <x v="212"/>
    <x v="20"/>
    <n v="19"/>
    <x v="11"/>
  </r>
  <r>
    <x v="62"/>
    <x v="18"/>
    <x v="1"/>
    <x v="210"/>
    <x v="52"/>
    <n v="18"/>
    <x v="7"/>
  </r>
  <r>
    <x v="62"/>
    <x v="18"/>
    <x v="1"/>
    <x v="210"/>
    <x v="18"/>
    <n v="19"/>
    <x v="1"/>
  </r>
  <r>
    <x v="62"/>
    <x v="18"/>
    <x v="1"/>
    <x v="210"/>
    <x v="11"/>
    <n v="34"/>
    <x v="6"/>
  </r>
  <r>
    <x v="44"/>
    <x v="8"/>
    <x v="5"/>
    <x v="210"/>
    <x v="41"/>
    <n v="31"/>
    <x v="21"/>
  </r>
  <r>
    <x v="44"/>
    <x v="8"/>
    <x v="5"/>
    <x v="210"/>
    <x v="20"/>
    <n v="19"/>
    <x v="38"/>
  </r>
  <r>
    <x v="44"/>
    <x v="8"/>
    <x v="5"/>
    <x v="210"/>
    <x v="14"/>
    <n v="20"/>
    <x v="27"/>
  </r>
  <r>
    <x v="44"/>
    <x v="8"/>
    <x v="5"/>
    <x v="210"/>
    <x v="11"/>
    <n v="34"/>
    <x v="4"/>
  </r>
  <r>
    <x v="44"/>
    <x v="8"/>
    <x v="5"/>
    <x v="210"/>
    <x v="38"/>
    <n v="18"/>
    <x v="32"/>
  </r>
  <r>
    <x v="8"/>
    <x v="5"/>
    <x v="2"/>
    <x v="210"/>
    <x v="43"/>
    <n v="6"/>
    <x v="26"/>
  </r>
  <r>
    <x v="8"/>
    <x v="5"/>
    <x v="2"/>
    <x v="210"/>
    <x v="48"/>
    <n v="7.75"/>
    <x v="4"/>
  </r>
  <r>
    <x v="77"/>
    <x v="10"/>
    <x v="6"/>
    <x v="210"/>
    <x v="0"/>
    <n v="21"/>
    <x v="31"/>
  </r>
  <r>
    <x v="77"/>
    <x v="10"/>
    <x v="6"/>
    <x v="210"/>
    <x v="27"/>
    <n v="10"/>
    <x v="26"/>
  </r>
  <r>
    <x v="77"/>
    <x v="10"/>
    <x v="6"/>
    <x v="210"/>
    <x v="13"/>
    <n v="18"/>
    <x v="2"/>
  </r>
  <r>
    <x v="0"/>
    <x v="0"/>
    <x v="7"/>
    <x v="212"/>
    <x v="16"/>
    <n v="24"/>
    <x v="2"/>
  </r>
  <r>
    <x v="80"/>
    <x v="8"/>
    <x v="5"/>
    <x v="213"/>
    <x v="67"/>
    <n v="263.5"/>
    <x v="6"/>
  </r>
  <r>
    <x v="80"/>
    <x v="8"/>
    <x v="5"/>
    <x v="213"/>
    <x v="33"/>
    <n v="38"/>
    <x v="31"/>
  </r>
  <r>
    <x v="80"/>
    <x v="8"/>
    <x v="5"/>
    <x v="213"/>
    <x v="30"/>
    <n v="15"/>
    <x v="6"/>
  </r>
  <r>
    <x v="80"/>
    <x v="8"/>
    <x v="5"/>
    <x v="213"/>
    <x v="42"/>
    <n v="21.5"/>
    <x v="6"/>
  </r>
  <r>
    <x v="80"/>
    <x v="8"/>
    <x v="2"/>
    <x v="214"/>
    <x v="21"/>
    <n v="55"/>
    <x v="12"/>
  </r>
  <r>
    <x v="48"/>
    <x v="16"/>
    <x v="5"/>
    <x v="207"/>
    <x v="63"/>
    <n v="25"/>
    <x v="21"/>
  </r>
  <r>
    <x v="48"/>
    <x v="16"/>
    <x v="5"/>
    <x v="207"/>
    <x v="33"/>
    <n v="38"/>
    <x v="8"/>
  </r>
  <r>
    <x v="48"/>
    <x v="16"/>
    <x v="5"/>
    <x v="207"/>
    <x v="56"/>
    <n v="12.5"/>
    <x v="6"/>
  </r>
  <r>
    <x v="48"/>
    <x v="16"/>
    <x v="3"/>
    <x v="215"/>
    <x v="27"/>
    <n v="10"/>
    <x v="10"/>
  </r>
  <r>
    <x v="48"/>
    <x v="16"/>
    <x v="3"/>
    <x v="215"/>
    <x v="7"/>
    <n v="21"/>
    <x v="4"/>
  </r>
  <r>
    <x v="76"/>
    <x v="16"/>
    <x v="7"/>
    <x v="216"/>
    <x v="15"/>
    <n v="4.5"/>
    <x v="2"/>
  </r>
  <r>
    <x v="76"/>
    <x v="16"/>
    <x v="7"/>
    <x v="216"/>
    <x v="65"/>
    <n v="7"/>
    <x v="2"/>
  </r>
  <r>
    <x v="41"/>
    <x v="13"/>
    <x v="2"/>
    <x v="217"/>
    <x v="49"/>
    <n v="9.1999999999999993"/>
    <x v="2"/>
  </r>
  <r>
    <x v="41"/>
    <x v="13"/>
    <x v="2"/>
    <x v="217"/>
    <x v="70"/>
    <n v="9"/>
    <x v="1"/>
  </r>
  <r>
    <x v="41"/>
    <x v="13"/>
    <x v="2"/>
    <x v="217"/>
    <x v="30"/>
    <n v="15"/>
    <x v="8"/>
  </r>
  <r>
    <x v="41"/>
    <x v="13"/>
    <x v="2"/>
    <x v="217"/>
    <x v="42"/>
    <n v="21.5"/>
    <x v="6"/>
  </r>
  <r>
    <x v="30"/>
    <x v="1"/>
    <x v="2"/>
    <x v="217"/>
    <x v="18"/>
    <n v="19"/>
    <x v="8"/>
  </r>
  <r>
    <x v="30"/>
    <x v="1"/>
    <x v="2"/>
    <x v="217"/>
    <x v="56"/>
    <n v="12.5"/>
    <x v="27"/>
  </r>
  <r>
    <x v="17"/>
    <x v="10"/>
    <x v="6"/>
    <x v="203"/>
    <x v="3"/>
    <n v="23.25"/>
    <x v="11"/>
  </r>
  <r>
    <x v="17"/>
    <x v="10"/>
    <x v="6"/>
    <x v="203"/>
    <x v="49"/>
    <n v="9.1999999999999993"/>
    <x v="6"/>
  </r>
  <r>
    <x v="17"/>
    <x v="10"/>
    <x v="6"/>
    <x v="203"/>
    <x v="27"/>
    <n v="10"/>
    <x v="9"/>
  </r>
  <r>
    <x v="17"/>
    <x v="10"/>
    <x v="6"/>
    <x v="203"/>
    <x v="15"/>
    <n v="4.5"/>
    <x v="28"/>
  </r>
  <r>
    <x v="17"/>
    <x v="10"/>
    <x v="6"/>
    <x v="203"/>
    <x v="31"/>
    <n v="18"/>
    <x v="12"/>
  </r>
  <r>
    <x v="84"/>
    <x v="8"/>
    <x v="2"/>
    <x v="218"/>
    <x v="44"/>
    <n v="45.6"/>
    <x v="1"/>
  </r>
  <r>
    <x v="84"/>
    <x v="8"/>
    <x v="2"/>
    <x v="218"/>
    <x v="39"/>
    <n v="123.79"/>
    <x v="7"/>
  </r>
  <r>
    <x v="84"/>
    <x v="8"/>
    <x v="2"/>
    <x v="218"/>
    <x v="45"/>
    <n v="19.45"/>
    <x v="1"/>
  </r>
  <r>
    <x v="38"/>
    <x v="7"/>
    <x v="3"/>
    <x v="216"/>
    <x v="3"/>
    <n v="23.25"/>
    <x v="28"/>
  </r>
  <r>
    <x v="38"/>
    <x v="7"/>
    <x v="3"/>
    <x v="216"/>
    <x v="1"/>
    <n v="14"/>
    <x v="2"/>
  </r>
  <r>
    <x v="38"/>
    <x v="7"/>
    <x v="3"/>
    <x v="216"/>
    <x v="11"/>
    <n v="34"/>
    <x v="1"/>
  </r>
  <r>
    <x v="26"/>
    <x v="9"/>
    <x v="5"/>
    <x v="219"/>
    <x v="22"/>
    <n v="32.799999999999997"/>
    <x v="0"/>
  </r>
  <r>
    <x v="26"/>
    <x v="9"/>
    <x v="5"/>
    <x v="219"/>
    <x v="11"/>
    <n v="34"/>
    <x v="8"/>
  </r>
  <r>
    <x v="26"/>
    <x v="9"/>
    <x v="5"/>
    <x v="219"/>
    <x v="42"/>
    <n v="21.5"/>
    <x v="8"/>
  </r>
  <r>
    <x v="44"/>
    <x v="8"/>
    <x v="6"/>
    <x v="220"/>
    <x v="29"/>
    <n v="49.3"/>
    <x v="6"/>
  </r>
  <r>
    <x v="44"/>
    <x v="8"/>
    <x v="6"/>
    <x v="220"/>
    <x v="47"/>
    <n v="15"/>
    <x v="5"/>
  </r>
  <r>
    <x v="15"/>
    <x v="2"/>
    <x v="2"/>
    <x v="219"/>
    <x v="52"/>
    <n v="18"/>
    <x v="9"/>
  </r>
  <r>
    <x v="36"/>
    <x v="12"/>
    <x v="2"/>
    <x v="219"/>
    <x v="39"/>
    <n v="123.79"/>
    <x v="8"/>
  </r>
  <r>
    <x v="36"/>
    <x v="12"/>
    <x v="2"/>
    <x v="219"/>
    <x v="58"/>
    <n v="33.25"/>
    <x v="3"/>
  </r>
  <r>
    <x v="43"/>
    <x v="10"/>
    <x v="5"/>
    <x v="218"/>
    <x v="16"/>
    <n v="24"/>
    <x v="0"/>
  </r>
  <r>
    <x v="43"/>
    <x v="10"/>
    <x v="5"/>
    <x v="218"/>
    <x v="38"/>
    <n v="18"/>
    <x v="5"/>
  </r>
  <r>
    <x v="52"/>
    <x v="2"/>
    <x v="6"/>
    <x v="221"/>
    <x v="48"/>
    <n v="7.75"/>
    <x v="26"/>
  </r>
  <r>
    <x v="35"/>
    <x v="10"/>
    <x v="6"/>
    <x v="218"/>
    <x v="18"/>
    <n v="19"/>
    <x v="12"/>
  </r>
  <r>
    <x v="35"/>
    <x v="10"/>
    <x v="6"/>
    <x v="218"/>
    <x v="10"/>
    <n v="2.5"/>
    <x v="8"/>
  </r>
  <r>
    <x v="9"/>
    <x v="6"/>
    <x v="8"/>
    <x v="222"/>
    <x v="36"/>
    <n v="38"/>
    <x v="20"/>
  </r>
  <r>
    <x v="9"/>
    <x v="6"/>
    <x v="8"/>
    <x v="222"/>
    <x v="43"/>
    <n v="6"/>
    <x v="35"/>
  </r>
  <r>
    <x v="9"/>
    <x v="6"/>
    <x v="8"/>
    <x v="222"/>
    <x v="68"/>
    <n v="31.23"/>
    <x v="5"/>
  </r>
  <r>
    <x v="9"/>
    <x v="6"/>
    <x v="8"/>
    <x v="222"/>
    <x v="29"/>
    <n v="49.3"/>
    <x v="32"/>
  </r>
  <r>
    <x v="68"/>
    <x v="2"/>
    <x v="2"/>
    <x v="220"/>
    <x v="32"/>
    <n v="30"/>
    <x v="5"/>
  </r>
  <r>
    <x v="68"/>
    <x v="2"/>
    <x v="2"/>
    <x v="220"/>
    <x v="59"/>
    <n v="62.5"/>
    <x v="13"/>
  </r>
  <r>
    <x v="68"/>
    <x v="2"/>
    <x v="2"/>
    <x v="220"/>
    <x v="4"/>
    <n v="53"/>
    <x v="6"/>
  </r>
  <r>
    <x v="68"/>
    <x v="2"/>
    <x v="2"/>
    <x v="220"/>
    <x v="48"/>
    <n v="7.75"/>
    <x v="17"/>
  </r>
  <r>
    <x v="23"/>
    <x v="11"/>
    <x v="6"/>
    <x v="220"/>
    <x v="62"/>
    <n v="22"/>
    <x v="1"/>
  </r>
  <r>
    <x v="23"/>
    <x v="11"/>
    <x v="6"/>
    <x v="220"/>
    <x v="25"/>
    <n v="21.35"/>
    <x v="6"/>
  </r>
  <r>
    <x v="23"/>
    <x v="11"/>
    <x v="6"/>
    <x v="220"/>
    <x v="7"/>
    <n v="21"/>
    <x v="4"/>
  </r>
  <r>
    <x v="16"/>
    <x v="0"/>
    <x v="2"/>
    <x v="223"/>
    <x v="62"/>
    <n v="22"/>
    <x v="9"/>
  </r>
  <r>
    <x v="16"/>
    <x v="0"/>
    <x v="2"/>
    <x v="223"/>
    <x v="64"/>
    <n v="13.25"/>
    <x v="7"/>
  </r>
  <r>
    <x v="61"/>
    <x v="1"/>
    <x v="1"/>
    <x v="223"/>
    <x v="0"/>
    <n v="21"/>
    <x v="1"/>
  </r>
  <r>
    <x v="61"/>
    <x v="1"/>
    <x v="1"/>
    <x v="223"/>
    <x v="72"/>
    <n v="16.25"/>
    <x v="9"/>
  </r>
  <r>
    <x v="61"/>
    <x v="1"/>
    <x v="1"/>
    <x v="223"/>
    <x v="33"/>
    <n v="38"/>
    <x v="18"/>
  </r>
  <r>
    <x v="66"/>
    <x v="5"/>
    <x v="3"/>
    <x v="224"/>
    <x v="73"/>
    <n v="9.5"/>
    <x v="8"/>
  </r>
  <r>
    <x v="66"/>
    <x v="5"/>
    <x v="3"/>
    <x v="224"/>
    <x v="6"/>
    <n v="21.05"/>
    <x v="11"/>
  </r>
  <r>
    <x v="66"/>
    <x v="5"/>
    <x v="3"/>
    <x v="224"/>
    <x v="2"/>
    <n v="34.799999999999997"/>
    <x v="18"/>
  </r>
  <r>
    <x v="64"/>
    <x v="19"/>
    <x v="8"/>
    <x v="225"/>
    <x v="59"/>
    <n v="62.5"/>
    <x v="26"/>
  </r>
  <r>
    <x v="35"/>
    <x v="10"/>
    <x v="2"/>
    <x v="226"/>
    <x v="60"/>
    <n v="36"/>
    <x v="8"/>
  </r>
  <r>
    <x v="35"/>
    <x v="10"/>
    <x v="2"/>
    <x v="226"/>
    <x v="30"/>
    <n v="15"/>
    <x v="6"/>
  </r>
  <r>
    <x v="8"/>
    <x v="5"/>
    <x v="2"/>
    <x v="223"/>
    <x v="18"/>
    <n v="19"/>
    <x v="13"/>
  </r>
  <r>
    <x v="8"/>
    <x v="5"/>
    <x v="2"/>
    <x v="223"/>
    <x v="37"/>
    <n v="18.399999999999999"/>
    <x v="18"/>
  </r>
  <r>
    <x v="50"/>
    <x v="17"/>
    <x v="8"/>
    <x v="227"/>
    <x v="27"/>
    <n v="10"/>
    <x v="12"/>
  </r>
  <r>
    <x v="50"/>
    <x v="17"/>
    <x v="8"/>
    <x v="227"/>
    <x v="75"/>
    <n v="28.5"/>
    <x v="8"/>
  </r>
  <r>
    <x v="85"/>
    <x v="10"/>
    <x v="1"/>
    <x v="228"/>
    <x v="44"/>
    <n v="45.6"/>
    <x v="6"/>
  </r>
  <r>
    <x v="85"/>
    <x v="10"/>
    <x v="1"/>
    <x v="228"/>
    <x v="13"/>
    <n v="18"/>
    <x v="11"/>
  </r>
  <r>
    <x v="85"/>
    <x v="10"/>
    <x v="1"/>
    <x v="228"/>
    <x v="54"/>
    <n v="12"/>
    <x v="17"/>
  </r>
  <r>
    <x v="7"/>
    <x v="1"/>
    <x v="3"/>
    <x v="224"/>
    <x v="59"/>
    <n v="62.5"/>
    <x v="22"/>
  </r>
  <r>
    <x v="7"/>
    <x v="1"/>
    <x v="3"/>
    <x v="224"/>
    <x v="40"/>
    <n v="46"/>
    <x v="8"/>
  </r>
  <r>
    <x v="7"/>
    <x v="1"/>
    <x v="3"/>
    <x v="224"/>
    <x v="54"/>
    <n v="12"/>
    <x v="11"/>
  </r>
  <r>
    <x v="2"/>
    <x v="1"/>
    <x v="2"/>
    <x v="228"/>
    <x v="59"/>
    <n v="62.5"/>
    <x v="8"/>
  </r>
  <r>
    <x v="2"/>
    <x v="1"/>
    <x v="2"/>
    <x v="228"/>
    <x v="20"/>
    <n v="19"/>
    <x v="6"/>
  </r>
  <r>
    <x v="34"/>
    <x v="14"/>
    <x v="4"/>
    <x v="229"/>
    <x v="52"/>
    <n v="18"/>
    <x v="6"/>
  </r>
  <r>
    <x v="34"/>
    <x v="14"/>
    <x v="4"/>
    <x v="229"/>
    <x v="41"/>
    <n v="31"/>
    <x v="27"/>
  </r>
  <r>
    <x v="34"/>
    <x v="14"/>
    <x v="4"/>
    <x v="229"/>
    <x v="42"/>
    <n v="21.5"/>
    <x v="12"/>
  </r>
  <r>
    <x v="34"/>
    <x v="14"/>
    <x v="4"/>
    <x v="229"/>
    <x v="23"/>
    <n v="13"/>
    <x v="5"/>
  </r>
  <r>
    <x v="12"/>
    <x v="1"/>
    <x v="2"/>
    <x v="229"/>
    <x v="49"/>
    <n v="9.1999999999999993"/>
    <x v="12"/>
  </r>
  <r>
    <x v="12"/>
    <x v="1"/>
    <x v="2"/>
    <x v="229"/>
    <x v="13"/>
    <n v="18"/>
    <x v="8"/>
  </r>
  <r>
    <x v="30"/>
    <x v="1"/>
    <x v="0"/>
    <x v="230"/>
    <x v="7"/>
    <n v="21"/>
    <x v="6"/>
  </r>
  <r>
    <x v="30"/>
    <x v="1"/>
    <x v="0"/>
    <x v="230"/>
    <x v="15"/>
    <n v="4.5"/>
    <x v="6"/>
  </r>
  <r>
    <x v="81"/>
    <x v="3"/>
    <x v="0"/>
    <x v="231"/>
    <x v="44"/>
    <n v="45.6"/>
    <x v="8"/>
  </r>
  <r>
    <x v="81"/>
    <x v="3"/>
    <x v="0"/>
    <x v="231"/>
    <x v="2"/>
    <n v="34.799999999999997"/>
    <x v="6"/>
  </r>
  <r>
    <x v="51"/>
    <x v="1"/>
    <x v="0"/>
    <x v="229"/>
    <x v="34"/>
    <n v="25.89"/>
    <x v="12"/>
  </r>
  <r>
    <x v="51"/>
    <x v="1"/>
    <x v="0"/>
    <x v="229"/>
    <x v="22"/>
    <n v="32.799999999999997"/>
    <x v="9"/>
  </r>
  <r>
    <x v="51"/>
    <x v="1"/>
    <x v="0"/>
    <x v="229"/>
    <x v="55"/>
    <n v="7.45"/>
    <x v="12"/>
  </r>
  <r>
    <x v="35"/>
    <x v="10"/>
    <x v="6"/>
    <x v="232"/>
    <x v="49"/>
    <n v="9.1999999999999993"/>
    <x v="0"/>
  </r>
  <r>
    <x v="35"/>
    <x v="10"/>
    <x v="6"/>
    <x v="232"/>
    <x v="7"/>
    <n v="21"/>
    <x v="8"/>
  </r>
  <r>
    <x v="71"/>
    <x v="1"/>
    <x v="2"/>
    <x v="233"/>
    <x v="34"/>
    <n v="25.89"/>
    <x v="17"/>
  </r>
  <r>
    <x v="71"/>
    <x v="1"/>
    <x v="2"/>
    <x v="233"/>
    <x v="1"/>
    <n v="14"/>
    <x v="8"/>
  </r>
  <r>
    <x v="17"/>
    <x v="10"/>
    <x v="5"/>
    <x v="234"/>
    <x v="19"/>
    <n v="17.45"/>
    <x v="12"/>
  </r>
  <r>
    <x v="17"/>
    <x v="10"/>
    <x v="5"/>
    <x v="234"/>
    <x v="11"/>
    <n v="34"/>
    <x v="8"/>
  </r>
  <r>
    <x v="26"/>
    <x v="9"/>
    <x v="0"/>
    <x v="232"/>
    <x v="62"/>
    <n v="22"/>
    <x v="0"/>
  </r>
  <r>
    <x v="26"/>
    <x v="9"/>
    <x v="0"/>
    <x v="232"/>
    <x v="13"/>
    <n v="18"/>
    <x v="8"/>
  </r>
  <r>
    <x v="26"/>
    <x v="9"/>
    <x v="0"/>
    <x v="232"/>
    <x v="55"/>
    <n v="7.45"/>
    <x v="7"/>
  </r>
  <r>
    <x v="31"/>
    <x v="11"/>
    <x v="5"/>
    <x v="232"/>
    <x v="5"/>
    <n v="9.65"/>
    <x v="8"/>
  </r>
  <r>
    <x v="80"/>
    <x v="8"/>
    <x v="1"/>
    <x v="235"/>
    <x v="3"/>
    <n v="23.25"/>
    <x v="28"/>
  </r>
  <r>
    <x v="80"/>
    <x v="8"/>
    <x v="1"/>
    <x v="235"/>
    <x v="45"/>
    <n v="19.45"/>
    <x v="19"/>
  </r>
  <r>
    <x v="80"/>
    <x v="8"/>
    <x v="1"/>
    <x v="235"/>
    <x v="69"/>
    <n v="9.5"/>
    <x v="7"/>
  </r>
  <r>
    <x v="44"/>
    <x v="8"/>
    <x v="7"/>
    <x v="236"/>
    <x v="50"/>
    <n v="15.5"/>
    <x v="13"/>
  </r>
  <r>
    <x v="44"/>
    <x v="8"/>
    <x v="7"/>
    <x v="236"/>
    <x v="5"/>
    <n v="9.65"/>
    <x v="23"/>
  </r>
  <r>
    <x v="44"/>
    <x v="8"/>
    <x v="7"/>
    <x v="236"/>
    <x v="54"/>
    <n v="12"/>
    <x v="29"/>
  </r>
  <r>
    <x v="44"/>
    <x v="8"/>
    <x v="7"/>
    <x v="236"/>
    <x v="69"/>
    <n v="9.5"/>
    <x v="1"/>
  </r>
  <r>
    <x v="44"/>
    <x v="8"/>
    <x v="7"/>
    <x v="236"/>
    <x v="33"/>
    <n v="38"/>
    <x v="29"/>
  </r>
  <r>
    <x v="44"/>
    <x v="8"/>
    <x v="7"/>
    <x v="236"/>
    <x v="11"/>
    <n v="34"/>
    <x v="12"/>
  </r>
  <r>
    <x v="21"/>
    <x v="10"/>
    <x v="2"/>
    <x v="233"/>
    <x v="27"/>
    <n v="10"/>
    <x v="18"/>
  </r>
  <r>
    <x v="21"/>
    <x v="10"/>
    <x v="2"/>
    <x v="233"/>
    <x v="37"/>
    <n v="18.399999999999999"/>
    <x v="21"/>
  </r>
  <r>
    <x v="21"/>
    <x v="10"/>
    <x v="2"/>
    <x v="233"/>
    <x v="11"/>
    <n v="34"/>
    <x v="38"/>
  </r>
  <r>
    <x v="21"/>
    <x v="10"/>
    <x v="2"/>
    <x v="233"/>
    <x v="23"/>
    <n v="13"/>
    <x v="21"/>
  </r>
  <r>
    <x v="61"/>
    <x v="1"/>
    <x v="8"/>
    <x v="235"/>
    <x v="12"/>
    <n v="12.5"/>
    <x v="8"/>
  </r>
  <r>
    <x v="61"/>
    <x v="1"/>
    <x v="8"/>
    <x v="235"/>
    <x v="37"/>
    <n v="18.399999999999999"/>
    <x v="23"/>
  </r>
  <r>
    <x v="61"/>
    <x v="1"/>
    <x v="8"/>
    <x v="235"/>
    <x v="30"/>
    <n v="15"/>
    <x v="4"/>
  </r>
  <r>
    <x v="63"/>
    <x v="8"/>
    <x v="6"/>
    <x v="237"/>
    <x v="9"/>
    <n v="81"/>
    <x v="11"/>
  </r>
  <r>
    <x v="34"/>
    <x v="14"/>
    <x v="8"/>
    <x v="236"/>
    <x v="13"/>
    <n v="18"/>
    <x v="28"/>
  </r>
  <r>
    <x v="34"/>
    <x v="14"/>
    <x v="8"/>
    <x v="236"/>
    <x v="64"/>
    <n v="13.25"/>
    <x v="41"/>
  </r>
  <r>
    <x v="37"/>
    <x v="8"/>
    <x v="3"/>
    <x v="238"/>
    <x v="56"/>
    <n v="12.5"/>
    <x v="1"/>
  </r>
  <r>
    <x v="47"/>
    <x v="2"/>
    <x v="7"/>
    <x v="239"/>
    <x v="37"/>
    <n v="18.399999999999999"/>
    <x v="12"/>
  </r>
  <r>
    <x v="47"/>
    <x v="2"/>
    <x v="7"/>
    <x v="239"/>
    <x v="1"/>
    <n v="14"/>
    <x v="12"/>
  </r>
  <r>
    <x v="47"/>
    <x v="2"/>
    <x v="7"/>
    <x v="239"/>
    <x v="4"/>
    <n v="53"/>
    <x v="8"/>
  </r>
  <r>
    <x v="46"/>
    <x v="15"/>
    <x v="5"/>
    <x v="234"/>
    <x v="41"/>
    <n v="31"/>
    <x v="23"/>
  </r>
  <r>
    <x v="46"/>
    <x v="15"/>
    <x v="5"/>
    <x v="234"/>
    <x v="33"/>
    <n v="38"/>
    <x v="0"/>
  </r>
  <r>
    <x v="46"/>
    <x v="15"/>
    <x v="5"/>
    <x v="234"/>
    <x v="6"/>
    <n v="21.05"/>
    <x v="6"/>
  </r>
  <r>
    <x v="37"/>
    <x v="8"/>
    <x v="5"/>
    <x v="240"/>
    <x v="4"/>
    <n v="53"/>
    <x v="8"/>
  </r>
  <r>
    <x v="37"/>
    <x v="8"/>
    <x v="5"/>
    <x v="240"/>
    <x v="21"/>
    <n v="55"/>
    <x v="15"/>
  </r>
  <r>
    <x v="37"/>
    <x v="8"/>
    <x v="5"/>
    <x v="240"/>
    <x v="38"/>
    <n v="18"/>
    <x v="1"/>
  </r>
  <r>
    <x v="6"/>
    <x v="4"/>
    <x v="8"/>
    <x v="241"/>
    <x v="39"/>
    <n v="123.79"/>
    <x v="20"/>
  </r>
  <r>
    <x v="6"/>
    <x v="4"/>
    <x v="8"/>
    <x v="241"/>
    <x v="6"/>
    <n v="21.05"/>
    <x v="1"/>
  </r>
  <r>
    <x v="9"/>
    <x v="6"/>
    <x v="8"/>
    <x v="234"/>
    <x v="60"/>
    <n v="36"/>
    <x v="29"/>
  </r>
  <r>
    <x v="9"/>
    <x v="6"/>
    <x v="8"/>
    <x v="234"/>
    <x v="42"/>
    <n v="21.5"/>
    <x v="31"/>
  </r>
  <r>
    <x v="35"/>
    <x v="10"/>
    <x v="5"/>
    <x v="242"/>
    <x v="12"/>
    <n v="12.5"/>
    <x v="26"/>
  </r>
  <r>
    <x v="35"/>
    <x v="10"/>
    <x v="5"/>
    <x v="242"/>
    <x v="16"/>
    <n v="24"/>
    <x v="22"/>
  </r>
  <r>
    <x v="35"/>
    <x v="10"/>
    <x v="5"/>
    <x v="242"/>
    <x v="58"/>
    <n v="33.25"/>
    <x v="6"/>
  </r>
  <r>
    <x v="50"/>
    <x v="17"/>
    <x v="7"/>
    <x v="241"/>
    <x v="20"/>
    <n v="19"/>
    <x v="12"/>
  </r>
  <r>
    <x v="17"/>
    <x v="10"/>
    <x v="2"/>
    <x v="238"/>
    <x v="70"/>
    <n v="9"/>
    <x v="39"/>
  </r>
  <r>
    <x v="17"/>
    <x v="10"/>
    <x v="2"/>
    <x v="238"/>
    <x v="54"/>
    <n v="12"/>
    <x v="18"/>
  </r>
  <r>
    <x v="17"/>
    <x v="10"/>
    <x v="2"/>
    <x v="238"/>
    <x v="51"/>
    <n v="14"/>
    <x v="9"/>
  </r>
  <r>
    <x v="17"/>
    <x v="10"/>
    <x v="2"/>
    <x v="238"/>
    <x v="47"/>
    <n v="15"/>
    <x v="13"/>
  </r>
  <r>
    <x v="17"/>
    <x v="10"/>
    <x v="2"/>
    <x v="238"/>
    <x v="48"/>
    <n v="7.75"/>
    <x v="9"/>
  </r>
  <r>
    <x v="86"/>
    <x v="2"/>
    <x v="5"/>
    <x v="243"/>
    <x v="19"/>
    <n v="17.45"/>
    <x v="1"/>
  </r>
  <r>
    <x v="86"/>
    <x v="2"/>
    <x v="5"/>
    <x v="243"/>
    <x v="29"/>
    <n v="49.3"/>
    <x v="1"/>
  </r>
  <r>
    <x v="86"/>
    <x v="2"/>
    <x v="5"/>
    <x v="243"/>
    <x v="6"/>
    <n v="21.05"/>
    <x v="0"/>
  </r>
  <r>
    <x v="26"/>
    <x v="9"/>
    <x v="4"/>
    <x v="244"/>
    <x v="67"/>
    <n v="263.5"/>
    <x v="6"/>
  </r>
  <r>
    <x v="26"/>
    <x v="9"/>
    <x v="4"/>
    <x v="244"/>
    <x v="42"/>
    <n v="21.5"/>
    <x v="0"/>
  </r>
  <r>
    <x v="0"/>
    <x v="0"/>
    <x v="7"/>
    <x v="234"/>
    <x v="19"/>
    <n v="17.45"/>
    <x v="28"/>
  </r>
  <r>
    <x v="0"/>
    <x v="0"/>
    <x v="7"/>
    <x v="234"/>
    <x v="1"/>
    <n v="14"/>
    <x v="7"/>
  </r>
  <r>
    <x v="0"/>
    <x v="0"/>
    <x v="7"/>
    <x v="234"/>
    <x v="40"/>
    <n v="46"/>
    <x v="7"/>
  </r>
  <r>
    <x v="41"/>
    <x v="13"/>
    <x v="2"/>
    <x v="245"/>
    <x v="70"/>
    <n v="9"/>
    <x v="2"/>
  </r>
  <r>
    <x v="17"/>
    <x v="10"/>
    <x v="0"/>
    <x v="242"/>
    <x v="3"/>
    <n v="23.25"/>
    <x v="12"/>
  </r>
  <r>
    <x v="17"/>
    <x v="10"/>
    <x v="0"/>
    <x v="242"/>
    <x v="22"/>
    <n v="32.799999999999997"/>
    <x v="1"/>
  </r>
  <r>
    <x v="17"/>
    <x v="10"/>
    <x v="0"/>
    <x v="242"/>
    <x v="64"/>
    <n v="13.25"/>
    <x v="12"/>
  </r>
  <r>
    <x v="24"/>
    <x v="7"/>
    <x v="7"/>
    <x v="246"/>
    <x v="41"/>
    <n v="31"/>
    <x v="17"/>
  </r>
  <r>
    <x v="24"/>
    <x v="7"/>
    <x v="7"/>
    <x v="246"/>
    <x v="49"/>
    <n v="9.1999999999999993"/>
    <x v="25"/>
  </r>
  <r>
    <x v="24"/>
    <x v="7"/>
    <x v="7"/>
    <x v="246"/>
    <x v="45"/>
    <n v="19.45"/>
    <x v="11"/>
  </r>
  <r>
    <x v="58"/>
    <x v="7"/>
    <x v="5"/>
    <x v="244"/>
    <x v="68"/>
    <n v="31.23"/>
    <x v="12"/>
  </r>
  <r>
    <x v="58"/>
    <x v="7"/>
    <x v="5"/>
    <x v="244"/>
    <x v="10"/>
    <n v="2.5"/>
    <x v="26"/>
  </r>
  <r>
    <x v="44"/>
    <x v="8"/>
    <x v="8"/>
    <x v="247"/>
    <x v="36"/>
    <n v="38"/>
    <x v="30"/>
  </r>
  <r>
    <x v="44"/>
    <x v="8"/>
    <x v="8"/>
    <x v="247"/>
    <x v="10"/>
    <n v="2.5"/>
    <x v="12"/>
  </r>
  <r>
    <x v="44"/>
    <x v="8"/>
    <x v="8"/>
    <x v="247"/>
    <x v="5"/>
    <n v="9.65"/>
    <x v="40"/>
  </r>
  <r>
    <x v="44"/>
    <x v="8"/>
    <x v="8"/>
    <x v="247"/>
    <x v="55"/>
    <n v="7.45"/>
    <x v="12"/>
  </r>
  <r>
    <x v="15"/>
    <x v="2"/>
    <x v="6"/>
    <x v="245"/>
    <x v="21"/>
    <n v="55"/>
    <x v="0"/>
  </r>
  <r>
    <x v="11"/>
    <x v="8"/>
    <x v="5"/>
    <x v="244"/>
    <x v="19"/>
    <n v="17.45"/>
    <x v="13"/>
  </r>
  <r>
    <x v="11"/>
    <x v="8"/>
    <x v="5"/>
    <x v="244"/>
    <x v="12"/>
    <n v="12.5"/>
    <x v="8"/>
  </r>
  <r>
    <x v="11"/>
    <x v="8"/>
    <x v="5"/>
    <x v="244"/>
    <x v="1"/>
    <n v="14"/>
    <x v="4"/>
  </r>
  <r>
    <x v="80"/>
    <x v="8"/>
    <x v="3"/>
    <x v="245"/>
    <x v="49"/>
    <n v="9.1999999999999993"/>
    <x v="12"/>
  </r>
  <r>
    <x v="80"/>
    <x v="8"/>
    <x v="3"/>
    <x v="245"/>
    <x v="27"/>
    <n v="10"/>
    <x v="0"/>
  </r>
  <r>
    <x v="80"/>
    <x v="8"/>
    <x v="3"/>
    <x v="245"/>
    <x v="58"/>
    <n v="33.25"/>
    <x v="19"/>
  </r>
  <r>
    <x v="58"/>
    <x v="7"/>
    <x v="3"/>
    <x v="248"/>
    <x v="10"/>
    <n v="2.5"/>
    <x v="12"/>
  </r>
  <r>
    <x v="58"/>
    <x v="7"/>
    <x v="3"/>
    <x v="248"/>
    <x v="61"/>
    <n v="17"/>
    <x v="22"/>
  </r>
  <r>
    <x v="58"/>
    <x v="7"/>
    <x v="3"/>
    <x v="248"/>
    <x v="48"/>
    <n v="7.75"/>
    <x v="12"/>
  </r>
  <r>
    <x v="40"/>
    <x v="2"/>
    <x v="7"/>
    <x v="248"/>
    <x v="65"/>
    <n v="7"/>
    <x v="3"/>
  </r>
  <r>
    <x v="67"/>
    <x v="10"/>
    <x v="3"/>
    <x v="245"/>
    <x v="37"/>
    <n v="18.399999999999999"/>
    <x v="8"/>
  </r>
  <r>
    <x v="67"/>
    <x v="10"/>
    <x v="3"/>
    <x v="245"/>
    <x v="69"/>
    <n v="9.5"/>
    <x v="4"/>
  </r>
  <r>
    <x v="67"/>
    <x v="10"/>
    <x v="3"/>
    <x v="245"/>
    <x v="11"/>
    <n v="34"/>
    <x v="12"/>
  </r>
  <r>
    <x v="71"/>
    <x v="1"/>
    <x v="2"/>
    <x v="239"/>
    <x v="41"/>
    <n v="31"/>
    <x v="8"/>
  </r>
  <r>
    <x v="71"/>
    <x v="1"/>
    <x v="2"/>
    <x v="239"/>
    <x v="5"/>
    <n v="9.65"/>
    <x v="22"/>
  </r>
  <r>
    <x v="71"/>
    <x v="1"/>
    <x v="2"/>
    <x v="239"/>
    <x v="69"/>
    <n v="9.5"/>
    <x v="6"/>
  </r>
  <r>
    <x v="53"/>
    <x v="6"/>
    <x v="7"/>
    <x v="249"/>
    <x v="35"/>
    <n v="39"/>
    <x v="12"/>
  </r>
  <r>
    <x v="53"/>
    <x v="6"/>
    <x v="7"/>
    <x v="249"/>
    <x v="68"/>
    <n v="31.23"/>
    <x v="6"/>
  </r>
  <r>
    <x v="34"/>
    <x v="14"/>
    <x v="4"/>
    <x v="250"/>
    <x v="76"/>
    <n v="97"/>
    <x v="13"/>
  </r>
  <r>
    <x v="34"/>
    <x v="14"/>
    <x v="4"/>
    <x v="250"/>
    <x v="39"/>
    <n v="123.79"/>
    <x v="1"/>
  </r>
  <r>
    <x v="34"/>
    <x v="14"/>
    <x v="4"/>
    <x v="250"/>
    <x v="20"/>
    <n v="19"/>
    <x v="7"/>
  </r>
  <r>
    <x v="60"/>
    <x v="17"/>
    <x v="2"/>
    <x v="251"/>
    <x v="41"/>
    <n v="31"/>
    <x v="27"/>
  </r>
  <r>
    <x v="60"/>
    <x v="17"/>
    <x v="2"/>
    <x v="251"/>
    <x v="44"/>
    <n v="45.6"/>
    <x v="18"/>
  </r>
  <r>
    <x v="60"/>
    <x v="17"/>
    <x v="2"/>
    <x v="251"/>
    <x v="53"/>
    <n v="14"/>
    <x v="31"/>
  </r>
  <r>
    <x v="26"/>
    <x v="9"/>
    <x v="5"/>
    <x v="251"/>
    <x v="52"/>
    <n v="18"/>
    <x v="5"/>
  </r>
  <r>
    <x v="2"/>
    <x v="1"/>
    <x v="5"/>
    <x v="239"/>
    <x v="33"/>
    <n v="38"/>
    <x v="8"/>
  </r>
  <r>
    <x v="2"/>
    <x v="1"/>
    <x v="5"/>
    <x v="239"/>
    <x v="23"/>
    <n v="13"/>
    <x v="12"/>
  </r>
  <r>
    <x v="21"/>
    <x v="10"/>
    <x v="7"/>
    <x v="252"/>
    <x v="52"/>
    <n v="18"/>
    <x v="12"/>
  </r>
  <r>
    <x v="21"/>
    <x v="10"/>
    <x v="7"/>
    <x v="252"/>
    <x v="39"/>
    <n v="123.79"/>
    <x v="4"/>
  </r>
  <r>
    <x v="21"/>
    <x v="10"/>
    <x v="7"/>
    <x v="252"/>
    <x v="40"/>
    <n v="46"/>
    <x v="4"/>
  </r>
  <r>
    <x v="21"/>
    <x v="10"/>
    <x v="7"/>
    <x v="252"/>
    <x v="45"/>
    <n v="19.45"/>
    <x v="23"/>
  </r>
  <r>
    <x v="21"/>
    <x v="10"/>
    <x v="7"/>
    <x v="252"/>
    <x v="29"/>
    <n v="49.3"/>
    <x v="33"/>
  </r>
  <r>
    <x v="85"/>
    <x v="10"/>
    <x v="2"/>
    <x v="253"/>
    <x v="46"/>
    <n v="43.9"/>
    <x v="8"/>
  </r>
  <r>
    <x v="19"/>
    <x v="8"/>
    <x v="3"/>
    <x v="254"/>
    <x v="76"/>
    <n v="97"/>
    <x v="7"/>
  </r>
  <r>
    <x v="19"/>
    <x v="8"/>
    <x v="3"/>
    <x v="254"/>
    <x v="55"/>
    <n v="7.45"/>
    <x v="18"/>
  </r>
  <r>
    <x v="19"/>
    <x v="8"/>
    <x v="3"/>
    <x v="254"/>
    <x v="60"/>
    <n v="36"/>
    <x v="12"/>
  </r>
  <r>
    <x v="19"/>
    <x v="8"/>
    <x v="3"/>
    <x v="254"/>
    <x v="47"/>
    <n v="15"/>
    <x v="6"/>
  </r>
  <r>
    <x v="21"/>
    <x v="10"/>
    <x v="6"/>
    <x v="255"/>
    <x v="32"/>
    <n v="30"/>
    <x v="42"/>
  </r>
  <r>
    <x v="21"/>
    <x v="10"/>
    <x v="6"/>
    <x v="255"/>
    <x v="21"/>
    <n v="55"/>
    <x v="9"/>
  </r>
  <r>
    <x v="21"/>
    <x v="10"/>
    <x v="6"/>
    <x v="255"/>
    <x v="30"/>
    <n v="15"/>
    <x v="13"/>
  </r>
  <r>
    <x v="0"/>
    <x v="0"/>
    <x v="8"/>
    <x v="256"/>
    <x v="71"/>
    <n v="40"/>
    <x v="1"/>
  </r>
  <r>
    <x v="0"/>
    <x v="0"/>
    <x v="8"/>
    <x v="256"/>
    <x v="36"/>
    <n v="38"/>
    <x v="22"/>
  </r>
  <r>
    <x v="0"/>
    <x v="0"/>
    <x v="8"/>
    <x v="256"/>
    <x v="15"/>
    <n v="4.5"/>
    <x v="8"/>
  </r>
  <r>
    <x v="19"/>
    <x v="8"/>
    <x v="6"/>
    <x v="256"/>
    <x v="35"/>
    <n v="39"/>
    <x v="8"/>
  </r>
  <r>
    <x v="19"/>
    <x v="8"/>
    <x v="6"/>
    <x v="256"/>
    <x v="54"/>
    <n v="12"/>
    <x v="27"/>
  </r>
  <r>
    <x v="66"/>
    <x v="5"/>
    <x v="3"/>
    <x v="256"/>
    <x v="49"/>
    <n v="9.1999999999999993"/>
    <x v="25"/>
  </r>
  <r>
    <x v="66"/>
    <x v="5"/>
    <x v="3"/>
    <x v="256"/>
    <x v="31"/>
    <n v="18"/>
    <x v="3"/>
  </r>
  <r>
    <x v="66"/>
    <x v="5"/>
    <x v="3"/>
    <x v="256"/>
    <x v="64"/>
    <n v="13.25"/>
    <x v="12"/>
  </r>
  <r>
    <x v="66"/>
    <x v="5"/>
    <x v="3"/>
    <x v="256"/>
    <x v="30"/>
    <n v="15"/>
    <x v="12"/>
  </r>
  <r>
    <x v="9"/>
    <x v="6"/>
    <x v="2"/>
    <x v="257"/>
    <x v="0"/>
    <n v="21"/>
    <x v="6"/>
  </r>
  <r>
    <x v="9"/>
    <x v="6"/>
    <x v="2"/>
    <x v="257"/>
    <x v="35"/>
    <n v="39"/>
    <x v="26"/>
  </r>
  <r>
    <x v="9"/>
    <x v="6"/>
    <x v="2"/>
    <x v="257"/>
    <x v="39"/>
    <n v="123.79"/>
    <x v="0"/>
  </r>
  <r>
    <x v="9"/>
    <x v="6"/>
    <x v="2"/>
    <x v="257"/>
    <x v="6"/>
    <n v="21.05"/>
    <x v="14"/>
  </r>
  <r>
    <x v="9"/>
    <x v="6"/>
    <x v="2"/>
    <x v="257"/>
    <x v="30"/>
    <n v="15"/>
    <x v="26"/>
  </r>
  <r>
    <x v="25"/>
    <x v="10"/>
    <x v="3"/>
    <x v="253"/>
    <x v="69"/>
    <n v="9.5"/>
    <x v="0"/>
  </r>
  <r>
    <x v="44"/>
    <x v="8"/>
    <x v="3"/>
    <x v="247"/>
    <x v="52"/>
    <n v="18"/>
    <x v="2"/>
  </r>
  <r>
    <x v="44"/>
    <x v="8"/>
    <x v="3"/>
    <x v="247"/>
    <x v="53"/>
    <n v="14"/>
    <x v="0"/>
  </r>
  <r>
    <x v="44"/>
    <x v="8"/>
    <x v="3"/>
    <x v="247"/>
    <x v="56"/>
    <n v="12.5"/>
    <x v="4"/>
  </r>
  <r>
    <x v="44"/>
    <x v="8"/>
    <x v="3"/>
    <x v="247"/>
    <x v="42"/>
    <n v="21.5"/>
    <x v="18"/>
  </r>
  <r>
    <x v="34"/>
    <x v="14"/>
    <x v="1"/>
    <x v="237"/>
    <x v="21"/>
    <n v="55"/>
    <x v="10"/>
  </r>
  <r>
    <x v="34"/>
    <x v="14"/>
    <x v="1"/>
    <x v="237"/>
    <x v="42"/>
    <n v="21.5"/>
    <x v="8"/>
  </r>
  <r>
    <x v="34"/>
    <x v="14"/>
    <x v="1"/>
    <x v="237"/>
    <x v="38"/>
    <n v="18"/>
    <x v="5"/>
  </r>
  <r>
    <x v="85"/>
    <x v="10"/>
    <x v="2"/>
    <x v="258"/>
    <x v="57"/>
    <n v="10"/>
    <x v="7"/>
  </r>
  <r>
    <x v="85"/>
    <x v="10"/>
    <x v="2"/>
    <x v="258"/>
    <x v="38"/>
    <n v="18"/>
    <x v="6"/>
  </r>
  <r>
    <x v="14"/>
    <x v="9"/>
    <x v="1"/>
    <x v="259"/>
    <x v="18"/>
    <n v="19"/>
    <x v="2"/>
  </r>
  <r>
    <x v="14"/>
    <x v="9"/>
    <x v="1"/>
    <x v="259"/>
    <x v="21"/>
    <n v="55"/>
    <x v="5"/>
  </r>
  <r>
    <x v="14"/>
    <x v="9"/>
    <x v="1"/>
    <x v="259"/>
    <x v="47"/>
    <n v="15"/>
    <x v="5"/>
  </r>
  <r>
    <x v="61"/>
    <x v="1"/>
    <x v="1"/>
    <x v="260"/>
    <x v="62"/>
    <n v="22"/>
    <x v="7"/>
  </r>
  <r>
    <x v="61"/>
    <x v="1"/>
    <x v="1"/>
    <x v="260"/>
    <x v="15"/>
    <n v="4.5"/>
    <x v="5"/>
  </r>
  <r>
    <x v="61"/>
    <x v="1"/>
    <x v="1"/>
    <x v="260"/>
    <x v="74"/>
    <n v="12.75"/>
    <x v="23"/>
  </r>
  <r>
    <x v="8"/>
    <x v="5"/>
    <x v="4"/>
    <x v="261"/>
    <x v="12"/>
    <n v="12.5"/>
    <x v="8"/>
  </r>
  <r>
    <x v="8"/>
    <x v="5"/>
    <x v="4"/>
    <x v="261"/>
    <x v="26"/>
    <n v="32"/>
    <x v="22"/>
  </r>
  <r>
    <x v="11"/>
    <x v="8"/>
    <x v="6"/>
    <x v="258"/>
    <x v="19"/>
    <n v="17.45"/>
    <x v="8"/>
  </r>
  <r>
    <x v="11"/>
    <x v="8"/>
    <x v="6"/>
    <x v="258"/>
    <x v="40"/>
    <n v="46"/>
    <x v="23"/>
  </r>
  <r>
    <x v="11"/>
    <x v="8"/>
    <x v="6"/>
    <x v="258"/>
    <x v="21"/>
    <n v="55"/>
    <x v="26"/>
  </r>
  <r>
    <x v="54"/>
    <x v="13"/>
    <x v="2"/>
    <x v="262"/>
    <x v="16"/>
    <n v="24"/>
    <x v="11"/>
  </r>
  <r>
    <x v="54"/>
    <x v="13"/>
    <x v="2"/>
    <x v="262"/>
    <x v="8"/>
    <n v="19.5"/>
    <x v="4"/>
  </r>
  <r>
    <x v="54"/>
    <x v="13"/>
    <x v="2"/>
    <x v="262"/>
    <x v="30"/>
    <n v="15"/>
    <x v="19"/>
  </r>
  <r>
    <x v="39"/>
    <x v="8"/>
    <x v="1"/>
    <x v="263"/>
    <x v="25"/>
    <n v="21.35"/>
    <x v="22"/>
  </r>
  <r>
    <x v="39"/>
    <x v="8"/>
    <x v="1"/>
    <x v="263"/>
    <x v="20"/>
    <n v="19"/>
    <x v="2"/>
  </r>
  <r>
    <x v="71"/>
    <x v="1"/>
    <x v="5"/>
    <x v="264"/>
    <x v="71"/>
    <n v="40"/>
    <x v="4"/>
  </r>
  <r>
    <x v="71"/>
    <x v="1"/>
    <x v="5"/>
    <x v="264"/>
    <x v="4"/>
    <n v="53"/>
    <x v="19"/>
  </r>
  <r>
    <x v="71"/>
    <x v="1"/>
    <x v="5"/>
    <x v="264"/>
    <x v="11"/>
    <n v="34"/>
    <x v="1"/>
  </r>
  <r>
    <x v="70"/>
    <x v="11"/>
    <x v="5"/>
    <x v="262"/>
    <x v="49"/>
    <n v="9.1999999999999993"/>
    <x v="2"/>
  </r>
  <r>
    <x v="70"/>
    <x v="11"/>
    <x v="5"/>
    <x v="262"/>
    <x v="69"/>
    <n v="9.5"/>
    <x v="2"/>
  </r>
  <r>
    <x v="44"/>
    <x v="8"/>
    <x v="0"/>
    <x v="265"/>
    <x v="49"/>
    <n v="9.1999999999999993"/>
    <x v="0"/>
  </r>
  <r>
    <x v="44"/>
    <x v="8"/>
    <x v="0"/>
    <x v="265"/>
    <x v="5"/>
    <n v="9.65"/>
    <x v="10"/>
  </r>
  <r>
    <x v="44"/>
    <x v="8"/>
    <x v="0"/>
    <x v="265"/>
    <x v="22"/>
    <n v="32.799999999999997"/>
    <x v="40"/>
  </r>
  <r>
    <x v="34"/>
    <x v="14"/>
    <x v="3"/>
    <x v="266"/>
    <x v="22"/>
    <n v="32.799999999999997"/>
    <x v="28"/>
  </r>
  <r>
    <x v="34"/>
    <x v="14"/>
    <x v="3"/>
    <x v="266"/>
    <x v="33"/>
    <n v="38"/>
    <x v="12"/>
  </r>
  <r>
    <x v="44"/>
    <x v="8"/>
    <x v="5"/>
    <x v="267"/>
    <x v="41"/>
    <n v="31"/>
    <x v="27"/>
  </r>
  <r>
    <x v="44"/>
    <x v="8"/>
    <x v="5"/>
    <x v="267"/>
    <x v="68"/>
    <n v="31.23"/>
    <x v="12"/>
  </r>
  <r>
    <x v="44"/>
    <x v="8"/>
    <x v="5"/>
    <x v="267"/>
    <x v="73"/>
    <n v="9.5"/>
    <x v="46"/>
  </r>
  <r>
    <x v="44"/>
    <x v="8"/>
    <x v="5"/>
    <x v="267"/>
    <x v="54"/>
    <n v="12"/>
    <x v="23"/>
  </r>
  <r>
    <x v="44"/>
    <x v="8"/>
    <x v="0"/>
    <x v="268"/>
    <x v="18"/>
    <n v="19"/>
    <x v="12"/>
  </r>
  <r>
    <x v="44"/>
    <x v="8"/>
    <x v="0"/>
    <x v="268"/>
    <x v="35"/>
    <n v="39"/>
    <x v="47"/>
  </r>
  <r>
    <x v="44"/>
    <x v="8"/>
    <x v="0"/>
    <x v="268"/>
    <x v="69"/>
    <n v="9.5"/>
    <x v="13"/>
  </r>
  <r>
    <x v="44"/>
    <x v="8"/>
    <x v="0"/>
    <x v="268"/>
    <x v="33"/>
    <n v="38"/>
    <x v="27"/>
  </r>
  <r>
    <x v="44"/>
    <x v="8"/>
    <x v="0"/>
    <x v="268"/>
    <x v="64"/>
    <n v="13.25"/>
    <x v="0"/>
  </r>
  <r>
    <x v="47"/>
    <x v="2"/>
    <x v="3"/>
    <x v="265"/>
    <x v="41"/>
    <n v="31"/>
    <x v="11"/>
  </r>
  <r>
    <x v="47"/>
    <x v="2"/>
    <x v="3"/>
    <x v="265"/>
    <x v="42"/>
    <n v="21.5"/>
    <x v="12"/>
  </r>
  <r>
    <x v="74"/>
    <x v="20"/>
    <x v="2"/>
    <x v="268"/>
    <x v="27"/>
    <n v="10"/>
    <x v="2"/>
  </r>
  <r>
    <x v="74"/>
    <x v="20"/>
    <x v="2"/>
    <x v="268"/>
    <x v="4"/>
    <n v="53"/>
    <x v="25"/>
  </r>
  <r>
    <x v="74"/>
    <x v="20"/>
    <x v="2"/>
    <x v="268"/>
    <x v="75"/>
    <n v="28.5"/>
    <x v="1"/>
  </r>
  <r>
    <x v="17"/>
    <x v="10"/>
    <x v="5"/>
    <x v="265"/>
    <x v="27"/>
    <n v="10"/>
    <x v="39"/>
  </r>
  <r>
    <x v="17"/>
    <x v="10"/>
    <x v="5"/>
    <x v="265"/>
    <x v="55"/>
    <n v="7.45"/>
    <x v="6"/>
  </r>
  <r>
    <x v="17"/>
    <x v="10"/>
    <x v="5"/>
    <x v="265"/>
    <x v="60"/>
    <n v="36"/>
    <x v="9"/>
  </r>
  <r>
    <x v="43"/>
    <x v="10"/>
    <x v="5"/>
    <x v="265"/>
    <x v="36"/>
    <n v="38"/>
    <x v="20"/>
  </r>
  <r>
    <x v="43"/>
    <x v="10"/>
    <x v="5"/>
    <x v="265"/>
    <x v="19"/>
    <n v="17.45"/>
    <x v="8"/>
  </r>
  <r>
    <x v="43"/>
    <x v="10"/>
    <x v="5"/>
    <x v="265"/>
    <x v="20"/>
    <n v="19"/>
    <x v="4"/>
  </r>
  <r>
    <x v="43"/>
    <x v="10"/>
    <x v="5"/>
    <x v="265"/>
    <x v="29"/>
    <n v="49.3"/>
    <x v="8"/>
  </r>
  <r>
    <x v="83"/>
    <x v="8"/>
    <x v="6"/>
    <x v="263"/>
    <x v="59"/>
    <n v="62.5"/>
    <x v="0"/>
  </r>
  <r>
    <x v="83"/>
    <x v="8"/>
    <x v="6"/>
    <x v="263"/>
    <x v="34"/>
    <n v="25.89"/>
    <x v="28"/>
  </r>
  <r>
    <x v="83"/>
    <x v="8"/>
    <x v="6"/>
    <x v="263"/>
    <x v="55"/>
    <n v="7.45"/>
    <x v="4"/>
  </r>
  <r>
    <x v="12"/>
    <x v="1"/>
    <x v="6"/>
    <x v="263"/>
    <x v="31"/>
    <n v="18"/>
    <x v="11"/>
  </r>
  <r>
    <x v="12"/>
    <x v="1"/>
    <x v="6"/>
    <x v="263"/>
    <x v="42"/>
    <n v="21.5"/>
    <x v="26"/>
  </r>
  <r>
    <x v="21"/>
    <x v="10"/>
    <x v="0"/>
    <x v="266"/>
    <x v="45"/>
    <n v="19.45"/>
    <x v="13"/>
  </r>
  <r>
    <x v="44"/>
    <x v="8"/>
    <x v="6"/>
    <x v="269"/>
    <x v="18"/>
    <n v="19"/>
    <x v="28"/>
  </r>
  <r>
    <x v="44"/>
    <x v="8"/>
    <x v="6"/>
    <x v="269"/>
    <x v="12"/>
    <n v="12.5"/>
    <x v="13"/>
  </r>
  <r>
    <x v="44"/>
    <x v="8"/>
    <x v="6"/>
    <x v="269"/>
    <x v="56"/>
    <n v="12.5"/>
    <x v="29"/>
  </r>
  <r>
    <x v="44"/>
    <x v="8"/>
    <x v="6"/>
    <x v="269"/>
    <x v="48"/>
    <n v="7.75"/>
    <x v="10"/>
  </r>
  <r>
    <x v="19"/>
    <x v="8"/>
    <x v="3"/>
    <x v="270"/>
    <x v="68"/>
    <n v="31.23"/>
    <x v="6"/>
  </r>
  <r>
    <x v="48"/>
    <x v="16"/>
    <x v="6"/>
    <x v="263"/>
    <x v="41"/>
    <n v="31"/>
    <x v="16"/>
  </r>
  <r>
    <x v="48"/>
    <x v="16"/>
    <x v="6"/>
    <x v="263"/>
    <x v="75"/>
    <n v="28.5"/>
    <x v="2"/>
  </r>
  <r>
    <x v="51"/>
    <x v="1"/>
    <x v="2"/>
    <x v="263"/>
    <x v="5"/>
    <n v="9.65"/>
    <x v="0"/>
  </r>
  <r>
    <x v="51"/>
    <x v="1"/>
    <x v="2"/>
    <x v="263"/>
    <x v="65"/>
    <n v="7"/>
    <x v="22"/>
  </r>
  <r>
    <x v="51"/>
    <x v="1"/>
    <x v="2"/>
    <x v="263"/>
    <x v="16"/>
    <n v="24"/>
    <x v="7"/>
  </r>
  <r>
    <x v="57"/>
    <x v="13"/>
    <x v="2"/>
    <x v="271"/>
    <x v="62"/>
    <n v="22"/>
    <x v="9"/>
  </r>
  <r>
    <x v="57"/>
    <x v="13"/>
    <x v="2"/>
    <x v="271"/>
    <x v="0"/>
    <n v="21"/>
    <x v="2"/>
  </r>
  <r>
    <x v="31"/>
    <x v="11"/>
    <x v="7"/>
    <x v="271"/>
    <x v="35"/>
    <n v="39"/>
    <x v="8"/>
  </r>
  <r>
    <x v="31"/>
    <x v="11"/>
    <x v="7"/>
    <x v="271"/>
    <x v="33"/>
    <n v="38"/>
    <x v="1"/>
  </r>
  <r>
    <x v="31"/>
    <x v="11"/>
    <x v="7"/>
    <x v="271"/>
    <x v="21"/>
    <n v="55"/>
    <x v="1"/>
  </r>
  <r>
    <x v="61"/>
    <x v="1"/>
    <x v="2"/>
    <x v="272"/>
    <x v="34"/>
    <n v="25.89"/>
    <x v="6"/>
  </r>
  <r>
    <x v="61"/>
    <x v="1"/>
    <x v="2"/>
    <x v="272"/>
    <x v="37"/>
    <n v="18.399999999999999"/>
    <x v="7"/>
  </r>
  <r>
    <x v="61"/>
    <x v="1"/>
    <x v="2"/>
    <x v="272"/>
    <x v="16"/>
    <n v="24"/>
    <x v="0"/>
  </r>
  <r>
    <x v="61"/>
    <x v="1"/>
    <x v="2"/>
    <x v="272"/>
    <x v="11"/>
    <n v="34"/>
    <x v="6"/>
  </r>
  <r>
    <x v="66"/>
    <x v="5"/>
    <x v="6"/>
    <x v="273"/>
    <x v="52"/>
    <n v="18"/>
    <x v="13"/>
  </r>
  <r>
    <x v="66"/>
    <x v="5"/>
    <x v="6"/>
    <x v="273"/>
    <x v="27"/>
    <n v="10"/>
    <x v="12"/>
  </r>
  <r>
    <x v="66"/>
    <x v="5"/>
    <x v="6"/>
    <x v="273"/>
    <x v="72"/>
    <n v="16.25"/>
    <x v="4"/>
  </r>
  <r>
    <x v="47"/>
    <x v="2"/>
    <x v="0"/>
    <x v="273"/>
    <x v="19"/>
    <n v="17.45"/>
    <x v="6"/>
  </r>
  <r>
    <x v="47"/>
    <x v="2"/>
    <x v="0"/>
    <x v="273"/>
    <x v="12"/>
    <n v="12.5"/>
    <x v="28"/>
  </r>
  <r>
    <x v="47"/>
    <x v="2"/>
    <x v="0"/>
    <x v="273"/>
    <x v="6"/>
    <n v="21.05"/>
    <x v="1"/>
  </r>
  <r>
    <x v="5"/>
    <x v="4"/>
    <x v="8"/>
    <x v="273"/>
    <x v="27"/>
    <n v="10"/>
    <x v="4"/>
  </r>
  <r>
    <x v="5"/>
    <x v="4"/>
    <x v="8"/>
    <x v="273"/>
    <x v="4"/>
    <n v="53"/>
    <x v="12"/>
  </r>
  <r>
    <x v="47"/>
    <x v="2"/>
    <x v="3"/>
    <x v="260"/>
    <x v="38"/>
    <n v="18"/>
    <x v="8"/>
  </r>
  <r>
    <x v="26"/>
    <x v="9"/>
    <x v="5"/>
    <x v="274"/>
    <x v="3"/>
    <n v="23.25"/>
    <x v="16"/>
  </r>
  <r>
    <x v="26"/>
    <x v="9"/>
    <x v="5"/>
    <x v="274"/>
    <x v="44"/>
    <n v="45.6"/>
    <x v="8"/>
  </r>
  <r>
    <x v="26"/>
    <x v="9"/>
    <x v="5"/>
    <x v="274"/>
    <x v="65"/>
    <n v="7"/>
    <x v="9"/>
  </r>
  <r>
    <x v="71"/>
    <x v="1"/>
    <x v="7"/>
    <x v="275"/>
    <x v="63"/>
    <n v="25"/>
    <x v="12"/>
  </r>
  <r>
    <x v="71"/>
    <x v="1"/>
    <x v="7"/>
    <x v="275"/>
    <x v="34"/>
    <n v="25.89"/>
    <x v="6"/>
  </r>
  <r>
    <x v="71"/>
    <x v="1"/>
    <x v="7"/>
    <x v="275"/>
    <x v="38"/>
    <n v="18"/>
    <x v="8"/>
  </r>
  <r>
    <x v="83"/>
    <x v="8"/>
    <x v="1"/>
    <x v="276"/>
    <x v="75"/>
    <n v="28.5"/>
    <x v="8"/>
  </r>
  <r>
    <x v="83"/>
    <x v="8"/>
    <x v="1"/>
    <x v="276"/>
    <x v="23"/>
    <n v="13"/>
    <x v="17"/>
  </r>
  <r>
    <x v="34"/>
    <x v="14"/>
    <x v="4"/>
    <x v="276"/>
    <x v="6"/>
    <n v="21.05"/>
    <x v="4"/>
  </r>
  <r>
    <x v="34"/>
    <x v="14"/>
    <x v="4"/>
    <x v="276"/>
    <x v="48"/>
    <n v="7.75"/>
    <x v="8"/>
  </r>
  <r>
    <x v="22"/>
    <x v="2"/>
    <x v="7"/>
    <x v="261"/>
    <x v="43"/>
    <n v="6"/>
    <x v="22"/>
  </r>
  <r>
    <x v="22"/>
    <x v="2"/>
    <x v="7"/>
    <x v="261"/>
    <x v="5"/>
    <n v="9.65"/>
    <x v="0"/>
  </r>
  <r>
    <x v="87"/>
    <x v="2"/>
    <x v="7"/>
    <x v="261"/>
    <x v="19"/>
    <n v="17.45"/>
    <x v="28"/>
  </r>
  <r>
    <x v="22"/>
    <x v="2"/>
    <x v="3"/>
    <x v="277"/>
    <x v="20"/>
    <n v="19"/>
    <x v="7"/>
  </r>
  <r>
    <x v="22"/>
    <x v="2"/>
    <x v="3"/>
    <x v="277"/>
    <x v="65"/>
    <n v="7"/>
    <x v="27"/>
  </r>
  <r>
    <x v="19"/>
    <x v="8"/>
    <x v="2"/>
    <x v="270"/>
    <x v="44"/>
    <n v="45.6"/>
    <x v="2"/>
  </r>
  <r>
    <x v="19"/>
    <x v="8"/>
    <x v="2"/>
    <x v="270"/>
    <x v="31"/>
    <n v="18"/>
    <x v="5"/>
  </r>
  <r>
    <x v="19"/>
    <x v="8"/>
    <x v="2"/>
    <x v="270"/>
    <x v="73"/>
    <n v="9.5"/>
    <x v="4"/>
  </r>
  <r>
    <x v="19"/>
    <x v="8"/>
    <x v="2"/>
    <x v="270"/>
    <x v="33"/>
    <n v="38"/>
    <x v="31"/>
  </r>
  <r>
    <x v="54"/>
    <x v="13"/>
    <x v="2"/>
    <x v="261"/>
    <x v="18"/>
    <n v="19"/>
    <x v="6"/>
  </r>
  <r>
    <x v="65"/>
    <x v="16"/>
    <x v="3"/>
    <x v="261"/>
    <x v="57"/>
    <n v="10"/>
    <x v="8"/>
  </r>
  <r>
    <x v="65"/>
    <x v="16"/>
    <x v="3"/>
    <x v="261"/>
    <x v="11"/>
    <n v="34"/>
    <x v="13"/>
  </r>
  <r>
    <x v="65"/>
    <x v="16"/>
    <x v="3"/>
    <x v="261"/>
    <x v="2"/>
    <n v="34.799999999999997"/>
    <x v="5"/>
  </r>
  <r>
    <x v="54"/>
    <x v="13"/>
    <x v="5"/>
    <x v="276"/>
    <x v="54"/>
    <n v="12"/>
    <x v="19"/>
  </r>
  <r>
    <x v="60"/>
    <x v="17"/>
    <x v="1"/>
    <x v="278"/>
    <x v="37"/>
    <n v="18.399999999999999"/>
    <x v="13"/>
  </r>
  <r>
    <x v="21"/>
    <x v="10"/>
    <x v="4"/>
    <x v="279"/>
    <x v="59"/>
    <n v="62.5"/>
    <x v="23"/>
  </r>
  <r>
    <x v="21"/>
    <x v="10"/>
    <x v="4"/>
    <x v="279"/>
    <x v="45"/>
    <n v="19.45"/>
    <x v="16"/>
  </r>
  <r>
    <x v="21"/>
    <x v="10"/>
    <x v="4"/>
    <x v="279"/>
    <x v="21"/>
    <n v="55"/>
    <x v="29"/>
  </r>
  <r>
    <x v="21"/>
    <x v="10"/>
    <x v="4"/>
    <x v="279"/>
    <x v="2"/>
    <n v="34.799999999999997"/>
    <x v="25"/>
  </r>
  <r>
    <x v="5"/>
    <x v="4"/>
    <x v="5"/>
    <x v="276"/>
    <x v="43"/>
    <n v="6"/>
    <x v="7"/>
  </r>
  <r>
    <x v="5"/>
    <x v="4"/>
    <x v="5"/>
    <x v="276"/>
    <x v="1"/>
    <n v="14"/>
    <x v="19"/>
  </r>
  <r>
    <x v="5"/>
    <x v="4"/>
    <x v="5"/>
    <x v="276"/>
    <x v="29"/>
    <n v="49.3"/>
    <x v="3"/>
  </r>
  <r>
    <x v="5"/>
    <x v="4"/>
    <x v="5"/>
    <x v="276"/>
    <x v="60"/>
    <n v="36"/>
    <x v="4"/>
  </r>
  <r>
    <x v="53"/>
    <x v="6"/>
    <x v="1"/>
    <x v="280"/>
    <x v="12"/>
    <n v="12.5"/>
    <x v="26"/>
  </r>
  <r>
    <x v="53"/>
    <x v="6"/>
    <x v="1"/>
    <x v="280"/>
    <x v="5"/>
    <n v="9.65"/>
    <x v="5"/>
  </r>
  <r>
    <x v="53"/>
    <x v="6"/>
    <x v="1"/>
    <x v="280"/>
    <x v="46"/>
    <n v="43.9"/>
    <x v="3"/>
  </r>
  <r>
    <x v="53"/>
    <x v="6"/>
    <x v="1"/>
    <x v="280"/>
    <x v="60"/>
    <n v="36"/>
    <x v="12"/>
  </r>
  <r>
    <x v="44"/>
    <x v="8"/>
    <x v="3"/>
    <x v="281"/>
    <x v="70"/>
    <n v="9"/>
    <x v="48"/>
  </r>
  <r>
    <x v="44"/>
    <x v="8"/>
    <x v="3"/>
    <x v="281"/>
    <x v="37"/>
    <n v="18.399999999999999"/>
    <x v="4"/>
  </r>
  <r>
    <x v="44"/>
    <x v="8"/>
    <x v="3"/>
    <x v="281"/>
    <x v="33"/>
    <n v="38"/>
    <x v="19"/>
  </r>
  <r>
    <x v="41"/>
    <x v="13"/>
    <x v="2"/>
    <x v="282"/>
    <x v="33"/>
    <n v="38"/>
    <x v="6"/>
  </r>
  <r>
    <x v="41"/>
    <x v="13"/>
    <x v="2"/>
    <x v="282"/>
    <x v="21"/>
    <n v="55"/>
    <x v="7"/>
  </r>
  <r>
    <x v="41"/>
    <x v="13"/>
    <x v="2"/>
    <x v="282"/>
    <x v="38"/>
    <n v="18"/>
    <x v="1"/>
  </r>
  <r>
    <x v="16"/>
    <x v="0"/>
    <x v="4"/>
    <x v="278"/>
    <x v="3"/>
    <n v="23.25"/>
    <x v="2"/>
  </r>
  <r>
    <x v="16"/>
    <x v="0"/>
    <x v="4"/>
    <x v="278"/>
    <x v="73"/>
    <n v="9.5"/>
    <x v="4"/>
  </r>
  <r>
    <x v="16"/>
    <x v="0"/>
    <x v="4"/>
    <x v="278"/>
    <x v="21"/>
    <n v="55"/>
    <x v="9"/>
  </r>
  <r>
    <x v="6"/>
    <x v="4"/>
    <x v="3"/>
    <x v="283"/>
    <x v="68"/>
    <n v="31.23"/>
    <x v="0"/>
  </r>
  <r>
    <x v="6"/>
    <x v="4"/>
    <x v="3"/>
    <x v="283"/>
    <x v="34"/>
    <n v="25.89"/>
    <x v="12"/>
  </r>
  <r>
    <x v="6"/>
    <x v="4"/>
    <x v="3"/>
    <x v="283"/>
    <x v="72"/>
    <n v="16.25"/>
    <x v="8"/>
  </r>
  <r>
    <x v="6"/>
    <x v="4"/>
    <x v="3"/>
    <x v="283"/>
    <x v="47"/>
    <n v="15"/>
    <x v="6"/>
  </r>
  <r>
    <x v="78"/>
    <x v="13"/>
    <x v="7"/>
    <x v="281"/>
    <x v="52"/>
    <n v="18"/>
    <x v="26"/>
  </r>
  <r>
    <x v="78"/>
    <x v="13"/>
    <x v="7"/>
    <x v="281"/>
    <x v="60"/>
    <n v="36"/>
    <x v="28"/>
  </r>
  <r>
    <x v="70"/>
    <x v="11"/>
    <x v="3"/>
    <x v="279"/>
    <x v="73"/>
    <n v="9.5"/>
    <x v="22"/>
  </r>
  <r>
    <x v="70"/>
    <x v="11"/>
    <x v="3"/>
    <x v="279"/>
    <x v="17"/>
    <n v="10"/>
    <x v="2"/>
  </r>
  <r>
    <x v="23"/>
    <x v="11"/>
    <x v="1"/>
    <x v="279"/>
    <x v="37"/>
    <n v="18.399999999999999"/>
    <x v="28"/>
  </r>
  <r>
    <x v="47"/>
    <x v="2"/>
    <x v="2"/>
    <x v="281"/>
    <x v="69"/>
    <n v="9.5"/>
    <x v="12"/>
  </r>
  <r>
    <x v="47"/>
    <x v="2"/>
    <x v="2"/>
    <x v="281"/>
    <x v="33"/>
    <n v="38"/>
    <x v="12"/>
  </r>
  <r>
    <x v="47"/>
    <x v="2"/>
    <x v="2"/>
    <x v="281"/>
    <x v="8"/>
    <n v="19.5"/>
    <x v="31"/>
  </r>
  <r>
    <x v="47"/>
    <x v="2"/>
    <x v="2"/>
    <x v="281"/>
    <x v="60"/>
    <n v="36"/>
    <x v="9"/>
  </r>
  <r>
    <x v="20"/>
    <x v="8"/>
    <x v="6"/>
    <x v="284"/>
    <x v="59"/>
    <n v="62.5"/>
    <x v="11"/>
  </r>
  <r>
    <x v="20"/>
    <x v="8"/>
    <x v="6"/>
    <x v="284"/>
    <x v="20"/>
    <n v="19"/>
    <x v="8"/>
  </r>
  <r>
    <x v="20"/>
    <x v="8"/>
    <x v="6"/>
    <x v="284"/>
    <x v="56"/>
    <n v="12.5"/>
    <x v="7"/>
  </r>
  <r>
    <x v="20"/>
    <x v="8"/>
    <x v="6"/>
    <x v="284"/>
    <x v="60"/>
    <n v="36"/>
    <x v="8"/>
  </r>
  <r>
    <x v="44"/>
    <x v="8"/>
    <x v="1"/>
    <x v="285"/>
    <x v="53"/>
    <n v="14"/>
    <x v="12"/>
  </r>
  <r>
    <x v="44"/>
    <x v="8"/>
    <x v="1"/>
    <x v="285"/>
    <x v="21"/>
    <n v="55"/>
    <x v="25"/>
  </r>
  <r>
    <x v="44"/>
    <x v="8"/>
    <x v="1"/>
    <x v="285"/>
    <x v="29"/>
    <n v="49.3"/>
    <x v="12"/>
  </r>
  <r>
    <x v="44"/>
    <x v="8"/>
    <x v="1"/>
    <x v="285"/>
    <x v="58"/>
    <n v="33.25"/>
    <x v="23"/>
  </r>
  <r>
    <x v="6"/>
    <x v="4"/>
    <x v="3"/>
    <x v="286"/>
    <x v="68"/>
    <n v="31.23"/>
    <x v="8"/>
  </r>
  <r>
    <x v="6"/>
    <x v="4"/>
    <x v="3"/>
    <x v="286"/>
    <x v="65"/>
    <n v="7"/>
    <x v="18"/>
  </r>
  <r>
    <x v="6"/>
    <x v="4"/>
    <x v="3"/>
    <x v="286"/>
    <x v="30"/>
    <n v="15"/>
    <x v="4"/>
  </r>
  <r>
    <x v="38"/>
    <x v="7"/>
    <x v="3"/>
    <x v="287"/>
    <x v="26"/>
    <n v="32"/>
    <x v="1"/>
  </r>
  <r>
    <x v="81"/>
    <x v="3"/>
    <x v="2"/>
    <x v="288"/>
    <x v="66"/>
    <n v="14"/>
    <x v="0"/>
  </r>
  <r>
    <x v="81"/>
    <x v="3"/>
    <x v="2"/>
    <x v="288"/>
    <x v="24"/>
    <n v="43.9"/>
    <x v="4"/>
  </r>
  <r>
    <x v="81"/>
    <x v="3"/>
    <x v="2"/>
    <x v="288"/>
    <x v="40"/>
    <n v="46"/>
    <x v="12"/>
  </r>
  <r>
    <x v="13"/>
    <x v="8"/>
    <x v="0"/>
    <x v="289"/>
    <x v="66"/>
    <n v="14"/>
    <x v="5"/>
  </r>
  <r>
    <x v="13"/>
    <x v="8"/>
    <x v="0"/>
    <x v="289"/>
    <x v="48"/>
    <n v="7.75"/>
    <x v="27"/>
  </r>
  <r>
    <x v="14"/>
    <x v="9"/>
    <x v="3"/>
    <x v="290"/>
    <x v="13"/>
    <n v="18"/>
    <x v="16"/>
  </r>
  <r>
    <x v="14"/>
    <x v="9"/>
    <x v="3"/>
    <x v="290"/>
    <x v="69"/>
    <n v="9.5"/>
    <x v="12"/>
  </r>
  <r>
    <x v="14"/>
    <x v="9"/>
    <x v="3"/>
    <x v="290"/>
    <x v="4"/>
    <n v="53"/>
    <x v="19"/>
  </r>
  <r>
    <x v="14"/>
    <x v="9"/>
    <x v="3"/>
    <x v="290"/>
    <x v="33"/>
    <n v="38"/>
    <x v="18"/>
  </r>
  <r>
    <x v="68"/>
    <x v="2"/>
    <x v="3"/>
    <x v="289"/>
    <x v="27"/>
    <n v="10"/>
    <x v="4"/>
  </r>
  <r>
    <x v="68"/>
    <x v="2"/>
    <x v="3"/>
    <x v="289"/>
    <x v="7"/>
    <n v="21"/>
    <x v="7"/>
  </r>
  <r>
    <x v="68"/>
    <x v="2"/>
    <x v="3"/>
    <x v="289"/>
    <x v="15"/>
    <n v="4.5"/>
    <x v="8"/>
  </r>
  <r>
    <x v="9"/>
    <x v="6"/>
    <x v="1"/>
    <x v="289"/>
    <x v="57"/>
    <n v="10"/>
    <x v="8"/>
  </r>
  <r>
    <x v="9"/>
    <x v="6"/>
    <x v="1"/>
    <x v="289"/>
    <x v="13"/>
    <n v="18"/>
    <x v="49"/>
  </r>
  <r>
    <x v="21"/>
    <x v="10"/>
    <x v="3"/>
    <x v="290"/>
    <x v="6"/>
    <n v="21.05"/>
    <x v="32"/>
  </r>
  <r>
    <x v="67"/>
    <x v="10"/>
    <x v="2"/>
    <x v="290"/>
    <x v="18"/>
    <n v="19"/>
    <x v="4"/>
  </r>
  <r>
    <x v="67"/>
    <x v="10"/>
    <x v="2"/>
    <x v="290"/>
    <x v="32"/>
    <n v="30"/>
    <x v="5"/>
  </r>
  <r>
    <x v="67"/>
    <x v="10"/>
    <x v="2"/>
    <x v="290"/>
    <x v="56"/>
    <n v="12.5"/>
    <x v="4"/>
  </r>
  <r>
    <x v="4"/>
    <x v="3"/>
    <x v="2"/>
    <x v="285"/>
    <x v="1"/>
    <n v="14"/>
    <x v="17"/>
  </r>
  <r>
    <x v="54"/>
    <x v="13"/>
    <x v="3"/>
    <x v="285"/>
    <x v="7"/>
    <n v="21"/>
    <x v="22"/>
  </r>
  <r>
    <x v="54"/>
    <x v="13"/>
    <x v="3"/>
    <x v="285"/>
    <x v="12"/>
    <n v="12.5"/>
    <x v="13"/>
  </r>
  <r>
    <x v="54"/>
    <x v="13"/>
    <x v="3"/>
    <x v="285"/>
    <x v="11"/>
    <n v="34"/>
    <x v="6"/>
  </r>
  <r>
    <x v="54"/>
    <x v="13"/>
    <x v="3"/>
    <x v="285"/>
    <x v="42"/>
    <n v="21.5"/>
    <x v="0"/>
  </r>
  <r>
    <x v="60"/>
    <x v="17"/>
    <x v="3"/>
    <x v="287"/>
    <x v="5"/>
    <n v="9.65"/>
    <x v="12"/>
  </r>
  <r>
    <x v="60"/>
    <x v="17"/>
    <x v="3"/>
    <x v="287"/>
    <x v="65"/>
    <n v="7"/>
    <x v="6"/>
  </r>
  <r>
    <x v="60"/>
    <x v="17"/>
    <x v="3"/>
    <x v="287"/>
    <x v="75"/>
    <n v="28.5"/>
    <x v="8"/>
  </r>
  <r>
    <x v="60"/>
    <x v="17"/>
    <x v="3"/>
    <x v="287"/>
    <x v="29"/>
    <n v="49.3"/>
    <x v="6"/>
  </r>
  <r>
    <x v="2"/>
    <x v="1"/>
    <x v="6"/>
    <x v="291"/>
    <x v="0"/>
    <n v="21"/>
    <x v="6"/>
  </r>
  <r>
    <x v="9"/>
    <x v="6"/>
    <x v="4"/>
    <x v="292"/>
    <x v="42"/>
    <n v="21.5"/>
    <x v="16"/>
  </r>
  <r>
    <x v="27"/>
    <x v="10"/>
    <x v="3"/>
    <x v="282"/>
    <x v="39"/>
    <n v="123.79"/>
    <x v="27"/>
  </r>
  <r>
    <x v="27"/>
    <x v="10"/>
    <x v="3"/>
    <x v="282"/>
    <x v="21"/>
    <n v="55"/>
    <x v="9"/>
  </r>
  <r>
    <x v="9"/>
    <x v="6"/>
    <x v="5"/>
    <x v="293"/>
    <x v="35"/>
    <n v="39"/>
    <x v="24"/>
  </r>
  <r>
    <x v="9"/>
    <x v="6"/>
    <x v="5"/>
    <x v="293"/>
    <x v="12"/>
    <n v="12.5"/>
    <x v="21"/>
  </r>
  <r>
    <x v="9"/>
    <x v="6"/>
    <x v="5"/>
    <x v="293"/>
    <x v="48"/>
    <n v="7.75"/>
    <x v="25"/>
  </r>
  <r>
    <x v="14"/>
    <x v="9"/>
    <x v="2"/>
    <x v="287"/>
    <x v="12"/>
    <n v="12.5"/>
    <x v="17"/>
  </r>
  <r>
    <x v="14"/>
    <x v="9"/>
    <x v="2"/>
    <x v="287"/>
    <x v="61"/>
    <n v="17"/>
    <x v="13"/>
  </r>
  <r>
    <x v="84"/>
    <x v="8"/>
    <x v="8"/>
    <x v="294"/>
    <x v="41"/>
    <n v="31"/>
    <x v="7"/>
  </r>
  <r>
    <x v="84"/>
    <x v="8"/>
    <x v="8"/>
    <x v="294"/>
    <x v="51"/>
    <n v="14"/>
    <x v="28"/>
  </r>
  <r>
    <x v="9"/>
    <x v="6"/>
    <x v="5"/>
    <x v="295"/>
    <x v="12"/>
    <n v="12.5"/>
    <x v="16"/>
  </r>
  <r>
    <x v="9"/>
    <x v="6"/>
    <x v="5"/>
    <x v="295"/>
    <x v="1"/>
    <n v="14"/>
    <x v="0"/>
  </r>
  <r>
    <x v="9"/>
    <x v="6"/>
    <x v="5"/>
    <x v="295"/>
    <x v="73"/>
    <n v="9.5"/>
    <x v="47"/>
  </r>
  <r>
    <x v="9"/>
    <x v="6"/>
    <x v="5"/>
    <x v="295"/>
    <x v="4"/>
    <n v="53"/>
    <x v="40"/>
  </r>
  <r>
    <x v="71"/>
    <x v="1"/>
    <x v="8"/>
    <x v="296"/>
    <x v="1"/>
    <n v="14"/>
    <x v="8"/>
  </r>
  <r>
    <x v="26"/>
    <x v="9"/>
    <x v="3"/>
    <x v="297"/>
    <x v="5"/>
    <n v="9.65"/>
    <x v="1"/>
  </r>
  <r>
    <x v="25"/>
    <x v="10"/>
    <x v="3"/>
    <x v="298"/>
    <x v="19"/>
    <n v="17.45"/>
    <x v="8"/>
  </r>
  <r>
    <x v="25"/>
    <x v="10"/>
    <x v="3"/>
    <x v="298"/>
    <x v="29"/>
    <n v="49.3"/>
    <x v="8"/>
  </r>
  <r>
    <x v="29"/>
    <x v="5"/>
    <x v="7"/>
    <x v="299"/>
    <x v="30"/>
    <n v="15"/>
    <x v="5"/>
  </r>
  <r>
    <x v="29"/>
    <x v="5"/>
    <x v="7"/>
    <x v="299"/>
    <x v="23"/>
    <n v="13"/>
    <x v="6"/>
  </r>
  <r>
    <x v="16"/>
    <x v="0"/>
    <x v="7"/>
    <x v="282"/>
    <x v="55"/>
    <n v="7.45"/>
    <x v="28"/>
  </r>
  <r>
    <x v="16"/>
    <x v="0"/>
    <x v="7"/>
    <x v="282"/>
    <x v="33"/>
    <n v="38"/>
    <x v="8"/>
  </r>
  <r>
    <x v="16"/>
    <x v="0"/>
    <x v="7"/>
    <x v="282"/>
    <x v="17"/>
    <n v="10"/>
    <x v="5"/>
  </r>
  <r>
    <x v="79"/>
    <x v="20"/>
    <x v="4"/>
    <x v="300"/>
    <x v="12"/>
    <n v="12.5"/>
    <x v="15"/>
  </r>
  <r>
    <x v="2"/>
    <x v="1"/>
    <x v="2"/>
    <x v="282"/>
    <x v="12"/>
    <n v="12.5"/>
    <x v="1"/>
  </r>
  <r>
    <x v="2"/>
    <x v="1"/>
    <x v="2"/>
    <x v="282"/>
    <x v="67"/>
    <n v="263.5"/>
    <x v="2"/>
  </r>
  <r>
    <x v="23"/>
    <x v="11"/>
    <x v="2"/>
    <x v="300"/>
    <x v="20"/>
    <n v="19"/>
    <x v="12"/>
  </r>
  <r>
    <x v="23"/>
    <x v="11"/>
    <x v="2"/>
    <x v="300"/>
    <x v="13"/>
    <n v="18"/>
    <x v="17"/>
  </r>
  <r>
    <x v="23"/>
    <x v="11"/>
    <x v="2"/>
    <x v="300"/>
    <x v="2"/>
    <n v="34.799999999999997"/>
    <x v="12"/>
  </r>
  <r>
    <x v="18"/>
    <x v="5"/>
    <x v="5"/>
    <x v="297"/>
    <x v="41"/>
    <n v="31"/>
    <x v="1"/>
  </r>
  <r>
    <x v="18"/>
    <x v="5"/>
    <x v="5"/>
    <x v="297"/>
    <x v="48"/>
    <n v="7.75"/>
    <x v="1"/>
  </r>
  <r>
    <x v="61"/>
    <x v="1"/>
    <x v="6"/>
    <x v="301"/>
    <x v="71"/>
    <n v="40"/>
    <x v="12"/>
  </r>
  <r>
    <x v="61"/>
    <x v="1"/>
    <x v="6"/>
    <x v="301"/>
    <x v="34"/>
    <n v="25.89"/>
    <x v="6"/>
  </r>
  <r>
    <x v="61"/>
    <x v="1"/>
    <x v="6"/>
    <x v="301"/>
    <x v="48"/>
    <n v="7.75"/>
    <x v="10"/>
  </r>
  <r>
    <x v="52"/>
    <x v="2"/>
    <x v="7"/>
    <x v="294"/>
    <x v="18"/>
    <n v="19"/>
    <x v="6"/>
  </r>
  <r>
    <x v="52"/>
    <x v="2"/>
    <x v="7"/>
    <x v="294"/>
    <x v="39"/>
    <n v="123.79"/>
    <x v="8"/>
  </r>
  <r>
    <x v="21"/>
    <x v="10"/>
    <x v="5"/>
    <x v="302"/>
    <x v="49"/>
    <n v="9.1999999999999993"/>
    <x v="13"/>
  </r>
  <r>
    <x v="21"/>
    <x v="10"/>
    <x v="5"/>
    <x v="302"/>
    <x v="48"/>
    <n v="7.75"/>
    <x v="4"/>
  </r>
  <r>
    <x v="68"/>
    <x v="2"/>
    <x v="5"/>
    <x v="303"/>
    <x v="59"/>
    <n v="62.5"/>
    <x v="12"/>
  </r>
  <r>
    <x v="68"/>
    <x v="2"/>
    <x v="5"/>
    <x v="303"/>
    <x v="31"/>
    <n v="18"/>
    <x v="6"/>
  </r>
  <r>
    <x v="68"/>
    <x v="2"/>
    <x v="5"/>
    <x v="303"/>
    <x v="46"/>
    <n v="43.9"/>
    <x v="12"/>
  </r>
  <r>
    <x v="68"/>
    <x v="2"/>
    <x v="5"/>
    <x v="303"/>
    <x v="56"/>
    <n v="12.5"/>
    <x v="27"/>
  </r>
  <r>
    <x v="71"/>
    <x v="1"/>
    <x v="1"/>
    <x v="294"/>
    <x v="32"/>
    <n v="30"/>
    <x v="28"/>
  </r>
  <r>
    <x v="71"/>
    <x v="1"/>
    <x v="1"/>
    <x v="294"/>
    <x v="33"/>
    <n v="38"/>
    <x v="8"/>
  </r>
  <r>
    <x v="17"/>
    <x v="10"/>
    <x v="1"/>
    <x v="304"/>
    <x v="39"/>
    <n v="123.79"/>
    <x v="31"/>
  </r>
  <r>
    <x v="17"/>
    <x v="10"/>
    <x v="1"/>
    <x v="304"/>
    <x v="5"/>
    <n v="9.65"/>
    <x v="8"/>
  </r>
  <r>
    <x v="62"/>
    <x v="18"/>
    <x v="5"/>
    <x v="303"/>
    <x v="18"/>
    <n v="19"/>
    <x v="1"/>
  </r>
  <r>
    <x v="62"/>
    <x v="18"/>
    <x v="5"/>
    <x v="303"/>
    <x v="55"/>
    <n v="7.45"/>
    <x v="28"/>
  </r>
  <r>
    <x v="62"/>
    <x v="18"/>
    <x v="5"/>
    <x v="303"/>
    <x v="56"/>
    <n v="12.5"/>
    <x v="6"/>
  </r>
  <r>
    <x v="54"/>
    <x v="13"/>
    <x v="3"/>
    <x v="305"/>
    <x v="5"/>
    <n v="9.65"/>
    <x v="31"/>
  </r>
  <r>
    <x v="54"/>
    <x v="13"/>
    <x v="3"/>
    <x v="305"/>
    <x v="65"/>
    <n v="7"/>
    <x v="26"/>
  </r>
  <r>
    <x v="12"/>
    <x v="1"/>
    <x v="1"/>
    <x v="292"/>
    <x v="3"/>
    <n v="23.25"/>
    <x v="6"/>
  </r>
  <r>
    <x v="12"/>
    <x v="1"/>
    <x v="1"/>
    <x v="292"/>
    <x v="55"/>
    <n v="7.45"/>
    <x v="7"/>
  </r>
  <r>
    <x v="9"/>
    <x v="6"/>
    <x v="6"/>
    <x v="306"/>
    <x v="19"/>
    <n v="17.45"/>
    <x v="14"/>
  </r>
  <r>
    <x v="9"/>
    <x v="6"/>
    <x v="6"/>
    <x v="306"/>
    <x v="35"/>
    <n v="39"/>
    <x v="5"/>
  </r>
  <r>
    <x v="8"/>
    <x v="5"/>
    <x v="3"/>
    <x v="298"/>
    <x v="68"/>
    <n v="31.23"/>
    <x v="11"/>
  </r>
  <r>
    <x v="8"/>
    <x v="5"/>
    <x v="3"/>
    <x v="298"/>
    <x v="45"/>
    <n v="19.45"/>
    <x v="1"/>
  </r>
  <r>
    <x v="8"/>
    <x v="5"/>
    <x v="3"/>
    <x v="298"/>
    <x v="58"/>
    <n v="33.25"/>
    <x v="5"/>
  </r>
  <r>
    <x v="8"/>
    <x v="5"/>
    <x v="3"/>
    <x v="298"/>
    <x v="60"/>
    <n v="36"/>
    <x v="23"/>
  </r>
  <r>
    <x v="56"/>
    <x v="10"/>
    <x v="8"/>
    <x v="307"/>
    <x v="0"/>
    <n v="21"/>
    <x v="8"/>
  </r>
  <r>
    <x v="41"/>
    <x v="13"/>
    <x v="7"/>
    <x v="307"/>
    <x v="29"/>
    <n v="49.3"/>
    <x v="17"/>
  </r>
  <r>
    <x v="41"/>
    <x v="13"/>
    <x v="7"/>
    <x v="307"/>
    <x v="2"/>
    <n v="34.799999999999997"/>
    <x v="1"/>
  </r>
  <r>
    <x v="43"/>
    <x v="10"/>
    <x v="4"/>
    <x v="307"/>
    <x v="43"/>
    <n v="6"/>
    <x v="8"/>
  </r>
  <r>
    <x v="43"/>
    <x v="10"/>
    <x v="4"/>
    <x v="307"/>
    <x v="15"/>
    <n v="4.5"/>
    <x v="8"/>
  </r>
  <r>
    <x v="43"/>
    <x v="10"/>
    <x v="4"/>
    <x v="307"/>
    <x v="21"/>
    <n v="55"/>
    <x v="9"/>
  </r>
  <r>
    <x v="55"/>
    <x v="13"/>
    <x v="5"/>
    <x v="307"/>
    <x v="0"/>
    <n v="21"/>
    <x v="13"/>
  </r>
  <r>
    <x v="55"/>
    <x v="13"/>
    <x v="5"/>
    <x v="307"/>
    <x v="4"/>
    <n v="53"/>
    <x v="1"/>
  </r>
  <r>
    <x v="55"/>
    <x v="13"/>
    <x v="5"/>
    <x v="307"/>
    <x v="55"/>
    <n v="7.45"/>
    <x v="25"/>
  </r>
  <r>
    <x v="45"/>
    <x v="12"/>
    <x v="2"/>
    <x v="303"/>
    <x v="35"/>
    <n v="39"/>
    <x v="4"/>
  </r>
  <r>
    <x v="45"/>
    <x v="12"/>
    <x v="2"/>
    <x v="303"/>
    <x v="39"/>
    <n v="123.79"/>
    <x v="8"/>
  </r>
  <r>
    <x v="50"/>
    <x v="17"/>
    <x v="2"/>
    <x v="292"/>
    <x v="34"/>
    <n v="25.89"/>
    <x v="9"/>
  </r>
  <r>
    <x v="50"/>
    <x v="17"/>
    <x v="2"/>
    <x v="292"/>
    <x v="4"/>
    <n v="53"/>
    <x v="12"/>
  </r>
  <r>
    <x v="50"/>
    <x v="17"/>
    <x v="2"/>
    <x v="292"/>
    <x v="16"/>
    <n v="24"/>
    <x v="18"/>
  </r>
  <r>
    <x v="50"/>
    <x v="17"/>
    <x v="2"/>
    <x v="292"/>
    <x v="29"/>
    <n v="49.3"/>
    <x v="2"/>
  </r>
  <r>
    <x v="7"/>
    <x v="1"/>
    <x v="2"/>
    <x v="308"/>
    <x v="49"/>
    <n v="9.1999999999999993"/>
    <x v="23"/>
  </r>
  <r>
    <x v="7"/>
    <x v="1"/>
    <x v="2"/>
    <x v="308"/>
    <x v="66"/>
    <n v="14"/>
    <x v="6"/>
  </r>
  <r>
    <x v="7"/>
    <x v="1"/>
    <x v="2"/>
    <x v="308"/>
    <x v="21"/>
    <n v="55"/>
    <x v="6"/>
  </r>
  <r>
    <x v="55"/>
    <x v="13"/>
    <x v="1"/>
    <x v="309"/>
    <x v="41"/>
    <n v="31"/>
    <x v="20"/>
  </r>
  <r>
    <x v="55"/>
    <x v="13"/>
    <x v="1"/>
    <x v="309"/>
    <x v="44"/>
    <n v="45.6"/>
    <x v="23"/>
  </r>
  <r>
    <x v="55"/>
    <x v="13"/>
    <x v="1"/>
    <x v="309"/>
    <x v="14"/>
    <n v="20"/>
    <x v="22"/>
  </r>
  <r>
    <x v="39"/>
    <x v="8"/>
    <x v="7"/>
    <x v="310"/>
    <x v="53"/>
    <n v="14"/>
    <x v="1"/>
  </r>
  <r>
    <x v="39"/>
    <x v="8"/>
    <x v="7"/>
    <x v="310"/>
    <x v="67"/>
    <n v="263.5"/>
    <x v="1"/>
  </r>
  <r>
    <x v="3"/>
    <x v="2"/>
    <x v="3"/>
    <x v="307"/>
    <x v="18"/>
    <n v="19"/>
    <x v="8"/>
  </r>
  <r>
    <x v="3"/>
    <x v="2"/>
    <x v="3"/>
    <x v="307"/>
    <x v="6"/>
    <n v="21.05"/>
    <x v="17"/>
  </r>
  <r>
    <x v="3"/>
    <x v="2"/>
    <x v="3"/>
    <x v="307"/>
    <x v="17"/>
    <n v="10"/>
    <x v="6"/>
  </r>
  <r>
    <x v="70"/>
    <x v="11"/>
    <x v="2"/>
    <x v="311"/>
    <x v="37"/>
    <n v="18.399999999999999"/>
    <x v="15"/>
  </r>
  <r>
    <x v="49"/>
    <x v="15"/>
    <x v="7"/>
    <x v="310"/>
    <x v="33"/>
    <n v="38"/>
    <x v="8"/>
  </r>
  <r>
    <x v="49"/>
    <x v="15"/>
    <x v="7"/>
    <x v="310"/>
    <x v="38"/>
    <n v="18"/>
    <x v="13"/>
  </r>
  <r>
    <x v="7"/>
    <x v="1"/>
    <x v="8"/>
    <x v="309"/>
    <x v="65"/>
    <n v="7"/>
    <x v="8"/>
  </r>
  <r>
    <x v="76"/>
    <x v="16"/>
    <x v="7"/>
    <x v="309"/>
    <x v="43"/>
    <n v="6"/>
    <x v="25"/>
  </r>
  <r>
    <x v="76"/>
    <x v="16"/>
    <x v="7"/>
    <x v="309"/>
    <x v="66"/>
    <n v="14"/>
    <x v="2"/>
  </r>
  <r>
    <x v="76"/>
    <x v="16"/>
    <x v="7"/>
    <x v="309"/>
    <x v="30"/>
    <n v="15"/>
    <x v="2"/>
  </r>
  <r>
    <x v="66"/>
    <x v="5"/>
    <x v="6"/>
    <x v="305"/>
    <x v="49"/>
    <n v="9.1999999999999993"/>
    <x v="6"/>
  </r>
  <r>
    <x v="66"/>
    <x v="5"/>
    <x v="6"/>
    <x v="305"/>
    <x v="70"/>
    <n v="9"/>
    <x v="27"/>
  </r>
  <r>
    <x v="66"/>
    <x v="5"/>
    <x v="6"/>
    <x v="305"/>
    <x v="37"/>
    <n v="18.399999999999999"/>
    <x v="12"/>
  </r>
  <r>
    <x v="31"/>
    <x v="11"/>
    <x v="0"/>
    <x v="312"/>
    <x v="12"/>
    <n v="12.5"/>
    <x v="16"/>
  </r>
  <r>
    <x v="31"/>
    <x v="11"/>
    <x v="0"/>
    <x v="312"/>
    <x v="2"/>
    <n v="34.799999999999997"/>
    <x v="4"/>
  </r>
  <r>
    <x v="31"/>
    <x v="11"/>
    <x v="0"/>
    <x v="312"/>
    <x v="23"/>
    <n v="13"/>
    <x v="8"/>
  </r>
  <r>
    <x v="30"/>
    <x v="1"/>
    <x v="5"/>
    <x v="310"/>
    <x v="18"/>
    <n v="19"/>
    <x v="0"/>
  </r>
  <r>
    <x v="30"/>
    <x v="1"/>
    <x v="5"/>
    <x v="310"/>
    <x v="54"/>
    <n v="12"/>
    <x v="5"/>
  </r>
  <r>
    <x v="3"/>
    <x v="2"/>
    <x v="3"/>
    <x v="298"/>
    <x v="5"/>
    <n v="9.65"/>
    <x v="8"/>
  </r>
  <r>
    <x v="3"/>
    <x v="2"/>
    <x v="3"/>
    <x v="298"/>
    <x v="40"/>
    <n v="46"/>
    <x v="8"/>
  </r>
  <r>
    <x v="3"/>
    <x v="2"/>
    <x v="3"/>
    <x v="298"/>
    <x v="74"/>
    <n v="12.75"/>
    <x v="26"/>
  </r>
  <r>
    <x v="3"/>
    <x v="2"/>
    <x v="3"/>
    <x v="298"/>
    <x v="75"/>
    <n v="28.5"/>
    <x v="12"/>
  </r>
  <r>
    <x v="44"/>
    <x v="8"/>
    <x v="7"/>
    <x v="298"/>
    <x v="10"/>
    <n v="2.5"/>
    <x v="16"/>
  </r>
  <r>
    <x v="80"/>
    <x v="8"/>
    <x v="2"/>
    <x v="313"/>
    <x v="67"/>
    <n v="263.5"/>
    <x v="12"/>
  </r>
  <r>
    <x v="80"/>
    <x v="8"/>
    <x v="2"/>
    <x v="313"/>
    <x v="29"/>
    <n v="49.3"/>
    <x v="8"/>
  </r>
  <r>
    <x v="43"/>
    <x v="10"/>
    <x v="3"/>
    <x v="314"/>
    <x v="68"/>
    <n v="31.23"/>
    <x v="4"/>
  </r>
  <r>
    <x v="43"/>
    <x v="10"/>
    <x v="3"/>
    <x v="314"/>
    <x v="67"/>
    <n v="263.5"/>
    <x v="12"/>
  </r>
  <r>
    <x v="43"/>
    <x v="10"/>
    <x v="3"/>
    <x v="314"/>
    <x v="37"/>
    <n v="18.399999999999999"/>
    <x v="18"/>
  </r>
  <r>
    <x v="43"/>
    <x v="10"/>
    <x v="3"/>
    <x v="314"/>
    <x v="29"/>
    <n v="49.3"/>
    <x v="9"/>
  </r>
  <r>
    <x v="23"/>
    <x v="11"/>
    <x v="8"/>
    <x v="312"/>
    <x v="26"/>
    <n v="32"/>
    <x v="8"/>
  </r>
  <r>
    <x v="23"/>
    <x v="11"/>
    <x v="8"/>
    <x v="312"/>
    <x v="5"/>
    <n v="9.65"/>
    <x v="8"/>
  </r>
  <r>
    <x v="79"/>
    <x v="20"/>
    <x v="7"/>
    <x v="315"/>
    <x v="40"/>
    <n v="46"/>
    <x v="25"/>
  </r>
  <r>
    <x v="79"/>
    <x v="20"/>
    <x v="7"/>
    <x v="315"/>
    <x v="48"/>
    <n v="7.75"/>
    <x v="8"/>
  </r>
  <r>
    <x v="13"/>
    <x v="8"/>
    <x v="3"/>
    <x v="314"/>
    <x v="33"/>
    <n v="38"/>
    <x v="12"/>
  </r>
  <r>
    <x v="20"/>
    <x v="8"/>
    <x v="5"/>
    <x v="316"/>
    <x v="31"/>
    <n v="18"/>
    <x v="8"/>
  </r>
  <r>
    <x v="20"/>
    <x v="8"/>
    <x v="5"/>
    <x v="316"/>
    <x v="4"/>
    <n v="53"/>
    <x v="7"/>
  </r>
  <r>
    <x v="82"/>
    <x v="8"/>
    <x v="1"/>
    <x v="315"/>
    <x v="29"/>
    <n v="49.3"/>
    <x v="28"/>
  </r>
  <r>
    <x v="82"/>
    <x v="8"/>
    <x v="1"/>
    <x v="315"/>
    <x v="30"/>
    <n v="15"/>
    <x v="7"/>
  </r>
  <r>
    <x v="29"/>
    <x v="5"/>
    <x v="0"/>
    <x v="314"/>
    <x v="0"/>
    <n v="21"/>
    <x v="8"/>
  </r>
  <r>
    <x v="29"/>
    <x v="5"/>
    <x v="0"/>
    <x v="314"/>
    <x v="8"/>
    <n v="19.5"/>
    <x v="6"/>
  </r>
  <r>
    <x v="29"/>
    <x v="5"/>
    <x v="0"/>
    <x v="314"/>
    <x v="21"/>
    <n v="55"/>
    <x v="4"/>
  </r>
  <r>
    <x v="29"/>
    <x v="5"/>
    <x v="0"/>
    <x v="314"/>
    <x v="23"/>
    <n v="13"/>
    <x v="6"/>
  </r>
  <r>
    <x v="14"/>
    <x v="9"/>
    <x v="6"/>
    <x v="311"/>
    <x v="5"/>
    <n v="9.65"/>
    <x v="0"/>
  </r>
  <r>
    <x v="14"/>
    <x v="9"/>
    <x v="6"/>
    <x v="311"/>
    <x v="30"/>
    <n v="15"/>
    <x v="3"/>
  </r>
  <r>
    <x v="56"/>
    <x v="10"/>
    <x v="5"/>
    <x v="298"/>
    <x v="68"/>
    <n v="31.23"/>
    <x v="0"/>
  </r>
  <r>
    <x v="56"/>
    <x v="10"/>
    <x v="5"/>
    <x v="298"/>
    <x v="22"/>
    <n v="32.799999999999997"/>
    <x v="8"/>
  </r>
  <r>
    <x v="15"/>
    <x v="2"/>
    <x v="1"/>
    <x v="317"/>
    <x v="12"/>
    <n v="12.5"/>
    <x v="5"/>
  </r>
  <r>
    <x v="15"/>
    <x v="2"/>
    <x v="1"/>
    <x v="317"/>
    <x v="8"/>
    <n v="19.5"/>
    <x v="6"/>
  </r>
  <r>
    <x v="47"/>
    <x v="2"/>
    <x v="5"/>
    <x v="317"/>
    <x v="41"/>
    <n v="31"/>
    <x v="6"/>
  </r>
  <r>
    <x v="47"/>
    <x v="2"/>
    <x v="5"/>
    <x v="317"/>
    <x v="13"/>
    <n v="18"/>
    <x v="11"/>
  </r>
  <r>
    <x v="74"/>
    <x v="20"/>
    <x v="4"/>
    <x v="313"/>
    <x v="9"/>
    <n v="81"/>
    <x v="2"/>
  </r>
  <r>
    <x v="74"/>
    <x v="20"/>
    <x v="4"/>
    <x v="313"/>
    <x v="67"/>
    <n v="263.5"/>
    <x v="17"/>
  </r>
  <r>
    <x v="41"/>
    <x v="13"/>
    <x v="4"/>
    <x v="318"/>
    <x v="18"/>
    <n v="19"/>
    <x v="1"/>
  </r>
  <r>
    <x v="41"/>
    <x v="13"/>
    <x v="4"/>
    <x v="318"/>
    <x v="71"/>
    <n v="40"/>
    <x v="8"/>
  </r>
  <r>
    <x v="41"/>
    <x v="13"/>
    <x v="4"/>
    <x v="318"/>
    <x v="43"/>
    <n v="6"/>
    <x v="1"/>
  </r>
  <r>
    <x v="41"/>
    <x v="13"/>
    <x v="4"/>
    <x v="318"/>
    <x v="11"/>
    <n v="34"/>
    <x v="11"/>
  </r>
  <r>
    <x v="1"/>
    <x v="1"/>
    <x v="2"/>
    <x v="296"/>
    <x v="63"/>
    <n v="25"/>
    <x v="7"/>
  </r>
  <r>
    <x v="1"/>
    <x v="1"/>
    <x v="2"/>
    <x v="296"/>
    <x v="13"/>
    <n v="18"/>
    <x v="19"/>
  </r>
  <r>
    <x v="1"/>
    <x v="1"/>
    <x v="2"/>
    <x v="296"/>
    <x v="11"/>
    <n v="34"/>
    <x v="12"/>
  </r>
  <r>
    <x v="1"/>
    <x v="1"/>
    <x v="2"/>
    <x v="296"/>
    <x v="56"/>
    <n v="12.5"/>
    <x v="23"/>
  </r>
  <r>
    <x v="64"/>
    <x v="19"/>
    <x v="3"/>
    <x v="318"/>
    <x v="49"/>
    <n v="9.1999999999999993"/>
    <x v="17"/>
  </r>
  <r>
    <x v="64"/>
    <x v="19"/>
    <x v="3"/>
    <x v="318"/>
    <x v="31"/>
    <n v="18"/>
    <x v="26"/>
  </r>
  <r>
    <x v="64"/>
    <x v="19"/>
    <x v="3"/>
    <x v="318"/>
    <x v="67"/>
    <n v="263.5"/>
    <x v="26"/>
  </r>
  <r>
    <x v="64"/>
    <x v="19"/>
    <x v="3"/>
    <x v="318"/>
    <x v="40"/>
    <n v="46"/>
    <x v="3"/>
  </r>
  <r>
    <x v="52"/>
    <x v="2"/>
    <x v="7"/>
    <x v="302"/>
    <x v="43"/>
    <n v="6"/>
    <x v="28"/>
  </r>
  <r>
    <x v="52"/>
    <x v="2"/>
    <x v="7"/>
    <x v="302"/>
    <x v="66"/>
    <n v="14"/>
    <x v="1"/>
  </r>
  <r>
    <x v="52"/>
    <x v="2"/>
    <x v="7"/>
    <x v="302"/>
    <x v="45"/>
    <n v="19.45"/>
    <x v="16"/>
  </r>
  <r>
    <x v="52"/>
    <x v="2"/>
    <x v="7"/>
    <x v="302"/>
    <x v="58"/>
    <n v="33.25"/>
    <x v="28"/>
  </r>
  <r>
    <x v="67"/>
    <x v="10"/>
    <x v="1"/>
    <x v="318"/>
    <x v="32"/>
    <n v="30"/>
    <x v="8"/>
  </r>
  <r>
    <x v="67"/>
    <x v="10"/>
    <x v="1"/>
    <x v="318"/>
    <x v="12"/>
    <n v="12.5"/>
    <x v="3"/>
  </r>
  <r>
    <x v="67"/>
    <x v="10"/>
    <x v="1"/>
    <x v="318"/>
    <x v="22"/>
    <n v="32.799999999999997"/>
    <x v="3"/>
  </r>
  <r>
    <x v="1"/>
    <x v="1"/>
    <x v="5"/>
    <x v="302"/>
    <x v="39"/>
    <n v="123.79"/>
    <x v="26"/>
  </r>
  <r>
    <x v="1"/>
    <x v="1"/>
    <x v="5"/>
    <x v="302"/>
    <x v="34"/>
    <n v="25.89"/>
    <x v="8"/>
  </r>
  <r>
    <x v="85"/>
    <x v="10"/>
    <x v="5"/>
    <x v="296"/>
    <x v="21"/>
    <n v="55"/>
    <x v="6"/>
  </r>
  <r>
    <x v="85"/>
    <x v="10"/>
    <x v="5"/>
    <x v="296"/>
    <x v="23"/>
    <n v="13"/>
    <x v="17"/>
  </r>
  <r>
    <x v="9"/>
    <x v="6"/>
    <x v="8"/>
    <x v="296"/>
    <x v="7"/>
    <n v="21"/>
    <x v="50"/>
  </r>
  <r>
    <x v="9"/>
    <x v="6"/>
    <x v="8"/>
    <x v="296"/>
    <x v="31"/>
    <n v="18"/>
    <x v="7"/>
  </r>
  <r>
    <x v="9"/>
    <x v="6"/>
    <x v="8"/>
    <x v="296"/>
    <x v="8"/>
    <n v="19.5"/>
    <x v="23"/>
  </r>
  <r>
    <x v="9"/>
    <x v="6"/>
    <x v="8"/>
    <x v="296"/>
    <x v="11"/>
    <n v="34"/>
    <x v="18"/>
  </r>
  <r>
    <x v="9"/>
    <x v="6"/>
    <x v="8"/>
    <x v="296"/>
    <x v="58"/>
    <n v="33.25"/>
    <x v="12"/>
  </r>
  <r>
    <x v="26"/>
    <x v="9"/>
    <x v="4"/>
    <x v="318"/>
    <x v="43"/>
    <n v="6"/>
    <x v="7"/>
  </r>
  <r>
    <x v="26"/>
    <x v="9"/>
    <x v="4"/>
    <x v="318"/>
    <x v="37"/>
    <n v="18.399999999999999"/>
    <x v="9"/>
  </r>
  <r>
    <x v="26"/>
    <x v="9"/>
    <x v="4"/>
    <x v="318"/>
    <x v="69"/>
    <n v="9.5"/>
    <x v="4"/>
  </r>
  <r>
    <x v="26"/>
    <x v="9"/>
    <x v="4"/>
    <x v="318"/>
    <x v="38"/>
    <n v="18"/>
    <x v="11"/>
  </r>
  <r>
    <x v="66"/>
    <x v="5"/>
    <x v="3"/>
    <x v="318"/>
    <x v="52"/>
    <n v="18"/>
    <x v="22"/>
  </r>
  <r>
    <x v="66"/>
    <x v="5"/>
    <x v="3"/>
    <x v="318"/>
    <x v="59"/>
    <n v="62.5"/>
    <x v="9"/>
  </r>
  <r>
    <x v="66"/>
    <x v="5"/>
    <x v="3"/>
    <x v="318"/>
    <x v="20"/>
    <n v="19"/>
    <x v="13"/>
  </r>
  <r>
    <x v="1"/>
    <x v="1"/>
    <x v="3"/>
    <x v="319"/>
    <x v="64"/>
    <n v="13.25"/>
    <x v="12"/>
  </r>
  <r>
    <x v="1"/>
    <x v="1"/>
    <x v="3"/>
    <x v="319"/>
    <x v="2"/>
    <n v="34.799999999999997"/>
    <x v="6"/>
  </r>
  <r>
    <x v="66"/>
    <x v="5"/>
    <x v="2"/>
    <x v="320"/>
    <x v="66"/>
    <n v="14"/>
    <x v="7"/>
  </r>
  <r>
    <x v="66"/>
    <x v="5"/>
    <x v="2"/>
    <x v="320"/>
    <x v="13"/>
    <n v="18"/>
    <x v="1"/>
  </r>
  <r>
    <x v="4"/>
    <x v="3"/>
    <x v="0"/>
    <x v="321"/>
    <x v="41"/>
    <n v="31"/>
    <x v="16"/>
  </r>
  <r>
    <x v="4"/>
    <x v="3"/>
    <x v="0"/>
    <x v="321"/>
    <x v="33"/>
    <n v="38"/>
    <x v="12"/>
  </r>
  <r>
    <x v="4"/>
    <x v="3"/>
    <x v="0"/>
    <x v="321"/>
    <x v="21"/>
    <n v="55"/>
    <x v="13"/>
  </r>
  <r>
    <x v="4"/>
    <x v="3"/>
    <x v="0"/>
    <x v="321"/>
    <x v="23"/>
    <n v="13"/>
    <x v="6"/>
  </r>
  <r>
    <x v="24"/>
    <x v="7"/>
    <x v="5"/>
    <x v="321"/>
    <x v="0"/>
    <n v="21"/>
    <x v="6"/>
  </r>
  <r>
    <x v="24"/>
    <x v="7"/>
    <x v="5"/>
    <x v="321"/>
    <x v="40"/>
    <n v="46"/>
    <x v="2"/>
  </r>
  <r>
    <x v="24"/>
    <x v="7"/>
    <x v="5"/>
    <x v="321"/>
    <x v="56"/>
    <n v="12.5"/>
    <x v="8"/>
  </r>
  <r>
    <x v="24"/>
    <x v="7"/>
    <x v="5"/>
    <x v="321"/>
    <x v="30"/>
    <n v="15"/>
    <x v="0"/>
  </r>
  <r>
    <x v="3"/>
    <x v="2"/>
    <x v="2"/>
    <x v="322"/>
    <x v="4"/>
    <n v="53"/>
    <x v="22"/>
  </r>
  <r>
    <x v="53"/>
    <x v="6"/>
    <x v="6"/>
    <x v="322"/>
    <x v="7"/>
    <n v="21"/>
    <x v="5"/>
  </r>
  <r>
    <x v="21"/>
    <x v="10"/>
    <x v="6"/>
    <x v="311"/>
    <x v="70"/>
    <n v="9"/>
    <x v="21"/>
  </r>
  <r>
    <x v="21"/>
    <x v="10"/>
    <x v="6"/>
    <x v="311"/>
    <x v="31"/>
    <n v="18"/>
    <x v="9"/>
  </r>
  <r>
    <x v="21"/>
    <x v="10"/>
    <x v="6"/>
    <x v="311"/>
    <x v="1"/>
    <n v="14"/>
    <x v="10"/>
  </r>
  <r>
    <x v="21"/>
    <x v="10"/>
    <x v="6"/>
    <x v="311"/>
    <x v="64"/>
    <n v="13.25"/>
    <x v="18"/>
  </r>
  <r>
    <x v="21"/>
    <x v="10"/>
    <x v="6"/>
    <x v="311"/>
    <x v="58"/>
    <n v="33.25"/>
    <x v="33"/>
  </r>
  <r>
    <x v="4"/>
    <x v="3"/>
    <x v="7"/>
    <x v="318"/>
    <x v="62"/>
    <n v="22"/>
    <x v="11"/>
  </r>
  <r>
    <x v="4"/>
    <x v="3"/>
    <x v="7"/>
    <x v="318"/>
    <x v="30"/>
    <n v="15"/>
    <x v="12"/>
  </r>
  <r>
    <x v="4"/>
    <x v="3"/>
    <x v="7"/>
    <x v="318"/>
    <x v="17"/>
    <n v="10"/>
    <x v="8"/>
  </r>
  <r>
    <x v="44"/>
    <x v="8"/>
    <x v="2"/>
    <x v="323"/>
    <x v="52"/>
    <n v="18"/>
    <x v="32"/>
  </r>
  <r>
    <x v="44"/>
    <x v="8"/>
    <x v="2"/>
    <x v="323"/>
    <x v="49"/>
    <n v="9.1999999999999993"/>
    <x v="0"/>
  </r>
  <r>
    <x v="44"/>
    <x v="8"/>
    <x v="2"/>
    <x v="323"/>
    <x v="28"/>
    <n v="26"/>
    <x v="18"/>
  </r>
  <r>
    <x v="44"/>
    <x v="8"/>
    <x v="2"/>
    <x v="323"/>
    <x v="73"/>
    <n v="9.5"/>
    <x v="20"/>
  </r>
  <r>
    <x v="44"/>
    <x v="8"/>
    <x v="2"/>
    <x v="323"/>
    <x v="11"/>
    <n v="34"/>
    <x v="29"/>
  </r>
  <r>
    <x v="44"/>
    <x v="8"/>
    <x v="2"/>
    <x v="323"/>
    <x v="42"/>
    <n v="21.5"/>
    <x v="38"/>
  </r>
  <r>
    <x v="72"/>
    <x v="13"/>
    <x v="8"/>
    <x v="321"/>
    <x v="25"/>
    <n v="21.35"/>
    <x v="12"/>
  </r>
  <r>
    <x v="72"/>
    <x v="13"/>
    <x v="8"/>
    <x v="321"/>
    <x v="76"/>
    <n v="97"/>
    <x v="28"/>
  </r>
  <r>
    <x v="43"/>
    <x v="10"/>
    <x v="4"/>
    <x v="311"/>
    <x v="57"/>
    <n v="10"/>
    <x v="41"/>
  </r>
  <r>
    <x v="43"/>
    <x v="10"/>
    <x v="4"/>
    <x v="311"/>
    <x v="68"/>
    <n v="31.23"/>
    <x v="27"/>
  </r>
  <r>
    <x v="3"/>
    <x v="2"/>
    <x v="5"/>
    <x v="311"/>
    <x v="66"/>
    <n v="14"/>
    <x v="8"/>
  </r>
  <r>
    <x v="3"/>
    <x v="2"/>
    <x v="5"/>
    <x v="311"/>
    <x v="10"/>
    <n v="2.5"/>
    <x v="22"/>
  </r>
  <r>
    <x v="3"/>
    <x v="2"/>
    <x v="5"/>
    <x v="311"/>
    <x v="30"/>
    <n v="15"/>
    <x v="12"/>
  </r>
  <r>
    <x v="30"/>
    <x v="1"/>
    <x v="0"/>
    <x v="324"/>
    <x v="18"/>
    <n v="19"/>
    <x v="2"/>
  </r>
  <r>
    <x v="30"/>
    <x v="1"/>
    <x v="0"/>
    <x v="324"/>
    <x v="66"/>
    <n v="14"/>
    <x v="1"/>
  </r>
  <r>
    <x v="30"/>
    <x v="1"/>
    <x v="0"/>
    <x v="324"/>
    <x v="8"/>
    <n v="19.5"/>
    <x v="1"/>
  </r>
  <r>
    <x v="30"/>
    <x v="1"/>
    <x v="0"/>
    <x v="324"/>
    <x v="21"/>
    <n v="55"/>
    <x v="10"/>
  </r>
  <r>
    <x v="13"/>
    <x v="8"/>
    <x v="6"/>
    <x v="311"/>
    <x v="18"/>
    <n v="19"/>
    <x v="6"/>
  </r>
  <r>
    <x v="13"/>
    <x v="8"/>
    <x v="6"/>
    <x v="311"/>
    <x v="35"/>
    <n v="39"/>
    <x v="7"/>
  </r>
  <r>
    <x v="13"/>
    <x v="8"/>
    <x v="6"/>
    <x v="311"/>
    <x v="29"/>
    <n v="49.3"/>
    <x v="13"/>
  </r>
  <r>
    <x v="77"/>
    <x v="10"/>
    <x v="4"/>
    <x v="325"/>
    <x v="59"/>
    <n v="62.5"/>
    <x v="1"/>
  </r>
  <r>
    <x v="9"/>
    <x v="6"/>
    <x v="3"/>
    <x v="326"/>
    <x v="41"/>
    <n v="31"/>
    <x v="30"/>
  </r>
  <r>
    <x v="9"/>
    <x v="6"/>
    <x v="3"/>
    <x v="326"/>
    <x v="43"/>
    <n v="6"/>
    <x v="14"/>
  </r>
  <r>
    <x v="11"/>
    <x v="8"/>
    <x v="3"/>
    <x v="313"/>
    <x v="19"/>
    <n v="17.45"/>
    <x v="13"/>
  </r>
  <r>
    <x v="11"/>
    <x v="8"/>
    <x v="3"/>
    <x v="313"/>
    <x v="12"/>
    <n v="12.5"/>
    <x v="31"/>
  </r>
  <r>
    <x v="11"/>
    <x v="8"/>
    <x v="3"/>
    <x v="313"/>
    <x v="33"/>
    <n v="38"/>
    <x v="23"/>
  </r>
  <r>
    <x v="11"/>
    <x v="8"/>
    <x v="3"/>
    <x v="313"/>
    <x v="6"/>
    <n v="21.05"/>
    <x v="6"/>
  </r>
  <r>
    <x v="58"/>
    <x v="7"/>
    <x v="3"/>
    <x v="323"/>
    <x v="18"/>
    <n v="19"/>
    <x v="8"/>
  </r>
  <r>
    <x v="58"/>
    <x v="7"/>
    <x v="3"/>
    <x v="323"/>
    <x v="1"/>
    <n v="14"/>
    <x v="8"/>
  </r>
  <r>
    <x v="26"/>
    <x v="9"/>
    <x v="6"/>
    <x v="317"/>
    <x v="57"/>
    <n v="10"/>
    <x v="12"/>
  </r>
  <r>
    <x v="26"/>
    <x v="9"/>
    <x v="6"/>
    <x v="317"/>
    <x v="68"/>
    <n v="31.23"/>
    <x v="5"/>
  </r>
  <r>
    <x v="26"/>
    <x v="9"/>
    <x v="6"/>
    <x v="317"/>
    <x v="39"/>
    <n v="123.79"/>
    <x v="1"/>
  </r>
  <r>
    <x v="88"/>
    <x v="2"/>
    <x v="7"/>
    <x v="325"/>
    <x v="32"/>
    <n v="30"/>
    <x v="2"/>
  </r>
  <r>
    <x v="88"/>
    <x v="2"/>
    <x v="7"/>
    <x v="325"/>
    <x v="24"/>
    <n v="43.9"/>
    <x v="1"/>
  </r>
  <r>
    <x v="88"/>
    <x v="2"/>
    <x v="7"/>
    <x v="325"/>
    <x v="30"/>
    <n v="15"/>
    <x v="22"/>
  </r>
  <r>
    <x v="17"/>
    <x v="10"/>
    <x v="5"/>
    <x v="324"/>
    <x v="15"/>
    <n v="4.5"/>
    <x v="4"/>
  </r>
  <r>
    <x v="17"/>
    <x v="10"/>
    <x v="5"/>
    <x v="324"/>
    <x v="55"/>
    <n v="7.45"/>
    <x v="5"/>
  </r>
  <r>
    <x v="17"/>
    <x v="10"/>
    <x v="5"/>
    <x v="324"/>
    <x v="58"/>
    <n v="33.25"/>
    <x v="12"/>
  </r>
  <r>
    <x v="86"/>
    <x v="2"/>
    <x v="3"/>
    <x v="313"/>
    <x v="4"/>
    <n v="53"/>
    <x v="28"/>
  </r>
  <r>
    <x v="86"/>
    <x v="2"/>
    <x v="3"/>
    <x v="313"/>
    <x v="38"/>
    <n v="18"/>
    <x v="8"/>
  </r>
  <r>
    <x v="19"/>
    <x v="8"/>
    <x v="2"/>
    <x v="327"/>
    <x v="35"/>
    <n v="39"/>
    <x v="10"/>
  </r>
  <r>
    <x v="19"/>
    <x v="8"/>
    <x v="2"/>
    <x v="327"/>
    <x v="59"/>
    <n v="62.5"/>
    <x v="8"/>
  </r>
  <r>
    <x v="19"/>
    <x v="8"/>
    <x v="2"/>
    <x v="327"/>
    <x v="27"/>
    <n v="10"/>
    <x v="4"/>
  </r>
  <r>
    <x v="19"/>
    <x v="8"/>
    <x v="2"/>
    <x v="327"/>
    <x v="10"/>
    <n v="2.5"/>
    <x v="5"/>
  </r>
  <r>
    <x v="19"/>
    <x v="8"/>
    <x v="2"/>
    <x v="327"/>
    <x v="29"/>
    <n v="49.3"/>
    <x v="28"/>
  </r>
  <r>
    <x v="27"/>
    <x v="10"/>
    <x v="6"/>
    <x v="324"/>
    <x v="0"/>
    <n v="21"/>
    <x v="9"/>
  </r>
  <r>
    <x v="27"/>
    <x v="10"/>
    <x v="6"/>
    <x v="324"/>
    <x v="65"/>
    <n v="7"/>
    <x v="26"/>
  </r>
  <r>
    <x v="8"/>
    <x v="5"/>
    <x v="2"/>
    <x v="327"/>
    <x v="52"/>
    <n v="18"/>
    <x v="8"/>
  </r>
  <r>
    <x v="8"/>
    <x v="5"/>
    <x v="2"/>
    <x v="327"/>
    <x v="64"/>
    <n v="13.25"/>
    <x v="0"/>
  </r>
  <r>
    <x v="54"/>
    <x v="13"/>
    <x v="2"/>
    <x v="328"/>
    <x v="31"/>
    <n v="18"/>
    <x v="22"/>
  </r>
  <r>
    <x v="54"/>
    <x v="13"/>
    <x v="2"/>
    <x v="328"/>
    <x v="51"/>
    <n v="14"/>
    <x v="6"/>
  </r>
  <r>
    <x v="21"/>
    <x v="10"/>
    <x v="7"/>
    <x v="329"/>
    <x v="67"/>
    <n v="263.5"/>
    <x v="18"/>
  </r>
  <r>
    <x v="21"/>
    <x v="10"/>
    <x v="7"/>
    <x v="329"/>
    <x v="13"/>
    <n v="18"/>
    <x v="32"/>
  </r>
  <r>
    <x v="26"/>
    <x v="9"/>
    <x v="0"/>
    <x v="329"/>
    <x v="18"/>
    <n v="19"/>
    <x v="11"/>
  </r>
  <r>
    <x v="26"/>
    <x v="9"/>
    <x v="0"/>
    <x v="329"/>
    <x v="15"/>
    <n v="4.5"/>
    <x v="7"/>
  </r>
  <r>
    <x v="26"/>
    <x v="9"/>
    <x v="0"/>
    <x v="329"/>
    <x v="34"/>
    <n v="25.89"/>
    <x v="4"/>
  </r>
  <r>
    <x v="37"/>
    <x v="8"/>
    <x v="1"/>
    <x v="330"/>
    <x v="22"/>
    <n v="32.799999999999997"/>
    <x v="28"/>
  </r>
  <r>
    <x v="61"/>
    <x v="1"/>
    <x v="8"/>
    <x v="331"/>
    <x v="68"/>
    <n v="31.23"/>
    <x v="8"/>
  </r>
  <r>
    <x v="61"/>
    <x v="1"/>
    <x v="8"/>
    <x v="331"/>
    <x v="31"/>
    <n v="18"/>
    <x v="12"/>
  </r>
  <r>
    <x v="61"/>
    <x v="1"/>
    <x v="8"/>
    <x v="331"/>
    <x v="14"/>
    <n v="20"/>
    <x v="10"/>
  </r>
  <r>
    <x v="55"/>
    <x v="13"/>
    <x v="0"/>
    <x v="328"/>
    <x v="52"/>
    <n v="18"/>
    <x v="4"/>
  </r>
  <r>
    <x v="55"/>
    <x v="13"/>
    <x v="0"/>
    <x v="328"/>
    <x v="0"/>
    <n v="21"/>
    <x v="1"/>
  </r>
  <r>
    <x v="55"/>
    <x v="13"/>
    <x v="0"/>
    <x v="328"/>
    <x v="70"/>
    <n v="9"/>
    <x v="13"/>
  </r>
  <r>
    <x v="55"/>
    <x v="13"/>
    <x v="0"/>
    <x v="328"/>
    <x v="56"/>
    <n v="12.5"/>
    <x v="8"/>
  </r>
  <r>
    <x v="62"/>
    <x v="18"/>
    <x v="0"/>
    <x v="332"/>
    <x v="31"/>
    <n v="18"/>
    <x v="28"/>
  </r>
  <r>
    <x v="62"/>
    <x v="18"/>
    <x v="0"/>
    <x v="332"/>
    <x v="4"/>
    <n v="53"/>
    <x v="17"/>
  </r>
  <r>
    <x v="47"/>
    <x v="2"/>
    <x v="4"/>
    <x v="323"/>
    <x v="63"/>
    <n v="25"/>
    <x v="13"/>
  </r>
  <r>
    <x v="47"/>
    <x v="2"/>
    <x v="4"/>
    <x v="323"/>
    <x v="19"/>
    <n v="17.45"/>
    <x v="0"/>
  </r>
  <r>
    <x v="47"/>
    <x v="2"/>
    <x v="4"/>
    <x v="323"/>
    <x v="35"/>
    <n v="39"/>
    <x v="16"/>
  </r>
  <r>
    <x v="36"/>
    <x v="12"/>
    <x v="0"/>
    <x v="328"/>
    <x v="16"/>
    <n v="24"/>
    <x v="1"/>
  </r>
  <r>
    <x v="36"/>
    <x v="12"/>
    <x v="0"/>
    <x v="328"/>
    <x v="29"/>
    <n v="49.3"/>
    <x v="8"/>
  </r>
  <r>
    <x v="36"/>
    <x v="12"/>
    <x v="0"/>
    <x v="328"/>
    <x v="58"/>
    <n v="33.25"/>
    <x v="6"/>
  </r>
  <r>
    <x v="36"/>
    <x v="12"/>
    <x v="0"/>
    <x v="328"/>
    <x v="6"/>
    <n v="21.05"/>
    <x v="11"/>
  </r>
  <r>
    <x v="0"/>
    <x v="0"/>
    <x v="2"/>
    <x v="328"/>
    <x v="27"/>
    <n v="10"/>
    <x v="8"/>
  </r>
  <r>
    <x v="0"/>
    <x v="0"/>
    <x v="2"/>
    <x v="328"/>
    <x v="44"/>
    <n v="45.6"/>
    <x v="28"/>
  </r>
  <r>
    <x v="36"/>
    <x v="12"/>
    <x v="0"/>
    <x v="330"/>
    <x v="41"/>
    <n v="31"/>
    <x v="1"/>
  </r>
  <r>
    <x v="26"/>
    <x v="9"/>
    <x v="2"/>
    <x v="333"/>
    <x v="49"/>
    <n v="9.1999999999999993"/>
    <x v="9"/>
  </r>
  <r>
    <x v="26"/>
    <x v="9"/>
    <x v="2"/>
    <x v="333"/>
    <x v="69"/>
    <n v="9.5"/>
    <x v="11"/>
  </r>
  <r>
    <x v="26"/>
    <x v="9"/>
    <x v="2"/>
    <x v="333"/>
    <x v="14"/>
    <n v="20"/>
    <x v="6"/>
  </r>
  <r>
    <x v="47"/>
    <x v="2"/>
    <x v="8"/>
    <x v="329"/>
    <x v="54"/>
    <n v="12"/>
    <x v="11"/>
  </r>
  <r>
    <x v="47"/>
    <x v="2"/>
    <x v="8"/>
    <x v="329"/>
    <x v="58"/>
    <n v="33.25"/>
    <x v="8"/>
  </r>
  <r>
    <x v="30"/>
    <x v="1"/>
    <x v="5"/>
    <x v="334"/>
    <x v="19"/>
    <n v="17.45"/>
    <x v="12"/>
  </r>
  <r>
    <x v="30"/>
    <x v="1"/>
    <x v="5"/>
    <x v="334"/>
    <x v="59"/>
    <n v="62.5"/>
    <x v="9"/>
  </r>
  <r>
    <x v="21"/>
    <x v="10"/>
    <x v="2"/>
    <x v="329"/>
    <x v="9"/>
    <n v="81"/>
    <x v="8"/>
  </r>
  <r>
    <x v="0"/>
    <x v="0"/>
    <x v="3"/>
    <x v="329"/>
    <x v="37"/>
    <n v="18.399999999999999"/>
    <x v="0"/>
  </r>
  <r>
    <x v="0"/>
    <x v="0"/>
    <x v="3"/>
    <x v="329"/>
    <x v="6"/>
    <n v="21.05"/>
    <x v="1"/>
  </r>
  <r>
    <x v="0"/>
    <x v="0"/>
    <x v="3"/>
    <x v="329"/>
    <x v="38"/>
    <n v="18"/>
    <x v="1"/>
  </r>
  <r>
    <x v="14"/>
    <x v="9"/>
    <x v="8"/>
    <x v="335"/>
    <x v="70"/>
    <n v="9"/>
    <x v="12"/>
  </r>
  <r>
    <x v="14"/>
    <x v="9"/>
    <x v="8"/>
    <x v="335"/>
    <x v="75"/>
    <n v="28.5"/>
    <x v="12"/>
  </r>
  <r>
    <x v="14"/>
    <x v="9"/>
    <x v="8"/>
    <x v="335"/>
    <x v="30"/>
    <n v="15"/>
    <x v="13"/>
  </r>
  <r>
    <x v="79"/>
    <x v="20"/>
    <x v="2"/>
    <x v="335"/>
    <x v="47"/>
    <n v="15"/>
    <x v="1"/>
  </r>
  <r>
    <x v="44"/>
    <x v="8"/>
    <x v="2"/>
    <x v="336"/>
    <x v="1"/>
    <n v="14"/>
    <x v="9"/>
  </r>
  <r>
    <x v="44"/>
    <x v="8"/>
    <x v="2"/>
    <x v="336"/>
    <x v="14"/>
    <n v="20"/>
    <x v="8"/>
  </r>
  <r>
    <x v="44"/>
    <x v="8"/>
    <x v="2"/>
    <x v="336"/>
    <x v="55"/>
    <n v="7.45"/>
    <x v="39"/>
  </r>
  <r>
    <x v="37"/>
    <x v="8"/>
    <x v="6"/>
    <x v="336"/>
    <x v="15"/>
    <n v="4.5"/>
    <x v="26"/>
  </r>
  <r>
    <x v="83"/>
    <x v="8"/>
    <x v="2"/>
    <x v="332"/>
    <x v="27"/>
    <n v="10"/>
    <x v="4"/>
  </r>
  <r>
    <x v="83"/>
    <x v="8"/>
    <x v="2"/>
    <x v="332"/>
    <x v="33"/>
    <n v="38"/>
    <x v="11"/>
  </r>
  <r>
    <x v="83"/>
    <x v="8"/>
    <x v="2"/>
    <x v="332"/>
    <x v="6"/>
    <n v="21.05"/>
    <x v="0"/>
  </r>
  <r>
    <x v="4"/>
    <x v="3"/>
    <x v="1"/>
    <x v="335"/>
    <x v="18"/>
    <n v="19"/>
    <x v="8"/>
  </r>
  <r>
    <x v="4"/>
    <x v="3"/>
    <x v="1"/>
    <x v="335"/>
    <x v="15"/>
    <n v="4.5"/>
    <x v="0"/>
  </r>
  <r>
    <x v="4"/>
    <x v="3"/>
    <x v="1"/>
    <x v="335"/>
    <x v="30"/>
    <n v="15"/>
    <x v="12"/>
  </r>
  <r>
    <x v="4"/>
    <x v="3"/>
    <x v="1"/>
    <x v="335"/>
    <x v="23"/>
    <n v="13"/>
    <x v="9"/>
  </r>
  <r>
    <x v="2"/>
    <x v="1"/>
    <x v="5"/>
    <x v="337"/>
    <x v="41"/>
    <n v="31"/>
    <x v="21"/>
  </r>
  <r>
    <x v="2"/>
    <x v="1"/>
    <x v="5"/>
    <x v="337"/>
    <x v="12"/>
    <n v="12.5"/>
    <x v="5"/>
  </r>
  <r>
    <x v="2"/>
    <x v="1"/>
    <x v="5"/>
    <x v="337"/>
    <x v="23"/>
    <n v="13"/>
    <x v="4"/>
  </r>
  <r>
    <x v="59"/>
    <x v="12"/>
    <x v="6"/>
    <x v="320"/>
    <x v="66"/>
    <n v="14"/>
    <x v="2"/>
  </r>
  <r>
    <x v="36"/>
    <x v="12"/>
    <x v="5"/>
    <x v="331"/>
    <x v="18"/>
    <n v="19"/>
    <x v="8"/>
  </r>
  <r>
    <x v="36"/>
    <x v="12"/>
    <x v="5"/>
    <x v="331"/>
    <x v="56"/>
    <n v="12.5"/>
    <x v="27"/>
  </r>
  <r>
    <x v="13"/>
    <x v="8"/>
    <x v="4"/>
    <x v="331"/>
    <x v="0"/>
    <n v="21"/>
    <x v="4"/>
  </r>
  <r>
    <x v="13"/>
    <x v="8"/>
    <x v="4"/>
    <x v="331"/>
    <x v="67"/>
    <n v="263.5"/>
    <x v="4"/>
  </r>
  <r>
    <x v="40"/>
    <x v="2"/>
    <x v="8"/>
    <x v="335"/>
    <x v="35"/>
    <n v="39"/>
    <x v="6"/>
  </r>
  <r>
    <x v="40"/>
    <x v="2"/>
    <x v="8"/>
    <x v="335"/>
    <x v="53"/>
    <n v="14"/>
    <x v="1"/>
  </r>
  <r>
    <x v="40"/>
    <x v="2"/>
    <x v="8"/>
    <x v="335"/>
    <x v="5"/>
    <n v="9.65"/>
    <x v="31"/>
  </r>
  <r>
    <x v="27"/>
    <x v="10"/>
    <x v="8"/>
    <x v="334"/>
    <x v="34"/>
    <n v="25.89"/>
    <x v="6"/>
  </r>
  <r>
    <x v="81"/>
    <x v="3"/>
    <x v="2"/>
    <x v="334"/>
    <x v="21"/>
    <n v="55"/>
    <x v="4"/>
  </r>
  <r>
    <x v="43"/>
    <x v="10"/>
    <x v="4"/>
    <x v="336"/>
    <x v="71"/>
    <n v="40"/>
    <x v="12"/>
  </r>
  <r>
    <x v="43"/>
    <x v="10"/>
    <x v="4"/>
    <x v="336"/>
    <x v="15"/>
    <n v="4.5"/>
    <x v="1"/>
  </r>
  <r>
    <x v="43"/>
    <x v="10"/>
    <x v="4"/>
    <x v="336"/>
    <x v="39"/>
    <n v="123.79"/>
    <x v="23"/>
  </r>
  <r>
    <x v="43"/>
    <x v="10"/>
    <x v="4"/>
    <x v="336"/>
    <x v="34"/>
    <n v="25.89"/>
    <x v="5"/>
  </r>
  <r>
    <x v="43"/>
    <x v="10"/>
    <x v="4"/>
    <x v="336"/>
    <x v="20"/>
    <n v="19"/>
    <x v="8"/>
  </r>
  <r>
    <x v="44"/>
    <x v="8"/>
    <x v="5"/>
    <x v="336"/>
    <x v="43"/>
    <n v="6"/>
    <x v="19"/>
  </r>
  <r>
    <x v="44"/>
    <x v="8"/>
    <x v="5"/>
    <x v="336"/>
    <x v="60"/>
    <n v="36"/>
    <x v="13"/>
  </r>
  <r>
    <x v="44"/>
    <x v="8"/>
    <x v="5"/>
    <x v="336"/>
    <x v="48"/>
    <n v="7.75"/>
    <x v="40"/>
  </r>
  <r>
    <x v="9"/>
    <x v="6"/>
    <x v="3"/>
    <x v="331"/>
    <x v="15"/>
    <n v="4.5"/>
    <x v="46"/>
  </r>
  <r>
    <x v="9"/>
    <x v="6"/>
    <x v="3"/>
    <x v="331"/>
    <x v="13"/>
    <n v="18"/>
    <x v="29"/>
  </r>
  <r>
    <x v="9"/>
    <x v="6"/>
    <x v="3"/>
    <x v="331"/>
    <x v="37"/>
    <n v="18.399999999999999"/>
    <x v="51"/>
  </r>
  <r>
    <x v="9"/>
    <x v="6"/>
    <x v="3"/>
    <x v="331"/>
    <x v="11"/>
    <n v="34"/>
    <x v="30"/>
  </r>
  <r>
    <x v="81"/>
    <x v="3"/>
    <x v="8"/>
    <x v="338"/>
    <x v="73"/>
    <n v="9.5"/>
    <x v="6"/>
  </r>
  <r>
    <x v="81"/>
    <x v="3"/>
    <x v="8"/>
    <x v="338"/>
    <x v="33"/>
    <n v="38"/>
    <x v="16"/>
  </r>
  <r>
    <x v="34"/>
    <x v="14"/>
    <x v="3"/>
    <x v="339"/>
    <x v="39"/>
    <n v="123.79"/>
    <x v="32"/>
  </r>
  <r>
    <x v="34"/>
    <x v="14"/>
    <x v="3"/>
    <x v="339"/>
    <x v="34"/>
    <n v="25.89"/>
    <x v="20"/>
  </r>
  <r>
    <x v="69"/>
    <x v="20"/>
    <x v="2"/>
    <x v="340"/>
    <x v="43"/>
    <n v="6"/>
    <x v="2"/>
  </r>
  <r>
    <x v="29"/>
    <x v="5"/>
    <x v="0"/>
    <x v="341"/>
    <x v="13"/>
    <n v="18"/>
    <x v="26"/>
  </r>
  <r>
    <x v="7"/>
    <x v="1"/>
    <x v="5"/>
    <x v="342"/>
    <x v="30"/>
    <n v="15"/>
    <x v="28"/>
  </r>
  <r>
    <x v="8"/>
    <x v="5"/>
    <x v="2"/>
    <x v="341"/>
    <x v="5"/>
    <n v="9.65"/>
    <x v="12"/>
  </r>
  <r>
    <x v="8"/>
    <x v="5"/>
    <x v="2"/>
    <x v="341"/>
    <x v="42"/>
    <n v="21.5"/>
    <x v="12"/>
  </r>
  <r>
    <x v="14"/>
    <x v="9"/>
    <x v="5"/>
    <x v="333"/>
    <x v="16"/>
    <n v="24"/>
    <x v="12"/>
  </r>
  <r>
    <x v="14"/>
    <x v="9"/>
    <x v="5"/>
    <x v="333"/>
    <x v="29"/>
    <n v="49.3"/>
    <x v="7"/>
  </r>
  <r>
    <x v="2"/>
    <x v="1"/>
    <x v="3"/>
    <x v="342"/>
    <x v="43"/>
    <n v="6"/>
    <x v="4"/>
  </r>
  <r>
    <x v="2"/>
    <x v="1"/>
    <x v="3"/>
    <x v="342"/>
    <x v="6"/>
    <n v="21.05"/>
    <x v="11"/>
  </r>
  <r>
    <x v="2"/>
    <x v="1"/>
    <x v="3"/>
    <x v="342"/>
    <x v="56"/>
    <n v="12.5"/>
    <x v="8"/>
  </r>
  <r>
    <x v="19"/>
    <x v="8"/>
    <x v="3"/>
    <x v="338"/>
    <x v="64"/>
    <n v="13.25"/>
    <x v="6"/>
  </r>
  <r>
    <x v="19"/>
    <x v="8"/>
    <x v="3"/>
    <x v="338"/>
    <x v="29"/>
    <n v="49.3"/>
    <x v="5"/>
  </r>
  <r>
    <x v="7"/>
    <x v="1"/>
    <x v="4"/>
    <x v="340"/>
    <x v="52"/>
    <n v="18"/>
    <x v="8"/>
  </r>
  <r>
    <x v="62"/>
    <x v="18"/>
    <x v="2"/>
    <x v="333"/>
    <x v="75"/>
    <n v="28.5"/>
    <x v="6"/>
  </r>
  <r>
    <x v="87"/>
    <x v="2"/>
    <x v="1"/>
    <x v="338"/>
    <x v="48"/>
    <n v="7.75"/>
    <x v="31"/>
  </r>
  <r>
    <x v="31"/>
    <x v="11"/>
    <x v="2"/>
    <x v="340"/>
    <x v="32"/>
    <n v="30"/>
    <x v="8"/>
  </r>
  <r>
    <x v="31"/>
    <x v="11"/>
    <x v="2"/>
    <x v="340"/>
    <x v="65"/>
    <n v="7"/>
    <x v="31"/>
  </r>
  <r>
    <x v="64"/>
    <x v="19"/>
    <x v="5"/>
    <x v="343"/>
    <x v="32"/>
    <n v="30"/>
    <x v="0"/>
  </r>
  <r>
    <x v="64"/>
    <x v="19"/>
    <x v="5"/>
    <x v="343"/>
    <x v="19"/>
    <n v="17.45"/>
    <x v="6"/>
  </r>
  <r>
    <x v="64"/>
    <x v="19"/>
    <x v="5"/>
    <x v="343"/>
    <x v="5"/>
    <n v="9.65"/>
    <x v="2"/>
  </r>
  <r>
    <x v="0"/>
    <x v="0"/>
    <x v="5"/>
    <x v="342"/>
    <x v="49"/>
    <n v="9.1999999999999993"/>
    <x v="0"/>
  </r>
  <r>
    <x v="0"/>
    <x v="0"/>
    <x v="5"/>
    <x v="342"/>
    <x v="14"/>
    <n v="20"/>
    <x v="1"/>
  </r>
  <r>
    <x v="0"/>
    <x v="0"/>
    <x v="5"/>
    <x v="342"/>
    <x v="75"/>
    <n v="28.5"/>
    <x v="2"/>
  </r>
  <r>
    <x v="36"/>
    <x v="12"/>
    <x v="3"/>
    <x v="344"/>
    <x v="52"/>
    <n v="18"/>
    <x v="1"/>
  </r>
  <r>
    <x v="36"/>
    <x v="12"/>
    <x v="3"/>
    <x v="344"/>
    <x v="35"/>
    <n v="39"/>
    <x v="0"/>
  </r>
  <r>
    <x v="36"/>
    <x v="12"/>
    <x v="3"/>
    <x v="344"/>
    <x v="51"/>
    <n v="14"/>
    <x v="6"/>
  </r>
  <r>
    <x v="34"/>
    <x v="14"/>
    <x v="7"/>
    <x v="345"/>
    <x v="0"/>
    <n v="21"/>
    <x v="4"/>
  </r>
  <r>
    <x v="34"/>
    <x v="14"/>
    <x v="7"/>
    <x v="345"/>
    <x v="39"/>
    <n v="123.79"/>
    <x v="18"/>
  </r>
  <r>
    <x v="61"/>
    <x v="1"/>
    <x v="2"/>
    <x v="342"/>
    <x v="62"/>
    <n v="22"/>
    <x v="12"/>
  </r>
  <r>
    <x v="61"/>
    <x v="1"/>
    <x v="2"/>
    <x v="342"/>
    <x v="10"/>
    <n v="2.5"/>
    <x v="4"/>
  </r>
  <r>
    <x v="61"/>
    <x v="1"/>
    <x v="2"/>
    <x v="342"/>
    <x v="64"/>
    <n v="13.25"/>
    <x v="6"/>
  </r>
  <r>
    <x v="61"/>
    <x v="1"/>
    <x v="1"/>
    <x v="337"/>
    <x v="42"/>
    <n v="21.5"/>
    <x v="9"/>
  </r>
  <r>
    <x v="24"/>
    <x v="7"/>
    <x v="7"/>
    <x v="337"/>
    <x v="35"/>
    <n v="39"/>
    <x v="1"/>
  </r>
  <r>
    <x v="24"/>
    <x v="7"/>
    <x v="7"/>
    <x v="337"/>
    <x v="10"/>
    <n v="2.5"/>
    <x v="12"/>
  </r>
  <r>
    <x v="24"/>
    <x v="7"/>
    <x v="7"/>
    <x v="337"/>
    <x v="55"/>
    <n v="7.45"/>
    <x v="1"/>
  </r>
  <r>
    <x v="74"/>
    <x v="20"/>
    <x v="5"/>
    <x v="346"/>
    <x v="19"/>
    <n v="17.45"/>
    <x v="7"/>
  </r>
  <r>
    <x v="74"/>
    <x v="20"/>
    <x v="5"/>
    <x v="346"/>
    <x v="26"/>
    <n v="32"/>
    <x v="7"/>
  </r>
  <r>
    <x v="74"/>
    <x v="20"/>
    <x v="5"/>
    <x v="346"/>
    <x v="8"/>
    <n v="19.5"/>
    <x v="8"/>
  </r>
  <r>
    <x v="28"/>
    <x v="12"/>
    <x v="2"/>
    <x v="347"/>
    <x v="34"/>
    <n v="25.89"/>
    <x v="15"/>
  </r>
  <r>
    <x v="28"/>
    <x v="12"/>
    <x v="2"/>
    <x v="347"/>
    <x v="11"/>
    <n v="34"/>
    <x v="1"/>
  </r>
  <r>
    <x v="65"/>
    <x v="16"/>
    <x v="3"/>
    <x v="347"/>
    <x v="52"/>
    <n v="18"/>
    <x v="18"/>
  </r>
  <r>
    <x v="65"/>
    <x v="16"/>
    <x v="3"/>
    <x v="347"/>
    <x v="11"/>
    <n v="34"/>
    <x v="9"/>
  </r>
  <r>
    <x v="66"/>
    <x v="5"/>
    <x v="7"/>
    <x v="342"/>
    <x v="19"/>
    <n v="17.45"/>
    <x v="23"/>
  </r>
  <r>
    <x v="66"/>
    <x v="5"/>
    <x v="7"/>
    <x v="342"/>
    <x v="66"/>
    <n v="14"/>
    <x v="23"/>
  </r>
  <r>
    <x v="66"/>
    <x v="5"/>
    <x v="7"/>
    <x v="342"/>
    <x v="37"/>
    <n v="18.399999999999999"/>
    <x v="8"/>
  </r>
  <r>
    <x v="54"/>
    <x v="13"/>
    <x v="2"/>
    <x v="346"/>
    <x v="72"/>
    <n v="16.25"/>
    <x v="23"/>
  </r>
  <r>
    <x v="60"/>
    <x v="17"/>
    <x v="5"/>
    <x v="346"/>
    <x v="31"/>
    <n v="18"/>
    <x v="1"/>
  </r>
  <r>
    <x v="60"/>
    <x v="17"/>
    <x v="5"/>
    <x v="346"/>
    <x v="46"/>
    <n v="43.9"/>
    <x v="4"/>
  </r>
  <r>
    <x v="2"/>
    <x v="1"/>
    <x v="0"/>
    <x v="344"/>
    <x v="35"/>
    <n v="39"/>
    <x v="6"/>
  </r>
  <r>
    <x v="2"/>
    <x v="1"/>
    <x v="0"/>
    <x v="344"/>
    <x v="15"/>
    <n v="4.5"/>
    <x v="5"/>
  </r>
  <r>
    <x v="52"/>
    <x v="2"/>
    <x v="8"/>
    <x v="348"/>
    <x v="1"/>
    <n v="14"/>
    <x v="1"/>
  </r>
  <r>
    <x v="52"/>
    <x v="2"/>
    <x v="8"/>
    <x v="348"/>
    <x v="40"/>
    <n v="46"/>
    <x v="1"/>
  </r>
  <r>
    <x v="52"/>
    <x v="2"/>
    <x v="8"/>
    <x v="348"/>
    <x v="51"/>
    <n v="14"/>
    <x v="23"/>
  </r>
  <r>
    <x v="26"/>
    <x v="9"/>
    <x v="3"/>
    <x v="349"/>
    <x v="41"/>
    <n v="31"/>
    <x v="8"/>
  </r>
  <r>
    <x v="26"/>
    <x v="9"/>
    <x v="3"/>
    <x v="349"/>
    <x v="44"/>
    <n v="45.6"/>
    <x v="12"/>
  </r>
  <r>
    <x v="26"/>
    <x v="9"/>
    <x v="3"/>
    <x v="349"/>
    <x v="48"/>
    <n v="7.75"/>
    <x v="7"/>
  </r>
  <r>
    <x v="2"/>
    <x v="1"/>
    <x v="3"/>
    <x v="348"/>
    <x v="20"/>
    <n v="19"/>
    <x v="9"/>
  </r>
  <r>
    <x v="2"/>
    <x v="1"/>
    <x v="3"/>
    <x v="348"/>
    <x v="65"/>
    <n v="7"/>
    <x v="0"/>
  </r>
  <r>
    <x v="38"/>
    <x v="7"/>
    <x v="2"/>
    <x v="347"/>
    <x v="0"/>
    <n v="21"/>
    <x v="17"/>
  </r>
  <r>
    <x v="38"/>
    <x v="7"/>
    <x v="2"/>
    <x v="347"/>
    <x v="43"/>
    <n v="6"/>
    <x v="1"/>
  </r>
  <r>
    <x v="38"/>
    <x v="7"/>
    <x v="2"/>
    <x v="347"/>
    <x v="49"/>
    <n v="9.1999999999999993"/>
    <x v="25"/>
  </r>
  <r>
    <x v="38"/>
    <x v="7"/>
    <x v="2"/>
    <x v="347"/>
    <x v="2"/>
    <n v="34.799999999999997"/>
    <x v="1"/>
  </r>
  <r>
    <x v="88"/>
    <x v="2"/>
    <x v="2"/>
    <x v="349"/>
    <x v="9"/>
    <n v="81"/>
    <x v="2"/>
  </r>
  <r>
    <x v="88"/>
    <x v="2"/>
    <x v="2"/>
    <x v="349"/>
    <x v="65"/>
    <n v="7"/>
    <x v="2"/>
  </r>
  <r>
    <x v="88"/>
    <x v="2"/>
    <x v="2"/>
    <x v="349"/>
    <x v="38"/>
    <n v="18"/>
    <x v="8"/>
  </r>
  <r>
    <x v="59"/>
    <x v="12"/>
    <x v="5"/>
    <x v="345"/>
    <x v="69"/>
    <n v="9.5"/>
    <x v="2"/>
  </r>
  <r>
    <x v="59"/>
    <x v="12"/>
    <x v="5"/>
    <x v="345"/>
    <x v="38"/>
    <n v="18"/>
    <x v="2"/>
  </r>
  <r>
    <x v="17"/>
    <x v="10"/>
    <x v="1"/>
    <x v="350"/>
    <x v="27"/>
    <n v="10"/>
    <x v="18"/>
  </r>
  <r>
    <x v="17"/>
    <x v="10"/>
    <x v="1"/>
    <x v="350"/>
    <x v="48"/>
    <n v="7.75"/>
    <x v="41"/>
  </r>
  <r>
    <x v="17"/>
    <x v="10"/>
    <x v="1"/>
    <x v="350"/>
    <x v="23"/>
    <n v="13"/>
    <x v="6"/>
  </r>
  <r>
    <x v="4"/>
    <x v="3"/>
    <x v="2"/>
    <x v="345"/>
    <x v="27"/>
    <n v="10"/>
    <x v="20"/>
  </r>
  <r>
    <x v="4"/>
    <x v="3"/>
    <x v="2"/>
    <x v="345"/>
    <x v="24"/>
    <n v="43.9"/>
    <x v="9"/>
  </r>
  <r>
    <x v="4"/>
    <x v="3"/>
    <x v="2"/>
    <x v="345"/>
    <x v="16"/>
    <n v="24"/>
    <x v="9"/>
  </r>
  <r>
    <x v="4"/>
    <x v="3"/>
    <x v="2"/>
    <x v="345"/>
    <x v="64"/>
    <n v="13.25"/>
    <x v="12"/>
  </r>
  <r>
    <x v="6"/>
    <x v="4"/>
    <x v="2"/>
    <x v="351"/>
    <x v="43"/>
    <n v="6"/>
    <x v="10"/>
  </r>
  <r>
    <x v="6"/>
    <x v="4"/>
    <x v="2"/>
    <x v="351"/>
    <x v="8"/>
    <n v="19.5"/>
    <x v="12"/>
  </r>
  <r>
    <x v="47"/>
    <x v="2"/>
    <x v="6"/>
    <x v="352"/>
    <x v="19"/>
    <n v="17.45"/>
    <x v="12"/>
  </r>
  <r>
    <x v="47"/>
    <x v="2"/>
    <x v="6"/>
    <x v="352"/>
    <x v="29"/>
    <n v="49.3"/>
    <x v="31"/>
  </r>
  <r>
    <x v="47"/>
    <x v="2"/>
    <x v="6"/>
    <x v="352"/>
    <x v="2"/>
    <n v="34.799999999999997"/>
    <x v="16"/>
  </r>
  <r>
    <x v="47"/>
    <x v="2"/>
    <x v="6"/>
    <x v="352"/>
    <x v="48"/>
    <n v="7.75"/>
    <x v="8"/>
  </r>
  <r>
    <x v="41"/>
    <x v="13"/>
    <x v="1"/>
    <x v="353"/>
    <x v="22"/>
    <n v="32.799999999999997"/>
    <x v="17"/>
  </r>
  <r>
    <x v="41"/>
    <x v="13"/>
    <x v="1"/>
    <x v="353"/>
    <x v="75"/>
    <n v="28.5"/>
    <x v="12"/>
  </r>
  <r>
    <x v="27"/>
    <x v="10"/>
    <x v="3"/>
    <x v="350"/>
    <x v="63"/>
    <n v="25"/>
    <x v="8"/>
  </r>
  <r>
    <x v="7"/>
    <x v="1"/>
    <x v="2"/>
    <x v="345"/>
    <x v="52"/>
    <n v="18"/>
    <x v="11"/>
  </r>
  <r>
    <x v="7"/>
    <x v="1"/>
    <x v="2"/>
    <x v="345"/>
    <x v="59"/>
    <n v="62.5"/>
    <x v="22"/>
  </r>
  <r>
    <x v="7"/>
    <x v="1"/>
    <x v="2"/>
    <x v="345"/>
    <x v="70"/>
    <n v="9"/>
    <x v="26"/>
  </r>
  <r>
    <x v="80"/>
    <x v="8"/>
    <x v="3"/>
    <x v="345"/>
    <x v="20"/>
    <n v="19"/>
    <x v="12"/>
  </r>
  <r>
    <x v="79"/>
    <x v="20"/>
    <x v="8"/>
    <x v="348"/>
    <x v="44"/>
    <n v="45.6"/>
    <x v="26"/>
  </r>
  <r>
    <x v="79"/>
    <x v="20"/>
    <x v="8"/>
    <x v="348"/>
    <x v="53"/>
    <n v="14"/>
    <x v="8"/>
  </r>
  <r>
    <x v="21"/>
    <x v="10"/>
    <x v="3"/>
    <x v="353"/>
    <x v="43"/>
    <n v="6"/>
    <x v="8"/>
  </r>
  <r>
    <x v="21"/>
    <x v="10"/>
    <x v="3"/>
    <x v="353"/>
    <x v="40"/>
    <n v="46"/>
    <x v="23"/>
  </r>
  <r>
    <x v="21"/>
    <x v="10"/>
    <x v="3"/>
    <x v="353"/>
    <x v="11"/>
    <n v="34"/>
    <x v="41"/>
  </r>
  <r>
    <x v="21"/>
    <x v="10"/>
    <x v="3"/>
    <x v="353"/>
    <x v="42"/>
    <n v="21.5"/>
    <x v="5"/>
  </r>
  <r>
    <x v="23"/>
    <x v="11"/>
    <x v="7"/>
    <x v="348"/>
    <x v="18"/>
    <n v="19"/>
    <x v="1"/>
  </r>
  <r>
    <x v="23"/>
    <x v="11"/>
    <x v="7"/>
    <x v="348"/>
    <x v="51"/>
    <n v="14"/>
    <x v="4"/>
  </r>
  <r>
    <x v="47"/>
    <x v="2"/>
    <x v="6"/>
    <x v="354"/>
    <x v="32"/>
    <n v="30"/>
    <x v="26"/>
  </r>
  <r>
    <x v="47"/>
    <x v="2"/>
    <x v="6"/>
    <x v="354"/>
    <x v="43"/>
    <n v="6"/>
    <x v="8"/>
  </r>
  <r>
    <x v="44"/>
    <x v="8"/>
    <x v="8"/>
    <x v="355"/>
    <x v="12"/>
    <n v="12.5"/>
    <x v="48"/>
  </r>
  <r>
    <x v="44"/>
    <x v="8"/>
    <x v="8"/>
    <x v="355"/>
    <x v="29"/>
    <n v="49.3"/>
    <x v="12"/>
  </r>
  <r>
    <x v="44"/>
    <x v="8"/>
    <x v="8"/>
    <x v="355"/>
    <x v="56"/>
    <n v="12.5"/>
    <x v="32"/>
  </r>
  <r>
    <x v="44"/>
    <x v="8"/>
    <x v="8"/>
    <x v="355"/>
    <x v="2"/>
    <n v="34.799999999999997"/>
    <x v="13"/>
  </r>
  <r>
    <x v="31"/>
    <x v="11"/>
    <x v="4"/>
    <x v="345"/>
    <x v="14"/>
    <n v="20"/>
    <x v="19"/>
  </r>
  <r>
    <x v="32"/>
    <x v="13"/>
    <x v="2"/>
    <x v="351"/>
    <x v="43"/>
    <n v="6"/>
    <x v="6"/>
  </r>
  <r>
    <x v="32"/>
    <x v="13"/>
    <x v="2"/>
    <x v="351"/>
    <x v="7"/>
    <n v="21"/>
    <x v="11"/>
  </r>
  <r>
    <x v="32"/>
    <x v="13"/>
    <x v="2"/>
    <x v="351"/>
    <x v="54"/>
    <n v="12"/>
    <x v="6"/>
  </r>
  <r>
    <x v="65"/>
    <x v="16"/>
    <x v="1"/>
    <x v="348"/>
    <x v="0"/>
    <n v="21"/>
    <x v="2"/>
  </r>
  <r>
    <x v="65"/>
    <x v="16"/>
    <x v="1"/>
    <x v="348"/>
    <x v="45"/>
    <n v="19.45"/>
    <x v="27"/>
  </r>
  <r>
    <x v="65"/>
    <x v="16"/>
    <x v="1"/>
    <x v="348"/>
    <x v="33"/>
    <n v="38"/>
    <x v="27"/>
  </r>
  <r>
    <x v="25"/>
    <x v="10"/>
    <x v="2"/>
    <x v="345"/>
    <x v="43"/>
    <n v="6"/>
    <x v="8"/>
  </r>
  <r>
    <x v="25"/>
    <x v="10"/>
    <x v="2"/>
    <x v="345"/>
    <x v="12"/>
    <n v="12.5"/>
    <x v="1"/>
  </r>
  <r>
    <x v="60"/>
    <x v="17"/>
    <x v="5"/>
    <x v="351"/>
    <x v="41"/>
    <n v="31"/>
    <x v="9"/>
  </r>
  <r>
    <x v="60"/>
    <x v="17"/>
    <x v="5"/>
    <x v="351"/>
    <x v="15"/>
    <n v="4.5"/>
    <x v="9"/>
  </r>
  <r>
    <x v="60"/>
    <x v="17"/>
    <x v="5"/>
    <x v="351"/>
    <x v="23"/>
    <n v="13"/>
    <x v="4"/>
  </r>
  <r>
    <x v="32"/>
    <x v="13"/>
    <x v="3"/>
    <x v="353"/>
    <x v="21"/>
    <n v="55"/>
    <x v="22"/>
  </r>
  <r>
    <x v="36"/>
    <x v="12"/>
    <x v="3"/>
    <x v="351"/>
    <x v="72"/>
    <n v="16.25"/>
    <x v="3"/>
  </r>
  <r>
    <x v="36"/>
    <x v="12"/>
    <x v="3"/>
    <x v="351"/>
    <x v="4"/>
    <n v="53"/>
    <x v="4"/>
  </r>
  <r>
    <x v="36"/>
    <x v="12"/>
    <x v="3"/>
    <x v="351"/>
    <x v="16"/>
    <n v="24"/>
    <x v="22"/>
  </r>
  <r>
    <x v="65"/>
    <x v="16"/>
    <x v="7"/>
    <x v="356"/>
    <x v="63"/>
    <n v="25"/>
    <x v="0"/>
  </r>
  <r>
    <x v="65"/>
    <x v="16"/>
    <x v="7"/>
    <x v="356"/>
    <x v="41"/>
    <n v="31"/>
    <x v="12"/>
  </r>
  <r>
    <x v="65"/>
    <x v="16"/>
    <x v="7"/>
    <x v="356"/>
    <x v="35"/>
    <n v="39"/>
    <x v="7"/>
  </r>
  <r>
    <x v="65"/>
    <x v="16"/>
    <x v="7"/>
    <x v="356"/>
    <x v="29"/>
    <n v="49.3"/>
    <x v="18"/>
  </r>
  <r>
    <x v="23"/>
    <x v="11"/>
    <x v="5"/>
    <x v="354"/>
    <x v="62"/>
    <n v="22"/>
    <x v="2"/>
  </r>
  <r>
    <x v="6"/>
    <x v="4"/>
    <x v="4"/>
    <x v="357"/>
    <x v="10"/>
    <n v="2.5"/>
    <x v="6"/>
  </r>
  <r>
    <x v="6"/>
    <x v="4"/>
    <x v="4"/>
    <x v="357"/>
    <x v="5"/>
    <n v="9.65"/>
    <x v="7"/>
  </r>
  <r>
    <x v="6"/>
    <x v="4"/>
    <x v="4"/>
    <x v="357"/>
    <x v="48"/>
    <n v="7.75"/>
    <x v="13"/>
  </r>
  <r>
    <x v="85"/>
    <x v="10"/>
    <x v="5"/>
    <x v="352"/>
    <x v="63"/>
    <n v="25"/>
    <x v="16"/>
  </r>
  <r>
    <x v="85"/>
    <x v="10"/>
    <x v="5"/>
    <x v="352"/>
    <x v="44"/>
    <n v="45.6"/>
    <x v="17"/>
  </r>
  <r>
    <x v="54"/>
    <x v="13"/>
    <x v="4"/>
    <x v="358"/>
    <x v="9"/>
    <n v="81"/>
    <x v="13"/>
  </r>
  <r>
    <x v="54"/>
    <x v="13"/>
    <x v="4"/>
    <x v="358"/>
    <x v="12"/>
    <n v="12.5"/>
    <x v="13"/>
  </r>
  <r>
    <x v="66"/>
    <x v="5"/>
    <x v="0"/>
    <x v="355"/>
    <x v="19"/>
    <n v="17.45"/>
    <x v="19"/>
  </r>
  <r>
    <x v="66"/>
    <x v="5"/>
    <x v="0"/>
    <x v="355"/>
    <x v="12"/>
    <n v="12.5"/>
    <x v="9"/>
  </r>
  <r>
    <x v="66"/>
    <x v="5"/>
    <x v="0"/>
    <x v="355"/>
    <x v="73"/>
    <n v="9.5"/>
    <x v="12"/>
  </r>
  <r>
    <x v="66"/>
    <x v="5"/>
    <x v="0"/>
    <x v="355"/>
    <x v="11"/>
    <n v="34"/>
    <x v="23"/>
  </r>
  <r>
    <x v="14"/>
    <x v="9"/>
    <x v="6"/>
    <x v="355"/>
    <x v="48"/>
    <n v="7.75"/>
    <x v="0"/>
  </r>
  <r>
    <x v="77"/>
    <x v="10"/>
    <x v="1"/>
    <x v="355"/>
    <x v="27"/>
    <n v="10"/>
    <x v="0"/>
  </r>
  <r>
    <x v="77"/>
    <x v="10"/>
    <x v="1"/>
    <x v="355"/>
    <x v="69"/>
    <n v="9.5"/>
    <x v="31"/>
  </r>
  <r>
    <x v="77"/>
    <x v="10"/>
    <x v="1"/>
    <x v="355"/>
    <x v="4"/>
    <n v="53"/>
    <x v="26"/>
  </r>
  <r>
    <x v="8"/>
    <x v="5"/>
    <x v="6"/>
    <x v="359"/>
    <x v="34"/>
    <n v="25.89"/>
    <x v="12"/>
  </r>
  <r>
    <x v="8"/>
    <x v="5"/>
    <x v="6"/>
    <x v="359"/>
    <x v="31"/>
    <n v="18"/>
    <x v="4"/>
  </r>
  <r>
    <x v="8"/>
    <x v="5"/>
    <x v="6"/>
    <x v="359"/>
    <x v="58"/>
    <n v="33.25"/>
    <x v="26"/>
  </r>
  <r>
    <x v="69"/>
    <x v="20"/>
    <x v="8"/>
    <x v="359"/>
    <x v="25"/>
    <n v="21.35"/>
    <x v="8"/>
  </r>
  <r>
    <x v="69"/>
    <x v="20"/>
    <x v="8"/>
    <x v="359"/>
    <x v="32"/>
    <n v="30"/>
    <x v="7"/>
  </r>
  <r>
    <x v="69"/>
    <x v="20"/>
    <x v="8"/>
    <x v="359"/>
    <x v="2"/>
    <n v="34.799999999999997"/>
    <x v="2"/>
  </r>
  <r>
    <x v="71"/>
    <x v="1"/>
    <x v="1"/>
    <x v="354"/>
    <x v="48"/>
    <n v="7.75"/>
    <x v="8"/>
  </r>
  <r>
    <x v="8"/>
    <x v="5"/>
    <x v="3"/>
    <x v="349"/>
    <x v="15"/>
    <n v="4.5"/>
    <x v="1"/>
  </r>
  <r>
    <x v="8"/>
    <x v="5"/>
    <x v="3"/>
    <x v="349"/>
    <x v="5"/>
    <n v="9.65"/>
    <x v="23"/>
  </r>
  <r>
    <x v="61"/>
    <x v="1"/>
    <x v="6"/>
    <x v="360"/>
    <x v="65"/>
    <n v="7"/>
    <x v="7"/>
  </r>
  <r>
    <x v="61"/>
    <x v="1"/>
    <x v="6"/>
    <x v="360"/>
    <x v="38"/>
    <n v="18"/>
    <x v="18"/>
  </r>
  <r>
    <x v="21"/>
    <x v="10"/>
    <x v="6"/>
    <x v="354"/>
    <x v="32"/>
    <n v="30"/>
    <x v="29"/>
  </r>
  <r>
    <x v="21"/>
    <x v="10"/>
    <x v="6"/>
    <x v="354"/>
    <x v="43"/>
    <n v="6"/>
    <x v="36"/>
  </r>
  <r>
    <x v="21"/>
    <x v="10"/>
    <x v="6"/>
    <x v="354"/>
    <x v="22"/>
    <n v="32.799999999999997"/>
    <x v="8"/>
  </r>
  <r>
    <x v="21"/>
    <x v="10"/>
    <x v="6"/>
    <x v="354"/>
    <x v="60"/>
    <n v="36"/>
    <x v="3"/>
  </r>
  <r>
    <x v="21"/>
    <x v="10"/>
    <x v="6"/>
    <x v="354"/>
    <x v="38"/>
    <n v="18"/>
    <x v="48"/>
  </r>
  <r>
    <x v="46"/>
    <x v="15"/>
    <x v="4"/>
    <x v="361"/>
    <x v="11"/>
    <n v="34"/>
    <x v="17"/>
  </r>
  <r>
    <x v="87"/>
    <x v="2"/>
    <x v="3"/>
    <x v="352"/>
    <x v="59"/>
    <n v="62.5"/>
    <x v="7"/>
  </r>
  <r>
    <x v="87"/>
    <x v="2"/>
    <x v="3"/>
    <x v="352"/>
    <x v="67"/>
    <n v="263.5"/>
    <x v="2"/>
  </r>
  <r>
    <x v="87"/>
    <x v="2"/>
    <x v="3"/>
    <x v="352"/>
    <x v="60"/>
    <n v="36"/>
    <x v="1"/>
  </r>
  <r>
    <x v="11"/>
    <x v="8"/>
    <x v="1"/>
    <x v="360"/>
    <x v="4"/>
    <n v="53"/>
    <x v="16"/>
  </r>
  <r>
    <x v="5"/>
    <x v="4"/>
    <x v="2"/>
    <x v="349"/>
    <x v="28"/>
    <n v="26"/>
    <x v="26"/>
  </r>
  <r>
    <x v="5"/>
    <x v="4"/>
    <x v="2"/>
    <x v="349"/>
    <x v="33"/>
    <n v="38"/>
    <x v="0"/>
  </r>
  <r>
    <x v="5"/>
    <x v="4"/>
    <x v="2"/>
    <x v="349"/>
    <x v="29"/>
    <n v="49.3"/>
    <x v="0"/>
  </r>
  <r>
    <x v="73"/>
    <x v="10"/>
    <x v="7"/>
    <x v="362"/>
    <x v="49"/>
    <n v="9.1999999999999993"/>
    <x v="0"/>
  </r>
  <r>
    <x v="73"/>
    <x v="10"/>
    <x v="7"/>
    <x v="362"/>
    <x v="14"/>
    <n v="20"/>
    <x v="4"/>
  </r>
  <r>
    <x v="9"/>
    <x v="6"/>
    <x v="5"/>
    <x v="363"/>
    <x v="36"/>
    <n v="38"/>
    <x v="12"/>
  </r>
  <r>
    <x v="9"/>
    <x v="6"/>
    <x v="5"/>
    <x v="363"/>
    <x v="15"/>
    <n v="4.5"/>
    <x v="12"/>
  </r>
  <r>
    <x v="9"/>
    <x v="6"/>
    <x v="5"/>
    <x v="363"/>
    <x v="58"/>
    <n v="33.25"/>
    <x v="22"/>
  </r>
  <r>
    <x v="33"/>
    <x v="1"/>
    <x v="5"/>
    <x v="360"/>
    <x v="54"/>
    <n v="12"/>
    <x v="3"/>
  </r>
  <r>
    <x v="45"/>
    <x v="12"/>
    <x v="4"/>
    <x v="364"/>
    <x v="65"/>
    <n v="7"/>
    <x v="4"/>
  </r>
  <r>
    <x v="86"/>
    <x v="2"/>
    <x v="7"/>
    <x v="362"/>
    <x v="39"/>
    <n v="123.79"/>
    <x v="31"/>
  </r>
  <r>
    <x v="88"/>
    <x v="2"/>
    <x v="2"/>
    <x v="361"/>
    <x v="35"/>
    <n v="39"/>
    <x v="7"/>
  </r>
  <r>
    <x v="88"/>
    <x v="2"/>
    <x v="2"/>
    <x v="361"/>
    <x v="10"/>
    <n v="2.5"/>
    <x v="25"/>
  </r>
  <r>
    <x v="88"/>
    <x v="2"/>
    <x v="1"/>
    <x v="359"/>
    <x v="68"/>
    <n v="31.23"/>
    <x v="2"/>
  </r>
  <r>
    <x v="88"/>
    <x v="2"/>
    <x v="1"/>
    <x v="359"/>
    <x v="5"/>
    <n v="9.65"/>
    <x v="7"/>
  </r>
  <r>
    <x v="88"/>
    <x v="2"/>
    <x v="1"/>
    <x v="359"/>
    <x v="48"/>
    <n v="7.75"/>
    <x v="1"/>
  </r>
  <r>
    <x v="20"/>
    <x v="8"/>
    <x v="3"/>
    <x v="365"/>
    <x v="46"/>
    <n v="43.9"/>
    <x v="1"/>
  </r>
  <r>
    <x v="65"/>
    <x v="16"/>
    <x v="5"/>
    <x v="359"/>
    <x v="71"/>
    <n v="40"/>
    <x v="16"/>
  </r>
  <r>
    <x v="65"/>
    <x v="16"/>
    <x v="5"/>
    <x v="359"/>
    <x v="48"/>
    <n v="7.75"/>
    <x v="1"/>
  </r>
  <r>
    <x v="8"/>
    <x v="5"/>
    <x v="5"/>
    <x v="365"/>
    <x v="44"/>
    <n v="45.6"/>
    <x v="8"/>
  </r>
  <r>
    <x v="14"/>
    <x v="9"/>
    <x v="6"/>
    <x v="366"/>
    <x v="13"/>
    <n v="18"/>
    <x v="12"/>
  </r>
  <r>
    <x v="14"/>
    <x v="9"/>
    <x v="6"/>
    <x v="366"/>
    <x v="69"/>
    <n v="9.5"/>
    <x v="12"/>
  </r>
  <r>
    <x v="14"/>
    <x v="9"/>
    <x v="6"/>
    <x v="366"/>
    <x v="4"/>
    <n v="53"/>
    <x v="1"/>
  </r>
  <r>
    <x v="14"/>
    <x v="9"/>
    <x v="6"/>
    <x v="366"/>
    <x v="46"/>
    <n v="43.9"/>
    <x v="8"/>
  </r>
  <r>
    <x v="81"/>
    <x v="3"/>
    <x v="4"/>
    <x v="367"/>
    <x v="71"/>
    <n v="40"/>
    <x v="8"/>
  </r>
  <r>
    <x v="81"/>
    <x v="3"/>
    <x v="4"/>
    <x v="367"/>
    <x v="27"/>
    <n v="10"/>
    <x v="4"/>
  </r>
  <r>
    <x v="81"/>
    <x v="3"/>
    <x v="4"/>
    <x v="367"/>
    <x v="37"/>
    <n v="18.399999999999999"/>
    <x v="1"/>
  </r>
  <r>
    <x v="81"/>
    <x v="3"/>
    <x v="4"/>
    <x v="367"/>
    <x v="45"/>
    <n v="19.45"/>
    <x v="7"/>
  </r>
  <r>
    <x v="9"/>
    <x v="6"/>
    <x v="6"/>
    <x v="368"/>
    <x v="32"/>
    <n v="30"/>
    <x v="27"/>
  </r>
  <r>
    <x v="9"/>
    <x v="6"/>
    <x v="6"/>
    <x v="368"/>
    <x v="36"/>
    <n v="38"/>
    <x v="8"/>
  </r>
  <r>
    <x v="9"/>
    <x v="6"/>
    <x v="6"/>
    <x v="368"/>
    <x v="15"/>
    <n v="4.5"/>
    <x v="32"/>
  </r>
  <r>
    <x v="9"/>
    <x v="6"/>
    <x v="6"/>
    <x v="368"/>
    <x v="24"/>
    <n v="43.9"/>
    <x v="12"/>
  </r>
  <r>
    <x v="9"/>
    <x v="6"/>
    <x v="6"/>
    <x v="368"/>
    <x v="12"/>
    <n v="12.5"/>
    <x v="23"/>
  </r>
  <r>
    <x v="9"/>
    <x v="6"/>
    <x v="6"/>
    <x v="368"/>
    <x v="46"/>
    <n v="43.9"/>
    <x v="5"/>
  </r>
  <r>
    <x v="14"/>
    <x v="9"/>
    <x v="2"/>
    <x v="369"/>
    <x v="48"/>
    <n v="7.75"/>
    <x v="4"/>
  </r>
  <r>
    <x v="2"/>
    <x v="1"/>
    <x v="5"/>
    <x v="362"/>
    <x v="67"/>
    <n v="263.5"/>
    <x v="18"/>
  </r>
  <r>
    <x v="65"/>
    <x v="16"/>
    <x v="7"/>
    <x v="349"/>
    <x v="32"/>
    <n v="30"/>
    <x v="8"/>
  </r>
  <r>
    <x v="65"/>
    <x v="16"/>
    <x v="7"/>
    <x v="349"/>
    <x v="40"/>
    <n v="46"/>
    <x v="3"/>
  </r>
  <r>
    <x v="44"/>
    <x v="8"/>
    <x v="7"/>
    <x v="370"/>
    <x v="43"/>
    <n v="6"/>
    <x v="44"/>
  </r>
  <r>
    <x v="44"/>
    <x v="8"/>
    <x v="7"/>
    <x v="370"/>
    <x v="8"/>
    <n v="19.5"/>
    <x v="6"/>
  </r>
  <r>
    <x v="44"/>
    <x v="8"/>
    <x v="5"/>
    <x v="365"/>
    <x v="19"/>
    <n v="17.45"/>
    <x v="38"/>
  </r>
  <r>
    <x v="44"/>
    <x v="8"/>
    <x v="5"/>
    <x v="365"/>
    <x v="15"/>
    <n v="4.5"/>
    <x v="8"/>
  </r>
  <r>
    <x v="44"/>
    <x v="8"/>
    <x v="5"/>
    <x v="365"/>
    <x v="20"/>
    <n v="19"/>
    <x v="4"/>
  </r>
  <r>
    <x v="34"/>
    <x v="14"/>
    <x v="7"/>
    <x v="362"/>
    <x v="19"/>
    <n v="17.45"/>
    <x v="20"/>
  </r>
  <r>
    <x v="34"/>
    <x v="14"/>
    <x v="7"/>
    <x v="362"/>
    <x v="59"/>
    <n v="62.5"/>
    <x v="26"/>
  </r>
  <r>
    <x v="34"/>
    <x v="14"/>
    <x v="7"/>
    <x v="362"/>
    <x v="26"/>
    <n v="32"/>
    <x v="5"/>
  </r>
  <r>
    <x v="69"/>
    <x v="20"/>
    <x v="6"/>
    <x v="371"/>
    <x v="0"/>
    <n v="21"/>
    <x v="12"/>
  </r>
  <r>
    <x v="69"/>
    <x v="20"/>
    <x v="6"/>
    <x v="371"/>
    <x v="9"/>
    <n v="81"/>
    <x v="6"/>
  </r>
  <r>
    <x v="69"/>
    <x v="20"/>
    <x v="6"/>
    <x v="371"/>
    <x v="38"/>
    <n v="18"/>
    <x v="1"/>
  </r>
  <r>
    <x v="69"/>
    <x v="20"/>
    <x v="6"/>
    <x v="371"/>
    <x v="23"/>
    <n v="13"/>
    <x v="6"/>
  </r>
  <r>
    <x v="57"/>
    <x v="13"/>
    <x v="6"/>
    <x v="370"/>
    <x v="32"/>
    <n v="30"/>
    <x v="18"/>
  </r>
  <r>
    <x v="57"/>
    <x v="13"/>
    <x v="6"/>
    <x v="370"/>
    <x v="40"/>
    <n v="46"/>
    <x v="7"/>
  </r>
  <r>
    <x v="57"/>
    <x v="13"/>
    <x v="6"/>
    <x v="370"/>
    <x v="2"/>
    <n v="34.799999999999997"/>
    <x v="8"/>
  </r>
  <r>
    <x v="13"/>
    <x v="8"/>
    <x v="3"/>
    <x v="366"/>
    <x v="32"/>
    <n v="30"/>
    <x v="18"/>
  </r>
  <r>
    <x v="13"/>
    <x v="8"/>
    <x v="3"/>
    <x v="366"/>
    <x v="29"/>
    <n v="49.3"/>
    <x v="4"/>
  </r>
  <r>
    <x v="12"/>
    <x v="1"/>
    <x v="7"/>
    <x v="362"/>
    <x v="63"/>
    <n v="25"/>
    <x v="4"/>
  </r>
  <r>
    <x v="12"/>
    <x v="1"/>
    <x v="7"/>
    <x v="362"/>
    <x v="0"/>
    <n v="21"/>
    <x v="6"/>
  </r>
  <r>
    <x v="12"/>
    <x v="1"/>
    <x v="7"/>
    <x v="362"/>
    <x v="5"/>
    <n v="9.65"/>
    <x v="22"/>
  </r>
  <r>
    <x v="9"/>
    <x v="6"/>
    <x v="7"/>
    <x v="357"/>
    <x v="27"/>
    <n v="10"/>
    <x v="14"/>
  </r>
  <r>
    <x v="9"/>
    <x v="6"/>
    <x v="7"/>
    <x v="357"/>
    <x v="53"/>
    <n v="14"/>
    <x v="18"/>
  </r>
  <r>
    <x v="9"/>
    <x v="6"/>
    <x v="7"/>
    <x v="357"/>
    <x v="16"/>
    <n v="24"/>
    <x v="14"/>
  </r>
  <r>
    <x v="9"/>
    <x v="6"/>
    <x v="7"/>
    <x v="357"/>
    <x v="75"/>
    <n v="28.5"/>
    <x v="52"/>
  </r>
  <r>
    <x v="21"/>
    <x v="10"/>
    <x v="5"/>
    <x v="357"/>
    <x v="18"/>
    <n v="19"/>
    <x v="13"/>
  </r>
  <r>
    <x v="21"/>
    <x v="10"/>
    <x v="5"/>
    <x v="357"/>
    <x v="30"/>
    <n v="15"/>
    <x v="8"/>
  </r>
  <r>
    <x v="21"/>
    <x v="10"/>
    <x v="5"/>
    <x v="357"/>
    <x v="38"/>
    <n v="18"/>
    <x v="42"/>
  </r>
  <r>
    <x v="39"/>
    <x v="8"/>
    <x v="5"/>
    <x v="365"/>
    <x v="2"/>
    <n v="34.799999999999997"/>
    <x v="17"/>
  </r>
  <r>
    <x v="14"/>
    <x v="9"/>
    <x v="8"/>
    <x v="366"/>
    <x v="39"/>
    <n v="123.79"/>
    <x v="13"/>
  </r>
  <r>
    <x v="14"/>
    <x v="9"/>
    <x v="8"/>
    <x v="366"/>
    <x v="5"/>
    <n v="9.65"/>
    <x v="5"/>
  </r>
  <r>
    <x v="60"/>
    <x v="17"/>
    <x v="7"/>
    <x v="372"/>
    <x v="21"/>
    <n v="55"/>
    <x v="27"/>
  </r>
  <r>
    <x v="42"/>
    <x v="7"/>
    <x v="5"/>
    <x v="370"/>
    <x v="4"/>
    <n v="53"/>
    <x v="8"/>
  </r>
  <r>
    <x v="42"/>
    <x v="7"/>
    <x v="5"/>
    <x v="370"/>
    <x v="11"/>
    <n v="34"/>
    <x v="22"/>
  </r>
  <r>
    <x v="21"/>
    <x v="10"/>
    <x v="2"/>
    <x v="366"/>
    <x v="1"/>
    <n v="14"/>
    <x v="4"/>
  </r>
  <r>
    <x v="29"/>
    <x v="5"/>
    <x v="6"/>
    <x v="373"/>
    <x v="26"/>
    <n v="32"/>
    <x v="13"/>
  </r>
  <r>
    <x v="29"/>
    <x v="5"/>
    <x v="6"/>
    <x v="373"/>
    <x v="54"/>
    <n v="12"/>
    <x v="8"/>
  </r>
  <r>
    <x v="29"/>
    <x v="5"/>
    <x v="6"/>
    <x v="373"/>
    <x v="65"/>
    <n v="7"/>
    <x v="8"/>
  </r>
  <r>
    <x v="62"/>
    <x v="18"/>
    <x v="6"/>
    <x v="369"/>
    <x v="15"/>
    <n v="4.5"/>
    <x v="0"/>
  </r>
  <r>
    <x v="62"/>
    <x v="18"/>
    <x v="6"/>
    <x v="369"/>
    <x v="75"/>
    <n v="28.5"/>
    <x v="25"/>
  </r>
  <r>
    <x v="62"/>
    <x v="18"/>
    <x v="6"/>
    <x v="369"/>
    <x v="17"/>
    <n v="10"/>
    <x v="8"/>
  </r>
  <r>
    <x v="62"/>
    <x v="18"/>
    <x v="6"/>
    <x v="369"/>
    <x v="48"/>
    <n v="7.75"/>
    <x v="12"/>
  </r>
  <r>
    <x v="67"/>
    <x v="10"/>
    <x v="1"/>
    <x v="366"/>
    <x v="5"/>
    <n v="9.65"/>
    <x v="8"/>
  </r>
  <r>
    <x v="67"/>
    <x v="10"/>
    <x v="1"/>
    <x v="366"/>
    <x v="4"/>
    <n v="53"/>
    <x v="6"/>
  </r>
  <r>
    <x v="67"/>
    <x v="10"/>
    <x v="1"/>
    <x v="366"/>
    <x v="23"/>
    <n v="13"/>
    <x v="11"/>
  </r>
  <r>
    <x v="13"/>
    <x v="8"/>
    <x v="7"/>
    <x v="374"/>
    <x v="62"/>
    <n v="22"/>
    <x v="9"/>
  </r>
  <r>
    <x v="13"/>
    <x v="8"/>
    <x v="7"/>
    <x v="374"/>
    <x v="15"/>
    <n v="4.5"/>
    <x v="12"/>
  </r>
  <r>
    <x v="13"/>
    <x v="8"/>
    <x v="7"/>
    <x v="374"/>
    <x v="23"/>
    <n v="13"/>
    <x v="12"/>
  </r>
  <r>
    <x v="14"/>
    <x v="9"/>
    <x v="7"/>
    <x v="374"/>
    <x v="32"/>
    <n v="30"/>
    <x v="18"/>
  </r>
  <r>
    <x v="14"/>
    <x v="9"/>
    <x v="7"/>
    <x v="374"/>
    <x v="7"/>
    <n v="21"/>
    <x v="9"/>
  </r>
  <r>
    <x v="14"/>
    <x v="9"/>
    <x v="7"/>
    <x v="374"/>
    <x v="54"/>
    <n v="12"/>
    <x v="9"/>
  </r>
  <r>
    <x v="14"/>
    <x v="9"/>
    <x v="7"/>
    <x v="374"/>
    <x v="16"/>
    <n v="24"/>
    <x v="7"/>
  </r>
  <r>
    <x v="44"/>
    <x v="8"/>
    <x v="2"/>
    <x v="375"/>
    <x v="43"/>
    <n v="6"/>
    <x v="34"/>
  </r>
  <r>
    <x v="44"/>
    <x v="8"/>
    <x v="2"/>
    <x v="375"/>
    <x v="31"/>
    <n v="18"/>
    <x v="6"/>
  </r>
  <r>
    <x v="44"/>
    <x v="8"/>
    <x v="2"/>
    <x v="375"/>
    <x v="1"/>
    <n v="14"/>
    <x v="23"/>
  </r>
  <r>
    <x v="44"/>
    <x v="8"/>
    <x v="2"/>
    <x v="375"/>
    <x v="16"/>
    <n v="24"/>
    <x v="4"/>
  </r>
  <r>
    <x v="84"/>
    <x v="8"/>
    <x v="3"/>
    <x v="349"/>
    <x v="52"/>
    <n v="18"/>
    <x v="22"/>
  </r>
  <r>
    <x v="84"/>
    <x v="8"/>
    <x v="3"/>
    <x v="349"/>
    <x v="37"/>
    <n v="18.399999999999999"/>
    <x v="1"/>
  </r>
  <r>
    <x v="84"/>
    <x v="8"/>
    <x v="3"/>
    <x v="349"/>
    <x v="65"/>
    <n v="7"/>
    <x v="1"/>
  </r>
  <r>
    <x v="81"/>
    <x v="3"/>
    <x v="3"/>
    <x v="376"/>
    <x v="68"/>
    <n v="31.23"/>
    <x v="7"/>
  </r>
  <r>
    <x v="81"/>
    <x v="3"/>
    <x v="3"/>
    <x v="376"/>
    <x v="38"/>
    <n v="18"/>
    <x v="7"/>
  </r>
  <r>
    <x v="0"/>
    <x v="0"/>
    <x v="7"/>
    <x v="366"/>
    <x v="52"/>
    <n v="18"/>
    <x v="17"/>
  </r>
  <r>
    <x v="0"/>
    <x v="0"/>
    <x v="7"/>
    <x v="366"/>
    <x v="21"/>
    <n v="55"/>
    <x v="1"/>
  </r>
  <r>
    <x v="80"/>
    <x v="8"/>
    <x v="3"/>
    <x v="377"/>
    <x v="52"/>
    <n v="18"/>
    <x v="26"/>
  </r>
  <r>
    <x v="80"/>
    <x v="8"/>
    <x v="3"/>
    <x v="377"/>
    <x v="39"/>
    <n v="123.79"/>
    <x v="17"/>
  </r>
  <r>
    <x v="49"/>
    <x v="15"/>
    <x v="6"/>
    <x v="373"/>
    <x v="71"/>
    <n v="40"/>
    <x v="12"/>
  </r>
  <r>
    <x v="49"/>
    <x v="15"/>
    <x v="6"/>
    <x v="373"/>
    <x v="39"/>
    <n v="123.79"/>
    <x v="1"/>
  </r>
  <r>
    <x v="49"/>
    <x v="15"/>
    <x v="6"/>
    <x v="373"/>
    <x v="1"/>
    <n v="14"/>
    <x v="31"/>
  </r>
  <r>
    <x v="36"/>
    <x v="12"/>
    <x v="7"/>
    <x v="366"/>
    <x v="15"/>
    <n v="4.5"/>
    <x v="0"/>
  </r>
  <r>
    <x v="36"/>
    <x v="12"/>
    <x v="7"/>
    <x v="366"/>
    <x v="20"/>
    <n v="19"/>
    <x v="27"/>
  </r>
  <r>
    <x v="36"/>
    <x v="12"/>
    <x v="7"/>
    <x v="366"/>
    <x v="11"/>
    <n v="34"/>
    <x v="3"/>
  </r>
  <r>
    <x v="31"/>
    <x v="11"/>
    <x v="7"/>
    <x v="371"/>
    <x v="32"/>
    <n v="30"/>
    <x v="8"/>
  </r>
  <r>
    <x v="31"/>
    <x v="11"/>
    <x v="7"/>
    <x v="371"/>
    <x v="15"/>
    <n v="4.5"/>
    <x v="1"/>
  </r>
  <r>
    <x v="85"/>
    <x v="10"/>
    <x v="3"/>
    <x v="373"/>
    <x v="64"/>
    <n v="13.25"/>
    <x v="4"/>
  </r>
  <r>
    <x v="85"/>
    <x v="10"/>
    <x v="3"/>
    <x v="373"/>
    <x v="42"/>
    <n v="21.5"/>
    <x v="8"/>
  </r>
  <r>
    <x v="17"/>
    <x v="10"/>
    <x v="5"/>
    <x v="369"/>
    <x v="49"/>
    <n v="9.1999999999999993"/>
    <x v="13"/>
  </r>
  <r>
    <x v="17"/>
    <x v="10"/>
    <x v="5"/>
    <x v="369"/>
    <x v="11"/>
    <n v="34"/>
    <x v="20"/>
  </r>
  <r>
    <x v="17"/>
    <x v="10"/>
    <x v="5"/>
    <x v="369"/>
    <x v="42"/>
    <n v="21.5"/>
    <x v="18"/>
  </r>
  <r>
    <x v="28"/>
    <x v="12"/>
    <x v="7"/>
    <x v="366"/>
    <x v="70"/>
    <n v="9"/>
    <x v="1"/>
  </r>
  <r>
    <x v="28"/>
    <x v="12"/>
    <x v="7"/>
    <x v="366"/>
    <x v="1"/>
    <n v="14"/>
    <x v="22"/>
  </r>
  <r>
    <x v="28"/>
    <x v="12"/>
    <x v="7"/>
    <x v="366"/>
    <x v="73"/>
    <n v="9.5"/>
    <x v="8"/>
  </r>
  <r>
    <x v="28"/>
    <x v="12"/>
    <x v="7"/>
    <x v="366"/>
    <x v="56"/>
    <n v="12.5"/>
    <x v="17"/>
  </r>
  <r>
    <x v="66"/>
    <x v="5"/>
    <x v="7"/>
    <x v="377"/>
    <x v="5"/>
    <n v="9.65"/>
    <x v="19"/>
  </r>
  <r>
    <x v="64"/>
    <x v="19"/>
    <x v="7"/>
    <x v="376"/>
    <x v="34"/>
    <n v="25.89"/>
    <x v="6"/>
  </r>
  <r>
    <x v="64"/>
    <x v="19"/>
    <x v="7"/>
    <x v="376"/>
    <x v="23"/>
    <n v="13"/>
    <x v="27"/>
  </r>
  <r>
    <x v="54"/>
    <x v="13"/>
    <x v="4"/>
    <x v="373"/>
    <x v="12"/>
    <n v="12.5"/>
    <x v="6"/>
  </r>
  <r>
    <x v="54"/>
    <x v="13"/>
    <x v="4"/>
    <x v="373"/>
    <x v="20"/>
    <n v="19"/>
    <x v="16"/>
  </r>
  <r>
    <x v="9"/>
    <x v="6"/>
    <x v="4"/>
    <x v="376"/>
    <x v="57"/>
    <n v="10"/>
    <x v="9"/>
  </r>
  <r>
    <x v="9"/>
    <x v="6"/>
    <x v="4"/>
    <x v="376"/>
    <x v="21"/>
    <n v="55"/>
    <x v="46"/>
  </r>
  <r>
    <x v="9"/>
    <x v="6"/>
    <x v="4"/>
    <x v="376"/>
    <x v="30"/>
    <n v="15"/>
    <x v="12"/>
  </r>
  <r>
    <x v="37"/>
    <x v="8"/>
    <x v="2"/>
    <x v="375"/>
    <x v="36"/>
    <n v="38"/>
    <x v="8"/>
  </r>
  <r>
    <x v="37"/>
    <x v="8"/>
    <x v="2"/>
    <x v="375"/>
    <x v="59"/>
    <n v="62.5"/>
    <x v="1"/>
  </r>
  <r>
    <x v="37"/>
    <x v="8"/>
    <x v="2"/>
    <x v="375"/>
    <x v="33"/>
    <n v="38"/>
    <x v="2"/>
  </r>
  <r>
    <x v="67"/>
    <x v="10"/>
    <x v="7"/>
    <x v="375"/>
    <x v="41"/>
    <n v="31"/>
    <x v="23"/>
  </r>
  <r>
    <x v="21"/>
    <x v="10"/>
    <x v="3"/>
    <x v="371"/>
    <x v="18"/>
    <n v="19"/>
    <x v="45"/>
  </r>
  <r>
    <x v="21"/>
    <x v="10"/>
    <x v="3"/>
    <x v="371"/>
    <x v="9"/>
    <n v="81"/>
    <x v="6"/>
  </r>
  <r>
    <x v="21"/>
    <x v="10"/>
    <x v="3"/>
    <x v="371"/>
    <x v="68"/>
    <n v="31.23"/>
    <x v="53"/>
  </r>
  <r>
    <x v="21"/>
    <x v="10"/>
    <x v="3"/>
    <x v="371"/>
    <x v="4"/>
    <n v="53"/>
    <x v="48"/>
  </r>
  <r>
    <x v="21"/>
    <x v="10"/>
    <x v="3"/>
    <x v="371"/>
    <x v="2"/>
    <n v="34.799999999999997"/>
    <x v="5"/>
  </r>
  <r>
    <x v="2"/>
    <x v="1"/>
    <x v="4"/>
    <x v="378"/>
    <x v="49"/>
    <n v="9.1999999999999993"/>
    <x v="5"/>
  </r>
  <r>
    <x v="2"/>
    <x v="1"/>
    <x v="4"/>
    <x v="378"/>
    <x v="60"/>
    <n v="36"/>
    <x v="12"/>
  </r>
  <r>
    <x v="32"/>
    <x v="13"/>
    <x v="5"/>
    <x v="364"/>
    <x v="32"/>
    <n v="30"/>
    <x v="22"/>
  </r>
  <r>
    <x v="32"/>
    <x v="13"/>
    <x v="5"/>
    <x v="364"/>
    <x v="40"/>
    <n v="46"/>
    <x v="12"/>
  </r>
  <r>
    <x v="57"/>
    <x v="13"/>
    <x v="2"/>
    <x v="376"/>
    <x v="68"/>
    <n v="31.23"/>
    <x v="0"/>
  </r>
  <r>
    <x v="57"/>
    <x v="13"/>
    <x v="2"/>
    <x v="376"/>
    <x v="10"/>
    <n v="2.5"/>
    <x v="12"/>
  </r>
  <r>
    <x v="57"/>
    <x v="13"/>
    <x v="2"/>
    <x v="376"/>
    <x v="6"/>
    <n v="21.05"/>
    <x v="11"/>
  </r>
  <r>
    <x v="57"/>
    <x v="13"/>
    <x v="2"/>
    <x v="376"/>
    <x v="42"/>
    <n v="21.5"/>
    <x v="13"/>
  </r>
  <r>
    <x v="16"/>
    <x v="0"/>
    <x v="1"/>
    <x v="364"/>
    <x v="52"/>
    <n v="18"/>
    <x v="1"/>
  </r>
  <r>
    <x v="16"/>
    <x v="0"/>
    <x v="1"/>
    <x v="364"/>
    <x v="43"/>
    <n v="6"/>
    <x v="8"/>
  </r>
  <r>
    <x v="70"/>
    <x v="11"/>
    <x v="2"/>
    <x v="379"/>
    <x v="59"/>
    <n v="62.5"/>
    <x v="26"/>
  </r>
  <r>
    <x v="70"/>
    <x v="11"/>
    <x v="2"/>
    <x v="379"/>
    <x v="4"/>
    <n v="53"/>
    <x v="1"/>
  </r>
  <r>
    <x v="65"/>
    <x v="16"/>
    <x v="5"/>
    <x v="376"/>
    <x v="15"/>
    <n v="4.5"/>
    <x v="12"/>
  </r>
  <r>
    <x v="65"/>
    <x v="16"/>
    <x v="5"/>
    <x v="376"/>
    <x v="29"/>
    <n v="49.3"/>
    <x v="11"/>
  </r>
  <r>
    <x v="43"/>
    <x v="10"/>
    <x v="7"/>
    <x v="380"/>
    <x v="16"/>
    <n v="24"/>
    <x v="5"/>
  </r>
  <r>
    <x v="43"/>
    <x v="10"/>
    <x v="7"/>
    <x v="380"/>
    <x v="21"/>
    <n v="55"/>
    <x v="23"/>
  </r>
  <r>
    <x v="5"/>
    <x v="4"/>
    <x v="2"/>
    <x v="381"/>
    <x v="33"/>
    <n v="38"/>
    <x v="8"/>
  </r>
  <r>
    <x v="5"/>
    <x v="4"/>
    <x v="2"/>
    <x v="381"/>
    <x v="46"/>
    <n v="43.9"/>
    <x v="0"/>
  </r>
  <r>
    <x v="44"/>
    <x v="8"/>
    <x v="8"/>
    <x v="381"/>
    <x v="18"/>
    <n v="19"/>
    <x v="30"/>
  </r>
  <r>
    <x v="44"/>
    <x v="8"/>
    <x v="8"/>
    <x v="381"/>
    <x v="25"/>
    <n v="21.35"/>
    <x v="21"/>
  </r>
  <r>
    <x v="44"/>
    <x v="8"/>
    <x v="8"/>
    <x v="381"/>
    <x v="39"/>
    <n v="123.79"/>
    <x v="18"/>
  </r>
  <r>
    <x v="44"/>
    <x v="8"/>
    <x v="8"/>
    <x v="381"/>
    <x v="21"/>
    <n v="55"/>
    <x v="30"/>
  </r>
  <r>
    <x v="44"/>
    <x v="8"/>
    <x v="1"/>
    <x v="364"/>
    <x v="52"/>
    <n v="18"/>
    <x v="29"/>
  </r>
  <r>
    <x v="44"/>
    <x v="8"/>
    <x v="1"/>
    <x v="364"/>
    <x v="43"/>
    <n v="6"/>
    <x v="32"/>
  </r>
  <r>
    <x v="44"/>
    <x v="8"/>
    <x v="1"/>
    <x v="364"/>
    <x v="15"/>
    <n v="4.5"/>
    <x v="11"/>
  </r>
  <r>
    <x v="44"/>
    <x v="8"/>
    <x v="1"/>
    <x v="364"/>
    <x v="58"/>
    <n v="33.25"/>
    <x v="8"/>
  </r>
  <r>
    <x v="44"/>
    <x v="8"/>
    <x v="1"/>
    <x v="364"/>
    <x v="42"/>
    <n v="21.5"/>
    <x v="16"/>
  </r>
  <r>
    <x v="19"/>
    <x v="8"/>
    <x v="7"/>
    <x v="367"/>
    <x v="20"/>
    <n v="19"/>
    <x v="5"/>
  </r>
  <r>
    <x v="19"/>
    <x v="8"/>
    <x v="7"/>
    <x v="367"/>
    <x v="67"/>
    <n v="263.5"/>
    <x v="9"/>
  </r>
  <r>
    <x v="19"/>
    <x v="8"/>
    <x v="7"/>
    <x v="367"/>
    <x v="21"/>
    <n v="55"/>
    <x v="12"/>
  </r>
  <r>
    <x v="6"/>
    <x v="4"/>
    <x v="8"/>
    <x v="367"/>
    <x v="22"/>
    <n v="32.799999999999997"/>
    <x v="21"/>
  </r>
  <r>
    <x v="6"/>
    <x v="4"/>
    <x v="8"/>
    <x v="367"/>
    <x v="60"/>
    <n v="36"/>
    <x v="20"/>
  </r>
  <r>
    <x v="11"/>
    <x v="8"/>
    <x v="6"/>
    <x v="381"/>
    <x v="27"/>
    <n v="10"/>
    <x v="6"/>
  </r>
  <r>
    <x v="11"/>
    <x v="8"/>
    <x v="6"/>
    <x v="381"/>
    <x v="45"/>
    <n v="19.45"/>
    <x v="0"/>
  </r>
  <r>
    <x v="11"/>
    <x v="8"/>
    <x v="6"/>
    <x v="381"/>
    <x v="75"/>
    <n v="28.5"/>
    <x v="7"/>
  </r>
  <r>
    <x v="4"/>
    <x v="3"/>
    <x v="7"/>
    <x v="364"/>
    <x v="52"/>
    <n v="18"/>
    <x v="1"/>
  </r>
  <r>
    <x v="4"/>
    <x v="3"/>
    <x v="7"/>
    <x v="364"/>
    <x v="31"/>
    <n v="18"/>
    <x v="18"/>
  </r>
  <r>
    <x v="4"/>
    <x v="3"/>
    <x v="7"/>
    <x v="364"/>
    <x v="1"/>
    <n v="14"/>
    <x v="12"/>
  </r>
  <r>
    <x v="4"/>
    <x v="3"/>
    <x v="7"/>
    <x v="364"/>
    <x v="55"/>
    <n v="7.45"/>
    <x v="1"/>
  </r>
  <r>
    <x v="56"/>
    <x v="10"/>
    <x v="6"/>
    <x v="380"/>
    <x v="43"/>
    <n v="6"/>
    <x v="25"/>
  </r>
  <r>
    <x v="56"/>
    <x v="10"/>
    <x v="6"/>
    <x v="380"/>
    <x v="21"/>
    <n v="55"/>
    <x v="12"/>
  </r>
  <r>
    <x v="36"/>
    <x v="12"/>
    <x v="8"/>
    <x v="381"/>
    <x v="30"/>
    <n v="15"/>
    <x v="22"/>
  </r>
  <r>
    <x v="4"/>
    <x v="3"/>
    <x v="5"/>
    <x v="382"/>
    <x v="37"/>
    <n v="18.399999999999999"/>
    <x v="2"/>
  </r>
  <r>
    <x v="4"/>
    <x v="3"/>
    <x v="5"/>
    <x v="382"/>
    <x v="65"/>
    <n v="7"/>
    <x v="17"/>
  </r>
  <r>
    <x v="4"/>
    <x v="3"/>
    <x v="5"/>
    <x v="382"/>
    <x v="42"/>
    <n v="21.5"/>
    <x v="12"/>
  </r>
  <r>
    <x v="5"/>
    <x v="4"/>
    <x v="3"/>
    <x v="379"/>
    <x v="18"/>
    <n v="19"/>
    <x v="12"/>
  </r>
  <r>
    <x v="5"/>
    <x v="4"/>
    <x v="3"/>
    <x v="379"/>
    <x v="46"/>
    <n v="43.9"/>
    <x v="12"/>
  </r>
  <r>
    <x v="33"/>
    <x v="1"/>
    <x v="7"/>
    <x v="383"/>
    <x v="45"/>
    <n v="19.45"/>
    <x v="6"/>
  </r>
  <r>
    <x v="33"/>
    <x v="1"/>
    <x v="7"/>
    <x v="383"/>
    <x v="75"/>
    <n v="28.5"/>
    <x v="22"/>
  </r>
  <r>
    <x v="87"/>
    <x v="2"/>
    <x v="0"/>
    <x v="384"/>
    <x v="0"/>
    <n v="21"/>
    <x v="1"/>
  </r>
  <r>
    <x v="62"/>
    <x v="18"/>
    <x v="2"/>
    <x v="383"/>
    <x v="29"/>
    <n v="49.3"/>
    <x v="0"/>
  </r>
  <r>
    <x v="35"/>
    <x v="10"/>
    <x v="6"/>
    <x v="364"/>
    <x v="36"/>
    <n v="38"/>
    <x v="8"/>
  </r>
  <r>
    <x v="35"/>
    <x v="10"/>
    <x v="6"/>
    <x v="364"/>
    <x v="26"/>
    <n v="32"/>
    <x v="6"/>
  </r>
  <r>
    <x v="35"/>
    <x v="10"/>
    <x v="6"/>
    <x v="364"/>
    <x v="31"/>
    <n v="18"/>
    <x v="27"/>
  </r>
  <r>
    <x v="57"/>
    <x v="13"/>
    <x v="8"/>
    <x v="383"/>
    <x v="52"/>
    <n v="18"/>
    <x v="9"/>
  </r>
  <r>
    <x v="57"/>
    <x v="13"/>
    <x v="8"/>
    <x v="383"/>
    <x v="25"/>
    <n v="21.35"/>
    <x v="12"/>
  </r>
  <r>
    <x v="65"/>
    <x v="16"/>
    <x v="8"/>
    <x v="382"/>
    <x v="56"/>
    <n v="12.5"/>
    <x v="10"/>
  </r>
  <r>
    <x v="71"/>
    <x v="1"/>
    <x v="3"/>
    <x v="378"/>
    <x v="18"/>
    <n v="19"/>
    <x v="1"/>
  </r>
  <r>
    <x v="71"/>
    <x v="1"/>
    <x v="3"/>
    <x v="378"/>
    <x v="36"/>
    <n v="38"/>
    <x v="22"/>
  </r>
  <r>
    <x v="14"/>
    <x v="9"/>
    <x v="6"/>
    <x v="385"/>
    <x v="38"/>
    <n v="18"/>
    <x v="13"/>
  </r>
  <r>
    <x v="2"/>
    <x v="1"/>
    <x v="3"/>
    <x v="383"/>
    <x v="40"/>
    <n v="46"/>
    <x v="12"/>
  </r>
  <r>
    <x v="2"/>
    <x v="1"/>
    <x v="3"/>
    <x v="383"/>
    <x v="75"/>
    <n v="28.5"/>
    <x v="1"/>
  </r>
  <r>
    <x v="53"/>
    <x v="6"/>
    <x v="7"/>
    <x v="384"/>
    <x v="59"/>
    <n v="62.5"/>
    <x v="5"/>
  </r>
  <r>
    <x v="53"/>
    <x v="6"/>
    <x v="7"/>
    <x v="384"/>
    <x v="26"/>
    <n v="32"/>
    <x v="8"/>
  </r>
  <r>
    <x v="53"/>
    <x v="6"/>
    <x v="7"/>
    <x v="384"/>
    <x v="58"/>
    <n v="33.25"/>
    <x v="9"/>
  </r>
  <r>
    <x v="8"/>
    <x v="5"/>
    <x v="8"/>
    <x v="385"/>
    <x v="15"/>
    <n v="4.5"/>
    <x v="6"/>
  </r>
  <r>
    <x v="8"/>
    <x v="5"/>
    <x v="8"/>
    <x v="385"/>
    <x v="66"/>
    <n v="14"/>
    <x v="6"/>
  </r>
  <r>
    <x v="8"/>
    <x v="5"/>
    <x v="8"/>
    <x v="385"/>
    <x v="4"/>
    <n v="53"/>
    <x v="8"/>
  </r>
  <r>
    <x v="8"/>
    <x v="5"/>
    <x v="8"/>
    <x v="385"/>
    <x v="8"/>
    <n v="19.5"/>
    <x v="8"/>
  </r>
  <r>
    <x v="57"/>
    <x v="13"/>
    <x v="6"/>
    <x v="383"/>
    <x v="32"/>
    <n v="30"/>
    <x v="4"/>
  </r>
  <r>
    <x v="57"/>
    <x v="13"/>
    <x v="6"/>
    <x v="383"/>
    <x v="16"/>
    <n v="24"/>
    <x v="5"/>
  </r>
  <r>
    <x v="57"/>
    <x v="13"/>
    <x v="6"/>
    <x v="383"/>
    <x v="11"/>
    <n v="34"/>
    <x v="13"/>
  </r>
  <r>
    <x v="78"/>
    <x v="13"/>
    <x v="3"/>
    <x v="383"/>
    <x v="30"/>
    <n v="15"/>
    <x v="28"/>
  </r>
  <r>
    <x v="70"/>
    <x v="11"/>
    <x v="7"/>
    <x v="378"/>
    <x v="11"/>
    <n v="34"/>
    <x v="22"/>
  </r>
  <r>
    <x v="70"/>
    <x v="11"/>
    <x v="7"/>
    <x v="378"/>
    <x v="23"/>
    <n v="13"/>
    <x v="1"/>
  </r>
  <r>
    <x v="34"/>
    <x v="14"/>
    <x v="3"/>
    <x v="386"/>
    <x v="53"/>
    <n v="14"/>
    <x v="12"/>
  </r>
  <r>
    <x v="34"/>
    <x v="14"/>
    <x v="3"/>
    <x v="386"/>
    <x v="37"/>
    <n v="18.399999999999999"/>
    <x v="4"/>
  </r>
  <r>
    <x v="34"/>
    <x v="14"/>
    <x v="3"/>
    <x v="386"/>
    <x v="5"/>
    <n v="9.65"/>
    <x v="12"/>
  </r>
  <r>
    <x v="44"/>
    <x v="8"/>
    <x v="5"/>
    <x v="378"/>
    <x v="35"/>
    <n v="39"/>
    <x v="36"/>
  </r>
  <r>
    <x v="44"/>
    <x v="8"/>
    <x v="5"/>
    <x v="378"/>
    <x v="5"/>
    <n v="9.65"/>
    <x v="0"/>
  </r>
  <r>
    <x v="44"/>
    <x v="8"/>
    <x v="5"/>
    <x v="378"/>
    <x v="22"/>
    <n v="32.799999999999997"/>
    <x v="9"/>
  </r>
  <r>
    <x v="44"/>
    <x v="8"/>
    <x v="5"/>
    <x v="378"/>
    <x v="16"/>
    <n v="24"/>
    <x v="22"/>
  </r>
  <r>
    <x v="44"/>
    <x v="8"/>
    <x v="5"/>
    <x v="378"/>
    <x v="56"/>
    <n v="12.5"/>
    <x v="38"/>
  </r>
  <r>
    <x v="19"/>
    <x v="8"/>
    <x v="8"/>
    <x v="378"/>
    <x v="19"/>
    <n v="17.45"/>
    <x v="28"/>
  </r>
  <r>
    <x v="19"/>
    <x v="8"/>
    <x v="8"/>
    <x v="378"/>
    <x v="49"/>
    <n v="9.1999999999999993"/>
    <x v="10"/>
  </r>
  <r>
    <x v="19"/>
    <x v="8"/>
    <x v="8"/>
    <x v="378"/>
    <x v="53"/>
    <n v="14"/>
    <x v="5"/>
  </r>
  <r>
    <x v="56"/>
    <x v="10"/>
    <x v="5"/>
    <x v="386"/>
    <x v="5"/>
    <n v="9.65"/>
    <x v="3"/>
  </r>
  <r>
    <x v="24"/>
    <x v="7"/>
    <x v="5"/>
    <x v="386"/>
    <x v="13"/>
    <n v="1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F880A-C0EC-476F-8D84-2170360CC5C0}" name="TablaDiná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B83" firstHeaderRow="1" firstDataRow="3" firstDataCol="1"/>
  <pivotFields count="11">
    <pivotField showAll="0"/>
    <pivotField showAll="0"/>
    <pivotField showAll="0">
      <items count="10">
        <item x="7"/>
        <item x="4"/>
        <item x="3"/>
        <item x="6"/>
        <item x="2"/>
        <item x="1"/>
        <item x="5"/>
        <item x="8"/>
        <item x="0"/>
        <item t="default"/>
      </items>
    </pivotField>
    <pivotField numFmtId="166" showAll="0">
      <items count="388">
        <item x="1"/>
        <item x="4"/>
        <item x="2"/>
        <item x="3"/>
        <item x="0"/>
        <item x="6"/>
        <item x="7"/>
        <item x="5"/>
        <item x="8"/>
        <item x="9"/>
        <item x="10"/>
        <item x="11"/>
        <item x="15"/>
        <item x="14"/>
        <item x="16"/>
        <item x="13"/>
        <item x="20"/>
        <item x="19"/>
        <item x="18"/>
        <item x="22"/>
        <item x="12"/>
        <item x="24"/>
        <item x="23"/>
        <item x="25"/>
        <item x="17"/>
        <item x="28"/>
        <item x="26"/>
        <item x="27"/>
        <item x="30"/>
        <item x="31"/>
        <item x="29"/>
        <item x="21"/>
        <item x="32"/>
        <item x="34"/>
        <item x="33"/>
        <item x="36"/>
        <item x="38"/>
        <item x="37"/>
        <item x="41"/>
        <item x="40"/>
        <item x="42"/>
        <item x="43"/>
        <item x="44"/>
        <item x="35"/>
        <item x="45"/>
        <item x="46"/>
        <item x="48"/>
        <item x="49"/>
        <item x="47"/>
        <item x="51"/>
        <item x="39"/>
        <item x="53"/>
        <item x="52"/>
        <item x="50"/>
        <item x="54"/>
        <item x="55"/>
        <item x="57"/>
        <item x="58"/>
        <item x="56"/>
        <item x="59"/>
        <item x="60"/>
        <item x="63"/>
        <item x="62"/>
        <item x="64"/>
        <item x="67"/>
        <item x="65"/>
        <item x="68"/>
        <item x="66"/>
        <item x="61"/>
        <item x="69"/>
        <item x="71"/>
        <item x="74"/>
        <item x="75"/>
        <item x="78"/>
        <item x="79"/>
        <item x="76"/>
        <item x="80"/>
        <item x="81"/>
        <item x="73"/>
        <item x="82"/>
        <item x="83"/>
        <item x="72"/>
        <item x="70"/>
        <item x="84"/>
        <item x="85"/>
        <item x="88"/>
        <item x="86"/>
        <item x="87"/>
        <item x="90"/>
        <item x="89"/>
        <item x="91"/>
        <item x="93"/>
        <item x="95"/>
        <item x="96"/>
        <item x="77"/>
        <item x="98"/>
        <item x="97"/>
        <item x="92"/>
        <item x="99"/>
        <item x="100"/>
        <item x="101"/>
        <item x="94"/>
        <item x="102"/>
        <item x="109"/>
        <item x="107"/>
        <item x="105"/>
        <item x="108"/>
        <item x="114"/>
        <item x="112"/>
        <item x="113"/>
        <item x="111"/>
        <item x="104"/>
        <item x="117"/>
        <item x="120"/>
        <item x="119"/>
        <item x="118"/>
        <item x="103"/>
        <item x="126"/>
        <item x="125"/>
        <item x="122"/>
        <item x="115"/>
        <item x="106"/>
        <item x="110"/>
        <item x="127"/>
        <item x="129"/>
        <item x="121"/>
        <item x="123"/>
        <item x="124"/>
        <item x="130"/>
        <item x="116"/>
        <item x="128"/>
        <item x="131"/>
        <item x="132"/>
        <item x="134"/>
        <item x="135"/>
        <item x="136"/>
        <item x="142"/>
        <item x="140"/>
        <item x="139"/>
        <item x="141"/>
        <item x="144"/>
        <item x="133"/>
        <item x="147"/>
        <item x="145"/>
        <item x="143"/>
        <item x="137"/>
        <item x="146"/>
        <item x="148"/>
        <item x="149"/>
        <item x="151"/>
        <item x="152"/>
        <item x="154"/>
        <item x="157"/>
        <item x="138"/>
        <item x="156"/>
        <item x="150"/>
        <item x="160"/>
        <item x="153"/>
        <item x="161"/>
        <item x="162"/>
        <item x="164"/>
        <item x="166"/>
        <item x="167"/>
        <item x="155"/>
        <item x="170"/>
        <item x="165"/>
        <item x="158"/>
        <item x="168"/>
        <item x="171"/>
        <item x="169"/>
        <item x="159"/>
        <item x="175"/>
        <item x="177"/>
        <item x="174"/>
        <item x="163"/>
        <item x="178"/>
        <item x="180"/>
        <item x="181"/>
        <item x="179"/>
        <item x="172"/>
        <item x="183"/>
        <item x="182"/>
        <item x="184"/>
        <item x="173"/>
        <item x="186"/>
        <item x="188"/>
        <item x="187"/>
        <item x="191"/>
        <item x="194"/>
        <item x="185"/>
        <item x="193"/>
        <item x="176"/>
        <item x="195"/>
        <item x="197"/>
        <item x="198"/>
        <item x="192"/>
        <item x="189"/>
        <item x="200"/>
        <item x="190"/>
        <item x="199"/>
        <item x="201"/>
        <item x="204"/>
        <item x="205"/>
        <item x="206"/>
        <item x="196"/>
        <item x="208"/>
        <item x="211"/>
        <item x="209"/>
        <item x="210"/>
        <item x="214"/>
        <item x="213"/>
        <item x="212"/>
        <item x="215"/>
        <item x="207"/>
        <item x="217"/>
        <item x="203"/>
        <item x="202"/>
        <item x="216"/>
        <item x="221"/>
        <item x="222"/>
        <item x="218"/>
        <item x="219"/>
        <item x="220"/>
        <item x="223"/>
        <item x="225"/>
        <item x="226"/>
        <item x="231"/>
        <item x="224"/>
        <item x="228"/>
        <item x="229"/>
        <item x="227"/>
        <item x="233"/>
        <item x="230"/>
        <item x="235"/>
        <item x="232"/>
        <item x="236"/>
        <item x="240"/>
        <item x="238"/>
        <item x="234"/>
        <item x="241"/>
        <item x="242"/>
        <item x="243"/>
        <item x="244"/>
        <item x="246"/>
        <item x="245"/>
        <item x="248"/>
        <item x="239"/>
        <item x="251"/>
        <item x="249"/>
        <item x="255"/>
        <item x="254"/>
        <item x="253"/>
        <item x="256"/>
        <item x="237"/>
        <item x="247"/>
        <item x="257"/>
        <item x="259"/>
        <item x="258"/>
        <item x="252"/>
        <item x="262"/>
        <item x="267"/>
        <item x="268"/>
        <item x="265"/>
        <item x="250"/>
        <item x="266"/>
        <item x="269"/>
        <item x="263"/>
        <item x="260"/>
        <item x="274"/>
        <item x="272"/>
        <item x="275"/>
        <item x="273"/>
        <item x="277"/>
        <item x="261"/>
        <item x="264"/>
        <item x="276"/>
        <item x="278"/>
        <item x="270"/>
        <item x="280"/>
        <item x="279"/>
        <item x="281"/>
        <item x="284"/>
        <item x="283"/>
        <item x="286"/>
        <item x="271"/>
        <item x="289"/>
        <item x="290"/>
        <item x="288"/>
        <item x="287"/>
        <item x="285"/>
        <item x="293"/>
        <item x="291"/>
        <item x="295"/>
        <item x="282"/>
        <item x="300"/>
        <item x="301"/>
        <item x="297"/>
        <item x="299"/>
        <item x="294"/>
        <item x="303"/>
        <item x="304"/>
        <item x="292"/>
        <item x="307"/>
        <item x="308"/>
        <item x="309"/>
        <item x="305"/>
        <item x="310"/>
        <item x="312"/>
        <item x="314"/>
        <item x="298"/>
        <item x="316"/>
        <item x="315"/>
        <item x="302"/>
        <item x="306"/>
        <item x="296"/>
        <item x="319"/>
        <item x="318"/>
        <item x="322"/>
        <item x="321"/>
        <item x="311"/>
        <item x="324"/>
        <item x="325"/>
        <item x="313"/>
        <item x="326"/>
        <item x="317"/>
        <item x="328"/>
        <item x="323"/>
        <item x="330"/>
        <item x="329"/>
        <item x="332"/>
        <item x="320"/>
        <item x="327"/>
        <item x="335"/>
        <item x="334"/>
        <item x="336"/>
        <item x="331"/>
        <item x="339"/>
        <item x="341"/>
        <item x="338"/>
        <item x="337"/>
        <item x="333"/>
        <item x="342"/>
        <item x="344"/>
        <item x="340"/>
        <item x="346"/>
        <item x="343"/>
        <item x="347"/>
        <item x="350"/>
        <item x="348"/>
        <item x="353"/>
        <item x="356"/>
        <item x="345"/>
        <item x="351"/>
        <item x="355"/>
        <item x="354"/>
        <item x="352"/>
        <item x="358"/>
        <item x="361"/>
        <item x="359"/>
        <item x="360"/>
        <item x="368"/>
        <item x="363"/>
        <item x="362"/>
        <item x="365"/>
        <item x="370"/>
        <item x="357"/>
        <item x="349"/>
        <item x="372"/>
        <item x="366"/>
        <item x="373"/>
        <item x="374"/>
        <item x="377"/>
        <item x="375"/>
        <item x="369"/>
        <item x="376"/>
        <item x="371"/>
        <item x="380"/>
        <item x="367"/>
        <item x="364"/>
        <item x="381"/>
        <item x="379"/>
        <item x="384"/>
        <item x="382"/>
        <item x="383"/>
        <item x="378"/>
        <item x="385"/>
        <item x="386"/>
        <item t="default"/>
      </items>
    </pivotField>
    <pivotField axis="axisRow" showAll="0">
      <items count="78">
        <item x="35"/>
        <item x="57"/>
        <item x="37"/>
        <item x="11"/>
        <item x="59"/>
        <item x="52"/>
        <item x="18"/>
        <item x="13"/>
        <item x="62"/>
        <item x="25"/>
        <item x="74"/>
        <item x="67"/>
        <item x="64"/>
        <item x="65"/>
        <item x="42"/>
        <item x="10"/>
        <item x="50"/>
        <item x="33"/>
        <item x="12"/>
        <item x="63"/>
        <item x="28"/>
        <item x="15"/>
        <item x="60"/>
        <item x="45"/>
        <item x="68"/>
        <item x="7"/>
        <item x="41"/>
        <item x="20"/>
        <item x="40"/>
        <item x="5"/>
        <item x="43"/>
        <item x="38"/>
        <item x="51"/>
        <item x="17"/>
        <item x="6"/>
        <item x="61"/>
        <item x="4"/>
        <item x="26"/>
        <item x="14"/>
        <item x="76"/>
        <item x="2"/>
        <item x="34"/>
        <item x="71"/>
        <item x="66"/>
        <item x="23"/>
        <item x="30"/>
        <item x="16"/>
        <item x="19"/>
        <item x="22"/>
        <item x="0"/>
        <item x="36"/>
        <item x="21"/>
        <item x="8"/>
        <item x="48"/>
        <item x="47"/>
        <item x="73"/>
        <item x="44"/>
        <item x="53"/>
        <item x="24"/>
        <item x="56"/>
        <item x="1"/>
        <item x="9"/>
        <item x="27"/>
        <item x="75"/>
        <item x="54"/>
        <item x="31"/>
        <item x="29"/>
        <item x="49"/>
        <item x="39"/>
        <item x="3"/>
        <item x="55"/>
        <item x="70"/>
        <item x="32"/>
        <item x="72"/>
        <item x="46"/>
        <item x="58"/>
        <item x="69"/>
        <item t="default"/>
      </items>
    </pivotField>
    <pivotField numFmtId="165" showAll="0"/>
    <pivotField dataField="1"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dragToRow="0" dragToCol="0" dragToPage="0" showAll="0" defaultSubtotal="0"/>
  </pivotFields>
  <rowFields count="1">
    <field x="4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2">
    <field x="8"/>
    <field x="7"/>
  </colFields>
  <colItems count="27">
    <i>
      <x v="1"/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t="default">
      <x v="3"/>
    </i>
    <i t="grand">
      <x/>
    </i>
  </colItems>
  <dataFields count="1">
    <dataField name="Promedio de Cantidad" fld="6" subtotal="average" baseField="4" baseItem="2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36DA7-AE9F-4225-BB97-1D8B2914DFA7}" name="TablaDinámica2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W17" firstHeaderRow="1" firstDataRow="2" firstDataCol="1"/>
  <pivotFields count="11">
    <pivotField showAll="0"/>
    <pivotField axis="axisCol" showAll="0">
      <items count="22">
        <item x="20"/>
        <item x="6"/>
        <item x="3"/>
        <item x="1"/>
        <item x="16"/>
        <item x="17"/>
        <item x="0"/>
        <item x="2"/>
        <item x="10"/>
        <item x="14"/>
        <item x="11"/>
        <item x="7"/>
        <item x="19"/>
        <item x="18"/>
        <item x="15"/>
        <item x="12"/>
        <item x="9"/>
        <item x="4"/>
        <item x="13"/>
        <item x="8"/>
        <item x="5"/>
        <item t="default"/>
      </items>
    </pivotField>
    <pivotField axis="axisRow" showAll="0" sortType="ascending">
      <items count="10">
        <item x="7"/>
        <item x="4"/>
        <item x="3"/>
        <item x="6"/>
        <item x="2"/>
        <item x="1"/>
        <item x="5"/>
        <item x="8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numFmtId="166" showAll="0">
      <items count="388">
        <item x="1"/>
        <item x="4"/>
        <item x="2"/>
        <item x="3"/>
        <item x="0"/>
        <item x="6"/>
        <item x="7"/>
        <item x="5"/>
        <item x="8"/>
        <item x="9"/>
        <item x="10"/>
        <item x="11"/>
        <item x="15"/>
        <item x="14"/>
        <item x="16"/>
        <item x="13"/>
        <item x="20"/>
        <item x="19"/>
        <item x="18"/>
        <item x="22"/>
        <item x="12"/>
        <item x="24"/>
        <item x="23"/>
        <item x="25"/>
        <item x="17"/>
        <item x="28"/>
        <item x="26"/>
        <item x="27"/>
        <item x="30"/>
        <item x="31"/>
        <item x="29"/>
        <item x="21"/>
        <item x="32"/>
        <item x="34"/>
        <item x="33"/>
        <item x="36"/>
        <item x="38"/>
        <item x="37"/>
        <item x="41"/>
        <item x="40"/>
        <item x="42"/>
        <item x="43"/>
        <item x="44"/>
        <item x="35"/>
        <item x="45"/>
        <item x="46"/>
        <item x="48"/>
        <item x="49"/>
        <item x="47"/>
        <item x="51"/>
        <item x="39"/>
        <item x="53"/>
        <item x="52"/>
        <item x="50"/>
        <item x="54"/>
        <item x="55"/>
        <item x="57"/>
        <item x="58"/>
        <item x="56"/>
        <item x="59"/>
        <item x="60"/>
        <item x="63"/>
        <item x="62"/>
        <item x="64"/>
        <item x="67"/>
        <item x="65"/>
        <item x="68"/>
        <item x="66"/>
        <item x="61"/>
        <item x="69"/>
        <item x="71"/>
        <item x="74"/>
        <item x="75"/>
        <item x="78"/>
        <item x="79"/>
        <item x="76"/>
        <item x="80"/>
        <item x="81"/>
        <item x="73"/>
        <item x="82"/>
        <item x="83"/>
        <item x="72"/>
        <item x="70"/>
        <item x="84"/>
        <item x="85"/>
        <item x="88"/>
        <item x="86"/>
        <item x="87"/>
        <item x="90"/>
        <item x="89"/>
        <item x="91"/>
        <item x="93"/>
        <item x="95"/>
        <item x="96"/>
        <item x="77"/>
        <item x="98"/>
        <item x="97"/>
        <item x="92"/>
        <item x="99"/>
        <item x="100"/>
        <item x="101"/>
        <item x="94"/>
        <item x="102"/>
        <item x="109"/>
        <item x="107"/>
        <item x="105"/>
        <item x="108"/>
        <item x="114"/>
        <item x="112"/>
        <item x="113"/>
        <item x="111"/>
        <item x="104"/>
        <item x="117"/>
        <item x="120"/>
        <item x="119"/>
        <item x="118"/>
        <item x="103"/>
        <item x="126"/>
        <item x="125"/>
        <item x="122"/>
        <item x="115"/>
        <item x="106"/>
        <item x="110"/>
        <item x="127"/>
        <item x="129"/>
        <item x="121"/>
        <item x="123"/>
        <item x="124"/>
        <item x="130"/>
        <item x="116"/>
        <item x="128"/>
        <item x="131"/>
        <item x="132"/>
        <item x="134"/>
        <item x="135"/>
        <item x="136"/>
        <item x="142"/>
        <item x="140"/>
        <item x="139"/>
        <item x="141"/>
        <item x="144"/>
        <item x="133"/>
        <item x="147"/>
        <item x="145"/>
        <item x="143"/>
        <item x="137"/>
        <item x="146"/>
        <item x="148"/>
        <item x="149"/>
        <item x="151"/>
        <item x="152"/>
        <item x="154"/>
        <item x="157"/>
        <item x="138"/>
        <item x="156"/>
        <item x="150"/>
        <item x="160"/>
        <item x="153"/>
        <item x="161"/>
        <item x="162"/>
        <item x="164"/>
        <item x="166"/>
        <item x="167"/>
        <item x="155"/>
        <item x="170"/>
        <item x="165"/>
        <item x="158"/>
        <item x="168"/>
        <item x="171"/>
        <item x="169"/>
        <item x="159"/>
        <item x="175"/>
        <item x="177"/>
        <item x="174"/>
        <item x="163"/>
        <item x="178"/>
        <item x="180"/>
        <item x="181"/>
        <item x="179"/>
        <item x="172"/>
        <item x="183"/>
        <item x="182"/>
        <item x="184"/>
        <item x="173"/>
        <item x="186"/>
        <item x="188"/>
        <item x="187"/>
        <item x="191"/>
        <item x="194"/>
        <item x="185"/>
        <item x="193"/>
        <item x="176"/>
        <item x="195"/>
        <item x="197"/>
        <item x="198"/>
        <item x="192"/>
        <item x="189"/>
        <item x="200"/>
        <item x="190"/>
        <item x="199"/>
        <item x="201"/>
        <item x="204"/>
        <item x="205"/>
        <item x="206"/>
        <item x="196"/>
        <item x="208"/>
        <item x="211"/>
        <item x="209"/>
        <item x="210"/>
        <item x="214"/>
        <item x="213"/>
        <item x="212"/>
        <item x="215"/>
        <item x="207"/>
        <item x="217"/>
        <item x="203"/>
        <item x="202"/>
        <item x="216"/>
        <item x="221"/>
        <item x="222"/>
        <item x="218"/>
        <item x="219"/>
        <item x="220"/>
        <item x="223"/>
        <item x="225"/>
        <item x="226"/>
        <item x="231"/>
        <item x="224"/>
        <item x="228"/>
        <item x="229"/>
        <item x="227"/>
        <item x="233"/>
        <item x="230"/>
        <item x="235"/>
        <item x="232"/>
        <item x="236"/>
        <item x="240"/>
        <item x="238"/>
        <item x="234"/>
        <item x="241"/>
        <item x="242"/>
        <item x="243"/>
        <item x="244"/>
        <item x="246"/>
        <item x="245"/>
        <item x="248"/>
        <item x="239"/>
        <item x="251"/>
        <item x="249"/>
        <item x="255"/>
        <item x="254"/>
        <item x="253"/>
        <item x="256"/>
        <item x="237"/>
        <item x="247"/>
        <item x="257"/>
        <item x="259"/>
        <item x="258"/>
        <item x="252"/>
        <item x="262"/>
        <item x="267"/>
        <item x="268"/>
        <item x="265"/>
        <item x="250"/>
        <item x="266"/>
        <item x="269"/>
        <item x="263"/>
        <item x="260"/>
        <item x="274"/>
        <item x="272"/>
        <item x="275"/>
        <item x="273"/>
        <item x="277"/>
        <item x="261"/>
        <item x="264"/>
        <item x="276"/>
        <item x="278"/>
        <item x="270"/>
        <item x="280"/>
        <item x="279"/>
        <item x="281"/>
        <item x="284"/>
        <item x="283"/>
        <item x="286"/>
        <item x="271"/>
        <item x="289"/>
        <item x="290"/>
        <item x="288"/>
        <item x="287"/>
        <item x="285"/>
        <item x="293"/>
        <item x="291"/>
        <item x="295"/>
        <item x="282"/>
        <item x="300"/>
        <item x="301"/>
        <item x="297"/>
        <item x="299"/>
        <item x="294"/>
        <item x="303"/>
        <item x="304"/>
        <item x="292"/>
        <item x="307"/>
        <item x="308"/>
        <item x="309"/>
        <item x="305"/>
        <item x="310"/>
        <item x="312"/>
        <item x="314"/>
        <item x="298"/>
        <item x="316"/>
        <item x="315"/>
        <item x="302"/>
        <item x="306"/>
        <item x="296"/>
        <item x="319"/>
        <item x="318"/>
        <item x="322"/>
        <item x="321"/>
        <item x="311"/>
        <item x="324"/>
        <item x="325"/>
        <item x="313"/>
        <item x="326"/>
        <item x="317"/>
        <item x="328"/>
        <item x="323"/>
        <item x="330"/>
        <item x="329"/>
        <item x="332"/>
        <item x="320"/>
        <item x="327"/>
        <item x="335"/>
        <item x="334"/>
        <item x="336"/>
        <item x="331"/>
        <item x="339"/>
        <item x="341"/>
        <item x="338"/>
        <item x="337"/>
        <item x="333"/>
        <item x="342"/>
        <item x="344"/>
        <item x="340"/>
        <item x="346"/>
        <item x="343"/>
        <item x="347"/>
        <item x="350"/>
        <item x="348"/>
        <item x="353"/>
        <item x="356"/>
        <item x="345"/>
        <item x="351"/>
        <item x="355"/>
        <item x="354"/>
        <item x="352"/>
        <item x="358"/>
        <item x="361"/>
        <item x="359"/>
        <item x="360"/>
        <item x="368"/>
        <item x="363"/>
        <item x="362"/>
        <item x="365"/>
        <item x="370"/>
        <item x="357"/>
        <item x="349"/>
        <item x="372"/>
        <item x="366"/>
        <item x="373"/>
        <item x="374"/>
        <item x="377"/>
        <item x="375"/>
        <item x="369"/>
        <item x="376"/>
        <item x="371"/>
        <item x="380"/>
        <item x="367"/>
        <item x="364"/>
        <item x="381"/>
        <item x="379"/>
        <item x="384"/>
        <item x="382"/>
        <item x="383"/>
        <item x="378"/>
        <item x="385"/>
        <item x="386"/>
        <item t="default"/>
      </items>
    </pivotField>
    <pivotField showAll="0"/>
    <pivotField numFmtId="165" showAll="0"/>
    <pivotField dataField="1" showAll="0">
      <items count="55">
        <item x="15"/>
        <item x="17"/>
        <item x="28"/>
        <item x="22"/>
        <item x="2"/>
        <item x="7"/>
        <item x="25"/>
        <item x="26"/>
        <item x="3"/>
        <item x="1"/>
        <item x="45"/>
        <item x="0"/>
        <item x="35"/>
        <item x="31"/>
        <item x="6"/>
        <item x="16"/>
        <item x="27"/>
        <item x="8"/>
        <item x="11"/>
        <item x="23"/>
        <item x="9"/>
        <item x="47"/>
        <item x="19"/>
        <item x="12"/>
        <item x="39"/>
        <item x="24"/>
        <item x="5"/>
        <item x="20"/>
        <item x="43"/>
        <item x="4"/>
        <item x="10"/>
        <item x="48"/>
        <item x="29"/>
        <item x="33"/>
        <item x="41"/>
        <item x="13"/>
        <item x="50"/>
        <item x="37"/>
        <item x="38"/>
        <item x="34"/>
        <item x="18"/>
        <item x="53"/>
        <item x="14"/>
        <item x="52"/>
        <item x="21"/>
        <item x="36"/>
        <item x="32"/>
        <item x="44"/>
        <item x="42"/>
        <item x="51"/>
        <item x="30"/>
        <item x="46"/>
        <item x="40"/>
        <item x="49"/>
        <item t="default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axis="axisRow" showAll="0">
      <items count="4">
        <item x="0"/>
        <item x="1"/>
        <item x="2"/>
        <item t="default"/>
      </items>
    </pivotField>
    <pivotField dragToRow="0" dragToCol="0" dragToPage="0" showAll="0" defaultSubtotal="0"/>
  </pivotFields>
  <rowFields count="2">
    <field x="9"/>
    <field x="2"/>
  </rowFields>
  <rowItems count="13">
    <i>
      <x/>
    </i>
    <i r="1">
      <x v="1"/>
    </i>
    <i r="1">
      <x v="2"/>
    </i>
    <i r="1">
      <x/>
    </i>
    <i>
      <x v="1"/>
    </i>
    <i r="1">
      <x v="5"/>
    </i>
    <i r="1">
      <x v="4"/>
    </i>
    <i r="1">
      <x v="3"/>
    </i>
    <i>
      <x v="2"/>
    </i>
    <i r="1">
      <x v="8"/>
    </i>
    <i r="1">
      <x v="6"/>
    </i>
    <i r="1">
      <x v="7"/>
    </i>
    <i t="grand">
      <x/>
    </i>
  </rowItems>
  <colFields count="1">
    <field x="1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uma de Cantida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D0DF2-FDC7-4E52-8DEE-540A3C66E917}" name="TablaDinámica3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11">
    <pivotField axis="axisRow" showAll="0" measureFilter="1" sortType="descending">
      <items count="90">
        <item x="85"/>
        <item x="38"/>
        <item x="58"/>
        <item x="54"/>
        <item x="26"/>
        <item x="77"/>
        <item x="15"/>
        <item x="45"/>
        <item x="47"/>
        <item x="65"/>
        <item x="32"/>
        <item x="79"/>
        <item x="10"/>
        <item x="5"/>
        <item x="33"/>
        <item x="72"/>
        <item x="35"/>
        <item x="56"/>
        <item x="40"/>
        <item x="57"/>
        <item x="9"/>
        <item x="51"/>
        <item x="68"/>
        <item x="14"/>
        <item x="86"/>
        <item x="70"/>
        <item x="17"/>
        <item x="46"/>
        <item x="59"/>
        <item x="36"/>
        <item x="71"/>
        <item x="80"/>
        <item x="18"/>
        <item x="2"/>
        <item x="8"/>
        <item x="63"/>
        <item x="34"/>
        <item x="41"/>
        <item x="43"/>
        <item x="88"/>
        <item x="52"/>
        <item x="76"/>
        <item x="75"/>
        <item x="27"/>
        <item x="83"/>
        <item x="29"/>
        <item x="66"/>
        <item x="37"/>
        <item x="23"/>
        <item x="81"/>
        <item x="48"/>
        <item x="25"/>
        <item x="78"/>
        <item x="69"/>
        <item x="11"/>
        <item x="67"/>
        <item x="42"/>
        <item x="53"/>
        <item x="49"/>
        <item x="12"/>
        <item x="61"/>
        <item x="21"/>
        <item x="74"/>
        <item x="13"/>
        <item x="31"/>
        <item x="30"/>
        <item x="6"/>
        <item x="28"/>
        <item x="64"/>
        <item x="44"/>
        <item x="55"/>
        <item x="50"/>
        <item x="87"/>
        <item x="20"/>
        <item x="4"/>
        <item x="39"/>
        <item x="84"/>
        <item x="73"/>
        <item x="24"/>
        <item x="1"/>
        <item x="82"/>
        <item x="60"/>
        <item x="3"/>
        <item x="22"/>
        <item x="16"/>
        <item x="7"/>
        <item x="19"/>
        <item x="0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22">
        <item x="20"/>
        <item x="6"/>
        <item x="3"/>
        <item x="1"/>
        <item x="16"/>
        <item x="17"/>
        <item x="0"/>
        <item x="2"/>
        <item x="10"/>
        <item x="14"/>
        <item x="11"/>
        <item x="7"/>
        <item x="19"/>
        <item x="18"/>
        <item x="15"/>
        <item x="12"/>
        <item x="9"/>
        <item x="4"/>
        <item x="13"/>
        <item x="8"/>
        <item x="5"/>
        <item t="default"/>
      </items>
    </pivotField>
    <pivotField showAll="0">
      <items count="10">
        <item x="7"/>
        <item x="4"/>
        <item x="3"/>
        <item x="6"/>
        <item x="2"/>
        <item x="1"/>
        <item x="5"/>
        <item x="8"/>
        <item x="0"/>
        <item t="default"/>
      </items>
    </pivotField>
    <pivotField numFmtId="166" showAll="0">
      <items count="388">
        <item x="1"/>
        <item x="4"/>
        <item x="2"/>
        <item x="3"/>
        <item x="0"/>
        <item x="6"/>
        <item x="7"/>
        <item x="5"/>
        <item x="8"/>
        <item x="9"/>
        <item x="10"/>
        <item x="11"/>
        <item x="15"/>
        <item x="14"/>
        <item x="16"/>
        <item x="13"/>
        <item x="20"/>
        <item x="19"/>
        <item x="18"/>
        <item x="22"/>
        <item x="12"/>
        <item x="24"/>
        <item x="23"/>
        <item x="25"/>
        <item x="17"/>
        <item x="28"/>
        <item x="26"/>
        <item x="27"/>
        <item x="30"/>
        <item x="31"/>
        <item x="29"/>
        <item x="21"/>
        <item x="32"/>
        <item x="34"/>
        <item x="33"/>
        <item x="36"/>
        <item x="38"/>
        <item x="37"/>
        <item x="41"/>
        <item x="40"/>
        <item x="42"/>
        <item x="43"/>
        <item x="44"/>
        <item x="35"/>
        <item x="45"/>
        <item x="46"/>
        <item x="48"/>
        <item x="49"/>
        <item x="47"/>
        <item x="51"/>
        <item x="39"/>
        <item x="53"/>
        <item x="52"/>
        <item x="50"/>
        <item x="54"/>
        <item x="55"/>
        <item x="57"/>
        <item x="58"/>
        <item x="56"/>
        <item x="59"/>
        <item x="60"/>
        <item x="63"/>
        <item x="62"/>
        <item x="64"/>
        <item x="67"/>
        <item x="65"/>
        <item x="68"/>
        <item x="66"/>
        <item x="61"/>
        <item x="69"/>
        <item x="71"/>
        <item x="74"/>
        <item x="75"/>
        <item x="78"/>
        <item x="79"/>
        <item x="76"/>
        <item x="80"/>
        <item x="81"/>
        <item x="73"/>
        <item x="82"/>
        <item x="83"/>
        <item x="72"/>
        <item x="70"/>
        <item x="84"/>
        <item x="85"/>
        <item x="88"/>
        <item x="86"/>
        <item x="87"/>
        <item x="90"/>
        <item x="89"/>
        <item x="91"/>
        <item x="93"/>
        <item x="95"/>
        <item x="96"/>
        <item x="77"/>
        <item x="98"/>
        <item x="97"/>
        <item x="92"/>
        <item x="99"/>
        <item x="100"/>
        <item x="101"/>
        <item x="94"/>
        <item x="102"/>
        <item x="109"/>
        <item x="107"/>
        <item x="105"/>
        <item x="108"/>
        <item x="114"/>
        <item x="112"/>
        <item x="113"/>
        <item x="111"/>
        <item x="104"/>
        <item x="117"/>
        <item x="120"/>
        <item x="119"/>
        <item x="118"/>
        <item x="103"/>
        <item x="126"/>
        <item x="125"/>
        <item x="122"/>
        <item x="115"/>
        <item x="106"/>
        <item x="110"/>
        <item x="127"/>
        <item x="129"/>
        <item x="121"/>
        <item x="123"/>
        <item x="124"/>
        <item x="130"/>
        <item x="116"/>
        <item x="128"/>
        <item x="131"/>
        <item x="132"/>
        <item x="134"/>
        <item x="135"/>
        <item x="136"/>
        <item x="142"/>
        <item x="140"/>
        <item x="139"/>
        <item x="141"/>
        <item x="144"/>
        <item x="133"/>
        <item x="147"/>
        <item x="145"/>
        <item x="143"/>
        <item x="137"/>
        <item x="146"/>
        <item x="148"/>
        <item x="149"/>
        <item x="151"/>
        <item x="152"/>
        <item x="154"/>
        <item x="157"/>
        <item x="138"/>
        <item x="156"/>
        <item x="150"/>
        <item x="160"/>
        <item x="153"/>
        <item x="161"/>
        <item x="162"/>
        <item x="164"/>
        <item x="166"/>
        <item x="167"/>
        <item x="155"/>
        <item x="170"/>
        <item x="165"/>
        <item x="158"/>
        <item x="168"/>
        <item x="171"/>
        <item x="169"/>
        <item x="159"/>
        <item x="175"/>
        <item x="177"/>
        <item x="174"/>
        <item x="163"/>
        <item x="178"/>
        <item x="180"/>
        <item x="181"/>
        <item x="179"/>
        <item x="172"/>
        <item x="183"/>
        <item x="182"/>
        <item x="184"/>
        <item x="173"/>
        <item x="186"/>
        <item x="188"/>
        <item x="187"/>
        <item x="191"/>
        <item x="194"/>
        <item x="185"/>
        <item x="193"/>
        <item x="176"/>
        <item x="195"/>
        <item x="197"/>
        <item x="198"/>
        <item x="192"/>
        <item x="189"/>
        <item x="200"/>
        <item x="190"/>
        <item x="199"/>
        <item x="201"/>
        <item x="204"/>
        <item x="205"/>
        <item x="206"/>
        <item x="196"/>
        <item x="208"/>
        <item x="211"/>
        <item x="209"/>
        <item x="210"/>
        <item x="214"/>
        <item x="213"/>
        <item x="212"/>
        <item x="215"/>
        <item x="207"/>
        <item x="217"/>
        <item x="203"/>
        <item x="202"/>
        <item x="216"/>
        <item x="221"/>
        <item x="222"/>
        <item x="218"/>
        <item x="219"/>
        <item x="220"/>
        <item x="223"/>
        <item x="225"/>
        <item x="226"/>
        <item x="231"/>
        <item x="224"/>
        <item x="228"/>
        <item x="229"/>
        <item x="227"/>
        <item x="233"/>
        <item x="230"/>
        <item x="235"/>
        <item x="232"/>
        <item x="236"/>
        <item x="240"/>
        <item x="238"/>
        <item x="234"/>
        <item x="241"/>
        <item x="242"/>
        <item x="243"/>
        <item x="244"/>
        <item x="246"/>
        <item x="245"/>
        <item x="248"/>
        <item x="239"/>
        <item x="251"/>
        <item x="249"/>
        <item x="255"/>
        <item x="254"/>
        <item x="253"/>
        <item x="256"/>
        <item x="237"/>
        <item x="247"/>
        <item x="257"/>
        <item x="259"/>
        <item x="258"/>
        <item x="252"/>
        <item x="262"/>
        <item x="267"/>
        <item x="268"/>
        <item x="265"/>
        <item x="250"/>
        <item x="266"/>
        <item x="269"/>
        <item x="263"/>
        <item x="260"/>
        <item x="274"/>
        <item x="272"/>
        <item x="275"/>
        <item x="273"/>
        <item x="277"/>
        <item x="261"/>
        <item x="264"/>
        <item x="276"/>
        <item x="278"/>
        <item x="270"/>
        <item x="280"/>
        <item x="279"/>
        <item x="281"/>
        <item x="284"/>
        <item x="283"/>
        <item x="286"/>
        <item x="271"/>
        <item x="289"/>
        <item x="290"/>
        <item x="288"/>
        <item x="287"/>
        <item x="285"/>
        <item x="293"/>
        <item x="291"/>
        <item x="295"/>
        <item x="282"/>
        <item x="300"/>
        <item x="301"/>
        <item x="297"/>
        <item x="299"/>
        <item x="294"/>
        <item x="303"/>
        <item x="304"/>
        <item x="292"/>
        <item x="307"/>
        <item x="308"/>
        <item x="309"/>
        <item x="305"/>
        <item x="310"/>
        <item x="312"/>
        <item x="314"/>
        <item x="298"/>
        <item x="316"/>
        <item x="315"/>
        <item x="302"/>
        <item x="306"/>
        <item x="296"/>
        <item x="319"/>
        <item x="318"/>
        <item x="322"/>
        <item x="321"/>
        <item x="311"/>
        <item x="324"/>
        <item x="325"/>
        <item x="313"/>
        <item x="326"/>
        <item x="317"/>
        <item x="328"/>
        <item x="323"/>
        <item x="330"/>
        <item x="329"/>
        <item x="332"/>
        <item x="320"/>
        <item x="327"/>
        <item x="335"/>
        <item x="334"/>
        <item x="336"/>
        <item x="331"/>
        <item x="339"/>
        <item x="341"/>
        <item x="338"/>
        <item x="337"/>
        <item x="333"/>
        <item x="342"/>
        <item x="344"/>
        <item x="340"/>
        <item x="346"/>
        <item x="343"/>
        <item x="347"/>
        <item x="350"/>
        <item x="348"/>
        <item x="353"/>
        <item x="356"/>
        <item x="345"/>
        <item x="351"/>
        <item x="355"/>
        <item x="354"/>
        <item x="352"/>
        <item x="358"/>
        <item x="361"/>
        <item x="359"/>
        <item x="360"/>
        <item x="368"/>
        <item x="363"/>
        <item x="362"/>
        <item x="365"/>
        <item x="370"/>
        <item x="357"/>
        <item x="349"/>
        <item x="372"/>
        <item x="366"/>
        <item x="373"/>
        <item x="374"/>
        <item x="377"/>
        <item x="375"/>
        <item x="369"/>
        <item x="376"/>
        <item x="371"/>
        <item x="380"/>
        <item x="367"/>
        <item x="364"/>
        <item x="381"/>
        <item x="379"/>
        <item x="384"/>
        <item x="382"/>
        <item x="383"/>
        <item x="378"/>
        <item x="385"/>
        <item x="386"/>
        <item t="default"/>
      </items>
    </pivotField>
    <pivotField showAll="0"/>
    <pivotField numFmtId="165" showAll="0"/>
    <pivotField dataField="1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>
      <items count="3">
        <item x="0"/>
        <item x="1"/>
        <item x="2"/>
      </items>
    </pivotField>
    <pivotField dragToRow="0" dragToCol="0" dragToPage="0" showAll="0" defaultSubtotal="0"/>
  </pivotFields>
  <rowFields count="1">
    <field x="0"/>
  </rowFields>
  <rowItems count="6">
    <i>
      <x v="61"/>
    </i>
    <i>
      <x v="26"/>
    </i>
    <i>
      <x v="38"/>
    </i>
    <i>
      <x v="55"/>
    </i>
    <i>
      <x v="43"/>
    </i>
    <i t="grand">
      <x/>
    </i>
  </rowItems>
  <colItems count="1">
    <i/>
  </colItems>
  <pageFields count="1">
    <pageField fld="1" item="8" hier="-1"/>
  </pageFields>
  <dataFields count="1">
    <dataField name="Promedio de Cantidad" fld="6" subtotal="average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C18FC-E881-4E5E-B51A-3FD184157D5A}" name="TablaDinámica4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C233" firstHeaderRow="0" firstDataRow="1" firstDataCol="1"/>
  <pivotFields count="11">
    <pivotField showAll="0"/>
    <pivotField showAll="0"/>
    <pivotField axis="axisRow" showAll="0">
      <items count="10">
        <item x="7"/>
        <item x="4"/>
        <item x="3"/>
        <item x="6"/>
        <item x="2"/>
        <item x="1"/>
        <item x="5"/>
        <item x="8"/>
        <item x="0"/>
        <item t="default"/>
      </items>
    </pivotField>
    <pivotField numFmtId="166" showAll="0">
      <items count="388">
        <item x="1"/>
        <item x="4"/>
        <item x="2"/>
        <item x="3"/>
        <item x="0"/>
        <item x="6"/>
        <item x="7"/>
        <item x="5"/>
        <item x="8"/>
        <item x="9"/>
        <item x="10"/>
        <item x="11"/>
        <item x="15"/>
        <item x="14"/>
        <item x="16"/>
        <item x="13"/>
        <item x="20"/>
        <item x="19"/>
        <item x="18"/>
        <item x="22"/>
        <item x="12"/>
        <item x="24"/>
        <item x="23"/>
        <item x="25"/>
        <item x="17"/>
        <item x="28"/>
        <item x="26"/>
        <item x="27"/>
        <item x="30"/>
        <item x="31"/>
        <item x="29"/>
        <item x="21"/>
        <item x="32"/>
        <item x="34"/>
        <item x="33"/>
        <item x="36"/>
        <item x="38"/>
        <item x="37"/>
        <item x="41"/>
        <item x="40"/>
        <item x="42"/>
        <item x="43"/>
        <item x="44"/>
        <item x="35"/>
        <item x="45"/>
        <item x="46"/>
        <item x="48"/>
        <item x="49"/>
        <item x="47"/>
        <item x="51"/>
        <item x="39"/>
        <item x="53"/>
        <item x="52"/>
        <item x="50"/>
        <item x="54"/>
        <item x="55"/>
        <item x="57"/>
        <item x="58"/>
        <item x="56"/>
        <item x="59"/>
        <item x="60"/>
        <item x="63"/>
        <item x="62"/>
        <item x="64"/>
        <item x="67"/>
        <item x="65"/>
        <item x="68"/>
        <item x="66"/>
        <item x="61"/>
        <item x="69"/>
        <item x="71"/>
        <item x="74"/>
        <item x="75"/>
        <item x="78"/>
        <item x="79"/>
        <item x="76"/>
        <item x="80"/>
        <item x="81"/>
        <item x="73"/>
        <item x="82"/>
        <item x="83"/>
        <item x="72"/>
        <item x="70"/>
        <item x="84"/>
        <item x="85"/>
        <item x="88"/>
        <item x="86"/>
        <item x="87"/>
        <item x="90"/>
        <item x="89"/>
        <item x="91"/>
        <item x="93"/>
        <item x="95"/>
        <item x="96"/>
        <item x="77"/>
        <item x="98"/>
        <item x="97"/>
        <item x="92"/>
        <item x="99"/>
        <item x="100"/>
        <item x="101"/>
        <item x="94"/>
        <item x="102"/>
        <item x="109"/>
        <item x="107"/>
        <item x="105"/>
        <item x="108"/>
        <item x="114"/>
        <item x="112"/>
        <item x="113"/>
        <item x="111"/>
        <item x="104"/>
        <item x="117"/>
        <item x="120"/>
        <item x="119"/>
        <item x="118"/>
        <item x="103"/>
        <item x="126"/>
        <item x="125"/>
        <item x="122"/>
        <item x="115"/>
        <item x="106"/>
        <item x="110"/>
        <item x="127"/>
        <item x="129"/>
        <item x="121"/>
        <item x="123"/>
        <item x="124"/>
        <item x="130"/>
        <item x="116"/>
        <item x="128"/>
        <item x="131"/>
        <item x="132"/>
        <item x="134"/>
        <item x="135"/>
        <item x="136"/>
        <item x="142"/>
        <item x="140"/>
        <item x="139"/>
        <item x="141"/>
        <item x="144"/>
        <item x="133"/>
        <item x="147"/>
        <item x="145"/>
        <item x="143"/>
        <item x="137"/>
        <item x="146"/>
        <item x="148"/>
        <item x="149"/>
        <item x="151"/>
        <item x="152"/>
        <item x="154"/>
        <item x="157"/>
        <item x="138"/>
        <item x="156"/>
        <item x="150"/>
        <item x="160"/>
        <item x="153"/>
        <item x="161"/>
        <item x="162"/>
        <item x="164"/>
        <item x="166"/>
        <item x="167"/>
        <item x="155"/>
        <item x="170"/>
        <item x="165"/>
        <item x="158"/>
        <item x="168"/>
        <item x="171"/>
        <item x="169"/>
        <item x="159"/>
        <item x="175"/>
        <item x="177"/>
        <item x="174"/>
        <item x="163"/>
        <item x="178"/>
        <item x="180"/>
        <item x="181"/>
        <item x="179"/>
        <item x="172"/>
        <item x="183"/>
        <item x="182"/>
        <item x="184"/>
        <item x="173"/>
        <item x="186"/>
        <item x="188"/>
        <item x="187"/>
        <item x="191"/>
        <item x="194"/>
        <item x="185"/>
        <item x="193"/>
        <item x="176"/>
        <item x="195"/>
        <item x="197"/>
        <item x="198"/>
        <item x="192"/>
        <item x="189"/>
        <item x="200"/>
        <item x="190"/>
        <item x="199"/>
        <item x="201"/>
        <item x="204"/>
        <item x="205"/>
        <item x="206"/>
        <item x="196"/>
        <item x="208"/>
        <item x="211"/>
        <item x="209"/>
        <item x="210"/>
        <item x="214"/>
        <item x="213"/>
        <item x="212"/>
        <item x="215"/>
        <item x="207"/>
        <item x="217"/>
        <item x="203"/>
        <item x="202"/>
        <item x="216"/>
        <item x="221"/>
        <item x="222"/>
        <item x="218"/>
        <item x="219"/>
        <item x="220"/>
        <item x="223"/>
        <item x="225"/>
        <item x="226"/>
        <item x="231"/>
        <item x="224"/>
        <item x="228"/>
        <item x="229"/>
        <item x="227"/>
        <item x="233"/>
        <item x="230"/>
        <item x="235"/>
        <item x="232"/>
        <item x="236"/>
        <item x="240"/>
        <item x="238"/>
        <item x="234"/>
        <item x="241"/>
        <item x="242"/>
        <item x="243"/>
        <item x="244"/>
        <item x="246"/>
        <item x="245"/>
        <item x="248"/>
        <item x="239"/>
        <item x="251"/>
        <item x="249"/>
        <item x="255"/>
        <item x="254"/>
        <item x="253"/>
        <item x="256"/>
        <item x="237"/>
        <item x="247"/>
        <item x="257"/>
        <item x="259"/>
        <item x="258"/>
        <item x="252"/>
        <item x="262"/>
        <item x="267"/>
        <item x="268"/>
        <item x="265"/>
        <item x="250"/>
        <item x="266"/>
        <item x="269"/>
        <item x="263"/>
        <item x="260"/>
        <item x="274"/>
        <item x="272"/>
        <item x="275"/>
        <item x="273"/>
        <item x="277"/>
        <item x="261"/>
        <item x="264"/>
        <item x="276"/>
        <item x="278"/>
        <item x="270"/>
        <item x="280"/>
        <item x="279"/>
        <item x="281"/>
        <item x="284"/>
        <item x="283"/>
        <item x="286"/>
        <item x="271"/>
        <item x="289"/>
        <item x="290"/>
        <item x="288"/>
        <item x="287"/>
        <item x="285"/>
        <item x="293"/>
        <item x="291"/>
        <item x="295"/>
        <item x="282"/>
        <item x="300"/>
        <item x="301"/>
        <item x="297"/>
        <item x="299"/>
        <item x="294"/>
        <item x="303"/>
        <item x="304"/>
        <item x="292"/>
        <item x="307"/>
        <item x="308"/>
        <item x="309"/>
        <item x="305"/>
        <item x="310"/>
        <item x="312"/>
        <item x="314"/>
        <item x="298"/>
        <item x="316"/>
        <item x="315"/>
        <item x="302"/>
        <item x="306"/>
        <item x="296"/>
        <item x="319"/>
        <item x="318"/>
        <item x="322"/>
        <item x="321"/>
        <item x="311"/>
        <item x="324"/>
        <item x="325"/>
        <item x="313"/>
        <item x="326"/>
        <item x="317"/>
        <item x="328"/>
        <item x="323"/>
        <item x="330"/>
        <item x="329"/>
        <item x="332"/>
        <item x="320"/>
        <item x="327"/>
        <item x="335"/>
        <item x="334"/>
        <item x="336"/>
        <item x="331"/>
        <item x="339"/>
        <item x="341"/>
        <item x="338"/>
        <item x="337"/>
        <item x="333"/>
        <item x="342"/>
        <item x="344"/>
        <item x="340"/>
        <item x="346"/>
        <item x="343"/>
        <item x="347"/>
        <item x="350"/>
        <item x="348"/>
        <item x="353"/>
        <item x="356"/>
        <item x="345"/>
        <item x="351"/>
        <item x="355"/>
        <item x="354"/>
        <item x="352"/>
        <item x="358"/>
        <item x="361"/>
        <item x="359"/>
        <item x="360"/>
        <item x="368"/>
        <item x="363"/>
        <item x="362"/>
        <item x="365"/>
        <item x="370"/>
        <item x="357"/>
        <item x="349"/>
        <item x="372"/>
        <item x="366"/>
        <item x="373"/>
        <item x="374"/>
        <item x="377"/>
        <item x="375"/>
        <item x="369"/>
        <item x="376"/>
        <item x="371"/>
        <item x="380"/>
        <item x="367"/>
        <item x="364"/>
        <item x="381"/>
        <item x="379"/>
        <item x="384"/>
        <item x="382"/>
        <item x="383"/>
        <item x="378"/>
        <item x="385"/>
        <item x="386"/>
        <item t="default"/>
      </items>
    </pivotField>
    <pivotField showAll="0"/>
    <pivotField numFmtId="165" showAll="0"/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5">
        <item x="0"/>
        <item x="1"/>
        <item x="2"/>
        <item x="3"/>
        <item x="4"/>
      </items>
    </pivotField>
    <pivotField showAll="0" defaultSubtotal="0">
      <items count="3">
        <item x="0"/>
        <item x="1"/>
        <item x="2"/>
      </items>
    </pivotField>
    <pivotField dragToRow="0" dragToCol="0" dragToPage="0" showAll="0" defaultSubtotal="0"/>
  </pivotFields>
  <rowFields count="3">
    <field x="2"/>
    <field x="8"/>
    <field x="7"/>
  </rowFields>
  <rowItems count="230">
    <i>
      <x/>
    </i>
    <i r="1">
      <x v="1"/>
    </i>
    <i r="2">
      <x v="8"/>
    </i>
    <i r="2">
      <x v="9"/>
    </i>
    <i r="2">
      <x v="10"/>
    </i>
    <i r="2">
      <x v="11"/>
    </i>
    <i r="2">
      <x v="12"/>
    </i>
    <i r="1">
      <x v="2"/>
    </i>
    <i r="2">
      <x v="1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"/>
    </i>
    <i r="2">
      <x v="2"/>
    </i>
    <i r="2">
      <x v="3"/>
    </i>
    <i r="2">
      <x v="4"/>
    </i>
    <i r="2">
      <x v="5"/>
    </i>
    <i>
      <x v="1"/>
    </i>
    <i r="1">
      <x v="1"/>
    </i>
    <i r="2">
      <x v="7"/>
    </i>
    <i r="2">
      <x v="10"/>
    </i>
    <i r="2">
      <x v="12"/>
    </i>
    <i r="1">
      <x v="2"/>
    </i>
    <i r="2">
      <x v="1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2">
      <x v="12"/>
    </i>
    <i r="1">
      <x v="3"/>
    </i>
    <i r="2">
      <x v="1"/>
    </i>
    <i r="2">
      <x v="2"/>
    </i>
    <i r="2">
      <x v="3"/>
    </i>
    <i r="2">
      <x v="4"/>
    </i>
    <i r="2">
      <x v="5"/>
    </i>
    <i>
      <x v="2"/>
    </i>
    <i r="1">
      <x v="1"/>
    </i>
    <i r="2">
      <x v="7"/>
    </i>
    <i r="2">
      <x v="8"/>
    </i>
    <i r="2">
      <x v="10"/>
    </i>
    <i r="2">
      <x v="11"/>
    </i>
    <i r="2">
      <x v="12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"/>
    </i>
    <i r="2">
      <x v="2"/>
    </i>
    <i r="2">
      <x v="3"/>
    </i>
    <i r="2">
      <x v="4"/>
    </i>
    <i r="2">
      <x v="5"/>
    </i>
    <i>
      <x v="3"/>
    </i>
    <i r="1">
      <x v="1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"/>
    </i>
    <i r="2">
      <x v="2"/>
    </i>
    <i r="2">
      <x v="3"/>
    </i>
    <i r="2">
      <x v="4"/>
    </i>
    <i r="2">
      <x v="5"/>
    </i>
    <i>
      <x v="4"/>
    </i>
    <i r="1">
      <x v="1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"/>
    </i>
    <i r="2">
      <x v="2"/>
    </i>
    <i r="2">
      <x v="3"/>
    </i>
    <i r="2">
      <x v="4"/>
    </i>
    <i r="2">
      <x v="5"/>
    </i>
    <i>
      <x v="5"/>
    </i>
    <i r="1">
      <x v="1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"/>
    </i>
    <i r="2">
      <x v="2"/>
    </i>
    <i r="2">
      <x v="3"/>
    </i>
    <i r="2">
      <x v="4"/>
    </i>
    <i>
      <x v="6"/>
    </i>
    <i r="1">
      <x v="1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"/>
    </i>
    <i r="2">
      <x v="2"/>
    </i>
    <i r="2">
      <x v="3"/>
    </i>
    <i r="2">
      <x v="4"/>
    </i>
    <i r="2">
      <x v="5"/>
    </i>
    <i>
      <x v="7"/>
    </i>
    <i r="1">
      <x v="1"/>
    </i>
    <i r="2">
      <x v="8"/>
    </i>
    <i r="2">
      <x v="9"/>
    </i>
    <i r="2">
      <x v="10"/>
    </i>
    <i r="2">
      <x v="11"/>
    </i>
    <i r="2">
      <x v="12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"/>
    </i>
    <i r="2">
      <x v="2"/>
    </i>
    <i r="2">
      <x v="3"/>
    </i>
    <i r="2">
      <x v="4"/>
    </i>
    <i r="2">
      <x v="5"/>
    </i>
    <i>
      <x v="8"/>
    </i>
    <i r="1">
      <x v="1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</i>
    <i r="2">
      <x v="1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"/>
    </i>
    <i r="2">
      <x v="2"/>
    </i>
    <i r="2">
      <x v="3"/>
    </i>
    <i r="2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6" baseField="0" baseItem="0"/>
    <dataField name="Cambio Porcentual" fld="6" showDataAs="percentDiff" baseField="7" baseItem="1048828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9A691-2BC8-4EC4-88A8-D7E80E78A5CB}" name="TablaDinámica5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C79" firstHeaderRow="0" firstDataRow="1" firstDataCol="1" rowPageCount="1" colPageCount="1"/>
  <pivotFields count="11">
    <pivotField showAll="0"/>
    <pivotField showAll="0"/>
    <pivotField showAll="0">
      <items count="10">
        <item x="7"/>
        <item x="4"/>
        <item x="3"/>
        <item x="6"/>
        <item x="2"/>
        <item x="1"/>
        <item x="5"/>
        <item x="8"/>
        <item x="0"/>
        <item t="default"/>
      </items>
    </pivotField>
    <pivotField numFmtId="166" showAll="0">
      <items count="388">
        <item x="1"/>
        <item x="4"/>
        <item x="2"/>
        <item x="3"/>
        <item x="0"/>
        <item x="6"/>
        <item x="7"/>
        <item x="5"/>
        <item x="8"/>
        <item x="9"/>
        <item x="10"/>
        <item x="11"/>
        <item x="15"/>
        <item x="14"/>
        <item x="16"/>
        <item x="13"/>
        <item x="20"/>
        <item x="19"/>
        <item x="18"/>
        <item x="22"/>
        <item x="12"/>
        <item x="24"/>
        <item x="23"/>
        <item x="25"/>
        <item x="17"/>
        <item x="28"/>
        <item x="26"/>
        <item x="27"/>
        <item x="30"/>
        <item x="31"/>
        <item x="29"/>
        <item x="21"/>
        <item x="32"/>
        <item x="34"/>
        <item x="33"/>
        <item x="36"/>
        <item x="38"/>
        <item x="37"/>
        <item x="41"/>
        <item x="40"/>
        <item x="42"/>
        <item x="43"/>
        <item x="44"/>
        <item x="35"/>
        <item x="45"/>
        <item x="46"/>
        <item x="48"/>
        <item x="49"/>
        <item x="47"/>
        <item x="51"/>
        <item x="39"/>
        <item x="53"/>
        <item x="52"/>
        <item x="50"/>
        <item x="54"/>
        <item x="55"/>
        <item x="57"/>
        <item x="58"/>
        <item x="56"/>
        <item x="59"/>
        <item x="60"/>
        <item x="63"/>
        <item x="62"/>
        <item x="64"/>
        <item x="67"/>
        <item x="65"/>
        <item x="68"/>
        <item x="66"/>
        <item x="61"/>
        <item x="69"/>
        <item x="71"/>
        <item x="74"/>
        <item x="75"/>
        <item x="78"/>
        <item x="79"/>
        <item x="76"/>
        <item x="80"/>
        <item x="81"/>
        <item x="73"/>
        <item x="82"/>
        <item x="83"/>
        <item x="72"/>
        <item x="70"/>
        <item x="84"/>
        <item x="85"/>
        <item x="88"/>
        <item x="86"/>
        <item x="87"/>
        <item x="90"/>
        <item x="89"/>
        <item x="91"/>
        <item x="93"/>
        <item x="95"/>
        <item x="96"/>
        <item x="77"/>
        <item x="98"/>
        <item x="97"/>
        <item x="92"/>
        <item x="99"/>
        <item x="100"/>
        <item x="101"/>
        <item x="94"/>
        <item x="102"/>
        <item x="109"/>
        <item x="107"/>
        <item x="105"/>
        <item x="108"/>
        <item x="114"/>
        <item x="112"/>
        <item x="113"/>
        <item x="111"/>
        <item x="104"/>
        <item x="117"/>
        <item x="120"/>
        <item x="119"/>
        <item x="118"/>
        <item x="103"/>
        <item x="126"/>
        <item x="125"/>
        <item x="122"/>
        <item x="115"/>
        <item x="106"/>
        <item x="110"/>
        <item x="127"/>
        <item x="129"/>
        <item x="121"/>
        <item x="123"/>
        <item x="124"/>
        <item x="130"/>
        <item x="116"/>
        <item x="128"/>
        <item x="131"/>
        <item x="132"/>
        <item x="134"/>
        <item x="135"/>
        <item x="136"/>
        <item x="142"/>
        <item x="140"/>
        <item x="139"/>
        <item x="141"/>
        <item x="144"/>
        <item x="133"/>
        <item x="147"/>
        <item x="145"/>
        <item x="143"/>
        <item x="137"/>
        <item x="146"/>
        <item x="148"/>
        <item x="149"/>
        <item x="151"/>
        <item x="152"/>
        <item x="154"/>
        <item x="157"/>
        <item x="138"/>
        <item x="156"/>
        <item x="150"/>
        <item x="160"/>
        <item x="153"/>
        <item x="161"/>
        <item x="162"/>
        <item x="164"/>
        <item x="166"/>
        <item x="167"/>
        <item x="155"/>
        <item x="170"/>
        <item x="165"/>
        <item x="158"/>
        <item x="168"/>
        <item x="171"/>
        <item x="169"/>
        <item x="159"/>
        <item x="175"/>
        <item x="177"/>
        <item x="174"/>
        <item x="163"/>
        <item x="178"/>
        <item x="180"/>
        <item x="181"/>
        <item x="179"/>
        <item x="172"/>
        <item x="183"/>
        <item x="182"/>
        <item x="184"/>
        <item x="173"/>
        <item x="186"/>
        <item x="188"/>
        <item x="187"/>
        <item x="191"/>
        <item x="194"/>
        <item x="185"/>
        <item x="193"/>
        <item x="176"/>
        <item x="195"/>
        <item x="197"/>
        <item x="198"/>
        <item x="192"/>
        <item x="189"/>
        <item x="200"/>
        <item x="190"/>
        <item x="199"/>
        <item x="201"/>
        <item x="204"/>
        <item x="205"/>
        <item x="206"/>
        <item x="196"/>
        <item x="208"/>
        <item x="211"/>
        <item x="209"/>
        <item x="210"/>
        <item x="214"/>
        <item x="213"/>
        <item x="212"/>
        <item x="215"/>
        <item x="207"/>
        <item x="217"/>
        <item x="203"/>
        <item x="202"/>
        <item x="216"/>
        <item x="221"/>
        <item x="222"/>
        <item x="218"/>
        <item x="219"/>
        <item x="220"/>
        <item x="223"/>
        <item x="225"/>
        <item x="226"/>
        <item x="231"/>
        <item x="224"/>
        <item x="228"/>
        <item x="229"/>
        <item x="227"/>
        <item x="233"/>
        <item x="230"/>
        <item x="235"/>
        <item x="232"/>
        <item x="236"/>
        <item x="240"/>
        <item x="238"/>
        <item x="234"/>
        <item x="241"/>
        <item x="242"/>
        <item x="243"/>
        <item x="244"/>
        <item x="246"/>
        <item x="245"/>
        <item x="248"/>
        <item x="239"/>
        <item x="251"/>
        <item x="249"/>
        <item x="255"/>
        <item x="254"/>
        <item x="253"/>
        <item x="256"/>
        <item x="237"/>
        <item x="247"/>
        <item x="257"/>
        <item x="259"/>
        <item x="258"/>
        <item x="252"/>
        <item x="262"/>
        <item x="267"/>
        <item x="268"/>
        <item x="265"/>
        <item x="250"/>
        <item x="266"/>
        <item x="269"/>
        <item x="263"/>
        <item x="260"/>
        <item x="274"/>
        <item x="272"/>
        <item x="275"/>
        <item x="273"/>
        <item x="277"/>
        <item x="261"/>
        <item x="264"/>
        <item x="276"/>
        <item x="278"/>
        <item x="270"/>
        <item x="280"/>
        <item x="279"/>
        <item x="281"/>
        <item x="284"/>
        <item x="283"/>
        <item x="286"/>
        <item x="271"/>
        <item x="289"/>
        <item x="290"/>
        <item x="288"/>
        <item x="287"/>
        <item x="285"/>
        <item x="293"/>
        <item x="291"/>
        <item x="295"/>
        <item x="282"/>
        <item x="300"/>
        <item x="301"/>
        <item x="297"/>
        <item x="299"/>
        <item x="294"/>
        <item x="303"/>
        <item x="304"/>
        <item x="292"/>
        <item x="307"/>
        <item x="308"/>
        <item x="309"/>
        <item x="305"/>
        <item x="310"/>
        <item x="312"/>
        <item x="314"/>
        <item x="298"/>
        <item x="316"/>
        <item x="315"/>
        <item x="302"/>
        <item x="306"/>
        <item x="296"/>
        <item x="319"/>
        <item x="318"/>
        <item x="322"/>
        <item x="321"/>
        <item x="311"/>
        <item x="324"/>
        <item x="325"/>
        <item x="313"/>
        <item x="326"/>
        <item x="317"/>
        <item x="328"/>
        <item x="323"/>
        <item x="330"/>
        <item x="329"/>
        <item x="332"/>
        <item x="320"/>
        <item x="327"/>
        <item x="335"/>
        <item x="334"/>
        <item x="336"/>
        <item x="331"/>
        <item x="339"/>
        <item x="341"/>
        <item x="338"/>
        <item x="337"/>
        <item x="333"/>
        <item x="342"/>
        <item x="344"/>
        <item x="340"/>
        <item x="346"/>
        <item x="343"/>
        <item x="347"/>
        <item x="350"/>
        <item x="348"/>
        <item x="353"/>
        <item x="356"/>
        <item x="345"/>
        <item x="351"/>
        <item x="355"/>
        <item x="354"/>
        <item x="352"/>
        <item x="358"/>
        <item x="361"/>
        <item x="359"/>
        <item x="360"/>
        <item x="368"/>
        <item x="363"/>
        <item x="362"/>
        <item x="365"/>
        <item x="370"/>
        <item x="357"/>
        <item x="349"/>
        <item x="372"/>
        <item x="366"/>
        <item x="373"/>
        <item x="374"/>
        <item x="377"/>
        <item x="375"/>
        <item x="369"/>
        <item x="376"/>
        <item x="371"/>
        <item x="380"/>
        <item x="367"/>
        <item x="364"/>
        <item x="381"/>
        <item x="379"/>
        <item x="384"/>
        <item x="382"/>
        <item x="383"/>
        <item x="378"/>
        <item x="385"/>
        <item x="386"/>
        <item t="default"/>
      </items>
    </pivotField>
    <pivotField axis="axisRow" showAll="0">
      <items count="78">
        <item x="35"/>
        <item x="57"/>
        <item x="37"/>
        <item x="11"/>
        <item x="59"/>
        <item x="52"/>
        <item x="18"/>
        <item x="13"/>
        <item x="62"/>
        <item x="25"/>
        <item x="74"/>
        <item x="67"/>
        <item x="64"/>
        <item x="65"/>
        <item x="42"/>
        <item x="10"/>
        <item x="50"/>
        <item x="33"/>
        <item x="12"/>
        <item x="63"/>
        <item x="28"/>
        <item x="15"/>
        <item x="60"/>
        <item x="45"/>
        <item x="68"/>
        <item x="7"/>
        <item x="41"/>
        <item x="20"/>
        <item x="40"/>
        <item x="5"/>
        <item x="43"/>
        <item x="38"/>
        <item x="51"/>
        <item x="17"/>
        <item x="6"/>
        <item x="61"/>
        <item x="4"/>
        <item x="26"/>
        <item x="14"/>
        <item x="76"/>
        <item x="2"/>
        <item x="34"/>
        <item x="71"/>
        <item x="66"/>
        <item x="23"/>
        <item x="30"/>
        <item x="16"/>
        <item x="19"/>
        <item x="22"/>
        <item x="0"/>
        <item x="36"/>
        <item x="21"/>
        <item x="8"/>
        <item x="48"/>
        <item x="47"/>
        <item x="73"/>
        <item x="44"/>
        <item x="53"/>
        <item x="24"/>
        <item x="56"/>
        <item x="1"/>
        <item x="9"/>
        <item x="27"/>
        <item x="75"/>
        <item x="54"/>
        <item x="31"/>
        <item x="29"/>
        <item x="49"/>
        <item x="39"/>
        <item x="3"/>
        <item x="55"/>
        <item x="70"/>
        <item x="32"/>
        <item x="72"/>
        <item x="46"/>
        <item x="58"/>
        <item x="69"/>
        <item t="default"/>
      </items>
    </pivotField>
    <pivotField numFmtId="165" showAll="0"/>
    <pivotField dataField="1" showAll="0"/>
    <pivotField showAll="0" defaultSubtotal="0"/>
    <pivotField axis="axisPage" showAll="0" defaultSubtotal="0">
      <items count="5">
        <item x="0"/>
        <item x="1"/>
        <item x="2"/>
        <item x="3"/>
        <item x="4"/>
      </items>
    </pivotField>
    <pivotField showAll="0" defaultSubtotal="0">
      <items count="3">
        <item x="0"/>
        <item x="1"/>
        <item x="2"/>
      </items>
    </pivotField>
    <pivotField dataField="1" dragToRow="0" dragToCol="0" dragToPage="0" showAll="0" defaultSubtotal="0"/>
  </pivotFields>
  <rowFields count="1">
    <field x="4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1">
    <field x="-2"/>
  </colFields>
  <colItems count="2">
    <i>
      <x/>
    </i>
    <i i="1">
      <x v="1"/>
    </i>
  </colItems>
  <pageFields count="1">
    <pageField fld="8" item="3" hier="-1"/>
  </pageFields>
  <dataFields count="2">
    <dataField name="Suma de Cantidad" fld="6" baseField="0" baseItem="0"/>
    <dataField name="Suma de Proyección 2013" fld="10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7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</reference>
          </references>
        </pivotArea>
      </pivotAreas>
    </conditionalFormat>
  </conditional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2" xr10:uid="{577E324E-3E58-4348-8B9A-2CD2FAF6FBB3}" sourceName="Vendedor2">
  <pivotTables>
    <pivotTable tabId="5" name="TablaDinámica2"/>
  </pivotTables>
  <data>
    <tabular pivotCacheId="308538977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Enviado" xr10:uid="{9DB39A88-0EF3-44DA-8DFA-654749A241E2}" sourceName="Años (Enviado)">
  <pivotTables>
    <pivotTable tabId="5" name="TablaDinámica2"/>
  </pivotTables>
  <data>
    <tabular pivotCacheId="308538977">
      <items count="5">
        <i x="1" s="1"/>
        <i x="2" s="1"/>
        <i x="3" s="1"/>
        <i x="0" s="1" nd="1"/>
        <i x="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2" xr10:uid="{A6E7701F-3A3A-4EFD-9BE1-9BBF4AB13AB7}" cache="SegmentaciónDeDatos_Vendedor2" caption="Grupos" rowHeight="234950"/>
  <slicer name="Años (Enviado)" xr10:uid="{41CF7786-5CBE-4EEF-A6CB-B4CA9979FB3B}" cache="SegmentaciónDeDatos_Años__Enviado" caption="Años (Enviado)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5999C-63F3-40BD-BF67-49F5F73A5036}">
  <dimension ref="A3:AB83"/>
  <sheetViews>
    <sheetView workbookViewId="0">
      <selection activeCell="L8" sqref="L8"/>
    </sheetView>
  </sheetViews>
  <sheetFormatPr baseColWidth="10" defaultRowHeight="14.4" x14ac:dyDescent="0.3"/>
  <cols>
    <col min="1" max="1" width="29.33203125" bestFit="1" customWidth="1"/>
    <col min="2" max="2" width="21.44140625" bestFit="1" customWidth="1"/>
    <col min="3" max="7" width="5.5546875" bestFit="1" customWidth="1"/>
    <col min="8" max="8" width="9.6640625" bestFit="1" customWidth="1"/>
    <col min="9" max="9" width="7" bestFit="1" customWidth="1"/>
    <col min="10" max="10" width="6.5546875" bestFit="1" customWidth="1"/>
    <col min="11" max="12" width="5.5546875" bestFit="1" customWidth="1"/>
    <col min="13" max="13" width="6.5546875" bestFit="1" customWidth="1"/>
    <col min="14" max="14" width="5.5546875" bestFit="1" customWidth="1"/>
    <col min="15" max="15" width="6.5546875" bestFit="1" customWidth="1"/>
    <col min="16" max="17" width="5.5546875" bestFit="1" customWidth="1"/>
    <col min="18" max="18" width="6.5546875" bestFit="1" customWidth="1"/>
    <col min="19" max="20" width="5.5546875" bestFit="1" customWidth="1"/>
    <col min="21" max="21" width="9.6640625" bestFit="1" customWidth="1"/>
    <col min="22" max="22" width="7" bestFit="1" customWidth="1"/>
    <col min="23" max="26" width="5.5546875" bestFit="1" customWidth="1"/>
    <col min="27" max="27" width="9.6640625" bestFit="1" customWidth="1"/>
    <col min="28" max="28" width="11.88671875" bestFit="1" customWidth="1"/>
    <col min="29" max="388" width="10.77734375" bestFit="1" customWidth="1"/>
    <col min="389" max="389" width="11.88671875" bestFit="1" customWidth="1"/>
  </cols>
  <sheetData>
    <row r="3" spans="1:28" x14ac:dyDescent="0.3">
      <c r="A3" s="90" t="s">
        <v>314</v>
      </c>
      <c r="B3" s="90" t="s">
        <v>309</v>
      </c>
    </row>
    <row r="4" spans="1:28" x14ac:dyDescent="0.3">
      <c r="B4" t="s">
        <v>310</v>
      </c>
      <c r="H4" t="s">
        <v>315</v>
      </c>
      <c r="I4" t="s">
        <v>311</v>
      </c>
      <c r="U4" t="s">
        <v>316</v>
      </c>
      <c r="V4" t="s">
        <v>312</v>
      </c>
      <c r="AA4" t="s">
        <v>317</v>
      </c>
      <c r="AB4" t="s">
        <v>308</v>
      </c>
    </row>
    <row r="5" spans="1:28" x14ac:dyDescent="0.3">
      <c r="A5" s="90" t="s">
        <v>307</v>
      </c>
      <c r="B5" t="s">
        <v>318</v>
      </c>
      <c r="C5" t="s">
        <v>319</v>
      </c>
      <c r="D5" t="s">
        <v>320</v>
      </c>
      <c r="E5" t="s">
        <v>321</v>
      </c>
      <c r="F5" t="s">
        <v>322</v>
      </c>
      <c r="G5" t="s">
        <v>323</v>
      </c>
      <c r="I5" t="s">
        <v>324</v>
      </c>
      <c r="J5" t="s">
        <v>325</v>
      </c>
      <c r="K5" t="s">
        <v>326</v>
      </c>
      <c r="L5" t="s">
        <v>327</v>
      </c>
      <c r="M5" t="s">
        <v>328</v>
      </c>
      <c r="N5" t="s">
        <v>329</v>
      </c>
      <c r="O5" t="s">
        <v>318</v>
      </c>
      <c r="P5" t="s">
        <v>319</v>
      </c>
      <c r="Q5" t="s">
        <v>320</v>
      </c>
      <c r="R5" t="s">
        <v>321</v>
      </c>
      <c r="S5" t="s">
        <v>322</v>
      </c>
      <c r="T5" t="s">
        <v>323</v>
      </c>
      <c r="V5" t="s">
        <v>324</v>
      </c>
      <c r="W5" t="s">
        <v>325</v>
      </c>
      <c r="X5" t="s">
        <v>326</v>
      </c>
      <c r="Y5" t="s">
        <v>327</v>
      </c>
      <c r="Z5" t="s">
        <v>328</v>
      </c>
    </row>
    <row r="6" spans="1:28" x14ac:dyDescent="0.3">
      <c r="A6" s="1" t="s">
        <v>0</v>
      </c>
      <c r="B6" s="92"/>
      <c r="C6" s="92">
        <v>22.5</v>
      </c>
      <c r="D6" s="92">
        <v>15</v>
      </c>
      <c r="E6" s="92">
        <v>22.666666666666668</v>
      </c>
      <c r="F6" s="92">
        <v>53</v>
      </c>
      <c r="G6" s="92"/>
      <c r="H6" s="92">
        <v>29.25</v>
      </c>
      <c r="I6" s="92">
        <v>2</v>
      </c>
      <c r="J6" s="92">
        <v>35</v>
      </c>
      <c r="K6" s="92"/>
      <c r="L6" s="92"/>
      <c r="M6" s="92">
        <v>32.5</v>
      </c>
      <c r="N6" s="92">
        <v>14</v>
      </c>
      <c r="O6" s="92">
        <v>100</v>
      </c>
      <c r="P6" s="92"/>
      <c r="Q6" s="92"/>
      <c r="R6" s="92">
        <v>21.25</v>
      </c>
      <c r="S6" s="92"/>
      <c r="T6" s="92">
        <v>31</v>
      </c>
      <c r="U6" s="92">
        <v>28.941176470588236</v>
      </c>
      <c r="V6" s="92">
        <v>20.5</v>
      </c>
      <c r="W6" s="92">
        <v>24.333333333333332</v>
      </c>
      <c r="X6" s="92">
        <v>9.8000000000000007</v>
      </c>
      <c r="Y6" s="92"/>
      <c r="Z6" s="92">
        <v>77</v>
      </c>
      <c r="AA6" s="92">
        <v>21.818181818181817</v>
      </c>
      <c r="AB6" s="92">
        <v>26.833333333333332</v>
      </c>
    </row>
    <row r="7" spans="1:28" x14ac:dyDescent="0.3">
      <c r="A7" s="1" t="s">
        <v>1</v>
      </c>
      <c r="B7" s="92"/>
      <c r="C7" s="92">
        <v>30</v>
      </c>
      <c r="D7" s="92"/>
      <c r="E7" s="92"/>
      <c r="F7" s="92"/>
      <c r="G7" s="92"/>
      <c r="H7" s="92">
        <v>30</v>
      </c>
      <c r="I7" s="92">
        <v>50</v>
      </c>
      <c r="J7" s="92"/>
      <c r="K7" s="92">
        <v>20</v>
      </c>
      <c r="L7" s="92"/>
      <c r="M7" s="92"/>
      <c r="N7" s="92">
        <v>60</v>
      </c>
      <c r="O7" s="92">
        <v>14</v>
      </c>
      <c r="P7" s="92"/>
      <c r="Q7" s="92"/>
      <c r="R7" s="92">
        <v>6</v>
      </c>
      <c r="S7" s="92">
        <v>20</v>
      </c>
      <c r="T7" s="92">
        <v>20</v>
      </c>
      <c r="U7" s="92">
        <v>27.142857142857142</v>
      </c>
      <c r="V7" s="92">
        <v>49</v>
      </c>
      <c r="W7" s="92">
        <v>30</v>
      </c>
      <c r="X7" s="92"/>
      <c r="Y7" s="92">
        <v>25</v>
      </c>
      <c r="Z7" s="92"/>
      <c r="AA7" s="92">
        <v>34.666666666666664</v>
      </c>
      <c r="AB7" s="92">
        <v>29.454545454545453</v>
      </c>
    </row>
    <row r="8" spans="1:28" x14ac:dyDescent="0.3">
      <c r="A8" s="1" t="s">
        <v>2</v>
      </c>
      <c r="B8" s="92"/>
      <c r="C8" s="92">
        <v>50</v>
      </c>
      <c r="D8" s="92">
        <v>25</v>
      </c>
      <c r="E8" s="92"/>
      <c r="F8" s="92">
        <v>4</v>
      </c>
      <c r="G8" s="92"/>
      <c r="H8" s="92">
        <v>34</v>
      </c>
      <c r="I8" s="92">
        <v>2</v>
      </c>
      <c r="J8" s="92">
        <v>35</v>
      </c>
      <c r="K8" s="92">
        <v>20.5</v>
      </c>
      <c r="L8" s="92">
        <v>8.3333333333333339</v>
      </c>
      <c r="M8" s="92">
        <v>15</v>
      </c>
      <c r="N8" s="92">
        <v>26</v>
      </c>
      <c r="O8" s="92">
        <v>42</v>
      </c>
      <c r="P8" s="92">
        <v>60</v>
      </c>
      <c r="Q8" s="92">
        <v>38</v>
      </c>
      <c r="R8" s="92">
        <v>30</v>
      </c>
      <c r="S8" s="92">
        <v>24.75</v>
      </c>
      <c r="T8" s="92"/>
      <c r="U8" s="92">
        <v>24.791666666666668</v>
      </c>
      <c r="V8" s="92">
        <v>29</v>
      </c>
      <c r="W8" s="92">
        <v>51.5</v>
      </c>
      <c r="X8" s="92">
        <v>20</v>
      </c>
      <c r="Y8" s="92">
        <v>8.3333333333333339</v>
      </c>
      <c r="Z8" s="92">
        <v>40</v>
      </c>
      <c r="AA8" s="92">
        <v>27.636363636363637</v>
      </c>
      <c r="AB8" s="92">
        <v>26.902439024390244</v>
      </c>
    </row>
    <row r="9" spans="1:28" x14ac:dyDescent="0.3">
      <c r="A9" s="1" t="s">
        <v>3</v>
      </c>
      <c r="B9" s="92">
        <v>40</v>
      </c>
      <c r="C9" s="92">
        <v>27.5</v>
      </c>
      <c r="D9" s="92">
        <v>21</v>
      </c>
      <c r="E9" s="92"/>
      <c r="F9" s="92">
        <v>80</v>
      </c>
      <c r="G9" s="92">
        <v>33.6</v>
      </c>
      <c r="H9" s="92">
        <v>36.4</v>
      </c>
      <c r="I9" s="92">
        <v>33</v>
      </c>
      <c r="J9" s="92"/>
      <c r="K9" s="92">
        <v>30</v>
      </c>
      <c r="L9" s="92">
        <v>12</v>
      </c>
      <c r="M9" s="92">
        <v>47</v>
      </c>
      <c r="N9" s="92">
        <v>35</v>
      </c>
      <c r="O9" s="92">
        <v>47</v>
      </c>
      <c r="P9" s="92">
        <v>21.25</v>
      </c>
      <c r="Q9" s="92">
        <v>33.75</v>
      </c>
      <c r="R9" s="92"/>
      <c r="S9" s="92">
        <v>25</v>
      </c>
      <c r="T9" s="92">
        <v>15</v>
      </c>
      <c r="U9" s="92">
        <v>30.5</v>
      </c>
      <c r="V9" s="92">
        <v>37</v>
      </c>
      <c r="W9" s="92">
        <v>72.5</v>
      </c>
      <c r="X9" s="92">
        <v>22</v>
      </c>
      <c r="Y9" s="92">
        <v>16.333333333333332</v>
      </c>
      <c r="Z9" s="92">
        <v>27</v>
      </c>
      <c r="AA9" s="92">
        <v>31.266666666666666</v>
      </c>
      <c r="AB9" s="92">
        <v>32</v>
      </c>
    </row>
    <row r="10" spans="1:28" x14ac:dyDescent="0.3">
      <c r="A10" s="1" t="s">
        <v>4</v>
      </c>
      <c r="B10" s="92"/>
      <c r="C10" s="92"/>
      <c r="D10" s="92">
        <v>12</v>
      </c>
      <c r="E10" s="92">
        <v>32.5</v>
      </c>
      <c r="F10" s="92">
        <v>20</v>
      </c>
      <c r="G10" s="92">
        <v>9</v>
      </c>
      <c r="H10" s="92">
        <v>21.2</v>
      </c>
      <c r="I10" s="92"/>
      <c r="J10" s="92"/>
      <c r="K10" s="92">
        <v>30</v>
      </c>
      <c r="L10" s="92"/>
      <c r="M10" s="92">
        <v>25</v>
      </c>
      <c r="N10" s="92">
        <v>18</v>
      </c>
      <c r="O10" s="92">
        <v>40</v>
      </c>
      <c r="P10" s="92">
        <v>29</v>
      </c>
      <c r="Q10" s="92">
        <v>12</v>
      </c>
      <c r="R10" s="92"/>
      <c r="S10" s="92">
        <v>18</v>
      </c>
      <c r="T10" s="92">
        <v>25.5</v>
      </c>
      <c r="U10" s="92">
        <v>23.5</v>
      </c>
      <c r="V10" s="92">
        <v>25</v>
      </c>
      <c r="W10" s="92">
        <v>18.333333333333332</v>
      </c>
      <c r="X10" s="92">
        <v>5</v>
      </c>
      <c r="Y10" s="92">
        <v>15.25</v>
      </c>
      <c r="Z10" s="92"/>
      <c r="AA10" s="92">
        <v>15.1</v>
      </c>
      <c r="AB10" s="92">
        <v>19.962962962962962</v>
      </c>
    </row>
    <row r="11" spans="1:28" x14ac:dyDescent="0.3">
      <c r="A11" s="1" t="s">
        <v>5</v>
      </c>
      <c r="B11" s="92"/>
      <c r="C11" s="92">
        <v>45</v>
      </c>
      <c r="D11" s="92">
        <v>18</v>
      </c>
      <c r="E11" s="92">
        <v>20</v>
      </c>
      <c r="F11" s="92">
        <v>13.5</v>
      </c>
      <c r="G11" s="92">
        <v>15</v>
      </c>
      <c r="H11" s="92">
        <v>20.833333333333332</v>
      </c>
      <c r="I11" s="92">
        <v>17</v>
      </c>
      <c r="J11" s="92"/>
      <c r="K11" s="92">
        <v>15</v>
      </c>
      <c r="L11" s="92"/>
      <c r="M11" s="92">
        <v>24</v>
      </c>
      <c r="N11" s="92">
        <v>10</v>
      </c>
      <c r="O11" s="92">
        <v>11.5</v>
      </c>
      <c r="P11" s="92">
        <v>15.5</v>
      </c>
      <c r="Q11" s="92">
        <v>15</v>
      </c>
      <c r="R11" s="92">
        <v>23.333333333333332</v>
      </c>
      <c r="S11" s="92">
        <v>29</v>
      </c>
      <c r="T11" s="92"/>
      <c r="U11" s="92">
        <v>19</v>
      </c>
      <c r="V11" s="92">
        <v>4</v>
      </c>
      <c r="W11" s="92">
        <v>46.666666666666664</v>
      </c>
      <c r="X11" s="92">
        <v>27.75</v>
      </c>
      <c r="Y11" s="92">
        <v>13.166666666666666</v>
      </c>
      <c r="Z11" s="92">
        <v>25</v>
      </c>
      <c r="AA11" s="92">
        <v>23.933333333333334</v>
      </c>
      <c r="AB11" s="92">
        <v>21.297297297297298</v>
      </c>
    </row>
    <row r="12" spans="1:28" x14ac:dyDescent="0.3">
      <c r="A12" s="1" t="s">
        <v>6</v>
      </c>
      <c r="B12" s="92">
        <v>35</v>
      </c>
      <c r="C12" s="92">
        <v>35</v>
      </c>
      <c r="D12" s="92">
        <v>40</v>
      </c>
      <c r="E12" s="92">
        <v>16</v>
      </c>
      <c r="F12" s="92">
        <v>24</v>
      </c>
      <c r="G12" s="92"/>
      <c r="H12" s="92">
        <v>28.714285714285715</v>
      </c>
      <c r="I12" s="92">
        <v>42.5</v>
      </c>
      <c r="J12" s="92">
        <v>27.5</v>
      </c>
      <c r="K12" s="92">
        <v>30</v>
      </c>
      <c r="L12" s="92">
        <v>12</v>
      </c>
      <c r="M12" s="92"/>
      <c r="N12" s="92"/>
      <c r="O12" s="92"/>
      <c r="P12" s="92">
        <v>27.5</v>
      </c>
      <c r="Q12" s="92"/>
      <c r="R12" s="92">
        <v>17.5</v>
      </c>
      <c r="S12" s="92">
        <v>9</v>
      </c>
      <c r="T12" s="92">
        <v>21.666666666666668</v>
      </c>
      <c r="U12" s="92">
        <v>24.444444444444443</v>
      </c>
      <c r="V12" s="92">
        <v>14.25</v>
      </c>
      <c r="W12" s="92">
        <v>17.2</v>
      </c>
      <c r="X12" s="92">
        <v>10</v>
      </c>
      <c r="Y12" s="92">
        <v>47.75</v>
      </c>
      <c r="Z12" s="92">
        <v>10</v>
      </c>
      <c r="AA12" s="92">
        <v>23.6</v>
      </c>
      <c r="AB12" s="92">
        <v>24.875</v>
      </c>
    </row>
    <row r="13" spans="1:28" x14ac:dyDescent="0.3">
      <c r="A13" s="1" t="s">
        <v>7</v>
      </c>
      <c r="B13" s="92">
        <v>24</v>
      </c>
      <c r="C13" s="92"/>
      <c r="D13" s="92">
        <v>60</v>
      </c>
      <c r="E13" s="92">
        <v>17</v>
      </c>
      <c r="F13" s="92">
        <v>50</v>
      </c>
      <c r="G13" s="92">
        <v>37</v>
      </c>
      <c r="H13" s="92">
        <v>33.25</v>
      </c>
      <c r="I13" s="92"/>
      <c r="J13" s="92">
        <v>6</v>
      </c>
      <c r="K13" s="92">
        <v>20</v>
      </c>
      <c r="L13" s="92"/>
      <c r="M13" s="92">
        <v>10</v>
      </c>
      <c r="N13" s="92">
        <v>10</v>
      </c>
      <c r="O13" s="92"/>
      <c r="P13" s="92">
        <v>5</v>
      </c>
      <c r="Q13" s="92">
        <v>16</v>
      </c>
      <c r="R13" s="92"/>
      <c r="S13" s="92"/>
      <c r="T13" s="92">
        <v>49.333333333333336</v>
      </c>
      <c r="U13" s="92">
        <v>21.76923076923077</v>
      </c>
      <c r="V13" s="92">
        <v>28</v>
      </c>
      <c r="W13" s="92">
        <v>32.799999999999997</v>
      </c>
      <c r="X13" s="92"/>
      <c r="Y13" s="92">
        <v>30</v>
      </c>
      <c r="Z13" s="92">
        <v>20</v>
      </c>
      <c r="AA13" s="92">
        <v>30.25</v>
      </c>
      <c r="AB13" s="92">
        <v>27.275862068965516</v>
      </c>
    </row>
    <row r="14" spans="1:28" x14ac:dyDescent="0.3">
      <c r="A14" s="1" t="s">
        <v>8</v>
      </c>
      <c r="B14" s="92"/>
      <c r="C14" s="92"/>
      <c r="D14" s="92"/>
      <c r="E14" s="92">
        <v>20.666666666666668</v>
      </c>
      <c r="F14" s="92">
        <v>22.5</v>
      </c>
      <c r="G14" s="92"/>
      <c r="H14" s="92">
        <v>21.4</v>
      </c>
      <c r="I14" s="92"/>
      <c r="J14" s="92"/>
      <c r="K14" s="92">
        <v>16</v>
      </c>
      <c r="L14" s="92">
        <v>50</v>
      </c>
      <c r="M14" s="92">
        <v>50</v>
      </c>
      <c r="N14" s="92"/>
      <c r="O14" s="92">
        <v>20</v>
      </c>
      <c r="P14" s="92">
        <v>17.5</v>
      </c>
      <c r="Q14" s="92">
        <v>12</v>
      </c>
      <c r="R14" s="92"/>
      <c r="S14" s="92">
        <v>6</v>
      </c>
      <c r="T14" s="92">
        <v>25</v>
      </c>
      <c r="U14" s="92">
        <v>26.4</v>
      </c>
      <c r="V14" s="92">
        <v>21</v>
      </c>
      <c r="W14" s="92"/>
      <c r="X14" s="92">
        <v>17.5</v>
      </c>
      <c r="Y14" s="92">
        <v>25</v>
      </c>
      <c r="Z14" s="92"/>
      <c r="AA14" s="92">
        <v>20.25</v>
      </c>
      <c r="AB14" s="92">
        <v>23.789473684210527</v>
      </c>
    </row>
    <row r="15" spans="1:28" x14ac:dyDescent="0.3">
      <c r="A15" s="1" t="s">
        <v>9</v>
      </c>
      <c r="B15" s="92">
        <v>38.5</v>
      </c>
      <c r="C15" s="92"/>
      <c r="D15" s="92">
        <v>20</v>
      </c>
      <c r="E15" s="92"/>
      <c r="F15" s="92"/>
      <c r="G15" s="92">
        <v>32</v>
      </c>
      <c r="H15" s="92">
        <v>32.25</v>
      </c>
      <c r="I15" s="92"/>
      <c r="J15" s="92"/>
      <c r="K15" s="92"/>
      <c r="L15" s="92"/>
      <c r="M15" s="92"/>
      <c r="N15" s="92"/>
      <c r="O15" s="92"/>
      <c r="P15" s="92">
        <v>15</v>
      </c>
      <c r="Q15" s="92"/>
      <c r="R15" s="92"/>
      <c r="S15" s="92">
        <v>4</v>
      </c>
      <c r="T15" s="92"/>
      <c r="U15" s="92">
        <v>9.5</v>
      </c>
      <c r="V15" s="92">
        <v>30</v>
      </c>
      <c r="W15" s="92"/>
      <c r="X15" s="92">
        <v>20</v>
      </c>
      <c r="Y15" s="92">
        <v>70</v>
      </c>
      <c r="Z15" s="92">
        <v>30</v>
      </c>
      <c r="AA15" s="92">
        <v>37.5</v>
      </c>
      <c r="AB15" s="92">
        <v>29.8</v>
      </c>
    </row>
    <row r="16" spans="1:28" x14ac:dyDescent="0.3">
      <c r="A16" s="1" t="s">
        <v>10</v>
      </c>
      <c r="B16" s="92"/>
      <c r="C16" s="92"/>
      <c r="D16" s="92"/>
      <c r="E16" s="92"/>
      <c r="F16" s="92"/>
      <c r="G16" s="92"/>
      <c r="H16" s="92"/>
      <c r="I16" s="92">
        <v>70</v>
      </c>
      <c r="J16" s="92">
        <v>15</v>
      </c>
      <c r="K16" s="92"/>
      <c r="L16" s="92">
        <v>15</v>
      </c>
      <c r="M16" s="92"/>
      <c r="N16" s="92"/>
      <c r="O16" s="92">
        <v>6</v>
      </c>
      <c r="P16" s="92"/>
      <c r="Q16" s="92"/>
      <c r="R16" s="92"/>
      <c r="S16" s="92">
        <v>24</v>
      </c>
      <c r="T16" s="92"/>
      <c r="U16" s="92">
        <v>26</v>
      </c>
      <c r="V16" s="92">
        <v>8</v>
      </c>
      <c r="W16" s="92"/>
      <c r="X16" s="92"/>
      <c r="Y16" s="92"/>
      <c r="Z16" s="92"/>
      <c r="AA16" s="92">
        <v>8</v>
      </c>
      <c r="AB16" s="92">
        <v>23</v>
      </c>
    </row>
    <row r="17" spans="1:28" x14ac:dyDescent="0.3">
      <c r="A17" s="1" t="s">
        <v>11</v>
      </c>
      <c r="B17" s="92"/>
      <c r="C17" s="92"/>
      <c r="D17" s="92"/>
      <c r="E17" s="92">
        <v>20</v>
      </c>
      <c r="F17" s="92">
        <v>35</v>
      </c>
      <c r="G17" s="92">
        <v>25</v>
      </c>
      <c r="H17" s="92">
        <v>28</v>
      </c>
      <c r="I17" s="92">
        <v>49.5</v>
      </c>
      <c r="J17" s="92"/>
      <c r="K17" s="92">
        <v>30</v>
      </c>
      <c r="L17" s="92"/>
      <c r="M17" s="92">
        <v>9.5</v>
      </c>
      <c r="N17" s="92">
        <v>30</v>
      </c>
      <c r="O17" s="92"/>
      <c r="P17" s="92">
        <v>15</v>
      </c>
      <c r="Q17" s="92">
        <v>15</v>
      </c>
      <c r="R17" s="92"/>
      <c r="S17" s="92"/>
      <c r="T17" s="92">
        <v>5</v>
      </c>
      <c r="U17" s="92">
        <v>23.666666666666668</v>
      </c>
      <c r="V17" s="92">
        <v>16</v>
      </c>
      <c r="W17" s="92">
        <v>33</v>
      </c>
      <c r="X17" s="92">
        <v>5</v>
      </c>
      <c r="Y17" s="92">
        <v>42.5</v>
      </c>
      <c r="Z17" s="92"/>
      <c r="AA17" s="92">
        <v>27</v>
      </c>
      <c r="AB17" s="92">
        <v>25.958333333333332</v>
      </c>
    </row>
    <row r="18" spans="1:28" x14ac:dyDescent="0.3">
      <c r="A18" s="1" t="s">
        <v>12</v>
      </c>
      <c r="B18" s="92"/>
      <c r="C18" s="92"/>
      <c r="D18" s="92"/>
      <c r="E18" s="92">
        <v>30</v>
      </c>
      <c r="F18" s="92"/>
      <c r="G18" s="92">
        <v>47.5</v>
      </c>
      <c r="H18" s="92">
        <v>38.75</v>
      </c>
      <c r="I18" s="92"/>
      <c r="J18" s="92"/>
      <c r="K18" s="92"/>
      <c r="L18" s="92"/>
      <c r="M18" s="92">
        <v>20</v>
      </c>
      <c r="N18" s="92"/>
      <c r="O18" s="92">
        <v>30</v>
      </c>
      <c r="P18" s="92">
        <v>6</v>
      </c>
      <c r="Q18" s="92">
        <v>39.5</v>
      </c>
      <c r="R18" s="92">
        <v>21</v>
      </c>
      <c r="S18" s="92"/>
      <c r="T18" s="92"/>
      <c r="U18" s="92">
        <v>25.285714285714285</v>
      </c>
      <c r="V18" s="92">
        <v>45</v>
      </c>
      <c r="W18" s="92">
        <v>13.5</v>
      </c>
      <c r="X18" s="92">
        <v>22.5</v>
      </c>
      <c r="Y18" s="92">
        <v>40</v>
      </c>
      <c r="Z18" s="92"/>
      <c r="AA18" s="92">
        <v>28.857142857142858</v>
      </c>
      <c r="AB18" s="92">
        <v>29.666666666666668</v>
      </c>
    </row>
    <row r="19" spans="1:28" x14ac:dyDescent="0.3">
      <c r="A19" s="1" t="s">
        <v>13</v>
      </c>
      <c r="B19" s="92"/>
      <c r="C19" s="92"/>
      <c r="D19" s="92"/>
      <c r="E19" s="92">
        <v>14</v>
      </c>
      <c r="F19" s="92"/>
      <c r="G19" s="92">
        <v>20</v>
      </c>
      <c r="H19" s="92">
        <v>16</v>
      </c>
      <c r="I19" s="92"/>
      <c r="J19" s="92">
        <v>17.5</v>
      </c>
      <c r="K19" s="92"/>
      <c r="L19" s="92">
        <v>6</v>
      </c>
      <c r="M19" s="92"/>
      <c r="N19" s="92">
        <v>50</v>
      </c>
      <c r="O19" s="92">
        <v>14</v>
      </c>
      <c r="P19" s="92">
        <v>5</v>
      </c>
      <c r="Q19" s="92"/>
      <c r="R19" s="92">
        <v>9</v>
      </c>
      <c r="S19" s="92">
        <v>15.666666666666666</v>
      </c>
      <c r="T19" s="92">
        <v>37.5</v>
      </c>
      <c r="U19" s="92">
        <v>21.785714285714285</v>
      </c>
      <c r="V19" s="92">
        <v>14</v>
      </c>
      <c r="W19" s="92">
        <v>8</v>
      </c>
      <c r="X19" s="92">
        <v>10.666666666666666</v>
      </c>
      <c r="Y19" s="92">
        <v>15.4</v>
      </c>
      <c r="Z19" s="92"/>
      <c r="AA19" s="92">
        <v>13.181818181818182</v>
      </c>
      <c r="AB19" s="92">
        <v>17.785714285714285</v>
      </c>
    </row>
    <row r="20" spans="1:28" x14ac:dyDescent="0.3">
      <c r="A20" s="1" t="s">
        <v>14</v>
      </c>
      <c r="B20" s="92"/>
      <c r="C20" s="92">
        <v>20</v>
      </c>
      <c r="D20" s="92">
        <v>2</v>
      </c>
      <c r="E20" s="92">
        <v>24.333333333333332</v>
      </c>
      <c r="F20" s="92"/>
      <c r="G20" s="92">
        <v>19</v>
      </c>
      <c r="H20" s="92">
        <v>19</v>
      </c>
      <c r="I20" s="92">
        <v>41.25</v>
      </c>
      <c r="J20" s="92"/>
      <c r="K20" s="92">
        <v>23.5</v>
      </c>
      <c r="L20" s="92"/>
      <c r="M20" s="92">
        <v>9</v>
      </c>
      <c r="N20" s="92"/>
      <c r="O20" s="92">
        <v>12</v>
      </c>
      <c r="P20" s="92">
        <v>16.666666666666668</v>
      </c>
      <c r="Q20" s="92">
        <v>18.666666666666668</v>
      </c>
      <c r="R20" s="92">
        <v>36.666666666666664</v>
      </c>
      <c r="S20" s="92">
        <v>8</v>
      </c>
      <c r="T20" s="92">
        <v>12</v>
      </c>
      <c r="U20" s="92">
        <v>24</v>
      </c>
      <c r="V20" s="92">
        <v>16</v>
      </c>
      <c r="W20" s="92">
        <v>42.5</v>
      </c>
      <c r="X20" s="92">
        <v>30</v>
      </c>
      <c r="Y20" s="92">
        <v>35.200000000000003</v>
      </c>
      <c r="Z20" s="92"/>
      <c r="AA20" s="92">
        <v>33.700000000000003</v>
      </c>
      <c r="AB20" s="92">
        <v>25.26829268292683</v>
      </c>
    </row>
    <row r="21" spans="1:28" x14ac:dyDescent="0.3">
      <c r="A21" s="1" t="s">
        <v>15</v>
      </c>
      <c r="B21" s="92">
        <v>25</v>
      </c>
      <c r="C21" s="92">
        <v>34.666666666666664</v>
      </c>
      <c r="D21" s="92"/>
      <c r="E21" s="92"/>
      <c r="F21" s="92">
        <v>8</v>
      </c>
      <c r="G21" s="92">
        <v>60</v>
      </c>
      <c r="H21" s="92">
        <v>32.833333333333336</v>
      </c>
      <c r="I21" s="92">
        <v>39.666666666666664</v>
      </c>
      <c r="J21" s="92">
        <v>20</v>
      </c>
      <c r="K21" s="92">
        <v>12</v>
      </c>
      <c r="L21" s="92"/>
      <c r="M21" s="92">
        <v>13</v>
      </c>
      <c r="N21" s="92">
        <v>21.333333333333332</v>
      </c>
      <c r="O21" s="92">
        <v>14</v>
      </c>
      <c r="P21" s="92">
        <v>20</v>
      </c>
      <c r="Q21" s="92">
        <v>8</v>
      </c>
      <c r="R21" s="92">
        <v>30</v>
      </c>
      <c r="S21" s="92"/>
      <c r="T21" s="92"/>
      <c r="U21" s="92">
        <v>22.25</v>
      </c>
      <c r="V21" s="92">
        <v>10</v>
      </c>
      <c r="W21" s="92">
        <v>35</v>
      </c>
      <c r="X21" s="92">
        <v>25.666666666666668</v>
      </c>
      <c r="Y21" s="92">
        <v>22.5</v>
      </c>
      <c r="Z21" s="92"/>
      <c r="AA21" s="92">
        <v>22.125</v>
      </c>
      <c r="AB21" s="92">
        <v>24.333333333333332</v>
      </c>
    </row>
    <row r="22" spans="1:28" x14ac:dyDescent="0.3">
      <c r="A22" s="1" t="s">
        <v>16</v>
      </c>
      <c r="B22" s="92"/>
      <c r="C22" s="92">
        <v>20</v>
      </c>
      <c r="D22" s="92"/>
      <c r="E22" s="92">
        <v>5</v>
      </c>
      <c r="F22" s="92"/>
      <c r="G22" s="92"/>
      <c r="H22" s="92">
        <v>12.5</v>
      </c>
      <c r="I22" s="92"/>
      <c r="J22" s="92"/>
      <c r="K22" s="92"/>
      <c r="L22" s="92">
        <v>12</v>
      </c>
      <c r="M22" s="92"/>
      <c r="N22" s="92"/>
      <c r="O22" s="92">
        <v>17.5</v>
      </c>
      <c r="P22" s="92"/>
      <c r="Q22" s="92">
        <v>50</v>
      </c>
      <c r="R22" s="92"/>
      <c r="S22" s="92"/>
      <c r="T22" s="92"/>
      <c r="U22" s="92">
        <v>24.25</v>
      </c>
      <c r="V22" s="92"/>
      <c r="W22" s="92"/>
      <c r="X22" s="92"/>
      <c r="Y22" s="92"/>
      <c r="Z22" s="92"/>
      <c r="AA22" s="92"/>
      <c r="AB22" s="92">
        <v>20.333333333333332</v>
      </c>
    </row>
    <row r="23" spans="1:28" x14ac:dyDescent="0.3">
      <c r="A23" s="1" t="s">
        <v>17</v>
      </c>
      <c r="B23" s="92">
        <v>2</v>
      </c>
      <c r="C23" s="92"/>
      <c r="D23" s="92">
        <v>12</v>
      </c>
      <c r="E23" s="92">
        <v>12</v>
      </c>
      <c r="F23" s="92">
        <v>20</v>
      </c>
      <c r="G23" s="92">
        <v>19</v>
      </c>
      <c r="H23" s="92">
        <v>13.714285714285714</v>
      </c>
      <c r="I23" s="92">
        <v>70</v>
      </c>
      <c r="J23" s="92">
        <v>25</v>
      </c>
      <c r="K23" s="92">
        <v>23.25</v>
      </c>
      <c r="L23" s="92">
        <v>22</v>
      </c>
      <c r="M23" s="92">
        <v>46.666666666666664</v>
      </c>
      <c r="N23" s="92">
        <v>50</v>
      </c>
      <c r="O23" s="92"/>
      <c r="P23" s="92">
        <v>25.4</v>
      </c>
      <c r="Q23" s="92">
        <v>28.5</v>
      </c>
      <c r="R23" s="92">
        <v>22.666666666666668</v>
      </c>
      <c r="S23" s="92">
        <v>24</v>
      </c>
      <c r="T23" s="92">
        <v>25</v>
      </c>
      <c r="U23" s="92">
        <v>29.424242424242426</v>
      </c>
      <c r="V23" s="92">
        <v>26.666666666666668</v>
      </c>
      <c r="W23" s="92">
        <v>20.333333333333332</v>
      </c>
      <c r="X23" s="92">
        <v>18</v>
      </c>
      <c r="Y23" s="92">
        <v>12.333333333333334</v>
      </c>
      <c r="Z23" s="92"/>
      <c r="AA23" s="92">
        <v>19.600000000000001</v>
      </c>
      <c r="AB23" s="92">
        <v>25.26</v>
      </c>
    </row>
    <row r="24" spans="1:28" x14ac:dyDescent="0.3">
      <c r="A24" s="1" t="s">
        <v>18</v>
      </c>
      <c r="B24" s="92">
        <v>20</v>
      </c>
      <c r="C24" s="92">
        <v>27.5</v>
      </c>
      <c r="D24" s="92"/>
      <c r="E24" s="92">
        <v>14.5</v>
      </c>
      <c r="F24" s="92">
        <v>52</v>
      </c>
      <c r="G24" s="92">
        <v>38</v>
      </c>
      <c r="H24" s="92">
        <v>34.333333333333336</v>
      </c>
      <c r="I24" s="92">
        <v>32</v>
      </c>
      <c r="J24" s="92">
        <v>8.5</v>
      </c>
      <c r="K24" s="92"/>
      <c r="L24" s="92">
        <v>27.5</v>
      </c>
      <c r="M24" s="92">
        <v>42.5</v>
      </c>
      <c r="N24" s="92">
        <v>27.2</v>
      </c>
      <c r="O24" s="92">
        <v>42.5</v>
      </c>
      <c r="P24" s="92"/>
      <c r="Q24" s="92">
        <v>16</v>
      </c>
      <c r="R24" s="92"/>
      <c r="S24" s="92">
        <v>20.25</v>
      </c>
      <c r="T24" s="92">
        <v>24.833333333333332</v>
      </c>
      <c r="U24" s="92">
        <v>25.481481481481481</v>
      </c>
      <c r="V24" s="92">
        <v>12.5</v>
      </c>
      <c r="W24" s="92">
        <v>24.5</v>
      </c>
      <c r="X24" s="92">
        <v>31.333333333333332</v>
      </c>
      <c r="Y24" s="92">
        <v>15</v>
      </c>
      <c r="Z24" s="92"/>
      <c r="AA24" s="92">
        <v>25.181818181818183</v>
      </c>
      <c r="AB24" s="92">
        <v>27.54</v>
      </c>
    </row>
    <row r="25" spans="1:28" x14ac:dyDescent="0.3">
      <c r="A25" s="1" t="s">
        <v>19</v>
      </c>
      <c r="B25" s="92"/>
      <c r="C25" s="92"/>
      <c r="D25" s="92"/>
      <c r="E25" s="92">
        <v>18</v>
      </c>
      <c r="F25" s="92"/>
      <c r="G25" s="92"/>
      <c r="H25" s="92">
        <v>18</v>
      </c>
      <c r="I25" s="92"/>
      <c r="J25" s="92"/>
      <c r="K25" s="92"/>
      <c r="L25" s="92"/>
      <c r="M25" s="92"/>
      <c r="N25" s="92"/>
      <c r="O25" s="92"/>
      <c r="P25" s="92">
        <v>70</v>
      </c>
      <c r="Q25" s="92"/>
      <c r="R25" s="92"/>
      <c r="S25" s="92">
        <v>30</v>
      </c>
      <c r="T25" s="92"/>
      <c r="U25" s="92">
        <v>50</v>
      </c>
      <c r="V25" s="92">
        <v>6</v>
      </c>
      <c r="W25" s="92">
        <v>50</v>
      </c>
      <c r="X25" s="92">
        <v>16</v>
      </c>
      <c r="Y25" s="92">
        <v>40</v>
      </c>
      <c r="Z25" s="92"/>
      <c r="AA25" s="92">
        <v>24</v>
      </c>
      <c r="AB25" s="92">
        <v>28</v>
      </c>
    </row>
    <row r="26" spans="1:28" x14ac:dyDescent="0.3">
      <c r="A26" s="1" t="s">
        <v>20</v>
      </c>
      <c r="B26" s="92">
        <v>1</v>
      </c>
      <c r="C26" s="92"/>
      <c r="D26" s="92"/>
      <c r="E26" s="92">
        <v>28</v>
      </c>
      <c r="F26" s="92"/>
      <c r="G26" s="92"/>
      <c r="H26" s="92">
        <v>14.5</v>
      </c>
      <c r="I26" s="92">
        <v>10</v>
      </c>
      <c r="J26" s="92"/>
      <c r="K26" s="92"/>
      <c r="L26" s="92"/>
      <c r="M26" s="92">
        <v>18</v>
      </c>
      <c r="N26" s="92"/>
      <c r="O26" s="92"/>
      <c r="P26" s="92"/>
      <c r="Q26" s="92"/>
      <c r="R26" s="92"/>
      <c r="S26" s="92"/>
      <c r="T26" s="92"/>
      <c r="U26" s="92">
        <v>14</v>
      </c>
      <c r="V26" s="92"/>
      <c r="W26" s="92">
        <v>60</v>
      </c>
      <c r="X26" s="92"/>
      <c r="Y26" s="92">
        <v>8</v>
      </c>
      <c r="Z26" s="92"/>
      <c r="AA26" s="92">
        <v>34</v>
      </c>
      <c r="AB26" s="92">
        <v>20.833333333333332</v>
      </c>
    </row>
    <row r="27" spans="1:28" x14ac:dyDescent="0.3">
      <c r="A27" s="1" t="s">
        <v>21</v>
      </c>
      <c r="B27" s="92">
        <v>21.5</v>
      </c>
      <c r="C27" s="92">
        <v>9</v>
      </c>
      <c r="D27" s="92">
        <v>11</v>
      </c>
      <c r="E27" s="92"/>
      <c r="F27" s="92">
        <v>15</v>
      </c>
      <c r="G27" s="92">
        <v>15</v>
      </c>
      <c r="H27" s="92">
        <v>14.363636363636363</v>
      </c>
      <c r="I27" s="92"/>
      <c r="J27" s="92">
        <v>20</v>
      </c>
      <c r="K27" s="92">
        <v>44.333333333333336</v>
      </c>
      <c r="L27" s="92">
        <v>12</v>
      </c>
      <c r="M27" s="92">
        <v>16</v>
      </c>
      <c r="N27" s="92">
        <v>21.5</v>
      </c>
      <c r="O27" s="92">
        <v>35</v>
      </c>
      <c r="P27" s="92">
        <v>4</v>
      </c>
      <c r="Q27" s="92">
        <v>15</v>
      </c>
      <c r="R27" s="92">
        <v>20</v>
      </c>
      <c r="S27" s="92">
        <v>35</v>
      </c>
      <c r="T27" s="92">
        <v>20</v>
      </c>
      <c r="U27" s="92">
        <v>22.277777777777779</v>
      </c>
      <c r="V27" s="92">
        <v>20</v>
      </c>
      <c r="W27" s="92">
        <v>31</v>
      </c>
      <c r="X27" s="92">
        <v>46.666666666666664</v>
      </c>
      <c r="Y27" s="92">
        <v>19.444444444444443</v>
      </c>
      <c r="Z27" s="92">
        <v>15</v>
      </c>
      <c r="AA27" s="92">
        <v>26.8</v>
      </c>
      <c r="AB27" s="92">
        <v>22.346938775510203</v>
      </c>
    </row>
    <row r="28" spans="1:28" x14ac:dyDescent="0.3">
      <c r="A28" s="1" t="s">
        <v>22</v>
      </c>
      <c r="B28" s="92"/>
      <c r="C28" s="92"/>
      <c r="D28" s="92">
        <v>7.666666666666667</v>
      </c>
      <c r="E28" s="92"/>
      <c r="F28" s="92">
        <v>20</v>
      </c>
      <c r="G28" s="92">
        <v>24</v>
      </c>
      <c r="H28" s="92">
        <v>15.166666666666666</v>
      </c>
      <c r="I28" s="92">
        <v>23.25</v>
      </c>
      <c r="J28" s="92"/>
      <c r="K28" s="92"/>
      <c r="L28" s="92">
        <v>10</v>
      </c>
      <c r="M28" s="92">
        <v>10</v>
      </c>
      <c r="N28" s="92">
        <v>18</v>
      </c>
      <c r="O28" s="92">
        <v>37.5</v>
      </c>
      <c r="P28" s="92">
        <v>20</v>
      </c>
      <c r="Q28" s="92">
        <v>45</v>
      </c>
      <c r="R28" s="92">
        <v>27.5</v>
      </c>
      <c r="S28" s="92">
        <v>24.5</v>
      </c>
      <c r="T28" s="92">
        <v>20</v>
      </c>
      <c r="U28" s="92">
        <v>24.421052631578949</v>
      </c>
      <c r="V28" s="92">
        <v>24</v>
      </c>
      <c r="W28" s="92">
        <v>50</v>
      </c>
      <c r="X28" s="92">
        <v>9.5</v>
      </c>
      <c r="Y28" s="92">
        <v>36</v>
      </c>
      <c r="Z28" s="92">
        <v>30</v>
      </c>
      <c r="AA28" s="92">
        <v>26.5</v>
      </c>
      <c r="AB28" s="92">
        <v>23.032258064516128</v>
      </c>
    </row>
    <row r="29" spans="1:28" x14ac:dyDescent="0.3">
      <c r="A29" s="1" t="s">
        <v>23</v>
      </c>
      <c r="B29" s="92"/>
      <c r="C29" s="92">
        <v>18.5</v>
      </c>
      <c r="D29" s="92">
        <v>24</v>
      </c>
      <c r="E29" s="92"/>
      <c r="F29" s="92">
        <v>77</v>
      </c>
      <c r="G29" s="92"/>
      <c r="H29" s="92">
        <v>34.5</v>
      </c>
      <c r="I29" s="92">
        <v>40</v>
      </c>
      <c r="J29" s="92">
        <v>100</v>
      </c>
      <c r="K29" s="92">
        <v>2</v>
      </c>
      <c r="L29" s="92">
        <v>15</v>
      </c>
      <c r="M29" s="92">
        <v>9</v>
      </c>
      <c r="N29" s="92">
        <v>23.666666666666668</v>
      </c>
      <c r="O29" s="92"/>
      <c r="P29" s="92">
        <v>10</v>
      </c>
      <c r="Q29" s="92">
        <v>24.5</v>
      </c>
      <c r="R29" s="92">
        <v>37</v>
      </c>
      <c r="S29" s="92">
        <v>16</v>
      </c>
      <c r="T29" s="92"/>
      <c r="U29" s="92">
        <v>27.571428571428573</v>
      </c>
      <c r="V29" s="92">
        <v>13</v>
      </c>
      <c r="W29" s="92"/>
      <c r="X29" s="92">
        <v>18</v>
      </c>
      <c r="Y29" s="92">
        <v>9</v>
      </c>
      <c r="Z29" s="92">
        <v>15</v>
      </c>
      <c r="AA29" s="92">
        <v>12.833333333333334</v>
      </c>
      <c r="AB29" s="92">
        <v>25.041666666666668</v>
      </c>
    </row>
    <row r="30" spans="1:28" x14ac:dyDescent="0.3">
      <c r="A30" s="1" t="s">
        <v>24</v>
      </c>
      <c r="B30" s="92"/>
      <c r="C30" s="92"/>
      <c r="D30" s="92"/>
      <c r="E30" s="92">
        <v>37</v>
      </c>
      <c r="F30" s="92"/>
      <c r="G30" s="92">
        <v>16</v>
      </c>
      <c r="H30" s="92">
        <v>30</v>
      </c>
      <c r="I30" s="92">
        <v>33</v>
      </c>
      <c r="J30" s="92">
        <v>10.333333333333334</v>
      </c>
      <c r="K30" s="92">
        <v>30</v>
      </c>
      <c r="L30" s="92"/>
      <c r="M30" s="92"/>
      <c r="N30" s="92">
        <v>40</v>
      </c>
      <c r="O30" s="92">
        <v>5.5</v>
      </c>
      <c r="P30" s="92">
        <v>35</v>
      </c>
      <c r="Q30" s="92">
        <v>30</v>
      </c>
      <c r="R30" s="92">
        <v>22.5</v>
      </c>
      <c r="S30" s="92">
        <v>15</v>
      </c>
      <c r="T30" s="92">
        <v>16</v>
      </c>
      <c r="U30" s="92">
        <v>22.684210526315791</v>
      </c>
      <c r="V30" s="92">
        <v>22.75</v>
      </c>
      <c r="W30" s="92">
        <v>27.5</v>
      </c>
      <c r="X30" s="92">
        <v>5</v>
      </c>
      <c r="Y30" s="92">
        <v>27</v>
      </c>
      <c r="Z30" s="92"/>
      <c r="AA30" s="92">
        <v>23.2</v>
      </c>
      <c r="AB30" s="92">
        <v>23.53125</v>
      </c>
    </row>
    <row r="31" spans="1:28" x14ac:dyDescent="0.3">
      <c r="A31" s="1" t="s">
        <v>25</v>
      </c>
      <c r="B31" s="92">
        <v>6</v>
      </c>
      <c r="C31" s="92"/>
      <c r="D31" s="92"/>
      <c r="E31" s="92"/>
      <c r="F31" s="92"/>
      <c r="G31" s="92"/>
      <c r="H31" s="92">
        <v>6</v>
      </c>
      <c r="I31" s="92"/>
      <c r="J31" s="92">
        <v>12</v>
      </c>
      <c r="K31" s="92"/>
      <c r="L31" s="92"/>
      <c r="M31" s="92"/>
      <c r="N31" s="92">
        <v>24</v>
      </c>
      <c r="O31" s="92"/>
      <c r="P31" s="92">
        <v>42.666666666666664</v>
      </c>
      <c r="Q31" s="92">
        <v>17.5</v>
      </c>
      <c r="R31" s="92"/>
      <c r="S31" s="92"/>
      <c r="T31" s="92">
        <v>5</v>
      </c>
      <c r="U31" s="92">
        <v>23.222222222222221</v>
      </c>
      <c r="V31" s="92">
        <v>43.5</v>
      </c>
      <c r="W31" s="92"/>
      <c r="X31" s="92">
        <v>21</v>
      </c>
      <c r="Y31" s="92">
        <v>25</v>
      </c>
      <c r="Z31" s="92"/>
      <c r="AA31" s="92">
        <v>33.25</v>
      </c>
      <c r="AB31" s="92">
        <v>24.857142857142858</v>
      </c>
    </row>
    <row r="32" spans="1:28" x14ac:dyDescent="0.3">
      <c r="A32" s="1" t="s">
        <v>26</v>
      </c>
      <c r="B32" s="92"/>
      <c r="C32" s="92">
        <v>19.5</v>
      </c>
      <c r="D32" s="92"/>
      <c r="E32" s="92"/>
      <c r="F32" s="92"/>
      <c r="G32" s="92">
        <v>23</v>
      </c>
      <c r="H32" s="92">
        <v>21.25</v>
      </c>
      <c r="I32" s="92"/>
      <c r="J32" s="92">
        <v>14</v>
      </c>
      <c r="K32" s="92">
        <v>20</v>
      </c>
      <c r="L32" s="92"/>
      <c r="M32" s="92">
        <v>9</v>
      </c>
      <c r="N32" s="92"/>
      <c r="O32" s="92">
        <v>7.5</v>
      </c>
      <c r="P32" s="92">
        <v>70</v>
      </c>
      <c r="Q32" s="92">
        <v>14.666666666666666</v>
      </c>
      <c r="R32" s="92">
        <v>19.25</v>
      </c>
      <c r="S32" s="92">
        <v>16</v>
      </c>
      <c r="T32" s="92">
        <v>8</v>
      </c>
      <c r="U32" s="92">
        <v>17.222222222222221</v>
      </c>
      <c r="V32" s="92">
        <v>26</v>
      </c>
      <c r="W32" s="92">
        <v>41.666666666666664</v>
      </c>
      <c r="X32" s="92">
        <v>41.666666666666664</v>
      </c>
      <c r="Y32" s="92">
        <v>22</v>
      </c>
      <c r="Z32" s="92"/>
      <c r="AA32" s="92">
        <v>34.6</v>
      </c>
      <c r="AB32" s="92">
        <v>23.15625</v>
      </c>
    </row>
    <row r="33" spans="1:28" x14ac:dyDescent="0.3">
      <c r="A33" s="1" t="s">
        <v>27</v>
      </c>
      <c r="B33" s="92">
        <v>25</v>
      </c>
      <c r="C33" s="92">
        <v>30</v>
      </c>
      <c r="D33" s="92">
        <v>40</v>
      </c>
      <c r="E33" s="92">
        <v>16</v>
      </c>
      <c r="F33" s="92">
        <v>30</v>
      </c>
      <c r="G33" s="92">
        <v>6</v>
      </c>
      <c r="H33" s="92">
        <v>24.125</v>
      </c>
      <c r="I33" s="92">
        <v>5</v>
      </c>
      <c r="J33" s="92"/>
      <c r="K33" s="92"/>
      <c r="L33" s="92"/>
      <c r="M33" s="92">
        <v>30</v>
      </c>
      <c r="N33" s="92">
        <v>42.5</v>
      </c>
      <c r="O33" s="92"/>
      <c r="P33" s="92">
        <v>38</v>
      </c>
      <c r="Q33" s="92">
        <v>22.5</v>
      </c>
      <c r="R33" s="92">
        <v>23</v>
      </c>
      <c r="S33" s="92">
        <v>5.5</v>
      </c>
      <c r="T33" s="92">
        <v>25</v>
      </c>
      <c r="U33" s="92">
        <v>25.2</v>
      </c>
      <c r="V33" s="92">
        <v>50</v>
      </c>
      <c r="W33" s="92">
        <v>20</v>
      </c>
      <c r="X33" s="92">
        <v>27.5</v>
      </c>
      <c r="Y33" s="92">
        <v>27.25</v>
      </c>
      <c r="Z33" s="92"/>
      <c r="AA33" s="92">
        <v>29.25</v>
      </c>
      <c r="AB33" s="92">
        <v>25.967741935483872</v>
      </c>
    </row>
    <row r="34" spans="1:28" x14ac:dyDescent="0.3">
      <c r="A34" s="1" t="s">
        <v>28</v>
      </c>
      <c r="B34" s="92"/>
      <c r="C34" s="92">
        <v>25</v>
      </c>
      <c r="D34" s="92">
        <v>15</v>
      </c>
      <c r="E34" s="92">
        <v>18.666666666666668</v>
      </c>
      <c r="F34" s="92">
        <v>40</v>
      </c>
      <c r="G34" s="92"/>
      <c r="H34" s="92">
        <v>22.666666666666668</v>
      </c>
      <c r="I34" s="92"/>
      <c r="J34" s="92"/>
      <c r="K34" s="92">
        <v>12.666666666666666</v>
      </c>
      <c r="L34" s="92">
        <v>15</v>
      </c>
      <c r="M34" s="92">
        <v>42.5</v>
      </c>
      <c r="N34" s="92"/>
      <c r="O34" s="92"/>
      <c r="P34" s="92"/>
      <c r="Q34" s="92">
        <v>13</v>
      </c>
      <c r="R34" s="92">
        <v>32</v>
      </c>
      <c r="S34" s="92"/>
      <c r="T34" s="92">
        <v>30</v>
      </c>
      <c r="U34" s="92">
        <v>23.454545454545453</v>
      </c>
      <c r="V34" s="92">
        <v>10.25</v>
      </c>
      <c r="W34" s="92"/>
      <c r="X34" s="92">
        <v>17</v>
      </c>
      <c r="Y34" s="92">
        <v>15</v>
      </c>
      <c r="Z34" s="92">
        <v>30</v>
      </c>
      <c r="AA34" s="92">
        <v>15</v>
      </c>
      <c r="AB34" s="92">
        <v>20.148148148148149</v>
      </c>
    </row>
    <row r="35" spans="1:28" x14ac:dyDescent="0.3">
      <c r="A35" s="1" t="s">
        <v>29</v>
      </c>
      <c r="B35" s="92">
        <v>13</v>
      </c>
      <c r="C35" s="92">
        <v>25</v>
      </c>
      <c r="D35" s="92"/>
      <c r="E35" s="92">
        <v>15</v>
      </c>
      <c r="F35" s="92">
        <v>12.5</v>
      </c>
      <c r="G35" s="92">
        <v>8</v>
      </c>
      <c r="H35" s="92">
        <v>14.25</v>
      </c>
      <c r="I35" s="92">
        <v>25</v>
      </c>
      <c r="J35" s="92">
        <v>30</v>
      </c>
      <c r="K35" s="92"/>
      <c r="L35" s="92">
        <v>20</v>
      </c>
      <c r="M35" s="92">
        <v>32</v>
      </c>
      <c r="N35" s="92">
        <v>13</v>
      </c>
      <c r="O35" s="92">
        <v>9</v>
      </c>
      <c r="P35" s="92"/>
      <c r="Q35" s="92">
        <v>22</v>
      </c>
      <c r="R35" s="92">
        <v>55.333333333333336</v>
      </c>
      <c r="S35" s="92">
        <v>19.666666666666668</v>
      </c>
      <c r="T35" s="92">
        <v>20</v>
      </c>
      <c r="U35" s="92">
        <v>27.105263157894736</v>
      </c>
      <c r="V35" s="92">
        <v>17.2</v>
      </c>
      <c r="W35" s="92">
        <v>22</v>
      </c>
      <c r="X35" s="92">
        <v>5.5</v>
      </c>
      <c r="Y35" s="92">
        <v>19.5</v>
      </c>
      <c r="Z35" s="92">
        <v>17</v>
      </c>
      <c r="AA35" s="92">
        <v>17.166666666666668</v>
      </c>
      <c r="AB35" s="92">
        <v>20.844444444444445</v>
      </c>
    </row>
    <row r="36" spans="1:28" x14ac:dyDescent="0.3">
      <c r="A36" s="1" t="s">
        <v>30</v>
      </c>
      <c r="B36" s="92"/>
      <c r="C36" s="92">
        <v>10</v>
      </c>
      <c r="D36" s="92">
        <v>20</v>
      </c>
      <c r="E36" s="92">
        <v>12</v>
      </c>
      <c r="F36" s="92"/>
      <c r="G36" s="92">
        <v>19</v>
      </c>
      <c r="H36" s="92">
        <v>16</v>
      </c>
      <c r="I36" s="92">
        <v>6</v>
      </c>
      <c r="J36" s="92"/>
      <c r="K36" s="92">
        <v>1</v>
      </c>
      <c r="L36" s="92"/>
      <c r="M36" s="92">
        <v>9.3333333333333339</v>
      </c>
      <c r="N36" s="92"/>
      <c r="O36" s="92">
        <v>60</v>
      </c>
      <c r="P36" s="92">
        <v>10.5</v>
      </c>
      <c r="Q36" s="92"/>
      <c r="R36" s="92"/>
      <c r="S36" s="92">
        <v>5</v>
      </c>
      <c r="T36" s="92"/>
      <c r="U36" s="92">
        <v>12</v>
      </c>
      <c r="V36" s="92">
        <v>9.1999999999999993</v>
      </c>
      <c r="W36" s="92">
        <v>46.5</v>
      </c>
      <c r="X36" s="92">
        <v>27.666666666666668</v>
      </c>
      <c r="Y36" s="92">
        <v>49.4</v>
      </c>
      <c r="Z36" s="92"/>
      <c r="AA36" s="92">
        <v>30.238095238095237</v>
      </c>
      <c r="AB36" s="92">
        <v>22.891891891891891</v>
      </c>
    </row>
    <row r="37" spans="1:28" x14ac:dyDescent="0.3">
      <c r="A37" s="1" t="s">
        <v>31</v>
      </c>
      <c r="B37" s="92"/>
      <c r="C37" s="92">
        <v>24</v>
      </c>
      <c r="D37" s="92"/>
      <c r="E37" s="92">
        <v>18</v>
      </c>
      <c r="F37" s="92">
        <v>15</v>
      </c>
      <c r="G37" s="92">
        <v>12</v>
      </c>
      <c r="H37" s="92">
        <v>18.5</v>
      </c>
      <c r="I37" s="92">
        <v>24.5</v>
      </c>
      <c r="J37" s="92">
        <v>19</v>
      </c>
      <c r="K37" s="92"/>
      <c r="L37" s="92">
        <v>42</v>
      </c>
      <c r="M37" s="92">
        <v>50</v>
      </c>
      <c r="N37" s="92">
        <v>10</v>
      </c>
      <c r="O37" s="92">
        <v>18</v>
      </c>
      <c r="P37" s="92">
        <v>39.666666666666664</v>
      </c>
      <c r="Q37" s="92">
        <v>10</v>
      </c>
      <c r="R37" s="92">
        <v>25</v>
      </c>
      <c r="S37" s="92">
        <v>20</v>
      </c>
      <c r="T37" s="92">
        <v>10</v>
      </c>
      <c r="U37" s="92">
        <v>24.1</v>
      </c>
      <c r="V37" s="92">
        <v>35.5</v>
      </c>
      <c r="W37" s="92">
        <v>15</v>
      </c>
      <c r="X37" s="92">
        <v>36.333333333333336</v>
      </c>
      <c r="Y37" s="92">
        <v>31.5</v>
      </c>
      <c r="Z37" s="92">
        <v>50</v>
      </c>
      <c r="AA37" s="92">
        <v>32.166666666666664</v>
      </c>
      <c r="AB37" s="92">
        <v>25.763157894736842</v>
      </c>
    </row>
    <row r="38" spans="1:28" x14ac:dyDescent="0.3">
      <c r="A38" s="1" t="s">
        <v>32</v>
      </c>
      <c r="B38" s="92"/>
      <c r="C38" s="92">
        <v>5</v>
      </c>
      <c r="D38" s="92"/>
      <c r="E38" s="92"/>
      <c r="F38" s="92"/>
      <c r="G38" s="92"/>
      <c r="H38" s="92">
        <v>5</v>
      </c>
      <c r="I38" s="92"/>
      <c r="J38" s="92"/>
      <c r="K38" s="92"/>
      <c r="L38" s="92">
        <v>30</v>
      </c>
      <c r="M38" s="92">
        <v>7</v>
      </c>
      <c r="N38" s="92"/>
      <c r="O38" s="92"/>
      <c r="P38" s="92"/>
      <c r="Q38" s="92">
        <v>25</v>
      </c>
      <c r="R38" s="92"/>
      <c r="S38" s="92"/>
      <c r="T38" s="92">
        <v>3</v>
      </c>
      <c r="U38" s="92">
        <v>16.25</v>
      </c>
      <c r="V38" s="92"/>
      <c r="W38" s="92">
        <v>15</v>
      </c>
      <c r="X38" s="92">
        <v>26.333333333333332</v>
      </c>
      <c r="Y38" s="92"/>
      <c r="Z38" s="92"/>
      <c r="AA38" s="92">
        <v>23.5</v>
      </c>
      <c r="AB38" s="92">
        <v>18.222222222222221</v>
      </c>
    </row>
    <row r="39" spans="1:28" x14ac:dyDescent="0.3">
      <c r="A39" s="1" t="s">
        <v>33</v>
      </c>
      <c r="B39" s="92">
        <v>28.5</v>
      </c>
      <c r="C39" s="92"/>
      <c r="D39" s="92"/>
      <c r="E39" s="92"/>
      <c r="F39" s="92"/>
      <c r="G39" s="92">
        <v>28</v>
      </c>
      <c r="H39" s="92">
        <v>28.2</v>
      </c>
      <c r="I39" s="92">
        <v>15</v>
      </c>
      <c r="J39" s="92">
        <v>30</v>
      </c>
      <c r="K39" s="92"/>
      <c r="L39" s="92">
        <v>16</v>
      </c>
      <c r="M39" s="92"/>
      <c r="N39" s="92"/>
      <c r="O39" s="92"/>
      <c r="P39" s="92"/>
      <c r="Q39" s="92"/>
      <c r="R39" s="92"/>
      <c r="S39" s="92">
        <v>5</v>
      </c>
      <c r="T39" s="92">
        <v>35</v>
      </c>
      <c r="U39" s="92">
        <v>20.2</v>
      </c>
      <c r="V39" s="92">
        <v>17.5</v>
      </c>
      <c r="W39" s="92"/>
      <c r="X39" s="92"/>
      <c r="Y39" s="92">
        <v>20</v>
      </c>
      <c r="Z39" s="92"/>
      <c r="AA39" s="92">
        <v>18.333333333333332</v>
      </c>
      <c r="AB39" s="92">
        <v>22.846153846153847</v>
      </c>
    </row>
    <row r="40" spans="1:28" x14ac:dyDescent="0.3">
      <c r="A40" s="1" t="s">
        <v>34</v>
      </c>
      <c r="B40" s="92">
        <v>17.5</v>
      </c>
      <c r="C40" s="92"/>
      <c r="D40" s="92">
        <v>30</v>
      </c>
      <c r="E40" s="92">
        <v>40</v>
      </c>
      <c r="F40" s="92">
        <v>10</v>
      </c>
      <c r="G40" s="92">
        <v>13.333333333333334</v>
      </c>
      <c r="H40" s="92">
        <v>19.375</v>
      </c>
      <c r="I40" s="92">
        <v>20</v>
      </c>
      <c r="J40" s="92"/>
      <c r="K40" s="92">
        <v>31.5</v>
      </c>
      <c r="L40" s="92">
        <v>17.5</v>
      </c>
      <c r="M40" s="92">
        <v>37.5</v>
      </c>
      <c r="N40" s="92"/>
      <c r="O40" s="92">
        <v>21</v>
      </c>
      <c r="P40" s="92"/>
      <c r="Q40" s="92">
        <v>14.5</v>
      </c>
      <c r="R40" s="92">
        <v>65</v>
      </c>
      <c r="S40" s="92">
        <v>25</v>
      </c>
      <c r="T40" s="92">
        <v>80</v>
      </c>
      <c r="U40" s="92">
        <v>28.705882352941178</v>
      </c>
      <c r="V40" s="92">
        <v>2</v>
      </c>
      <c r="W40" s="92">
        <v>14.5</v>
      </c>
      <c r="X40" s="92">
        <v>21</v>
      </c>
      <c r="Y40" s="92">
        <v>21</v>
      </c>
      <c r="Z40" s="92"/>
      <c r="AA40" s="92">
        <v>14.571428571428571</v>
      </c>
      <c r="AB40" s="92">
        <v>23.28125</v>
      </c>
    </row>
    <row r="41" spans="1:28" x14ac:dyDescent="0.3">
      <c r="A41" s="1" t="s">
        <v>35</v>
      </c>
      <c r="B41" s="92"/>
      <c r="C41" s="92"/>
      <c r="D41" s="92">
        <v>30</v>
      </c>
      <c r="E41" s="92"/>
      <c r="F41" s="92"/>
      <c r="G41" s="92"/>
      <c r="H41" s="92">
        <v>30</v>
      </c>
      <c r="I41" s="92"/>
      <c r="J41" s="92">
        <v>60</v>
      </c>
      <c r="K41" s="92"/>
      <c r="L41" s="92">
        <v>35</v>
      </c>
      <c r="M41" s="92">
        <v>24</v>
      </c>
      <c r="N41" s="92"/>
      <c r="O41" s="92"/>
      <c r="P41" s="92"/>
      <c r="Q41" s="92"/>
      <c r="R41" s="92">
        <v>4</v>
      </c>
      <c r="S41" s="92"/>
      <c r="T41" s="92">
        <v>50</v>
      </c>
      <c r="U41" s="92">
        <v>34.666666666666664</v>
      </c>
      <c r="V41" s="92"/>
      <c r="W41" s="92"/>
      <c r="X41" s="92"/>
      <c r="Y41" s="92"/>
      <c r="Z41" s="92"/>
      <c r="AA41" s="92"/>
      <c r="AB41" s="92">
        <v>34</v>
      </c>
    </row>
    <row r="42" spans="1:28" x14ac:dyDescent="0.3">
      <c r="A42" s="1" t="s">
        <v>36</v>
      </c>
      <c r="B42" s="92">
        <v>37.5</v>
      </c>
      <c r="C42" s="92"/>
      <c r="D42" s="92">
        <v>2</v>
      </c>
      <c r="E42" s="92">
        <v>48</v>
      </c>
      <c r="F42" s="92">
        <v>20</v>
      </c>
      <c r="G42" s="92"/>
      <c r="H42" s="92">
        <v>29</v>
      </c>
      <c r="I42" s="92">
        <v>18</v>
      </c>
      <c r="J42" s="92"/>
      <c r="K42" s="92">
        <v>18</v>
      </c>
      <c r="L42" s="92">
        <v>14</v>
      </c>
      <c r="M42" s="92">
        <v>27</v>
      </c>
      <c r="N42" s="92">
        <v>23.25</v>
      </c>
      <c r="O42" s="92"/>
      <c r="P42" s="92">
        <v>15</v>
      </c>
      <c r="Q42" s="92">
        <v>20</v>
      </c>
      <c r="R42" s="92">
        <v>13.5</v>
      </c>
      <c r="S42" s="92">
        <v>29</v>
      </c>
      <c r="T42" s="92">
        <v>74</v>
      </c>
      <c r="U42" s="92">
        <v>26.611111111111111</v>
      </c>
      <c r="V42" s="92">
        <v>12.5</v>
      </c>
      <c r="W42" s="92">
        <v>2.5</v>
      </c>
      <c r="X42" s="92">
        <v>21.333333333333332</v>
      </c>
      <c r="Y42" s="92">
        <v>19.8</v>
      </c>
      <c r="Z42" s="92">
        <v>20</v>
      </c>
      <c r="AA42" s="92">
        <v>15.866666666666667</v>
      </c>
      <c r="AB42" s="92">
        <v>22.684210526315791</v>
      </c>
    </row>
    <row r="43" spans="1:28" x14ac:dyDescent="0.3">
      <c r="A43" s="1" t="s">
        <v>37</v>
      </c>
      <c r="B43" s="92">
        <v>6</v>
      </c>
      <c r="C43" s="92"/>
      <c r="D43" s="92"/>
      <c r="E43" s="92">
        <v>23</v>
      </c>
      <c r="F43" s="92"/>
      <c r="G43" s="92"/>
      <c r="H43" s="92">
        <v>17.333333333333332</v>
      </c>
      <c r="I43" s="92"/>
      <c r="J43" s="92"/>
      <c r="K43" s="92"/>
      <c r="L43" s="92">
        <v>50</v>
      </c>
      <c r="M43" s="92"/>
      <c r="N43" s="92">
        <v>17</v>
      </c>
      <c r="O43" s="92"/>
      <c r="P43" s="92"/>
      <c r="Q43" s="92"/>
      <c r="R43" s="92"/>
      <c r="S43" s="92">
        <v>4</v>
      </c>
      <c r="T43" s="92">
        <v>10</v>
      </c>
      <c r="U43" s="92">
        <v>19.600000000000001</v>
      </c>
      <c r="V43" s="92">
        <v>20</v>
      </c>
      <c r="W43" s="92"/>
      <c r="X43" s="92">
        <v>6</v>
      </c>
      <c r="Y43" s="92">
        <v>30</v>
      </c>
      <c r="Z43" s="92"/>
      <c r="AA43" s="92">
        <v>24.333333333333332</v>
      </c>
      <c r="AB43" s="92">
        <v>21.142857142857142</v>
      </c>
    </row>
    <row r="44" spans="1:28" x14ac:dyDescent="0.3">
      <c r="A44" s="1" t="s">
        <v>38</v>
      </c>
      <c r="B44" s="92">
        <v>40</v>
      </c>
      <c r="C44" s="92"/>
      <c r="D44" s="92">
        <v>22.5</v>
      </c>
      <c r="E44" s="92"/>
      <c r="F44" s="92"/>
      <c r="G44" s="92">
        <v>35</v>
      </c>
      <c r="H44" s="92">
        <v>30</v>
      </c>
      <c r="I44" s="92">
        <v>30</v>
      </c>
      <c r="J44" s="92">
        <v>21</v>
      </c>
      <c r="K44" s="92">
        <v>24</v>
      </c>
      <c r="L44" s="92">
        <v>25</v>
      </c>
      <c r="M44" s="92">
        <v>6</v>
      </c>
      <c r="N44" s="92"/>
      <c r="O44" s="92"/>
      <c r="P44" s="92">
        <v>21.5</v>
      </c>
      <c r="Q44" s="92"/>
      <c r="R44" s="92"/>
      <c r="S44" s="92"/>
      <c r="T44" s="92"/>
      <c r="U44" s="92">
        <v>22.375</v>
      </c>
      <c r="V44" s="92">
        <v>4</v>
      </c>
      <c r="W44" s="92">
        <v>31</v>
      </c>
      <c r="X44" s="92">
        <v>17.666666666666668</v>
      </c>
      <c r="Y44" s="92">
        <v>40</v>
      </c>
      <c r="Z44" s="92"/>
      <c r="AA44" s="92">
        <v>22.714285714285715</v>
      </c>
      <c r="AB44" s="92">
        <v>24.105263157894736</v>
      </c>
    </row>
    <row r="45" spans="1:28" x14ac:dyDescent="0.3">
      <c r="A45" s="1" t="s">
        <v>39</v>
      </c>
      <c r="B45" s="92"/>
      <c r="C45" s="92"/>
      <c r="D45" s="92"/>
      <c r="E45" s="92"/>
      <c r="F45" s="92"/>
      <c r="G45" s="92"/>
      <c r="H45" s="92"/>
      <c r="I45" s="92">
        <v>20</v>
      </c>
      <c r="J45" s="92"/>
      <c r="K45" s="92"/>
      <c r="L45" s="92"/>
      <c r="M45" s="92">
        <v>16</v>
      </c>
      <c r="N45" s="92"/>
      <c r="O45" s="92"/>
      <c r="P45" s="92"/>
      <c r="Q45" s="92"/>
      <c r="R45" s="92">
        <v>28</v>
      </c>
      <c r="S45" s="92"/>
      <c r="T45" s="92"/>
      <c r="U45" s="92">
        <v>23</v>
      </c>
      <c r="V45" s="92">
        <v>3</v>
      </c>
      <c r="W45" s="92"/>
      <c r="X45" s="92"/>
      <c r="Y45" s="92"/>
      <c r="Z45" s="92"/>
      <c r="AA45" s="92">
        <v>3</v>
      </c>
      <c r="AB45" s="92">
        <v>19</v>
      </c>
    </row>
    <row r="46" spans="1:28" x14ac:dyDescent="0.3">
      <c r="A46" s="1" t="s">
        <v>40</v>
      </c>
      <c r="B46" s="92">
        <v>5</v>
      </c>
      <c r="C46" s="92">
        <v>11.6</v>
      </c>
      <c r="D46" s="92">
        <v>20</v>
      </c>
      <c r="E46" s="92">
        <v>30</v>
      </c>
      <c r="F46" s="92"/>
      <c r="G46" s="92">
        <v>33</v>
      </c>
      <c r="H46" s="92">
        <v>19.916666666666668</v>
      </c>
      <c r="I46" s="92">
        <v>21</v>
      </c>
      <c r="J46" s="92">
        <v>25</v>
      </c>
      <c r="K46" s="92"/>
      <c r="L46" s="92">
        <v>25</v>
      </c>
      <c r="M46" s="92">
        <v>13.75</v>
      </c>
      <c r="N46" s="92">
        <v>27</v>
      </c>
      <c r="O46" s="92">
        <v>12</v>
      </c>
      <c r="P46" s="92">
        <v>15</v>
      </c>
      <c r="Q46" s="92">
        <v>60</v>
      </c>
      <c r="R46" s="92"/>
      <c r="S46" s="92">
        <v>21</v>
      </c>
      <c r="T46" s="92">
        <v>30</v>
      </c>
      <c r="U46" s="92">
        <v>22.75</v>
      </c>
      <c r="V46" s="92">
        <v>21.666666666666668</v>
      </c>
      <c r="W46" s="92"/>
      <c r="X46" s="92">
        <v>20.25</v>
      </c>
      <c r="Y46" s="92">
        <v>19</v>
      </c>
      <c r="Z46" s="92"/>
      <c r="AA46" s="92">
        <v>20.3</v>
      </c>
      <c r="AB46" s="92">
        <v>21.210526315789473</v>
      </c>
    </row>
    <row r="47" spans="1:28" x14ac:dyDescent="0.3">
      <c r="A47" s="1" t="s">
        <v>41</v>
      </c>
      <c r="B47" s="92">
        <v>60</v>
      </c>
      <c r="C47" s="92">
        <v>6</v>
      </c>
      <c r="D47" s="92">
        <v>10</v>
      </c>
      <c r="E47" s="92">
        <v>19.333333333333332</v>
      </c>
      <c r="F47" s="92"/>
      <c r="G47" s="92"/>
      <c r="H47" s="92">
        <v>22.333333333333332</v>
      </c>
      <c r="I47" s="92">
        <v>18</v>
      </c>
      <c r="J47" s="92"/>
      <c r="K47" s="92">
        <v>18</v>
      </c>
      <c r="L47" s="92"/>
      <c r="M47" s="92">
        <v>13.75</v>
      </c>
      <c r="N47" s="92">
        <v>20</v>
      </c>
      <c r="O47" s="92"/>
      <c r="P47" s="92"/>
      <c r="Q47" s="92">
        <v>16</v>
      </c>
      <c r="R47" s="92"/>
      <c r="S47" s="92">
        <v>11</v>
      </c>
      <c r="T47" s="92">
        <v>22.5</v>
      </c>
      <c r="U47" s="92">
        <v>16.0625</v>
      </c>
      <c r="V47" s="92">
        <v>22.5</v>
      </c>
      <c r="W47" s="92">
        <v>31.5</v>
      </c>
      <c r="X47" s="92">
        <v>15.5</v>
      </c>
      <c r="Y47" s="92">
        <v>15</v>
      </c>
      <c r="Z47" s="92"/>
      <c r="AA47" s="92">
        <v>24.111111111111111</v>
      </c>
      <c r="AB47" s="92">
        <v>19.612903225806452</v>
      </c>
    </row>
    <row r="48" spans="1:28" x14ac:dyDescent="0.3">
      <c r="A48" s="1" t="s">
        <v>42</v>
      </c>
      <c r="B48" s="92"/>
      <c r="C48" s="92"/>
      <c r="D48" s="92"/>
      <c r="E48" s="92"/>
      <c r="F48" s="92">
        <v>70</v>
      </c>
      <c r="G48" s="92"/>
      <c r="H48" s="92">
        <v>70</v>
      </c>
      <c r="I48" s="92"/>
      <c r="J48" s="92"/>
      <c r="K48" s="92"/>
      <c r="L48" s="92">
        <v>10</v>
      </c>
      <c r="M48" s="92">
        <v>24</v>
      </c>
      <c r="N48" s="92"/>
      <c r="O48" s="92"/>
      <c r="P48" s="92"/>
      <c r="Q48" s="92"/>
      <c r="R48" s="92">
        <v>10</v>
      </c>
      <c r="S48" s="92">
        <v>40</v>
      </c>
      <c r="T48" s="92">
        <v>30</v>
      </c>
      <c r="U48" s="92">
        <v>22.8</v>
      </c>
      <c r="V48" s="92">
        <v>20</v>
      </c>
      <c r="W48" s="92">
        <v>30</v>
      </c>
      <c r="X48" s="92">
        <v>16</v>
      </c>
      <c r="Y48" s="92">
        <v>25</v>
      </c>
      <c r="Z48" s="92"/>
      <c r="AA48" s="92">
        <v>23.2</v>
      </c>
      <c r="AB48" s="92">
        <v>30.833333333333332</v>
      </c>
    </row>
    <row r="49" spans="1:28" x14ac:dyDescent="0.3">
      <c r="A49" s="1" t="s">
        <v>43</v>
      </c>
      <c r="B49" s="92"/>
      <c r="C49" s="92"/>
      <c r="D49" s="92"/>
      <c r="E49" s="92">
        <v>4</v>
      </c>
      <c r="F49" s="92">
        <v>30</v>
      </c>
      <c r="G49" s="92"/>
      <c r="H49" s="92">
        <v>21.333333333333332</v>
      </c>
      <c r="I49" s="92">
        <v>7</v>
      </c>
      <c r="J49" s="92"/>
      <c r="K49" s="92">
        <v>12</v>
      </c>
      <c r="L49" s="92">
        <v>60</v>
      </c>
      <c r="M49" s="92">
        <v>18</v>
      </c>
      <c r="N49" s="92"/>
      <c r="O49" s="92"/>
      <c r="P49" s="92"/>
      <c r="Q49" s="92"/>
      <c r="R49" s="92"/>
      <c r="S49" s="92"/>
      <c r="T49" s="92">
        <v>23.5</v>
      </c>
      <c r="U49" s="92">
        <v>24</v>
      </c>
      <c r="V49" s="92">
        <v>12.5</v>
      </c>
      <c r="W49" s="92">
        <v>7</v>
      </c>
      <c r="X49" s="92">
        <v>24</v>
      </c>
      <c r="Y49" s="92"/>
      <c r="Z49" s="92">
        <v>15</v>
      </c>
      <c r="AA49" s="92">
        <v>12.222222222222221</v>
      </c>
      <c r="AB49" s="92">
        <v>17.666666666666668</v>
      </c>
    </row>
    <row r="50" spans="1:28" x14ac:dyDescent="0.3">
      <c r="A50" s="1" t="s">
        <v>44</v>
      </c>
      <c r="B50" s="92">
        <v>13.5</v>
      </c>
      <c r="C50" s="92"/>
      <c r="D50" s="92">
        <v>10</v>
      </c>
      <c r="E50" s="92"/>
      <c r="F50" s="92"/>
      <c r="G50" s="92">
        <v>6</v>
      </c>
      <c r="H50" s="92">
        <v>9.8000000000000007</v>
      </c>
      <c r="I50" s="92">
        <v>19.666666666666668</v>
      </c>
      <c r="J50" s="92"/>
      <c r="K50" s="92">
        <v>55</v>
      </c>
      <c r="L50" s="92">
        <v>16.75</v>
      </c>
      <c r="M50" s="92"/>
      <c r="N50" s="92">
        <v>14</v>
      </c>
      <c r="O50" s="92">
        <v>28.333333333333332</v>
      </c>
      <c r="P50" s="92"/>
      <c r="Q50" s="92">
        <v>52.5</v>
      </c>
      <c r="R50" s="92">
        <v>30</v>
      </c>
      <c r="S50" s="92">
        <v>2</v>
      </c>
      <c r="T50" s="92">
        <v>15</v>
      </c>
      <c r="U50" s="92">
        <v>24.777777777777779</v>
      </c>
      <c r="V50" s="92">
        <v>13</v>
      </c>
      <c r="W50" s="92">
        <v>25</v>
      </c>
      <c r="X50" s="92">
        <v>31.666666666666668</v>
      </c>
      <c r="Y50" s="92">
        <v>21</v>
      </c>
      <c r="Z50" s="92">
        <v>10</v>
      </c>
      <c r="AA50" s="92">
        <v>20.46153846153846</v>
      </c>
      <c r="AB50" s="92">
        <v>21.138888888888889</v>
      </c>
    </row>
    <row r="51" spans="1:28" x14ac:dyDescent="0.3">
      <c r="A51" s="1" t="s">
        <v>45</v>
      </c>
      <c r="B51" s="92">
        <v>21</v>
      </c>
      <c r="C51" s="92">
        <v>20</v>
      </c>
      <c r="D51" s="92">
        <v>12.5</v>
      </c>
      <c r="E51" s="92">
        <v>30</v>
      </c>
      <c r="F51" s="92"/>
      <c r="G51" s="92">
        <v>30</v>
      </c>
      <c r="H51" s="92">
        <v>21</v>
      </c>
      <c r="I51" s="92">
        <v>19</v>
      </c>
      <c r="J51" s="92">
        <v>25</v>
      </c>
      <c r="K51" s="92">
        <v>36</v>
      </c>
      <c r="L51" s="92">
        <v>6</v>
      </c>
      <c r="M51" s="92">
        <v>10.5</v>
      </c>
      <c r="N51" s="92"/>
      <c r="O51" s="92"/>
      <c r="P51" s="92">
        <v>16.666666666666668</v>
      </c>
      <c r="Q51" s="92">
        <v>40</v>
      </c>
      <c r="R51" s="92">
        <v>29</v>
      </c>
      <c r="S51" s="92"/>
      <c r="T51" s="92">
        <v>37.5</v>
      </c>
      <c r="U51" s="92">
        <v>24.611111111111111</v>
      </c>
      <c r="V51" s="92">
        <v>15.333333333333334</v>
      </c>
      <c r="W51" s="92">
        <v>28</v>
      </c>
      <c r="X51" s="92">
        <v>3</v>
      </c>
      <c r="Y51" s="92">
        <v>18</v>
      </c>
      <c r="Z51" s="92">
        <v>3</v>
      </c>
      <c r="AA51" s="92">
        <v>16.857142857142858</v>
      </c>
      <c r="AB51" s="92">
        <v>21.184210526315791</v>
      </c>
    </row>
    <row r="52" spans="1:28" x14ac:dyDescent="0.3">
      <c r="A52" s="1" t="s">
        <v>46</v>
      </c>
      <c r="B52" s="92">
        <v>21</v>
      </c>
      <c r="C52" s="92"/>
      <c r="D52" s="92">
        <v>20</v>
      </c>
      <c r="E52" s="92"/>
      <c r="F52" s="92">
        <v>26</v>
      </c>
      <c r="G52" s="92">
        <v>15</v>
      </c>
      <c r="H52" s="92">
        <v>21.6</v>
      </c>
      <c r="I52" s="92">
        <v>120</v>
      </c>
      <c r="J52" s="92">
        <v>10</v>
      </c>
      <c r="K52" s="92">
        <v>53</v>
      </c>
      <c r="L52" s="92"/>
      <c r="M52" s="92">
        <v>14</v>
      </c>
      <c r="N52" s="92">
        <v>21.5</v>
      </c>
      <c r="O52" s="92">
        <v>20</v>
      </c>
      <c r="P52" s="92">
        <v>8.5</v>
      </c>
      <c r="Q52" s="92">
        <v>4</v>
      </c>
      <c r="R52" s="92">
        <v>21</v>
      </c>
      <c r="S52" s="92">
        <v>9</v>
      </c>
      <c r="T52" s="92"/>
      <c r="U52" s="92">
        <v>29.9375</v>
      </c>
      <c r="V52" s="92">
        <v>60</v>
      </c>
      <c r="W52" s="92">
        <v>10</v>
      </c>
      <c r="X52" s="92">
        <v>19.666666666666668</v>
      </c>
      <c r="Y52" s="92">
        <v>36.5</v>
      </c>
      <c r="Z52" s="92">
        <v>19.5</v>
      </c>
      <c r="AA52" s="92">
        <v>28.545454545454547</v>
      </c>
      <c r="AB52" s="92">
        <v>28.15625</v>
      </c>
    </row>
    <row r="53" spans="1:28" x14ac:dyDescent="0.3">
      <c r="A53" s="1" t="s">
        <v>47</v>
      </c>
      <c r="B53" s="92">
        <v>47.5</v>
      </c>
      <c r="C53" s="92">
        <v>40</v>
      </c>
      <c r="D53" s="92">
        <v>20</v>
      </c>
      <c r="E53" s="92">
        <v>21</v>
      </c>
      <c r="F53" s="92">
        <v>56</v>
      </c>
      <c r="G53" s="92"/>
      <c r="H53" s="92">
        <v>36</v>
      </c>
      <c r="I53" s="92">
        <v>21</v>
      </c>
      <c r="J53" s="92">
        <v>28.333333333333332</v>
      </c>
      <c r="K53" s="92">
        <v>35</v>
      </c>
      <c r="L53" s="92">
        <v>18</v>
      </c>
      <c r="M53" s="92">
        <v>50</v>
      </c>
      <c r="N53" s="92">
        <v>24</v>
      </c>
      <c r="O53" s="92">
        <v>30</v>
      </c>
      <c r="P53" s="92"/>
      <c r="Q53" s="92">
        <v>23.25</v>
      </c>
      <c r="R53" s="92">
        <v>20</v>
      </c>
      <c r="S53" s="92">
        <v>9</v>
      </c>
      <c r="T53" s="92"/>
      <c r="U53" s="92">
        <v>24.3</v>
      </c>
      <c r="V53" s="92">
        <v>42.5</v>
      </c>
      <c r="W53" s="92">
        <v>30.666666666666668</v>
      </c>
      <c r="X53" s="92">
        <v>20.6</v>
      </c>
      <c r="Y53" s="92">
        <v>45.5</v>
      </c>
      <c r="Z53" s="92">
        <v>3</v>
      </c>
      <c r="AA53" s="92">
        <v>28.76923076923077</v>
      </c>
      <c r="AB53" s="92">
        <v>27.8</v>
      </c>
    </row>
    <row r="54" spans="1:28" x14ac:dyDescent="0.3">
      <c r="A54" s="1" t="s">
        <v>48</v>
      </c>
      <c r="B54" s="92">
        <v>15</v>
      </c>
      <c r="C54" s="92">
        <v>36</v>
      </c>
      <c r="D54" s="92">
        <v>10</v>
      </c>
      <c r="E54" s="92">
        <v>20</v>
      </c>
      <c r="F54" s="92"/>
      <c r="G54" s="92">
        <v>40</v>
      </c>
      <c r="H54" s="92">
        <v>24.2</v>
      </c>
      <c r="I54" s="92">
        <v>28.75</v>
      </c>
      <c r="J54" s="92">
        <v>15</v>
      </c>
      <c r="K54" s="92">
        <v>39</v>
      </c>
      <c r="L54" s="92">
        <v>8</v>
      </c>
      <c r="M54" s="92">
        <v>5</v>
      </c>
      <c r="N54" s="92">
        <v>21.5</v>
      </c>
      <c r="O54" s="92"/>
      <c r="P54" s="92">
        <v>12</v>
      </c>
      <c r="Q54" s="92">
        <v>17.5</v>
      </c>
      <c r="R54" s="92">
        <v>61.5</v>
      </c>
      <c r="S54" s="92"/>
      <c r="T54" s="92"/>
      <c r="U54" s="92">
        <v>26</v>
      </c>
      <c r="V54" s="92">
        <v>14.5</v>
      </c>
      <c r="W54" s="92">
        <v>3</v>
      </c>
      <c r="X54" s="92">
        <v>11</v>
      </c>
      <c r="Y54" s="92">
        <v>70</v>
      </c>
      <c r="Z54" s="92">
        <v>25</v>
      </c>
      <c r="AA54" s="92">
        <v>21.285714285714285</v>
      </c>
      <c r="AB54" s="92">
        <v>24.551724137931036</v>
      </c>
    </row>
    <row r="55" spans="1:28" x14ac:dyDescent="0.3">
      <c r="A55" s="1" t="s">
        <v>49</v>
      </c>
      <c r="B55" s="92">
        <v>12</v>
      </c>
      <c r="C55" s="92"/>
      <c r="D55" s="92">
        <v>12</v>
      </c>
      <c r="E55" s="92">
        <v>50</v>
      </c>
      <c r="F55" s="92">
        <v>12</v>
      </c>
      <c r="G55" s="92">
        <v>24</v>
      </c>
      <c r="H55" s="92">
        <v>22</v>
      </c>
      <c r="I55" s="92">
        <v>30</v>
      </c>
      <c r="J55" s="92">
        <v>14</v>
      </c>
      <c r="K55" s="92">
        <v>10</v>
      </c>
      <c r="L55" s="92">
        <v>10</v>
      </c>
      <c r="M55" s="92">
        <v>22.666666666666668</v>
      </c>
      <c r="N55" s="92">
        <v>18.75</v>
      </c>
      <c r="O55" s="92"/>
      <c r="P55" s="92">
        <v>12</v>
      </c>
      <c r="Q55" s="92"/>
      <c r="R55" s="92">
        <v>15</v>
      </c>
      <c r="S55" s="92"/>
      <c r="T55" s="92">
        <v>10</v>
      </c>
      <c r="U55" s="92">
        <v>16</v>
      </c>
      <c r="V55" s="92">
        <v>26.25</v>
      </c>
      <c r="W55" s="92">
        <v>25</v>
      </c>
      <c r="X55" s="92">
        <v>15.666666666666666</v>
      </c>
      <c r="Y55" s="92">
        <v>18.333333333333332</v>
      </c>
      <c r="Z55" s="92"/>
      <c r="AA55" s="92">
        <v>21.692307692307693</v>
      </c>
      <c r="AB55" s="92">
        <v>18.810810810810811</v>
      </c>
    </row>
    <row r="56" spans="1:28" x14ac:dyDescent="0.3">
      <c r="A56" s="1" t="s">
        <v>50</v>
      </c>
      <c r="B56" s="92">
        <v>12</v>
      </c>
      <c r="C56" s="92"/>
      <c r="D56" s="92"/>
      <c r="E56" s="92"/>
      <c r="F56" s="92"/>
      <c r="G56" s="92"/>
      <c r="H56" s="92">
        <v>12</v>
      </c>
      <c r="I56" s="92"/>
      <c r="J56" s="92">
        <v>15</v>
      </c>
      <c r="K56" s="92"/>
      <c r="L56" s="92"/>
      <c r="M56" s="92">
        <v>30</v>
      </c>
      <c r="N56" s="92">
        <v>15</v>
      </c>
      <c r="O56" s="92"/>
      <c r="P56" s="92">
        <v>36</v>
      </c>
      <c r="Q56" s="92"/>
      <c r="R56" s="92">
        <v>46.666666666666664</v>
      </c>
      <c r="S56" s="92"/>
      <c r="T56" s="92"/>
      <c r="U56" s="92">
        <v>33.714285714285715</v>
      </c>
      <c r="V56" s="92"/>
      <c r="W56" s="92"/>
      <c r="X56" s="92">
        <v>20</v>
      </c>
      <c r="Y56" s="92">
        <v>23.333333333333332</v>
      </c>
      <c r="Z56" s="92">
        <v>4</v>
      </c>
      <c r="AA56" s="92">
        <v>18.8</v>
      </c>
      <c r="AB56" s="92">
        <v>26.307692307692307</v>
      </c>
    </row>
    <row r="57" spans="1:28" x14ac:dyDescent="0.3">
      <c r="A57" s="1" t="s">
        <v>51</v>
      </c>
      <c r="B57" s="92">
        <v>30</v>
      </c>
      <c r="C57" s="92">
        <v>30.333333333333332</v>
      </c>
      <c r="D57" s="92">
        <v>20</v>
      </c>
      <c r="E57" s="92">
        <v>24.5</v>
      </c>
      <c r="F57" s="92">
        <v>9</v>
      </c>
      <c r="G57" s="92">
        <v>12</v>
      </c>
      <c r="H57" s="92">
        <v>23.1</v>
      </c>
      <c r="I57" s="92">
        <v>12.5</v>
      </c>
      <c r="J57" s="92">
        <v>45</v>
      </c>
      <c r="K57" s="92">
        <v>36</v>
      </c>
      <c r="L57" s="92">
        <v>31.333333333333332</v>
      </c>
      <c r="M57" s="92">
        <v>8.5</v>
      </c>
      <c r="N57" s="92">
        <v>26</v>
      </c>
      <c r="O57" s="92">
        <v>27.5</v>
      </c>
      <c r="P57" s="92">
        <v>30</v>
      </c>
      <c r="Q57" s="92">
        <v>6.5</v>
      </c>
      <c r="R57" s="92">
        <v>27.5</v>
      </c>
      <c r="S57" s="92">
        <v>35</v>
      </c>
      <c r="T57" s="92">
        <v>12</v>
      </c>
      <c r="U57" s="92">
        <v>24.551724137931036</v>
      </c>
      <c r="V57" s="92">
        <v>29</v>
      </c>
      <c r="W57" s="92">
        <v>41</v>
      </c>
      <c r="X57" s="92">
        <v>4</v>
      </c>
      <c r="Y57" s="92">
        <v>46</v>
      </c>
      <c r="Z57" s="92"/>
      <c r="AA57" s="92">
        <v>36.866666666666667</v>
      </c>
      <c r="AB57" s="92">
        <v>27.703703703703702</v>
      </c>
    </row>
    <row r="58" spans="1:28" x14ac:dyDescent="0.3">
      <c r="A58" s="1" t="s">
        <v>52</v>
      </c>
      <c r="B58" s="92">
        <v>32.5</v>
      </c>
      <c r="C58" s="92">
        <v>2</v>
      </c>
      <c r="D58" s="92"/>
      <c r="E58" s="92">
        <v>16</v>
      </c>
      <c r="F58" s="92">
        <v>25</v>
      </c>
      <c r="G58" s="92">
        <v>25</v>
      </c>
      <c r="H58" s="92">
        <v>22.166666666666668</v>
      </c>
      <c r="I58" s="92">
        <v>20</v>
      </c>
      <c r="J58" s="92">
        <v>15</v>
      </c>
      <c r="K58" s="92"/>
      <c r="L58" s="92"/>
      <c r="M58" s="92">
        <v>5</v>
      </c>
      <c r="N58" s="92"/>
      <c r="O58" s="92">
        <v>10</v>
      </c>
      <c r="P58" s="92"/>
      <c r="Q58" s="92"/>
      <c r="R58" s="92">
        <v>40</v>
      </c>
      <c r="S58" s="92">
        <v>14</v>
      </c>
      <c r="T58" s="92"/>
      <c r="U58" s="92">
        <v>15.5</v>
      </c>
      <c r="V58" s="92">
        <v>19.5</v>
      </c>
      <c r="W58" s="92">
        <v>12.5</v>
      </c>
      <c r="X58" s="92">
        <v>25</v>
      </c>
      <c r="Y58" s="92">
        <v>15</v>
      </c>
      <c r="Z58" s="92">
        <v>20</v>
      </c>
      <c r="AA58" s="92">
        <v>18.625</v>
      </c>
      <c r="AB58" s="92">
        <v>18.454545454545453</v>
      </c>
    </row>
    <row r="59" spans="1:28" x14ac:dyDescent="0.3">
      <c r="A59" s="1" t="s">
        <v>53</v>
      </c>
      <c r="B59" s="92"/>
      <c r="C59" s="92"/>
      <c r="D59" s="92">
        <v>14</v>
      </c>
      <c r="E59" s="92">
        <v>30</v>
      </c>
      <c r="F59" s="92">
        <v>6</v>
      </c>
      <c r="G59" s="92">
        <v>12</v>
      </c>
      <c r="H59" s="92">
        <v>17.142857142857142</v>
      </c>
      <c r="I59" s="92"/>
      <c r="J59" s="92">
        <v>24</v>
      </c>
      <c r="K59" s="92">
        <v>7</v>
      </c>
      <c r="L59" s="92">
        <v>36</v>
      </c>
      <c r="M59" s="92">
        <v>50</v>
      </c>
      <c r="N59" s="92">
        <v>21.25</v>
      </c>
      <c r="O59" s="92">
        <v>35.5</v>
      </c>
      <c r="P59" s="92">
        <v>20</v>
      </c>
      <c r="Q59" s="92">
        <v>25</v>
      </c>
      <c r="R59" s="92">
        <v>30</v>
      </c>
      <c r="S59" s="92">
        <v>31</v>
      </c>
      <c r="T59" s="92">
        <v>19.25</v>
      </c>
      <c r="U59" s="92">
        <v>24.583333333333332</v>
      </c>
      <c r="V59" s="92">
        <v>30</v>
      </c>
      <c r="W59" s="92">
        <v>67</v>
      </c>
      <c r="X59" s="92">
        <v>20.166666666666668</v>
      </c>
      <c r="Y59" s="92">
        <v>31.5</v>
      </c>
      <c r="Z59" s="92"/>
      <c r="AA59" s="92">
        <v>31.5</v>
      </c>
      <c r="AB59" s="92">
        <v>25.577777777777779</v>
      </c>
    </row>
    <row r="60" spans="1:28" x14ac:dyDescent="0.3">
      <c r="A60" s="1" t="s">
        <v>54</v>
      </c>
      <c r="B60" s="92"/>
      <c r="C60" s="92">
        <v>25</v>
      </c>
      <c r="D60" s="92"/>
      <c r="E60" s="92"/>
      <c r="F60" s="92"/>
      <c r="G60" s="92"/>
      <c r="H60" s="92">
        <v>25</v>
      </c>
      <c r="I60" s="92">
        <v>20</v>
      </c>
      <c r="J60" s="92"/>
      <c r="K60" s="92"/>
      <c r="L60" s="92">
        <v>20</v>
      </c>
      <c r="M60" s="92">
        <v>16.5</v>
      </c>
      <c r="N60" s="92">
        <v>3</v>
      </c>
      <c r="O60" s="92">
        <v>30</v>
      </c>
      <c r="P60" s="92">
        <v>35</v>
      </c>
      <c r="Q60" s="92">
        <v>50</v>
      </c>
      <c r="R60" s="92">
        <v>25</v>
      </c>
      <c r="S60" s="92"/>
      <c r="T60" s="92">
        <v>15</v>
      </c>
      <c r="U60" s="92">
        <v>23.272727272727273</v>
      </c>
      <c r="V60" s="92"/>
      <c r="W60" s="92">
        <v>10</v>
      </c>
      <c r="X60" s="92"/>
      <c r="Y60" s="92"/>
      <c r="Z60" s="92"/>
      <c r="AA60" s="92">
        <v>10</v>
      </c>
      <c r="AB60" s="92">
        <v>22.384615384615383</v>
      </c>
    </row>
    <row r="61" spans="1:28" x14ac:dyDescent="0.3">
      <c r="A61" s="1" t="s">
        <v>55</v>
      </c>
      <c r="B61" s="92"/>
      <c r="C61" s="92"/>
      <c r="D61" s="92"/>
      <c r="E61" s="92"/>
      <c r="F61" s="92"/>
      <c r="G61" s="92">
        <v>15</v>
      </c>
      <c r="H61" s="92">
        <v>15</v>
      </c>
      <c r="I61" s="92"/>
      <c r="J61" s="92"/>
      <c r="K61" s="92">
        <v>30</v>
      </c>
      <c r="L61" s="92">
        <v>21</v>
      </c>
      <c r="M61" s="92">
        <v>100</v>
      </c>
      <c r="N61" s="92"/>
      <c r="O61" s="92"/>
      <c r="P61" s="92"/>
      <c r="Q61" s="92">
        <v>20</v>
      </c>
      <c r="R61" s="92">
        <v>110</v>
      </c>
      <c r="S61" s="92">
        <v>28</v>
      </c>
      <c r="T61" s="92">
        <v>27</v>
      </c>
      <c r="U61" s="92">
        <v>43.555555555555557</v>
      </c>
      <c r="V61" s="92"/>
      <c r="W61" s="92">
        <v>25.5</v>
      </c>
      <c r="X61" s="92">
        <v>30</v>
      </c>
      <c r="Y61" s="92">
        <v>20</v>
      </c>
      <c r="Z61" s="92"/>
      <c r="AA61" s="92">
        <v>25.25</v>
      </c>
      <c r="AB61" s="92">
        <v>36.285714285714285</v>
      </c>
    </row>
    <row r="62" spans="1:28" x14ac:dyDescent="0.3">
      <c r="A62" s="1" t="s">
        <v>56</v>
      </c>
      <c r="B62" s="92"/>
      <c r="C62" s="92">
        <v>20</v>
      </c>
      <c r="D62" s="92"/>
      <c r="E62" s="92">
        <v>15.333333333333334</v>
      </c>
      <c r="F62" s="92"/>
      <c r="G62" s="92">
        <v>17.25</v>
      </c>
      <c r="H62" s="92">
        <v>16.875</v>
      </c>
      <c r="I62" s="92">
        <v>42</v>
      </c>
      <c r="J62" s="92">
        <v>13.5</v>
      </c>
      <c r="K62" s="92">
        <v>24</v>
      </c>
      <c r="L62" s="92">
        <v>10.333333333333334</v>
      </c>
      <c r="M62" s="92">
        <v>21</v>
      </c>
      <c r="N62" s="92"/>
      <c r="O62" s="92"/>
      <c r="P62" s="92">
        <v>15</v>
      </c>
      <c r="Q62" s="92">
        <v>15</v>
      </c>
      <c r="R62" s="92">
        <v>60</v>
      </c>
      <c r="S62" s="92">
        <v>12.5</v>
      </c>
      <c r="T62" s="92"/>
      <c r="U62" s="92">
        <v>20</v>
      </c>
      <c r="V62" s="92">
        <v>24</v>
      </c>
      <c r="W62" s="92">
        <v>3</v>
      </c>
      <c r="X62" s="92">
        <v>5</v>
      </c>
      <c r="Y62" s="92">
        <v>25</v>
      </c>
      <c r="Z62" s="92"/>
      <c r="AA62" s="92">
        <v>14.5</v>
      </c>
      <c r="AB62" s="92">
        <v>18.066666666666666</v>
      </c>
    </row>
    <row r="63" spans="1:28" x14ac:dyDescent="0.3">
      <c r="A63" s="1" t="s">
        <v>57</v>
      </c>
      <c r="B63" s="92"/>
      <c r="C63" s="92">
        <v>20</v>
      </c>
      <c r="D63" s="92"/>
      <c r="E63" s="92">
        <v>14</v>
      </c>
      <c r="F63" s="92">
        <v>10</v>
      </c>
      <c r="G63" s="92">
        <v>23</v>
      </c>
      <c r="H63" s="92">
        <v>18</v>
      </c>
      <c r="I63" s="92"/>
      <c r="J63" s="92">
        <v>20</v>
      </c>
      <c r="K63" s="92"/>
      <c r="L63" s="92">
        <v>35</v>
      </c>
      <c r="M63" s="92"/>
      <c r="N63" s="92">
        <v>25</v>
      </c>
      <c r="O63" s="92"/>
      <c r="P63" s="92"/>
      <c r="Q63" s="92"/>
      <c r="R63" s="92">
        <v>13</v>
      </c>
      <c r="S63" s="92"/>
      <c r="T63" s="92">
        <v>30</v>
      </c>
      <c r="U63" s="92">
        <v>23</v>
      </c>
      <c r="V63" s="92">
        <v>10</v>
      </c>
      <c r="W63" s="92">
        <v>10</v>
      </c>
      <c r="X63" s="92">
        <v>20</v>
      </c>
      <c r="Y63" s="92">
        <v>60</v>
      </c>
      <c r="Z63" s="92">
        <v>32.5</v>
      </c>
      <c r="AA63" s="92">
        <v>27.5</v>
      </c>
      <c r="AB63" s="92">
        <v>23.111111111111111</v>
      </c>
    </row>
    <row r="64" spans="1:28" x14ac:dyDescent="0.3">
      <c r="A64" s="1" t="s">
        <v>58</v>
      </c>
      <c r="B64" s="92">
        <v>25</v>
      </c>
      <c r="C64" s="92">
        <v>15</v>
      </c>
      <c r="D64" s="92"/>
      <c r="E64" s="92"/>
      <c r="F64" s="92"/>
      <c r="G64" s="92"/>
      <c r="H64" s="92">
        <v>20</v>
      </c>
      <c r="I64" s="92"/>
      <c r="J64" s="92"/>
      <c r="K64" s="92">
        <v>50</v>
      </c>
      <c r="L64" s="92"/>
      <c r="M64" s="92">
        <v>120</v>
      </c>
      <c r="N64" s="92"/>
      <c r="O64" s="92">
        <v>50</v>
      </c>
      <c r="P64" s="92"/>
      <c r="Q64" s="92"/>
      <c r="R64" s="92"/>
      <c r="S64" s="92"/>
      <c r="T64" s="92">
        <v>40</v>
      </c>
      <c r="U64" s="92">
        <v>65</v>
      </c>
      <c r="V64" s="92"/>
      <c r="W64" s="92">
        <v>10</v>
      </c>
      <c r="X64" s="92">
        <v>27.5</v>
      </c>
      <c r="Y64" s="92"/>
      <c r="Z64" s="92"/>
      <c r="AA64" s="92">
        <v>21.666666666666668</v>
      </c>
      <c r="AB64" s="92">
        <v>40.555555555555557</v>
      </c>
    </row>
    <row r="65" spans="1:28" x14ac:dyDescent="0.3">
      <c r="A65" s="1" t="s">
        <v>59</v>
      </c>
      <c r="B65" s="92"/>
      <c r="C65" s="92"/>
      <c r="D65" s="92">
        <v>10.25</v>
      </c>
      <c r="E65" s="92">
        <v>10</v>
      </c>
      <c r="F65" s="92">
        <v>4</v>
      </c>
      <c r="G65" s="92">
        <v>8</v>
      </c>
      <c r="H65" s="92">
        <v>9.125</v>
      </c>
      <c r="I65" s="92">
        <v>42</v>
      </c>
      <c r="J65" s="92"/>
      <c r="K65" s="92">
        <v>21</v>
      </c>
      <c r="L65" s="92">
        <v>30</v>
      </c>
      <c r="M65" s="92">
        <v>13</v>
      </c>
      <c r="N65" s="92">
        <v>35</v>
      </c>
      <c r="O65" s="92"/>
      <c r="P65" s="92">
        <v>16.5</v>
      </c>
      <c r="Q65" s="92">
        <v>10</v>
      </c>
      <c r="R65" s="92">
        <v>40</v>
      </c>
      <c r="S65" s="92">
        <v>45</v>
      </c>
      <c r="T65" s="92">
        <v>19.75</v>
      </c>
      <c r="U65" s="92">
        <v>26.176470588235293</v>
      </c>
      <c r="V65" s="92">
        <v>22</v>
      </c>
      <c r="W65" s="92">
        <v>19</v>
      </c>
      <c r="X65" s="92">
        <v>50</v>
      </c>
      <c r="Y65" s="92">
        <v>22</v>
      </c>
      <c r="Z65" s="92">
        <v>55</v>
      </c>
      <c r="AA65" s="92">
        <v>31.222222222222221</v>
      </c>
      <c r="AB65" s="92">
        <v>23.5</v>
      </c>
    </row>
    <row r="66" spans="1:28" x14ac:dyDescent="0.3">
      <c r="A66" s="1" t="s">
        <v>60</v>
      </c>
      <c r="B66" s="92">
        <v>10</v>
      </c>
      <c r="C66" s="92"/>
      <c r="D66" s="92">
        <v>6</v>
      </c>
      <c r="E66" s="92">
        <v>6</v>
      </c>
      <c r="F66" s="92">
        <v>9</v>
      </c>
      <c r="G66" s="92"/>
      <c r="H66" s="92">
        <v>7.4</v>
      </c>
      <c r="I66" s="92">
        <v>40</v>
      </c>
      <c r="J66" s="92"/>
      <c r="K66" s="92">
        <v>50</v>
      </c>
      <c r="L66" s="92">
        <v>25</v>
      </c>
      <c r="M66" s="92">
        <v>20</v>
      </c>
      <c r="N66" s="92"/>
      <c r="O66" s="92">
        <v>64</v>
      </c>
      <c r="P66" s="92">
        <v>5</v>
      </c>
      <c r="Q66" s="92">
        <v>22</v>
      </c>
      <c r="R66" s="92">
        <v>30</v>
      </c>
      <c r="S66" s="92">
        <v>28</v>
      </c>
      <c r="T66" s="92">
        <v>7</v>
      </c>
      <c r="U66" s="92">
        <v>28.733333333333334</v>
      </c>
      <c r="V66" s="92">
        <v>31</v>
      </c>
      <c r="W66" s="92">
        <v>22.5</v>
      </c>
      <c r="X66" s="92">
        <v>10</v>
      </c>
      <c r="Y66" s="92">
        <v>22.4</v>
      </c>
      <c r="Z66" s="92"/>
      <c r="AA66" s="92">
        <v>22.9</v>
      </c>
      <c r="AB66" s="92">
        <v>23.233333333333334</v>
      </c>
    </row>
    <row r="67" spans="1:28" x14ac:dyDescent="0.3">
      <c r="A67" s="1" t="s">
        <v>61</v>
      </c>
      <c r="B67" s="92">
        <v>40</v>
      </c>
      <c r="C67" s="92">
        <v>6</v>
      </c>
      <c r="D67" s="92">
        <v>20</v>
      </c>
      <c r="E67" s="92"/>
      <c r="F67" s="92"/>
      <c r="G67" s="92">
        <v>20</v>
      </c>
      <c r="H67" s="92">
        <v>21.2</v>
      </c>
      <c r="I67" s="92"/>
      <c r="J67" s="92"/>
      <c r="K67" s="92"/>
      <c r="L67" s="92"/>
      <c r="M67" s="92">
        <v>27</v>
      </c>
      <c r="N67" s="92"/>
      <c r="O67" s="92"/>
      <c r="P67" s="92">
        <v>21</v>
      </c>
      <c r="Q67" s="92"/>
      <c r="R67" s="92">
        <v>21</v>
      </c>
      <c r="S67" s="92"/>
      <c r="T67" s="92"/>
      <c r="U67" s="92">
        <v>24</v>
      </c>
      <c r="V67" s="92"/>
      <c r="W67" s="92">
        <v>12.5</v>
      </c>
      <c r="X67" s="92">
        <v>50</v>
      </c>
      <c r="Y67" s="92">
        <v>11.666666666666666</v>
      </c>
      <c r="Z67" s="92"/>
      <c r="AA67" s="92">
        <v>18.333333333333332</v>
      </c>
      <c r="AB67" s="92">
        <v>20.8</v>
      </c>
    </row>
    <row r="68" spans="1:28" x14ac:dyDescent="0.3">
      <c r="A68" s="1" t="s">
        <v>62</v>
      </c>
      <c r="B68" s="92">
        <v>15</v>
      </c>
      <c r="C68" s="92"/>
      <c r="D68" s="92"/>
      <c r="E68" s="92">
        <v>10</v>
      </c>
      <c r="F68" s="92"/>
      <c r="G68" s="92">
        <v>5</v>
      </c>
      <c r="H68" s="92">
        <v>11.25</v>
      </c>
      <c r="I68" s="92">
        <v>17.333333333333332</v>
      </c>
      <c r="J68" s="92">
        <v>45</v>
      </c>
      <c r="K68" s="92">
        <v>30.5</v>
      </c>
      <c r="L68" s="92">
        <v>22</v>
      </c>
      <c r="M68" s="92">
        <v>15</v>
      </c>
      <c r="N68" s="92">
        <v>6</v>
      </c>
      <c r="O68" s="92">
        <v>6</v>
      </c>
      <c r="P68" s="92">
        <v>25</v>
      </c>
      <c r="Q68" s="92">
        <v>34</v>
      </c>
      <c r="R68" s="92">
        <v>18.5</v>
      </c>
      <c r="S68" s="92">
        <v>35</v>
      </c>
      <c r="T68" s="92">
        <v>40</v>
      </c>
      <c r="U68" s="92">
        <v>25.833333333333332</v>
      </c>
      <c r="V68" s="92"/>
      <c r="W68" s="92">
        <v>33.333333333333336</v>
      </c>
      <c r="X68" s="92">
        <v>36</v>
      </c>
      <c r="Y68" s="92">
        <v>40</v>
      </c>
      <c r="Z68" s="92"/>
      <c r="AA68" s="92">
        <v>36.444444444444443</v>
      </c>
      <c r="AB68" s="92">
        <v>26.837837837837839</v>
      </c>
    </row>
    <row r="69" spans="1:28" x14ac:dyDescent="0.3">
      <c r="A69" s="1" t="s">
        <v>63</v>
      </c>
      <c r="B69" s="92"/>
      <c r="C69" s="92"/>
      <c r="D69" s="92"/>
      <c r="E69" s="92"/>
      <c r="F69" s="92"/>
      <c r="G69" s="92"/>
      <c r="H69" s="92"/>
      <c r="I69" s="92">
        <v>16</v>
      </c>
      <c r="J69" s="92">
        <v>90</v>
      </c>
      <c r="K69" s="92">
        <v>25</v>
      </c>
      <c r="L69" s="92">
        <v>20</v>
      </c>
      <c r="M69" s="92">
        <v>20</v>
      </c>
      <c r="N69" s="92">
        <v>10</v>
      </c>
      <c r="O69" s="92">
        <v>120</v>
      </c>
      <c r="P69" s="92"/>
      <c r="Q69" s="92">
        <v>20</v>
      </c>
      <c r="R69" s="92">
        <v>10</v>
      </c>
      <c r="S69" s="92">
        <v>12.5</v>
      </c>
      <c r="T69" s="92">
        <v>20</v>
      </c>
      <c r="U69" s="92">
        <v>30.46153846153846</v>
      </c>
      <c r="V69" s="92">
        <v>30</v>
      </c>
      <c r="W69" s="92">
        <v>30</v>
      </c>
      <c r="X69" s="92">
        <v>16.666666666666668</v>
      </c>
      <c r="Y69" s="92">
        <v>26.333333333333332</v>
      </c>
      <c r="Z69" s="92">
        <v>7</v>
      </c>
      <c r="AA69" s="92">
        <v>20.3</v>
      </c>
      <c r="AB69" s="92">
        <v>26.043478260869566</v>
      </c>
    </row>
    <row r="70" spans="1:28" x14ac:dyDescent="0.3">
      <c r="A70" s="1" t="s">
        <v>64</v>
      </c>
      <c r="B70" s="92"/>
      <c r="C70" s="92">
        <v>15</v>
      </c>
      <c r="D70" s="92"/>
      <c r="E70" s="92">
        <v>30</v>
      </c>
      <c r="F70" s="92"/>
      <c r="G70" s="92">
        <v>45</v>
      </c>
      <c r="H70" s="92">
        <v>30</v>
      </c>
      <c r="I70" s="92">
        <v>15</v>
      </c>
      <c r="J70" s="92">
        <v>13.75</v>
      </c>
      <c r="K70" s="92">
        <v>5</v>
      </c>
      <c r="L70" s="92">
        <v>9</v>
      </c>
      <c r="M70" s="92"/>
      <c r="N70" s="92"/>
      <c r="O70" s="92"/>
      <c r="P70" s="92"/>
      <c r="Q70" s="92">
        <v>32</v>
      </c>
      <c r="R70" s="92">
        <v>21</v>
      </c>
      <c r="S70" s="92">
        <v>28</v>
      </c>
      <c r="T70" s="92"/>
      <c r="U70" s="92">
        <v>19.8</v>
      </c>
      <c r="V70" s="92">
        <v>35</v>
      </c>
      <c r="W70" s="92">
        <v>21</v>
      </c>
      <c r="X70" s="92">
        <v>12</v>
      </c>
      <c r="Y70" s="92">
        <v>22.5</v>
      </c>
      <c r="Z70" s="92"/>
      <c r="AA70" s="92">
        <v>20.833333333333332</v>
      </c>
      <c r="AB70" s="92">
        <v>21.333333333333332</v>
      </c>
    </row>
    <row r="71" spans="1:28" x14ac:dyDescent="0.3">
      <c r="A71" s="1" t="s">
        <v>65</v>
      </c>
      <c r="B71" s="92">
        <v>20</v>
      </c>
      <c r="C71" s="92">
        <v>52</v>
      </c>
      <c r="D71" s="92"/>
      <c r="E71" s="92">
        <v>40</v>
      </c>
      <c r="F71" s="92"/>
      <c r="G71" s="92">
        <v>40</v>
      </c>
      <c r="H71" s="92">
        <v>40.666666666666664</v>
      </c>
      <c r="I71" s="92">
        <v>41.666666666666664</v>
      </c>
      <c r="J71" s="92">
        <v>8</v>
      </c>
      <c r="K71" s="92"/>
      <c r="L71" s="92"/>
      <c r="M71" s="92">
        <v>16.5</v>
      </c>
      <c r="N71" s="92">
        <v>13</v>
      </c>
      <c r="O71" s="92">
        <v>18.5</v>
      </c>
      <c r="P71" s="92">
        <v>30</v>
      </c>
      <c r="Q71" s="92"/>
      <c r="R71" s="92">
        <v>9</v>
      </c>
      <c r="S71" s="92">
        <v>28</v>
      </c>
      <c r="T71" s="92">
        <v>15</v>
      </c>
      <c r="U71" s="92">
        <v>22.117647058823529</v>
      </c>
      <c r="V71" s="92">
        <v>14.75</v>
      </c>
      <c r="W71" s="92">
        <v>12.333333333333334</v>
      </c>
      <c r="X71" s="92">
        <v>25</v>
      </c>
      <c r="Y71" s="92">
        <v>31</v>
      </c>
      <c r="Z71" s="92"/>
      <c r="AA71" s="92">
        <v>19.916666666666668</v>
      </c>
      <c r="AB71" s="92">
        <v>24.542857142857144</v>
      </c>
    </row>
    <row r="72" spans="1:28" x14ac:dyDescent="0.3">
      <c r="A72" s="1" t="s">
        <v>66</v>
      </c>
      <c r="B72" s="92">
        <v>15</v>
      </c>
      <c r="C72" s="92">
        <v>26</v>
      </c>
      <c r="D72" s="92">
        <v>10</v>
      </c>
      <c r="E72" s="92">
        <v>47.5</v>
      </c>
      <c r="F72" s="92">
        <v>28</v>
      </c>
      <c r="G72" s="92">
        <v>20</v>
      </c>
      <c r="H72" s="92">
        <v>24</v>
      </c>
      <c r="I72" s="92">
        <v>28.333333333333332</v>
      </c>
      <c r="J72" s="92">
        <v>35</v>
      </c>
      <c r="K72" s="92"/>
      <c r="L72" s="92">
        <v>3</v>
      </c>
      <c r="M72" s="92">
        <v>40</v>
      </c>
      <c r="N72" s="92">
        <v>13.75</v>
      </c>
      <c r="O72" s="92">
        <v>10</v>
      </c>
      <c r="P72" s="92">
        <v>47.5</v>
      </c>
      <c r="Q72" s="92">
        <v>10</v>
      </c>
      <c r="R72" s="92">
        <v>34</v>
      </c>
      <c r="S72" s="92">
        <v>9</v>
      </c>
      <c r="T72" s="92">
        <v>22.5</v>
      </c>
      <c r="U72" s="92">
        <v>23.25</v>
      </c>
      <c r="V72" s="92">
        <v>17.5</v>
      </c>
      <c r="W72" s="92">
        <v>19.5</v>
      </c>
      <c r="X72" s="92">
        <v>27.5</v>
      </c>
      <c r="Y72" s="92">
        <v>24.333333333333332</v>
      </c>
      <c r="Z72" s="92">
        <v>12</v>
      </c>
      <c r="AA72" s="92">
        <v>21</v>
      </c>
      <c r="AB72" s="92">
        <v>22.5625</v>
      </c>
    </row>
    <row r="73" spans="1:28" x14ac:dyDescent="0.3">
      <c r="A73" s="1" t="s">
        <v>67</v>
      </c>
      <c r="B73" s="92"/>
      <c r="C73" s="92">
        <v>9.5</v>
      </c>
      <c r="D73" s="92">
        <v>15</v>
      </c>
      <c r="E73" s="92">
        <v>10</v>
      </c>
      <c r="F73" s="92">
        <v>80</v>
      </c>
      <c r="G73" s="92"/>
      <c r="H73" s="92">
        <v>24.8</v>
      </c>
      <c r="I73" s="92">
        <v>14</v>
      </c>
      <c r="J73" s="92">
        <v>13.5</v>
      </c>
      <c r="K73" s="92">
        <v>22</v>
      </c>
      <c r="L73" s="92"/>
      <c r="M73" s="92"/>
      <c r="N73" s="92">
        <v>22.5</v>
      </c>
      <c r="O73" s="92"/>
      <c r="P73" s="92">
        <v>10</v>
      </c>
      <c r="Q73" s="92">
        <v>19.75</v>
      </c>
      <c r="R73" s="92">
        <v>8</v>
      </c>
      <c r="S73" s="92"/>
      <c r="T73" s="92"/>
      <c r="U73" s="92">
        <v>15.947368421052632</v>
      </c>
      <c r="V73" s="92">
        <v>22.75</v>
      </c>
      <c r="W73" s="92">
        <v>12</v>
      </c>
      <c r="X73" s="92">
        <v>14.666666666666666</v>
      </c>
      <c r="Y73" s="92">
        <v>31</v>
      </c>
      <c r="Z73" s="92">
        <v>38.5</v>
      </c>
      <c r="AA73" s="92">
        <v>23.833333333333332</v>
      </c>
      <c r="AB73" s="92">
        <v>19.805555555555557</v>
      </c>
    </row>
    <row r="74" spans="1:28" x14ac:dyDescent="0.3">
      <c r="A74" s="1" t="s">
        <v>68</v>
      </c>
      <c r="B74" s="92"/>
      <c r="C74" s="92">
        <v>10</v>
      </c>
      <c r="D74" s="92">
        <v>15</v>
      </c>
      <c r="E74" s="92">
        <v>25</v>
      </c>
      <c r="F74" s="92">
        <v>4</v>
      </c>
      <c r="G74" s="92">
        <v>23</v>
      </c>
      <c r="H74" s="92">
        <v>17.571428571428573</v>
      </c>
      <c r="I74" s="92">
        <v>21</v>
      </c>
      <c r="J74" s="92">
        <v>24</v>
      </c>
      <c r="K74" s="92">
        <v>18</v>
      </c>
      <c r="L74" s="92">
        <v>36</v>
      </c>
      <c r="M74" s="92"/>
      <c r="N74" s="92"/>
      <c r="O74" s="92">
        <v>10</v>
      </c>
      <c r="P74" s="92">
        <v>13</v>
      </c>
      <c r="Q74" s="92">
        <v>36</v>
      </c>
      <c r="R74" s="92">
        <v>20.666666666666668</v>
      </c>
      <c r="S74" s="92"/>
      <c r="T74" s="92">
        <v>19.333333333333332</v>
      </c>
      <c r="U74" s="92">
        <v>20.785714285714285</v>
      </c>
      <c r="V74" s="92">
        <v>11</v>
      </c>
      <c r="W74" s="92">
        <v>38</v>
      </c>
      <c r="X74" s="92">
        <v>60</v>
      </c>
      <c r="Y74" s="92">
        <v>27.2</v>
      </c>
      <c r="Z74" s="92"/>
      <c r="AA74" s="92">
        <v>30.181818181818183</v>
      </c>
      <c r="AB74" s="92">
        <v>23.3125</v>
      </c>
    </row>
    <row r="75" spans="1:28" x14ac:dyDescent="0.3">
      <c r="A75" s="1" t="s">
        <v>69</v>
      </c>
      <c r="B75" s="92">
        <v>9</v>
      </c>
      <c r="C75" s="92"/>
      <c r="D75" s="92"/>
      <c r="E75" s="92">
        <v>9.5</v>
      </c>
      <c r="F75" s="92"/>
      <c r="G75" s="92">
        <v>15</v>
      </c>
      <c r="H75" s="92">
        <v>10.75</v>
      </c>
      <c r="I75" s="92">
        <v>24.666666666666668</v>
      </c>
      <c r="J75" s="92"/>
      <c r="K75" s="92">
        <v>23.5</v>
      </c>
      <c r="L75" s="92">
        <v>70</v>
      </c>
      <c r="M75" s="92"/>
      <c r="N75" s="92">
        <v>30</v>
      </c>
      <c r="O75" s="92">
        <v>13</v>
      </c>
      <c r="P75" s="92">
        <v>12</v>
      </c>
      <c r="Q75" s="92">
        <v>16.5</v>
      </c>
      <c r="R75" s="92"/>
      <c r="S75" s="92">
        <v>10.5</v>
      </c>
      <c r="T75" s="92"/>
      <c r="U75" s="92">
        <v>21.666666666666668</v>
      </c>
      <c r="V75" s="92">
        <v>15</v>
      </c>
      <c r="W75" s="92"/>
      <c r="X75" s="92"/>
      <c r="Y75" s="92"/>
      <c r="Z75" s="92"/>
      <c r="AA75" s="92">
        <v>15</v>
      </c>
      <c r="AB75" s="92">
        <v>19.149999999999999</v>
      </c>
    </row>
    <row r="76" spans="1:28" x14ac:dyDescent="0.3">
      <c r="A76" s="1" t="s">
        <v>70</v>
      </c>
      <c r="B76" s="92"/>
      <c r="C76" s="92"/>
      <c r="D76" s="92">
        <v>7.5</v>
      </c>
      <c r="E76" s="92">
        <v>15</v>
      </c>
      <c r="F76" s="92">
        <v>22.666666666666668</v>
      </c>
      <c r="G76" s="92">
        <v>18.666666666666668</v>
      </c>
      <c r="H76" s="92">
        <v>17.111111111111111</v>
      </c>
      <c r="I76" s="92">
        <v>6</v>
      </c>
      <c r="J76" s="92">
        <v>45</v>
      </c>
      <c r="K76" s="92">
        <v>15</v>
      </c>
      <c r="L76" s="92">
        <v>20</v>
      </c>
      <c r="M76" s="92">
        <v>16.333333333333332</v>
      </c>
      <c r="N76" s="92"/>
      <c r="O76" s="92">
        <v>27</v>
      </c>
      <c r="P76" s="92"/>
      <c r="Q76" s="92">
        <v>18</v>
      </c>
      <c r="R76" s="92">
        <v>35</v>
      </c>
      <c r="S76" s="92">
        <v>40</v>
      </c>
      <c r="T76" s="92">
        <v>3</v>
      </c>
      <c r="U76" s="92">
        <v>24.05</v>
      </c>
      <c r="V76" s="92">
        <v>6.5</v>
      </c>
      <c r="W76" s="92">
        <v>33.5</v>
      </c>
      <c r="X76" s="92">
        <v>10</v>
      </c>
      <c r="Y76" s="92">
        <v>10</v>
      </c>
      <c r="Z76" s="92"/>
      <c r="AA76" s="92">
        <v>16.666666666666668</v>
      </c>
      <c r="AB76" s="92">
        <v>21</v>
      </c>
    </row>
    <row r="77" spans="1:28" x14ac:dyDescent="0.3">
      <c r="A77" s="1" t="s">
        <v>71</v>
      </c>
      <c r="B77" s="92"/>
      <c r="C77" s="92"/>
      <c r="D77" s="92"/>
      <c r="E77" s="92">
        <v>40</v>
      </c>
      <c r="F77" s="92">
        <v>25</v>
      </c>
      <c r="G77" s="92"/>
      <c r="H77" s="92">
        <v>32.5</v>
      </c>
      <c r="I77" s="92">
        <v>50</v>
      </c>
      <c r="J77" s="92"/>
      <c r="K77" s="92">
        <v>18</v>
      </c>
      <c r="L77" s="92">
        <v>10</v>
      </c>
      <c r="M77" s="92">
        <v>70</v>
      </c>
      <c r="N77" s="92">
        <v>20</v>
      </c>
      <c r="O77" s="92"/>
      <c r="P77" s="92">
        <v>10</v>
      </c>
      <c r="Q77" s="92">
        <v>18.5</v>
      </c>
      <c r="R77" s="92"/>
      <c r="S77" s="92">
        <v>44</v>
      </c>
      <c r="T77" s="92"/>
      <c r="U77" s="92">
        <v>29.727272727272727</v>
      </c>
      <c r="V77" s="92">
        <v>44</v>
      </c>
      <c r="W77" s="92">
        <v>40</v>
      </c>
      <c r="X77" s="92">
        <v>8</v>
      </c>
      <c r="Y77" s="92">
        <v>10</v>
      </c>
      <c r="Z77" s="92"/>
      <c r="AA77" s="92">
        <v>31</v>
      </c>
      <c r="AB77" s="92">
        <v>30.421052631578949</v>
      </c>
    </row>
    <row r="78" spans="1:28" x14ac:dyDescent="0.3">
      <c r="A78" s="1" t="s">
        <v>72</v>
      </c>
      <c r="B78" s="92">
        <v>15</v>
      </c>
      <c r="C78" s="92"/>
      <c r="D78" s="92"/>
      <c r="E78" s="92"/>
      <c r="F78" s="92"/>
      <c r="G78" s="92">
        <v>10</v>
      </c>
      <c r="H78" s="92">
        <v>12.5</v>
      </c>
      <c r="I78" s="92"/>
      <c r="J78" s="92">
        <v>16</v>
      </c>
      <c r="K78" s="92">
        <v>30</v>
      </c>
      <c r="L78" s="92">
        <v>50</v>
      </c>
      <c r="M78" s="92">
        <v>10</v>
      </c>
      <c r="N78" s="92"/>
      <c r="O78" s="92">
        <v>27.5</v>
      </c>
      <c r="P78" s="92">
        <v>35</v>
      </c>
      <c r="Q78" s="92"/>
      <c r="R78" s="92">
        <v>90</v>
      </c>
      <c r="S78" s="92"/>
      <c r="T78" s="92">
        <v>19</v>
      </c>
      <c r="U78" s="92">
        <v>32.4</v>
      </c>
      <c r="V78" s="92">
        <v>20</v>
      </c>
      <c r="W78" s="92">
        <v>5</v>
      </c>
      <c r="X78" s="92">
        <v>18.166666666666668</v>
      </c>
      <c r="Y78" s="92">
        <v>37.333333333333336</v>
      </c>
      <c r="Z78" s="92">
        <v>40</v>
      </c>
      <c r="AA78" s="92">
        <v>26.533333333333335</v>
      </c>
      <c r="AB78" s="92">
        <v>27.666666666666668</v>
      </c>
    </row>
    <row r="79" spans="1:28" x14ac:dyDescent="0.3">
      <c r="A79" s="1" t="s">
        <v>73</v>
      </c>
      <c r="B79" s="92"/>
      <c r="C79" s="92"/>
      <c r="D79" s="92"/>
      <c r="E79" s="92"/>
      <c r="F79" s="92"/>
      <c r="G79" s="92">
        <v>15</v>
      </c>
      <c r="H79" s="92">
        <v>15</v>
      </c>
      <c r="I79" s="92"/>
      <c r="J79" s="92">
        <v>40</v>
      </c>
      <c r="K79" s="92">
        <v>25</v>
      </c>
      <c r="L79" s="92"/>
      <c r="M79" s="92"/>
      <c r="N79" s="92"/>
      <c r="O79" s="92"/>
      <c r="P79" s="92">
        <v>25</v>
      </c>
      <c r="Q79" s="92"/>
      <c r="R79" s="92"/>
      <c r="S79" s="92">
        <v>40</v>
      </c>
      <c r="T79" s="92">
        <v>20</v>
      </c>
      <c r="U79" s="92">
        <v>30</v>
      </c>
      <c r="V79" s="92"/>
      <c r="W79" s="92"/>
      <c r="X79" s="92">
        <v>16.5</v>
      </c>
      <c r="Y79" s="92"/>
      <c r="Z79" s="92"/>
      <c r="AA79" s="92">
        <v>16.5</v>
      </c>
      <c r="AB79" s="92">
        <v>23.666666666666668</v>
      </c>
    </row>
    <row r="80" spans="1:28" x14ac:dyDescent="0.3">
      <c r="A80" s="1" t="s">
        <v>74</v>
      </c>
      <c r="B80" s="92"/>
      <c r="C80" s="92">
        <v>8</v>
      </c>
      <c r="D80" s="92">
        <v>5</v>
      </c>
      <c r="E80" s="92">
        <v>80</v>
      </c>
      <c r="F80" s="92"/>
      <c r="G80" s="92">
        <v>16</v>
      </c>
      <c r="H80" s="92">
        <v>27.25</v>
      </c>
      <c r="I80" s="92">
        <v>65</v>
      </c>
      <c r="J80" s="92">
        <v>35</v>
      </c>
      <c r="K80" s="92"/>
      <c r="L80" s="92"/>
      <c r="M80" s="92"/>
      <c r="N80" s="92">
        <v>6</v>
      </c>
      <c r="O80" s="92"/>
      <c r="P80" s="92">
        <v>24</v>
      </c>
      <c r="Q80" s="92"/>
      <c r="R80" s="92">
        <v>20</v>
      </c>
      <c r="S80" s="92">
        <v>9</v>
      </c>
      <c r="T80" s="92">
        <v>30</v>
      </c>
      <c r="U80" s="92">
        <v>27</v>
      </c>
      <c r="V80" s="92"/>
      <c r="W80" s="92"/>
      <c r="X80" s="92">
        <v>37.5</v>
      </c>
      <c r="Y80" s="92">
        <v>18</v>
      </c>
      <c r="Z80" s="92"/>
      <c r="AA80" s="92">
        <v>24.5</v>
      </c>
      <c r="AB80" s="92">
        <v>26.176470588235293</v>
      </c>
    </row>
    <row r="81" spans="1:28" x14ac:dyDescent="0.3">
      <c r="A81" s="1" t="s">
        <v>75</v>
      </c>
      <c r="B81" s="92"/>
      <c r="C81" s="92">
        <v>9</v>
      </c>
      <c r="D81" s="92"/>
      <c r="E81" s="92"/>
      <c r="F81" s="92">
        <v>50</v>
      </c>
      <c r="G81" s="92">
        <v>32.5</v>
      </c>
      <c r="H81" s="92">
        <v>31</v>
      </c>
      <c r="I81" s="92"/>
      <c r="J81" s="92">
        <v>14.333333333333334</v>
      </c>
      <c r="K81" s="92">
        <v>24.333333333333332</v>
      </c>
      <c r="L81" s="92"/>
      <c r="M81" s="92"/>
      <c r="N81" s="92">
        <v>18</v>
      </c>
      <c r="O81" s="92"/>
      <c r="P81" s="92">
        <v>9</v>
      </c>
      <c r="Q81" s="92">
        <v>21.5</v>
      </c>
      <c r="R81" s="92"/>
      <c r="S81" s="92"/>
      <c r="T81" s="92">
        <v>24</v>
      </c>
      <c r="U81" s="92">
        <v>18.923076923076923</v>
      </c>
      <c r="V81" s="92">
        <v>29</v>
      </c>
      <c r="W81" s="92">
        <v>21.666666666666668</v>
      </c>
      <c r="X81" s="92">
        <v>8</v>
      </c>
      <c r="Y81" s="92">
        <v>16.333333333333332</v>
      </c>
      <c r="Z81" s="92"/>
      <c r="AA81" s="92">
        <v>21.636363636363637</v>
      </c>
      <c r="AB81" s="92">
        <v>21.714285714285715</v>
      </c>
    </row>
    <row r="82" spans="1:28" x14ac:dyDescent="0.3">
      <c r="A82" s="1" t="s">
        <v>76</v>
      </c>
      <c r="B82" s="92"/>
      <c r="C82" s="92"/>
      <c r="D82" s="92"/>
      <c r="E82" s="92">
        <v>16</v>
      </c>
      <c r="F82" s="92"/>
      <c r="G82" s="92"/>
      <c r="H82" s="92">
        <v>16</v>
      </c>
      <c r="I82" s="92">
        <v>55</v>
      </c>
      <c r="J82" s="92">
        <v>30</v>
      </c>
      <c r="K82" s="92">
        <v>30</v>
      </c>
      <c r="L82" s="92">
        <v>6</v>
      </c>
      <c r="M82" s="92"/>
      <c r="N82" s="92">
        <v>25</v>
      </c>
      <c r="O82" s="92">
        <v>15</v>
      </c>
      <c r="P82" s="92"/>
      <c r="Q82" s="92">
        <v>18.666666666666668</v>
      </c>
      <c r="R82" s="92">
        <v>20.5</v>
      </c>
      <c r="S82" s="92">
        <v>30</v>
      </c>
      <c r="T82" s="92">
        <v>30</v>
      </c>
      <c r="U82" s="92">
        <v>23.933333333333334</v>
      </c>
      <c r="V82" s="92">
        <v>40</v>
      </c>
      <c r="W82" s="92"/>
      <c r="X82" s="92">
        <v>13.333333333333334</v>
      </c>
      <c r="Y82" s="92">
        <v>30</v>
      </c>
      <c r="Z82" s="92"/>
      <c r="AA82" s="92">
        <v>22</v>
      </c>
      <c r="AB82" s="92">
        <v>23.095238095238095</v>
      </c>
    </row>
    <row r="83" spans="1:28" x14ac:dyDescent="0.3">
      <c r="A83" s="1" t="s">
        <v>308</v>
      </c>
      <c r="B83" s="92">
        <v>23.395833333333332</v>
      </c>
      <c r="C83" s="92">
        <v>23.310344827586206</v>
      </c>
      <c r="D83" s="92">
        <v>16.163636363636364</v>
      </c>
      <c r="E83" s="92">
        <v>22.634146341463413</v>
      </c>
      <c r="F83" s="92">
        <v>29.433962264150942</v>
      </c>
      <c r="G83" s="92">
        <v>23.337349397590362</v>
      </c>
      <c r="H83" s="92">
        <v>23</v>
      </c>
      <c r="I83" s="92">
        <v>29.173913043478262</v>
      </c>
      <c r="J83" s="92">
        <v>25.35211267605634</v>
      </c>
      <c r="K83" s="92">
        <v>26.108433734939759</v>
      </c>
      <c r="L83" s="92">
        <v>21.37142857142857</v>
      </c>
      <c r="M83" s="92">
        <v>24.350515463917525</v>
      </c>
      <c r="N83" s="92">
        <v>22.579545454545453</v>
      </c>
      <c r="O83" s="92">
        <v>26.074626865671643</v>
      </c>
      <c r="P83" s="92">
        <v>22.674157303370787</v>
      </c>
      <c r="Q83" s="92">
        <v>22.939393939393938</v>
      </c>
      <c r="R83" s="92">
        <v>27.970297029702969</v>
      </c>
      <c r="S83" s="92">
        <v>20.533333333333335</v>
      </c>
      <c r="T83" s="92">
        <v>23.736842105263158</v>
      </c>
      <c r="U83" s="92">
        <v>24.433781190019193</v>
      </c>
      <c r="V83" s="92">
        <v>21.162162162162161</v>
      </c>
      <c r="W83" s="92">
        <v>27.129770992366414</v>
      </c>
      <c r="X83" s="92">
        <v>21.906832298136646</v>
      </c>
      <c r="Y83" s="92">
        <v>26.236559139784948</v>
      </c>
      <c r="Z83" s="92">
        <v>24.257142857142856</v>
      </c>
      <c r="AA83" s="92">
        <v>24.118003025718608</v>
      </c>
      <c r="AB83" s="92">
        <v>24.072526416906822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D2A6-45AA-4065-B746-09AA4D16C776}">
  <dimension ref="A3:W17"/>
  <sheetViews>
    <sheetView workbookViewId="0">
      <selection activeCell="O7" sqref="O7"/>
    </sheetView>
  </sheetViews>
  <sheetFormatPr baseColWidth="10" defaultRowHeight="14.4" x14ac:dyDescent="0.3"/>
  <cols>
    <col min="1" max="1" width="19.88671875" bestFit="1" customWidth="1"/>
    <col min="2" max="2" width="21.44140625" bestFit="1" customWidth="1"/>
    <col min="3" max="3" width="6.88671875" bestFit="1" customWidth="1"/>
    <col min="4" max="4" width="7.77734375" bestFit="1" customWidth="1"/>
    <col min="5" max="5" width="5.44140625" bestFit="1" customWidth="1"/>
    <col min="6" max="6" width="7.33203125" bestFit="1" customWidth="1"/>
    <col min="7" max="7" width="8.6640625" bestFit="1" customWidth="1"/>
    <col min="8" max="8" width="7.109375" bestFit="1" customWidth="1"/>
    <col min="9" max="9" width="6.5546875" bestFit="1" customWidth="1"/>
    <col min="10" max="10" width="8.6640625" bestFit="1" customWidth="1"/>
    <col min="11" max="11" width="6.88671875" bestFit="1" customWidth="1"/>
    <col min="12" max="12" width="4.6640625" bestFit="1" customWidth="1"/>
    <col min="13" max="13" width="7.109375" bestFit="1" customWidth="1"/>
    <col min="14" max="14" width="7.5546875" bestFit="1" customWidth="1"/>
    <col min="15" max="15" width="6.88671875" bestFit="1" customWidth="1"/>
    <col min="16" max="16" width="8.109375" bestFit="1" customWidth="1"/>
    <col min="17" max="17" width="5.6640625" bestFit="1" customWidth="1"/>
    <col min="18" max="18" width="7.6640625" bestFit="1" customWidth="1"/>
    <col min="19" max="19" width="10.6640625" bestFit="1" customWidth="1"/>
    <col min="20" max="21" width="5" bestFit="1" customWidth="1"/>
    <col min="22" max="22" width="9.6640625" bestFit="1" customWidth="1"/>
    <col min="23" max="23" width="11.88671875" bestFit="1" customWidth="1"/>
  </cols>
  <sheetData>
    <row r="3" spans="1:23" x14ac:dyDescent="0.3">
      <c r="A3" s="90" t="s">
        <v>313</v>
      </c>
      <c r="B3" s="90" t="s">
        <v>309</v>
      </c>
    </row>
    <row r="4" spans="1:23" x14ac:dyDescent="0.3">
      <c r="A4" s="90" t="s">
        <v>307</v>
      </c>
      <c r="B4" t="s">
        <v>185</v>
      </c>
      <c r="C4" t="s">
        <v>111</v>
      </c>
      <c r="D4" t="s">
        <v>103</v>
      </c>
      <c r="E4" t="s">
        <v>98</v>
      </c>
      <c r="F4" t="s">
        <v>160</v>
      </c>
      <c r="G4" t="s">
        <v>163</v>
      </c>
      <c r="H4" t="s">
        <v>96</v>
      </c>
      <c r="I4" t="s">
        <v>101</v>
      </c>
      <c r="J4" t="s">
        <v>123</v>
      </c>
      <c r="K4" t="s">
        <v>144</v>
      </c>
      <c r="L4" t="s">
        <v>130</v>
      </c>
      <c r="M4" t="s">
        <v>113</v>
      </c>
      <c r="N4" t="s">
        <v>179</v>
      </c>
      <c r="O4" t="s">
        <v>176</v>
      </c>
      <c r="P4" t="s">
        <v>157</v>
      </c>
      <c r="Q4" t="s">
        <v>136</v>
      </c>
      <c r="R4" t="s">
        <v>119</v>
      </c>
      <c r="S4" t="s">
        <v>105</v>
      </c>
      <c r="T4" t="s">
        <v>141</v>
      </c>
      <c r="U4" t="s">
        <v>115</v>
      </c>
      <c r="V4" t="s">
        <v>109</v>
      </c>
      <c r="W4" t="s">
        <v>308</v>
      </c>
    </row>
    <row r="5" spans="1:23" x14ac:dyDescent="0.3">
      <c r="A5" s="1" t="s">
        <v>330</v>
      </c>
      <c r="B5" s="91">
        <v>59</v>
      </c>
      <c r="C5" s="91">
        <v>2138</v>
      </c>
      <c r="D5" s="91">
        <v>406</v>
      </c>
      <c r="E5" s="91">
        <v>1094</v>
      </c>
      <c r="F5" s="91">
        <v>942</v>
      </c>
      <c r="G5" s="91">
        <v>152</v>
      </c>
      <c r="H5" s="91">
        <v>337</v>
      </c>
      <c r="I5" s="91">
        <v>1139</v>
      </c>
      <c r="J5" s="91">
        <v>3071</v>
      </c>
      <c r="K5" s="91">
        <v>927</v>
      </c>
      <c r="L5" s="91">
        <v>327</v>
      </c>
      <c r="M5" s="91">
        <v>344</v>
      </c>
      <c r="N5" s="91">
        <v>60</v>
      </c>
      <c r="O5" s="91"/>
      <c r="P5" s="91">
        <v>130</v>
      </c>
      <c r="Q5" s="91">
        <v>210</v>
      </c>
      <c r="R5" s="91">
        <v>935</v>
      </c>
      <c r="S5" s="91">
        <v>438</v>
      </c>
      <c r="T5" s="91">
        <v>617</v>
      </c>
      <c r="U5" s="91">
        <v>2243</v>
      </c>
      <c r="V5" s="91">
        <v>763</v>
      </c>
      <c r="W5" s="91">
        <v>16332</v>
      </c>
    </row>
    <row r="6" spans="1:23" x14ac:dyDescent="0.3">
      <c r="A6" s="93" t="s">
        <v>78</v>
      </c>
      <c r="B6" s="91">
        <v>8</v>
      </c>
      <c r="C6" s="91">
        <v>365</v>
      </c>
      <c r="D6" s="91">
        <v>213</v>
      </c>
      <c r="E6" s="91">
        <v>110</v>
      </c>
      <c r="F6" s="91">
        <v>74</v>
      </c>
      <c r="G6" s="91"/>
      <c r="H6" s="91">
        <v>70</v>
      </c>
      <c r="I6" s="91">
        <v>156</v>
      </c>
      <c r="J6" s="91">
        <v>455</v>
      </c>
      <c r="K6" s="91">
        <v>224</v>
      </c>
      <c r="L6" s="91">
        <v>32</v>
      </c>
      <c r="M6" s="91"/>
      <c r="N6" s="91"/>
      <c r="O6" s="91"/>
      <c r="P6" s="91">
        <v>2</v>
      </c>
      <c r="Q6" s="91">
        <v>40</v>
      </c>
      <c r="R6" s="91">
        <v>119</v>
      </c>
      <c r="S6" s="91">
        <v>181</v>
      </c>
      <c r="T6" s="91">
        <v>200</v>
      </c>
      <c r="U6" s="91">
        <v>369</v>
      </c>
      <c r="V6" s="91">
        <v>24</v>
      </c>
      <c r="W6" s="91">
        <v>2642</v>
      </c>
    </row>
    <row r="7" spans="1:23" x14ac:dyDescent="0.3">
      <c r="A7" s="93" t="s">
        <v>79</v>
      </c>
      <c r="B7" s="91">
        <v>24</v>
      </c>
      <c r="C7" s="91">
        <v>1049</v>
      </c>
      <c r="D7" s="91">
        <v>12</v>
      </c>
      <c r="E7" s="91">
        <v>491</v>
      </c>
      <c r="F7" s="91">
        <v>596</v>
      </c>
      <c r="G7" s="91">
        <v>80</v>
      </c>
      <c r="H7" s="91">
        <v>44</v>
      </c>
      <c r="I7" s="91">
        <v>701</v>
      </c>
      <c r="J7" s="91">
        <v>1376</v>
      </c>
      <c r="K7" s="91">
        <v>399</v>
      </c>
      <c r="L7" s="91">
        <v>9</v>
      </c>
      <c r="M7" s="91">
        <v>207</v>
      </c>
      <c r="N7" s="91">
        <v>27</v>
      </c>
      <c r="O7" s="91"/>
      <c r="P7" s="91">
        <v>58</v>
      </c>
      <c r="Q7" s="91">
        <v>95</v>
      </c>
      <c r="R7" s="91">
        <v>438</v>
      </c>
      <c r="S7" s="91">
        <v>257</v>
      </c>
      <c r="T7" s="91">
        <v>247</v>
      </c>
      <c r="U7" s="91">
        <v>1197</v>
      </c>
      <c r="V7" s="91">
        <v>545</v>
      </c>
      <c r="W7" s="91">
        <v>7852</v>
      </c>
    </row>
    <row r="8" spans="1:23" x14ac:dyDescent="0.3">
      <c r="A8" s="93" t="s">
        <v>77</v>
      </c>
      <c r="B8" s="91">
        <v>27</v>
      </c>
      <c r="C8" s="91">
        <v>724</v>
      </c>
      <c r="D8" s="91">
        <v>181</v>
      </c>
      <c r="E8" s="91">
        <v>493</v>
      </c>
      <c r="F8" s="91">
        <v>272</v>
      </c>
      <c r="G8" s="91">
        <v>72</v>
      </c>
      <c r="H8" s="91">
        <v>223</v>
      </c>
      <c r="I8" s="91">
        <v>282</v>
      </c>
      <c r="J8" s="91">
        <v>1240</v>
      </c>
      <c r="K8" s="91">
        <v>304</v>
      </c>
      <c r="L8" s="91">
        <v>286</v>
      </c>
      <c r="M8" s="91">
        <v>137</v>
      </c>
      <c r="N8" s="91">
        <v>33</v>
      </c>
      <c r="O8" s="91"/>
      <c r="P8" s="91">
        <v>70</v>
      </c>
      <c r="Q8" s="91">
        <v>75</v>
      </c>
      <c r="R8" s="91">
        <v>378</v>
      </c>
      <c r="S8" s="91"/>
      <c r="T8" s="91">
        <v>170</v>
      </c>
      <c r="U8" s="91">
        <v>677</v>
      </c>
      <c r="V8" s="91">
        <v>194</v>
      </c>
      <c r="W8" s="91">
        <v>5838</v>
      </c>
    </row>
    <row r="9" spans="1:23" x14ac:dyDescent="0.3">
      <c r="A9" s="1" t="s">
        <v>331</v>
      </c>
      <c r="B9" s="91">
        <v>152</v>
      </c>
      <c r="C9" s="91">
        <v>1534</v>
      </c>
      <c r="D9" s="91">
        <v>512</v>
      </c>
      <c r="E9" s="91">
        <v>1739</v>
      </c>
      <c r="F9" s="91">
        <v>463</v>
      </c>
      <c r="G9" s="91">
        <v>529</v>
      </c>
      <c r="H9" s="91">
        <v>342</v>
      </c>
      <c r="I9" s="91">
        <v>1296</v>
      </c>
      <c r="J9" s="91">
        <v>3773</v>
      </c>
      <c r="K9" s="91">
        <v>516</v>
      </c>
      <c r="L9" s="91">
        <v>254</v>
      </c>
      <c r="M9" s="91">
        <v>190</v>
      </c>
      <c r="N9" s="91"/>
      <c r="O9" s="91">
        <v>127</v>
      </c>
      <c r="P9" s="91">
        <v>304</v>
      </c>
      <c r="Q9" s="91">
        <v>236</v>
      </c>
      <c r="R9" s="91">
        <v>723</v>
      </c>
      <c r="S9" s="91">
        <v>347</v>
      </c>
      <c r="T9" s="91">
        <v>1119</v>
      </c>
      <c r="U9" s="91">
        <v>3385</v>
      </c>
      <c r="V9" s="91">
        <v>1178</v>
      </c>
      <c r="W9" s="91">
        <v>18719</v>
      </c>
    </row>
    <row r="10" spans="1:23" x14ac:dyDescent="0.3">
      <c r="A10" s="93" t="s">
        <v>82</v>
      </c>
      <c r="B10" s="91"/>
      <c r="C10" s="91">
        <v>434</v>
      </c>
      <c r="D10" s="91">
        <v>87</v>
      </c>
      <c r="E10" s="91">
        <v>378</v>
      </c>
      <c r="F10" s="91">
        <v>108</v>
      </c>
      <c r="G10" s="91">
        <v>50</v>
      </c>
      <c r="H10" s="91">
        <v>30</v>
      </c>
      <c r="I10" s="91">
        <v>267</v>
      </c>
      <c r="J10" s="91">
        <v>436</v>
      </c>
      <c r="K10" s="91">
        <v>312</v>
      </c>
      <c r="L10" s="91">
        <v>3</v>
      </c>
      <c r="M10" s="91"/>
      <c r="N10" s="91"/>
      <c r="O10" s="91">
        <v>31</v>
      </c>
      <c r="P10" s="91"/>
      <c r="Q10" s="91"/>
      <c r="R10" s="91">
        <v>135</v>
      </c>
      <c r="S10" s="91">
        <v>131</v>
      </c>
      <c r="T10" s="91">
        <v>200</v>
      </c>
      <c r="U10" s="91">
        <v>718</v>
      </c>
      <c r="V10" s="91">
        <v>163</v>
      </c>
      <c r="W10" s="91">
        <v>3483</v>
      </c>
    </row>
    <row r="11" spans="1:23" x14ac:dyDescent="0.3">
      <c r="A11" s="93" t="s">
        <v>81</v>
      </c>
      <c r="B11" s="91">
        <v>63</v>
      </c>
      <c r="C11" s="91">
        <v>594</v>
      </c>
      <c r="D11" s="91">
        <v>425</v>
      </c>
      <c r="E11" s="91">
        <v>906</v>
      </c>
      <c r="F11" s="91">
        <v>291</v>
      </c>
      <c r="G11" s="91">
        <v>335</v>
      </c>
      <c r="H11" s="91">
        <v>102</v>
      </c>
      <c r="I11" s="91">
        <v>785</v>
      </c>
      <c r="J11" s="91">
        <v>2045</v>
      </c>
      <c r="K11" s="91">
        <v>130</v>
      </c>
      <c r="L11" s="91">
        <v>128</v>
      </c>
      <c r="M11" s="91">
        <v>149</v>
      </c>
      <c r="N11" s="91"/>
      <c r="O11" s="91">
        <v>27</v>
      </c>
      <c r="P11" s="91">
        <v>228</v>
      </c>
      <c r="Q11" s="91">
        <v>221</v>
      </c>
      <c r="R11" s="91">
        <v>153</v>
      </c>
      <c r="S11" s="91">
        <v>216</v>
      </c>
      <c r="T11" s="91">
        <v>497</v>
      </c>
      <c r="U11" s="91">
        <v>1709</v>
      </c>
      <c r="V11" s="91">
        <v>487</v>
      </c>
      <c r="W11" s="91">
        <v>9491</v>
      </c>
    </row>
    <row r="12" spans="1:23" x14ac:dyDescent="0.3">
      <c r="A12" s="93" t="s">
        <v>80</v>
      </c>
      <c r="B12" s="91">
        <v>89</v>
      </c>
      <c r="C12" s="91">
        <v>506</v>
      </c>
      <c r="D12" s="91"/>
      <c r="E12" s="91">
        <v>455</v>
      </c>
      <c r="F12" s="91">
        <v>64</v>
      </c>
      <c r="G12" s="91">
        <v>144</v>
      </c>
      <c r="H12" s="91">
        <v>210</v>
      </c>
      <c r="I12" s="91">
        <v>244</v>
      </c>
      <c r="J12" s="91">
        <v>1292</v>
      </c>
      <c r="K12" s="91">
        <v>74</v>
      </c>
      <c r="L12" s="91">
        <v>123</v>
      </c>
      <c r="M12" s="91">
        <v>41</v>
      </c>
      <c r="N12" s="91"/>
      <c r="O12" s="91">
        <v>69</v>
      </c>
      <c r="P12" s="91">
        <v>76</v>
      </c>
      <c r="Q12" s="91">
        <v>15</v>
      </c>
      <c r="R12" s="91">
        <v>435</v>
      </c>
      <c r="S12" s="91"/>
      <c r="T12" s="91">
        <v>422</v>
      </c>
      <c r="U12" s="91">
        <v>958</v>
      </c>
      <c r="V12" s="91">
        <v>528</v>
      </c>
      <c r="W12" s="91">
        <v>5745</v>
      </c>
    </row>
    <row r="13" spans="1:23" x14ac:dyDescent="0.3">
      <c r="A13" s="1" t="s">
        <v>332</v>
      </c>
      <c r="B13" s="91">
        <v>93</v>
      </c>
      <c r="C13" s="91">
        <v>1114</v>
      </c>
      <c r="D13" s="91">
        <v>474</v>
      </c>
      <c r="E13" s="91">
        <v>1314</v>
      </c>
      <c r="F13" s="91">
        <v>540</v>
      </c>
      <c r="G13" s="91">
        <v>475</v>
      </c>
      <c r="H13" s="91">
        <v>233</v>
      </c>
      <c r="I13" s="91">
        <v>732</v>
      </c>
      <c r="J13" s="91">
        <v>2080</v>
      </c>
      <c r="K13" s="91">
        <v>241</v>
      </c>
      <c r="L13" s="91">
        <v>219</v>
      </c>
      <c r="M13" s="91">
        <v>461</v>
      </c>
      <c r="N13" s="91">
        <v>101</v>
      </c>
      <c r="O13" s="91">
        <v>78</v>
      </c>
      <c r="P13" s="91">
        <v>169</v>
      </c>
      <c r="Q13" s="91">
        <v>272</v>
      </c>
      <c r="R13" s="91">
        <v>577</v>
      </c>
      <c r="S13" s="91">
        <v>448</v>
      </c>
      <c r="T13" s="91">
        <v>1006</v>
      </c>
      <c r="U13" s="91">
        <v>3627</v>
      </c>
      <c r="V13" s="91">
        <v>814</v>
      </c>
      <c r="W13" s="91">
        <v>15068</v>
      </c>
    </row>
    <row r="14" spans="1:23" x14ac:dyDescent="0.3">
      <c r="A14" s="93" t="s">
        <v>85</v>
      </c>
      <c r="B14" s="91"/>
      <c r="C14" s="91"/>
      <c r="D14" s="91">
        <v>261</v>
      </c>
      <c r="E14" s="91">
        <v>396</v>
      </c>
      <c r="F14" s="91"/>
      <c r="G14" s="91"/>
      <c r="H14" s="91">
        <v>117</v>
      </c>
      <c r="I14" s="91">
        <v>158</v>
      </c>
      <c r="J14" s="91">
        <v>381</v>
      </c>
      <c r="K14" s="91"/>
      <c r="L14" s="91">
        <v>76</v>
      </c>
      <c r="M14" s="91">
        <v>61</v>
      </c>
      <c r="N14" s="91"/>
      <c r="O14" s="91">
        <v>5</v>
      </c>
      <c r="P14" s="91">
        <v>84</v>
      </c>
      <c r="Q14" s="91">
        <v>76</v>
      </c>
      <c r="R14" s="91">
        <v>111</v>
      </c>
      <c r="S14" s="91">
        <v>57</v>
      </c>
      <c r="T14" s="91">
        <v>326</v>
      </c>
      <c r="U14" s="91">
        <v>722</v>
      </c>
      <c r="V14" s="91">
        <v>205</v>
      </c>
      <c r="W14" s="91">
        <v>3036</v>
      </c>
    </row>
    <row r="15" spans="1:23" x14ac:dyDescent="0.3">
      <c r="A15" s="93" t="s">
        <v>83</v>
      </c>
      <c r="B15" s="91">
        <v>32</v>
      </c>
      <c r="C15" s="91">
        <v>590</v>
      </c>
      <c r="D15" s="91">
        <v>37</v>
      </c>
      <c r="E15" s="91">
        <v>541</v>
      </c>
      <c r="F15" s="91">
        <v>359</v>
      </c>
      <c r="G15" s="91">
        <v>332</v>
      </c>
      <c r="H15" s="91">
        <v>82</v>
      </c>
      <c r="I15" s="91">
        <v>431</v>
      </c>
      <c r="J15" s="91">
        <v>1370</v>
      </c>
      <c r="K15" s="91">
        <v>103</v>
      </c>
      <c r="L15" s="91">
        <v>83</v>
      </c>
      <c r="M15" s="91">
        <v>209</v>
      </c>
      <c r="N15" s="91">
        <v>80</v>
      </c>
      <c r="O15" s="91">
        <v>73</v>
      </c>
      <c r="P15" s="91">
        <v>67</v>
      </c>
      <c r="Q15" s="91">
        <v>73</v>
      </c>
      <c r="R15" s="91">
        <v>271</v>
      </c>
      <c r="S15" s="91">
        <v>169</v>
      </c>
      <c r="T15" s="91">
        <v>450</v>
      </c>
      <c r="U15" s="91">
        <v>1913</v>
      </c>
      <c r="V15" s="91">
        <v>318</v>
      </c>
      <c r="W15" s="91">
        <v>7583</v>
      </c>
    </row>
    <row r="16" spans="1:23" x14ac:dyDescent="0.3">
      <c r="A16" s="93" t="s">
        <v>84</v>
      </c>
      <c r="B16" s="91">
        <v>61</v>
      </c>
      <c r="C16" s="91">
        <v>524</v>
      </c>
      <c r="D16" s="91">
        <v>176</v>
      </c>
      <c r="E16" s="91">
        <v>377</v>
      </c>
      <c r="F16" s="91">
        <v>181</v>
      </c>
      <c r="G16" s="91">
        <v>143</v>
      </c>
      <c r="H16" s="91">
        <v>34</v>
      </c>
      <c r="I16" s="91">
        <v>143</v>
      </c>
      <c r="J16" s="91">
        <v>329</v>
      </c>
      <c r="K16" s="91">
        <v>138</v>
      </c>
      <c r="L16" s="91">
        <v>60</v>
      </c>
      <c r="M16" s="91">
        <v>191</v>
      </c>
      <c r="N16" s="91">
        <v>21</v>
      </c>
      <c r="O16" s="91"/>
      <c r="P16" s="91">
        <v>18</v>
      </c>
      <c r="Q16" s="91">
        <v>123</v>
      </c>
      <c r="R16" s="91">
        <v>195</v>
      </c>
      <c r="S16" s="91">
        <v>222</v>
      </c>
      <c r="T16" s="91">
        <v>230</v>
      </c>
      <c r="U16" s="91">
        <v>992</v>
      </c>
      <c r="V16" s="91">
        <v>291</v>
      </c>
      <c r="W16" s="91">
        <v>4449</v>
      </c>
    </row>
    <row r="17" spans="1:23" x14ac:dyDescent="0.3">
      <c r="A17" s="1" t="s">
        <v>308</v>
      </c>
      <c r="B17" s="91">
        <v>304</v>
      </c>
      <c r="C17" s="91">
        <v>4786</v>
      </c>
      <c r="D17" s="91">
        <v>1392</v>
      </c>
      <c r="E17" s="91">
        <v>4147</v>
      </c>
      <c r="F17" s="91">
        <v>1945</v>
      </c>
      <c r="G17" s="91">
        <v>1156</v>
      </c>
      <c r="H17" s="91">
        <v>912</v>
      </c>
      <c r="I17" s="91">
        <v>3167</v>
      </c>
      <c r="J17" s="91">
        <v>8924</v>
      </c>
      <c r="K17" s="91">
        <v>1684</v>
      </c>
      <c r="L17" s="91">
        <v>800</v>
      </c>
      <c r="M17" s="91">
        <v>995</v>
      </c>
      <c r="N17" s="91">
        <v>161</v>
      </c>
      <c r="O17" s="91">
        <v>205</v>
      </c>
      <c r="P17" s="91">
        <v>603</v>
      </c>
      <c r="Q17" s="91">
        <v>718</v>
      </c>
      <c r="R17" s="91">
        <v>2235</v>
      </c>
      <c r="S17" s="91">
        <v>1233</v>
      </c>
      <c r="T17" s="91">
        <v>2742</v>
      </c>
      <c r="U17" s="91">
        <v>9255</v>
      </c>
      <c r="V17" s="91">
        <v>2755</v>
      </c>
      <c r="W17" s="91">
        <v>50119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2702-C0C6-4507-8F1A-413539EC32AD}">
  <dimension ref="A1:B9"/>
  <sheetViews>
    <sheetView workbookViewId="0">
      <selection activeCell="A3" sqref="A3"/>
    </sheetView>
  </sheetViews>
  <sheetFormatPr baseColWidth="10" defaultRowHeight="14.4" x14ac:dyDescent="0.3"/>
  <cols>
    <col min="1" max="1" width="19.109375" bestFit="1" customWidth="1"/>
    <col min="2" max="2" width="19.88671875" bestFit="1" customWidth="1"/>
    <col min="3" max="21" width="21.44140625" bestFit="1" customWidth="1"/>
    <col min="22" max="22" width="11.88671875" bestFit="1" customWidth="1"/>
  </cols>
  <sheetData>
    <row r="1" spans="1:2" x14ac:dyDescent="0.3">
      <c r="A1" s="90" t="s">
        <v>89</v>
      </c>
      <c r="B1" t="s">
        <v>123</v>
      </c>
    </row>
    <row r="3" spans="1:2" x14ac:dyDescent="0.3">
      <c r="A3" s="90" t="s">
        <v>307</v>
      </c>
      <c r="B3" t="s">
        <v>314</v>
      </c>
    </row>
    <row r="4" spans="1:2" x14ac:dyDescent="0.3">
      <c r="A4" s="1" t="s">
        <v>127</v>
      </c>
      <c r="B4" s="91">
        <v>46.058139534883722</v>
      </c>
    </row>
    <row r="5" spans="1:2" x14ac:dyDescent="0.3">
      <c r="A5" s="1" t="s">
        <v>122</v>
      </c>
      <c r="B5" s="91">
        <v>31.770833333333332</v>
      </c>
    </row>
    <row r="6" spans="1:2" x14ac:dyDescent="0.3">
      <c r="A6" s="1" t="s">
        <v>153</v>
      </c>
      <c r="B6" s="91">
        <v>23.153846153846153</v>
      </c>
    </row>
    <row r="7" spans="1:2" x14ac:dyDescent="0.3">
      <c r="A7" s="1" t="s">
        <v>182</v>
      </c>
      <c r="B7" s="91">
        <v>21.48</v>
      </c>
    </row>
    <row r="8" spans="1:2" x14ac:dyDescent="0.3">
      <c r="A8" s="1" t="s">
        <v>134</v>
      </c>
      <c r="B8" s="91">
        <v>19.542857142857144</v>
      </c>
    </row>
    <row r="9" spans="1:2" x14ac:dyDescent="0.3">
      <c r="A9" s="1" t="s">
        <v>308</v>
      </c>
      <c r="B9" s="91">
        <v>32.660944206008587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E9870-58D4-4215-BA05-9061D824573D}">
  <dimension ref="A3:C233"/>
  <sheetViews>
    <sheetView topLeftCell="A3" workbookViewId="0">
      <selection activeCell="R3" sqref="R3"/>
    </sheetView>
  </sheetViews>
  <sheetFormatPr baseColWidth="10" defaultRowHeight="14.4" x14ac:dyDescent="0.3"/>
  <cols>
    <col min="1" max="1" width="18.33203125" bestFit="1" customWidth="1"/>
    <col min="2" max="2" width="16.44140625" bestFit="1" customWidth="1"/>
    <col min="3" max="3" width="17.109375" bestFit="1" customWidth="1"/>
    <col min="4" max="13" width="5" bestFit="1" customWidth="1"/>
    <col min="14" max="14" width="11.88671875" bestFit="1" customWidth="1"/>
    <col min="15" max="19" width="5" bestFit="1" customWidth="1"/>
    <col min="20" max="20" width="7" bestFit="1" customWidth="1"/>
    <col min="21" max="23" width="5" bestFit="1" customWidth="1"/>
    <col min="24" max="24" width="4.6640625" bestFit="1" customWidth="1"/>
    <col min="25" max="25" width="11.88671875" bestFit="1" customWidth="1"/>
  </cols>
  <sheetData>
    <row r="3" spans="1:3" x14ac:dyDescent="0.3">
      <c r="A3" s="90" t="s">
        <v>307</v>
      </c>
      <c r="B3" t="s">
        <v>313</v>
      </c>
      <c r="C3" t="s">
        <v>333</v>
      </c>
    </row>
    <row r="4" spans="1:3" x14ac:dyDescent="0.3">
      <c r="A4" s="1" t="s">
        <v>77</v>
      </c>
      <c r="B4" s="91">
        <v>5838</v>
      </c>
      <c r="C4" s="95"/>
    </row>
    <row r="5" spans="1:3" x14ac:dyDescent="0.3">
      <c r="A5" s="93" t="s">
        <v>310</v>
      </c>
      <c r="B5" s="91"/>
      <c r="C5" s="95"/>
    </row>
    <row r="6" spans="1:3" x14ac:dyDescent="0.3">
      <c r="A6" s="94" t="s">
        <v>319</v>
      </c>
      <c r="B6" s="91">
        <v>82</v>
      </c>
      <c r="C6" s="95"/>
    </row>
    <row r="7" spans="1:3" x14ac:dyDescent="0.3">
      <c r="A7" s="94" t="s">
        <v>320</v>
      </c>
      <c r="B7" s="91">
        <v>129</v>
      </c>
      <c r="C7" s="95">
        <v>0.57317073170731703</v>
      </c>
    </row>
    <row r="8" spans="1:3" x14ac:dyDescent="0.3">
      <c r="A8" s="94" t="s">
        <v>321</v>
      </c>
      <c r="B8" s="91">
        <v>210</v>
      </c>
      <c r="C8" s="95">
        <v>0.62790697674418605</v>
      </c>
    </row>
    <row r="9" spans="1:3" x14ac:dyDescent="0.3">
      <c r="A9" s="94" t="s">
        <v>322</v>
      </c>
      <c r="B9" s="91">
        <v>267</v>
      </c>
      <c r="C9" s="95">
        <v>0.27142857142857141</v>
      </c>
    </row>
    <row r="10" spans="1:3" x14ac:dyDescent="0.3">
      <c r="A10" s="94" t="s">
        <v>323</v>
      </c>
      <c r="B10" s="91">
        <v>197</v>
      </c>
      <c r="C10" s="95">
        <v>-0.26217228464419473</v>
      </c>
    </row>
    <row r="11" spans="1:3" x14ac:dyDescent="0.3">
      <c r="A11" s="93" t="s">
        <v>311</v>
      </c>
      <c r="B11" s="91"/>
      <c r="C11" s="95"/>
    </row>
    <row r="12" spans="1:3" x14ac:dyDescent="0.3">
      <c r="A12" s="94" t="s">
        <v>324</v>
      </c>
      <c r="B12" s="91">
        <v>430</v>
      </c>
      <c r="C12" s="95"/>
    </row>
    <row r="13" spans="1:3" x14ac:dyDescent="0.3">
      <c r="A13" s="94" t="s">
        <v>326</v>
      </c>
      <c r="B13" s="91">
        <v>187</v>
      </c>
      <c r="C13" s="95">
        <v>-0.56511627906976747</v>
      </c>
    </row>
    <row r="14" spans="1:3" x14ac:dyDescent="0.3">
      <c r="A14" s="94" t="s">
        <v>327</v>
      </c>
      <c r="B14" s="91">
        <v>57</v>
      </c>
      <c r="C14" s="95">
        <v>-0.69518716577540107</v>
      </c>
    </row>
    <row r="15" spans="1:3" x14ac:dyDescent="0.3">
      <c r="A15" s="94" t="s">
        <v>328</v>
      </c>
      <c r="B15" s="91">
        <v>495</v>
      </c>
      <c r="C15" s="95">
        <v>7.6842105263157894</v>
      </c>
    </row>
    <row r="16" spans="1:3" x14ac:dyDescent="0.3">
      <c r="A16" s="94" t="s">
        <v>329</v>
      </c>
      <c r="B16" s="91">
        <v>316</v>
      </c>
      <c r="C16" s="95">
        <v>-0.36161616161616161</v>
      </c>
    </row>
    <row r="17" spans="1:3" x14ac:dyDescent="0.3">
      <c r="A17" s="94" t="s">
        <v>318</v>
      </c>
      <c r="B17" s="91">
        <v>399</v>
      </c>
      <c r="C17" s="95">
        <v>0.26265822784810128</v>
      </c>
    </row>
    <row r="18" spans="1:3" x14ac:dyDescent="0.3">
      <c r="A18" s="94" t="s">
        <v>319</v>
      </c>
      <c r="B18" s="91">
        <v>15</v>
      </c>
      <c r="C18" s="95">
        <v>-0.96240601503759393</v>
      </c>
    </row>
    <row r="19" spans="1:3" x14ac:dyDescent="0.3">
      <c r="A19" s="94" t="s">
        <v>320</v>
      </c>
      <c r="B19" s="91">
        <v>279</v>
      </c>
      <c r="C19" s="95">
        <v>17.600000000000001</v>
      </c>
    </row>
    <row r="20" spans="1:3" x14ac:dyDescent="0.3">
      <c r="A20" s="94" t="s">
        <v>321</v>
      </c>
      <c r="B20" s="91">
        <v>316</v>
      </c>
      <c r="C20" s="95">
        <v>0.13261648745519714</v>
      </c>
    </row>
    <row r="21" spans="1:3" x14ac:dyDescent="0.3">
      <c r="A21" s="94" t="s">
        <v>322</v>
      </c>
      <c r="B21" s="91">
        <v>95</v>
      </c>
      <c r="C21" s="95">
        <v>-0.69936708860759489</v>
      </c>
    </row>
    <row r="22" spans="1:3" x14ac:dyDescent="0.3">
      <c r="A22" s="94" t="s">
        <v>323</v>
      </c>
      <c r="B22" s="91">
        <v>183</v>
      </c>
      <c r="C22" s="95">
        <v>0.9263157894736842</v>
      </c>
    </row>
    <row r="23" spans="1:3" x14ac:dyDescent="0.3">
      <c r="A23" s="93" t="s">
        <v>312</v>
      </c>
      <c r="B23" s="91"/>
      <c r="C23" s="95"/>
    </row>
    <row r="24" spans="1:3" x14ac:dyDescent="0.3">
      <c r="A24" s="94" t="s">
        <v>324</v>
      </c>
      <c r="B24" s="91">
        <v>265</v>
      </c>
      <c r="C24" s="95"/>
    </row>
    <row r="25" spans="1:3" x14ac:dyDescent="0.3">
      <c r="A25" s="94" t="s">
        <v>325</v>
      </c>
      <c r="B25" s="91">
        <v>159</v>
      </c>
      <c r="C25" s="95">
        <v>-0.4</v>
      </c>
    </row>
    <row r="26" spans="1:3" x14ac:dyDescent="0.3">
      <c r="A26" s="94" t="s">
        <v>326</v>
      </c>
      <c r="B26" s="91">
        <v>376</v>
      </c>
      <c r="C26" s="95">
        <v>1.3647798742138364</v>
      </c>
    </row>
    <row r="27" spans="1:3" x14ac:dyDescent="0.3">
      <c r="A27" s="94" t="s">
        <v>327</v>
      </c>
      <c r="B27" s="91">
        <v>1348</v>
      </c>
      <c r="C27" s="95">
        <v>2.5851063829787235</v>
      </c>
    </row>
    <row r="28" spans="1:3" x14ac:dyDescent="0.3">
      <c r="A28" s="94" t="s">
        <v>328</v>
      </c>
      <c r="B28" s="91">
        <v>33</v>
      </c>
      <c r="C28" s="95">
        <v>-0.97551928783382791</v>
      </c>
    </row>
    <row r="29" spans="1:3" x14ac:dyDescent="0.3">
      <c r="A29" s="1" t="s">
        <v>78</v>
      </c>
      <c r="B29" s="91">
        <v>2642</v>
      </c>
      <c r="C29" s="95"/>
    </row>
    <row r="30" spans="1:3" x14ac:dyDescent="0.3">
      <c r="A30" s="93" t="s">
        <v>310</v>
      </c>
      <c r="B30" s="91"/>
      <c r="C30" s="95"/>
    </row>
    <row r="31" spans="1:3" x14ac:dyDescent="0.3">
      <c r="A31" s="94" t="s">
        <v>318</v>
      </c>
      <c r="B31" s="91">
        <v>294</v>
      </c>
      <c r="C31" s="95"/>
    </row>
    <row r="32" spans="1:3" x14ac:dyDescent="0.3">
      <c r="A32" s="94" t="s">
        <v>321</v>
      </c>
      <c r="B32" s="91">
        <v>256</v>
      </c>
      <c r="C32" s="95">
        <v>-0.12925170068027211</v>
      </c>
    </row>
    <row r="33" spans="1:3" x14ac:dyDescent="0.3">
      <c r="A33" s="94" t="s">
        <v>323</v>
      </c>
      <c r="B33" s="91">
        <v>25</v>
      </c>
      <c r="C33" s="95">
        <v>-0.90234375</v>
      </c>
    </row>
    <row r="34" spans="1:3" x14ac:dyDescent="0.3">
      <c r="A34" s="93" t="s">
        <v>311</v>
      </c>
      <c r="B34" s="91"/>
      <c r="C34" s="95"/>
    </row>
    <row r="35" spans="1:3" x14ac:dyDescent="0.3">
      <c r="A35" s="94" t="s">
        <v>324</v>
      </c>
      <c r="B35" s="91">
        <v>74</v>
      </c>
      <c r="C35" s="95"/>
    </row>
    <row r="36" spans="1:3" x14ac:dyDescent="0.3">
      <c r="A36" s="94" t="s">
        <v>327</v>
      </c>
      <c r="B36" s="91">
        <v>157</v>
      </c>
      <c r="C36" s="95">
        <v>1.1216216216216217</v>
      </c>
    </row>
    <row r="37" spans="1:3" x14ac:dyDescent="0.3">
      <c r="A37" s="94" t="s">
        <v>328</v>
      </c>
      <c r="B37" s="91">
        <v>40</v>
      </c>
      <c r="C37" s="95">
        <v>-0.74522292993630568</v>
      </c>
    </row>
    <row r="38" spans="1:3" x14ac:dyDescent="0.3">
      <c r="A38" s="94" t="s">
        <v>329</v>
      </c>
      <c r="B38" s="91">
        <v>161</v>
      </c>
      <c r="C38" s="95">
        <v>3.0249999999999999</v>
      </c>
    </row>
    <row r="39" spans="1:3" x14ac:dyDescent="0.3">
      <c r="A39" s="94" t="s">
        <v>318</v>
      </c>
      <c r="B39" s="91">
        <v>4</v>
      </c>
      <c r="C39" s="95">
        <v>-0.97515527950310554</v>
      </c>
    </row>
    <row r="40" spans="1:3" x14ac:dyDescent="0.3">
      <c r="A40" s="94" t="s">
        <v>320</v>
      </c>
      <c r="B40" s="91">
        <v>125</v>
      </c>
      <c r="C40" s="95">
        <v>30.25</v>
      </c>
    </row>
    <row r="41" spans="1:3" x14ac:dyDescent="0.3">
      <c r="A41" s="94" t="s">
        <v>321</v>
      </c>
      <c r="B41" s="91">
        <v>66</v>
      </c>
      <c r="C41" s="95">
        <v>-0.47199999999999998</v>
      </c>
    </row>
    <row r="42" spans="1:3" x14ac:dyDescent="0.3">
      <c r="A42" s="94" t="s">
        <v>322</v>
      </c>
      <c r="B42" s="91">
        <v>246</v>
      </c>
      <c r="C42" s="95">
        <v>2.7272727272727271</v>
      </c>
    </row>
    <row r="43" spans="1:3" x14ac:dyDescent="0.3">
      <c r="A43" s="94" t="s">
        <v>323</v>
      </c>
      <c r="B43" s="91">
        <v>1</v>
      </c>
      <c r="C43" s="95">
        <v>-0.99593495934959353</v>
      </c>
    </row>
    <row r="44" spans="1:3" x14ac:dyDescent="0.3">
      <c r="A44" s="93" t="s">
        <v>312</v>
      </c>
      <c r="B44" s="91"/>
      <c r="C44" s="95"/>
    </row>
    <row r="45" spans="1:3" x14ac:dyDescent="0.3">
      <c r="A45" s="94" t="s">
        <v>324</v>
      </c>
      <c r="B45" s="91">
        <v>301</v>
      </c>
      <c r="C45" s="95"/>
    </row>
    <row r="46" spans="1:3" x14ac:dyDescent="0.3">
      <c r="A46" s="94" t="s">
        <v>325</v>
      </c>
      <c r="B46" s="91">
        <v>294</v>
      </c>
      <c r="C46" s="95">
        <v>-2.3255813953488372E-2</v>
      </c>
    </row>
    <row r="47" spans="1:3" x14ac:dyDescent="0.3">
      <c r="A47" s="94" t="s">
        <v>326</v>
      </c>
      <c r="B47" s="91">
        <v>150</v>
      </c>
      <c r="C47" s="95">
        <v>-0.48979591836734693</v>
      </c>
    </row>
    <row r="48" spans="1:3" x14ac:dyDescent="0.3">
      <c r="A48" s="94" t="s">
        <v>327</v>
      </c>
      <c r="B48" s="91">
        <v>383</v>
      </c>
      <c r="C48" s="95">
        <v>1.5533333333333332</v>
      </c>
    </row>
    <row r="49" spans="1:3" x14ac:dyDescent="0.3">
      <c r="A49" s="94" t="s">
        <v>328</v>
      </c>
      <c r="B49" s="91">
        <v>65</v>
      </c>
      <c r="C49" s="95">
        <v>-0.83028720626631858</v>
      </c>
    </row>
    <row r="50" spans="1:3" x14ac:dyDescent="0.3">
      <c r="A50" s="1" t="s">
        <v>79</v>
      </c>
      <c r="B50" s="91">
        <v>7852</v>
      </c>
      <c r="C50" s="95"/>
    </row>
    <row r="51" spans="1:3" x14ac:dyDescent="0.3">
      <c r="A51" s="93" t="s">
        <v>310</v>
      </c>
      <c r="B51" s="91"/>
      <c r="C51" s="95"/>
    </row>
    <row r="52" spans="1:3" x14ac:dyDescent="0.3">
      <c r="A52" s="94" t="s">
        <v>318</v>
      </c>
      <c r="B52" s="91">
        <v>182</v>
      </c>
      <c r="C52" s="95"/>
    </row>
    <row r="53" spans="1:3" x14ac:dyDescent="0.3">
      <c r="A53" s="94" t="s">
        <v>319</v>
      </c>
      <c r="B53" s="91">
        <v>228</v>
      </c>
      <c r="C53" s="95">
        <v>0.25274725274725274</v>
      </c>
    </row>
    <row r="54" spans="1:3" x14ac:dyDescent="0.3">
      <c r="A54" s="94" t="s">
        <v>321</v>
      </c>
      <c r="B54" s="91">
        <v>226</v>
      </c>
      <c r="C54" s="95">
        <v>-8.771929824561403E-3</v>
      </c>
    </row>
    <row r="55" spans="1:3" x14ac:dyDescent="0.3">
      <c r="A55" s="94" t="s">
        <v>322</v>
      </c>
      <c r="B55" s="91">
        <v>180</v>
      </c>
      <c r="C55" s="95">
        <v>-0.20353982300884957</v>
      </c>
    </row>
    <row r="56" spans="1:3" x14ac:dyDescent="0.3">
      <c r="A56" s="94" t="s">
        <v>323</v>
      </c>
      <c r="B56" s="91">
        <v>124</v>
      </c>
      <c r="C56" s="95">
        <v>-0.31111111111111112</v>
      </c>
    </row>
    <row r="57" spans="1:3" x14ac:dyDescent="0.3">
      <c r="A57" s="93" t="s">
        <v>311</v>
      </c>
      <c r="B57" s="91"/>
      <c r="C57" s="95"/>
    </row>
    <row r="58" spans="1:3" x14ac:dyDescent="0.3">
      <c r="A58" s="94" t="s">
        <v>324</v>
      </c>
      <c r="B58" s="91">
        <v>239</v>
      </c>
      <c r="C58" s="95"/>
    </row>
    <row r="59" spans="1:3" x14ac:dyDescent="0.3">
      <c r="A59" s="94" t="s">
        <v>325</v>
      </c>
      <c r="B59" s="91">
        <v>621</v>
      </c>
      <c r="C59" s="95">
        <v>1.598326359832636</v>
      </c>
    </row>
    <row r="60" spans="1:3" x14ac:dyDescent="0.3">
      <c r="A60" s="94" t="s">
        <v>326</v>
      </c>
      <c r="B60" s="91">
        <v>249</v>
      </c>
      <c r="C60" s="95">
        <v>-0.59903381642512077</v>
      </c>
    </row>
    <row r="61" spans="1:3" x14ac:dyDescent="0.3">
      <c r="A61" s="94" t="s">
        <v>327</v>
      </c>
      <c r="B61" s="91">
        <v>161</v>
      </c>
      <c r="C61" s="95">
        <v>-0.3534136546184739</v>
      </c>
    </row>
    <row r="62" spans="1:3" x14ac:dyDescent="0.3">
      <c r="A62" s="94" t="s">
        <v>328</v>
      </c>
      <c r="B62" s="91">
        <v>368</v>
      </c>
      <c r="C62" s="95">
        <v>1.2857142857142858</v>
      </c>
    </row>
    <row r="63" spans="1:3" x14ac:dyDescent="0.3">
      <c r="A63" s="94" t="s">
        <v>329</v>
      </c>
      <c r="B63" s="91">
        <v>586</v>
      </c>
      <c r="C63" s="95">
        <v>0.59239130434782605</v>
      </c>
    </row>
    <row r="64" spans="1:3" x14ac:dyDescent="0.3">
      <c r="A64" s="94" t="s">
        <v>318</v>
      </c>
      <c r="B64" s="91">
        <v>157</v>
      </c>
      <c r="C64" s="95">
        <v>-0.73208191126279865</v>
      </c>
    </row>
    <row r="65" spans="1:3" x14ac:dyDescent="0.3">
      <c r="A65" s="94" t="s">
        <v>319</v>
      </c>
      <c r="B65" s="91">
        <v>100</v>
      </c>
      <c r="C65" s="95">
        <v>-0.36305732484076431</v>
      </c>
    </row>
    <row r="66" spans="1:3" x14ac:dyDescent="0.3">
      <c r="A66" s="94" t="s">
        <v>320</v>
      </c>
      <c r="B66" s="91">
        <v>316</v>
      </c>
      <c r="C66" s="95">
        <v>2.16</v>
      </c>
    </row>
    <row r="67" spans="1:3" x14ac:dyDescent="0.3">
      <c r="A67" s="94" t="s">
        <v>321</v>
      </c>
      <c r="B67" s="91">
        <v>464</v>
      </c>
      <c r="C67" s="95">
        <v>0.46835443037974683</v>
      </c>
    </row>
    <row r="68" spans="1:3" x14ac:dyDescent="0.3">
      <c r="A68" s="94" t="s">
        <v>322</v>
      </c>
      <c r="B68" s="91">
        <v>285</v>
      </c>
      <c r="C68" s="95">
        <v>-0.38577586206896552</v>
      </c>
    </row>
    <row r="69" spans="1:3" x14ac:dyDescent="0.3">
      <c r="A69" s="94" t="s">
        <v>323</v>
      </c>
      <c r="B69" s="91">
        <v>701</v>
      </c>
      <c r="C69" s="95">
        <v>1.4596491228070176</v>
      </c>
    </row>
    <row r="70" spans="1:3" x14ac:dyDescent="0.3">
      <c r="A70" s="93" t="s">
        <v>312</v>
      </c>
      <c r="B70" s="91"/>
      <c r="C70" s="95"/>
    </row>
    <row r="71" spans="1:3" x14ac:dyDescent="0.3">
      <c r="A71" s="94" t="s">
        <v>324</v>
      </c>
      <c r="B71" s="91">
        <v>603</v>
      </c>
      <c r="C71" s="95"/>
    </row>
    <row r="72" spans="1:3" x14ac:dyDescent="0.3">
      <c r="A72" s="94" t="s">
        <v>325</v>
      </c>
      <c r="B72" s="91">
        <v>875</v>
      </c>
      <c r="C72" s="95">
        <v>0.45107794361525705</v>
      </c>
    </row>
    <row r="73" spans="1:3" x14ac:dyDescent="0.3">
      <c r="A73" s="94" t="s">
        <v>326</v>
      </c>
      <c r="B73" s="91">
        <v>496</v>
      </c>
      <c r="C73" s="95">
        <v>-0.43314285714285716</v>
      </c>
    </row>
    <row r="74" spans="1:3" x14ac:dyDescent="0.3">
      <c r="A74" s="94" t="s">
        <v>327</v>
      </c>
      <c r="B74" s="91">
        <v>534</v>
      </c>
      <c r="C74" s="95">
        <v>7.6612903225806453E-2</v>
      </c>
    </row>
    <row r="75" spans="1:3" x14ac:dyDescent="0.3">
      <c r="A75" s="94" t="s">
        <v>328</v>
      </c>
      <c r="B75" s="91">
        <v>157</v>
      </c>
      <c r="C75" s="95">
        <v>-0.70599250936329583</v>
      </c>
    </row>
    <row r="76" spans="1:3" x14ac:dyDescent="0.3">
      <c r="A76" s="1" t="s">
        <v>80</v>
      </c>
      <c r="B76" s="91">
        <v>5745</v>
      </c>
      <c r="C76" s="95"/>
    </row>
    <row r="77" spans="1:3" x14ac:dyDescent="0.3">
      <c r="A77" s="93" t="s">
        <v>310</v>
      </c>
      <c r="B77" s="91"/>
      <c r="C77" s="95"/>
    </row>
    <row r="78" spans="1:3" x14ac:dyDescent="0.3">
      <c r="A78" s="94" t="s">
        <v>318</v>
      </c>
      <c r="B78" s="91">
        <v>29</v>
      </c>
      <c r="C78" s="95"/>
    </row>
    <row r="79" spans="1:3" x14ac:dyDescent="0.3">
      <c r="A79" s="94" t="s">
        <v>319</v>
      </c>
      <c r="B79" s="91">
        <v>333</v>
      </c>
      <c r="C79" s="95">
        <v>10.482758620689655</v>
      </c>
    </row>
    <row r="80" spans="1:3" x14ac:dyDescent="0.3">
      <c r="A80" s="94" t="s">
        <v>320</v>
      </c>
      <c r="B80" s="91">
        <v>105</v>
      </c>
      <c r="C80" s="95">
        <v>-0.68468468468468469</v>
      </c>
    </row>
    <row r="81" spans="1:3" x14ac:dyDescent="0.3">
      <c r="A81" s="94" t="s">
        <v>321</v>
      </c>
      <c r="B81" s="91">
        <v>124</v>
      </c>
      <c r="C81" s="95">
        <v>0.18095238095238095</v>
      </c>
    </row>
    <row r="82" spans="1:3" x14ac:dyDescent="0.3">
      <c r="A82" s="94" t="s">
        <v>322</v>
      </c>
      <c r="B82" s="91">
        <v>16</v>
      </c>
      <c r="C82" s="95">
        <v>-0.87096774193548387</v>
      </c>
    </row>
    <row r="83" spans="1:3" x14ac:dyDescent="0.3">
      <c r="A83" s="94" t="s">
        <v>323</v>
      </c>
      <c r="B83" s="91">
        <v>103</v>
      </c>
      <c r="C83" s="95">
        <v>5.4375</v>
      </c>
    </row>
    <row r="84" spans="1:3" x14ac:dyDescent="0.3">
      <c r="A84" s="93" t="s">
        <v>311</v>
      </c>
      <c r="B84" s="91"/>
      <c r="C84" s="95"/>
    </row>
    <row r="85" spans="1:3" x14ac:dyDescent="0.3">
      <c r="A85" s="94" t="s">
        <v>324</v>
      </c>
      <c r="B85" s="91">
        <v>518</v>
      </c>
      <c r="C85" s="95"/>
    </row>
    <row r="86" spans="1:3" x14ac:dyDescent="0.3">
      <c r="A86" s="94" t="s">
        <v>325</v>
      </c>
      <c r="B86" s="91">
        <v>241</v>
      </c>
      <c r="C86" s="95">
        <v>-0.53474903474903479</v>
      </c>
    </row>
    <row r="87" spans="1:3" x14ac:dyDescent="0.3">
      <c r="A87" s="94" t="s">
        <v>326</v>
      </c>
      <c r="B87" s="91">
        <v>392</v>
      </c>
      <c r="C87" s="95">
        <v>0.62655601659751037</v>
      </c>
    </row>
    <row r="88" spans="1:3" x14ac:dyDescent="0.3">
      <c r="A88" s="94" t="s">
        <v>327</v>
      </c>
      <c r="B88" s="91">
        <v>121</v>
      </c>
      <c r="C88" s="95">
        <v>-0.69132653061224492</v>
      </c>
    </row>
    <row r="89" spans="1:3" x14ac:dyDescent="0.3">
      <c r="A89" s="94" t="s">
        <v>328</v>
      </c>
      <c r="B89" s="91">
        <v>247</v>
      </c>
      <c r="C89" s="95">
        <v>1.0413223140495869</v>
      </c>
    </row>
    <row r="90" spans="1:3" x14ac:dyDescent="0.3">
      <c r="A90" s="94" t="s">
        <v>329</v>
      </c>
      <c r="B90" s="91">
        <v>88</v>
      </c>
      <c r="C90" s="95">
        <v>-0.64372469635627527</v>
      </c>
    </row>
    <row r="91" spans="1:3" x14ac:dyDescent="0.3">
      <c r="A91" s="94" t="s">
        <v>318</v>
      </c>
      <c r="B91" s="91">
        <v>48</v>
      </c>
      <c r="C91" s="95">
        <v>-0.45454545454545453</v>
      </c>
    </row>
    <row r="92" spans="1:3" x14ac:dyDescent="0.3">
      <c r="A92" s="94" t="s">
        <v>319</v>
      </c>
      <c r="B92" s="91">
        <v>447</v>
      </c>
      <c r="C92" s="95">
        <v>8.3125</v>
      </c>
    </row>
    <row r="93" spans="1:3" x14ac:dyDescent="0.3">
      <c r="A93" s="94" t="s">
        <v>320</v>
      </c>
      <c r="B93" s="91">
        <v>44</v>
      </c>
      <c r="C93" s="95">
        <v>-0.90156599552572703</v>
      </c>
    </row>
    <row r="94" spans="1:3" x14ac:dyDescent="0.3">
      <c r="A94" s="94" t="s">
        <v>321</v>
      </c>
      <c r="B94" s="91">
        <v>276</v>
      </c>
      <c r="C94" s="95">
        <v>5.2727272727272725</v>
      </c>
    </row>
    <row r="95" spans="1:3" x14ac:dyDescent="0.3">
      <c r="A95" s="94" t="s">
        <v>322</v>
      </c>
      <c r="B95" s="91">
        <v>365</v>
      </c>
      <c r="C95" s="95">
        <v>0.32246376811594202</v>
      </c>
    </row>
    <row r="96" spans="1:3" x14ac:dyDescent="0.3">
      <c r="A96" s="94" t="s">
        <v>323</v>
      </c>
      <c r="B96" s="91">
        <v>169</v>
      </c>
      <c r="C96" s="95">
        <v>-0.53698630136986303</v>
      </c>
    </row>
    <row r="97" spans="1:3" x14ac:dyDescent="0.3">
      <c r="A97" s="93" t="s">
        <v>312</v>
      </c>
      <c r="B97" s="91"/>
      <c r="C97" s="95"/>
    </row>
    <row r="98" spans="1:3" x14ac:dyDescent="0.3">
      <c r="A98" s="94" t="s">
        <v>324</v>
      </c>
      <c r="B98" s="91">
        <v>535</v>
      </c>
      <c r="C98" s="95"/>
    </row>
    <row r="99" spans="1:3" x14ac:dyDescent="0.3">
      <c r="A99" s="94" t="s">
        <v>325</v>
      </c>
      <c r="B99" s="91">
        <v>121</v>
      </c>
      <c r="C99" s="95">
        <v>-0.77383177570093453</v>
      </c>
    </row>
    <row r="100" spans="1:3" x14ac:dyDescent="0.3">
      <c r="A100" s="94" t="s">
        <v>326</v>
      </c>
      <c r="B100" s="91">
        <v>666</v>
      </c>
      <c r="C100" s="95">
        <v>4.5041322314049586</v>
      </c>
    </row>
    <row r="101" spans="1:3" x14ac:dyDescent="0.3">
      <c r="A101" s="94" t="s">
        <v>327</v>
      </c>
      <c r="B101" s="91">
        <v>582</v>
      </c>
      <c r="C101" s="95">
        <v>-0.12612612612612611</v>
      </c>
    </row>
    <row r="102" spans="1:3" x14ac:dyDescent="0.3">
      <c r="A102" s="94" t="s">
        <v>328</v>
      </c>
      <c r="B102" s="91">
        <v>175</v>
      </c>
      <c r="C102" s="95">
        <v>-0.69931271477663226</v>
      </c>
    </row>
    <row r="103" spans="1:3" x14ac:dyDescent="0.3">
      <c r="A103" s="1" t="s">
        <v>81</v>
      </c>
      <c r="B103" s="91">
        <v>9491</v>
      </c>
      <c r="C103" s="95"/>
    </row>
    <row r="104" spans="1:3" x14ac:dyDescent="0.3">
      <c r="A104" s="93" t="s">
        <v>310</v>
      </c>
      <c r="B104" s="91"/>
      <c r="C104" s="95"/>
    </row>
    <row r="105" spans="1:3" x14ac:dyDescent="0.3">
      <c r="A105" s="94" t="s">
        <v>318</v>
      </c>
      <c r="B105" s="91">
        <v>364</v>
      </c>
      <c r="C105" s="95"/>
    </row>
    <row r="106" spans="1:3" x14ac:dyDescent="0.3">
      <c r="A106" s="94" t="s">
        <v>319</v>
      </c>
      <c r="B106" s="91">
        <v>215</v>
      </c>
      <c r="C106" s="95">
        <v>-0.40934065934065933</v>
      </c>
    </row>
    <row r="107" spans="1:3" x14ac:dyDescent="0.3">
      <c r="A107" s="94" t="s">
        <v>320</v>
      </c>
      <c r="B107" s="91">
        <v>123</v>
      </c>
      <c r="C107" s="95">
        <v>-0.42790697674418604</v>
      </c>
    </row>
    <row r="108" spans="1:3" x14ac:dyDescent="0.3">
      <c r="A108" s="94" t="s">
        <v>321</v>
      </c>
      <c r="B108" s="91">
        <v>508</v>
      </c>
      <c r="C108" s="95">
        <v>3.1300813008130079</v>
      </c>
    </row>
    <row r="109" spans="1:3" x14ac:dyDescent="0.3">
      <c r="A109" s="94" t="s">
        <v>322</v>
      </c>
      <c r="B109" s="91">
        <v>444</v>
      </c>
      <c r="C109" s="95">
        <v>-0.12598425196850394</v>
      </c>
    </row>
    <row r="110" spans="1:3" x14ac:dyDescent="0.3">
      <c r="A110" s="94" t="s">
        <v>323</v>
      </c>
      <c r="B110" s="91">
        <v>558</v>
      </c>
      <c r="C110" s="95">
        <v>0.25675675675675674</v>
      </c>
    </row>
    <row r="111" spans="1:3" x14ac:dyDescent="0.3">
      <c r="A111" s="93" t="s">
        <v>311</v>
      </c>
      <c r="B111" s="91"/>
      <c r="C111" s="95"/>
    </row>
    <row r="112" spans="1:3" x14ac:dyDescent="0.3">
      <c r="A112" s="94" t="s">
        <v>324</v>
      </c>
      <c r="B112" s="91">
        <v>440</v>
      </c>
      <c r="C112" s="95"/>
    </row>
    <row r="113" spans="1:3" x14ac:dyDescent="0.3">
      <c r="A113" s="94" t="s">
        <v>325</v>
      </c>
      <c r="B113" s="91">
        <v>697</v>
      </c>
      <c r="C113" s="95">
        <v>0.58409090909090911</v>
      </c>
    </row>
    <row r="114" spans="1:3" x14ac:dyDescent="0.3">
      <c r="A114" s="94" t="s">
        <v>326</v>
      </c>
      <c r="B114" s="91">
        <v>617</v>
      </c>
      <c r="C114" s="95">
        <v>-0.11477761836441894</v>
      </c>
    </row>
    <row r="115" spans="1:3" x14ac:dyDescent="0.3">
      <c r="A115" s="94" t="s">
        <v>327</v>
      </c>
      <c r="B115" s="91">
        <v>282</v>
      </c>
      <c r="C115" s="95">
        <v>-0.5429497568881686</v>
      </c>
    </row>
    <row r="116" spans="1:3" x14ac:dyDescent="0.3">
      <c r="A116" s="94" t="s">
        <v>328</v>
      </c>
      <c r="B116" s="91">
        <v>280</v>
      </c>
      <c r="C116" s="95">
        <v>-7.0921985815602835E-3</v>
      </c>
    </row>
    <row r="117" spans="1:3" x14ac:dyDescent="0.3">
      <c r="A117" s="94" t="s">
        <v>329</v>
      </c>
      <c r="B117" s="91">
        <v>259</v>
      </c>
      <c r="C117" s="95">
        <v>-7.4999999999999997E-2</v>
      </c>
    </row>
    <row r="118" spans="1:3" x14ac:dyDescent="0.3">
      <c r="A118" s="94" t="s">
        <v>318</v>
      </c>
      <c r="B118" s="91">
        <v>294</v>
      </c>
      <c r="C118" s="95">
        <v>0.13513513513513514</v>
      </c>
    </row>
    <row r="119" spans="1:3" x14ac:dyDescent="0.3">
      <c r="A119" s="94" t="s">
        <v>319</v>
      </c>
      <c r="B119" s="91">
        <v>552</v>
      </c>
      <c r="C119" s="95">
        <v>0.87755102040816324</v>
      </c>
    </row>
    <row r="120" spans="1:3" x14ac:dyDescent="0.3">
      <c r="A120" s="94" t="s">
        <v>320</v>
      </c>
      <c r="B120" s="91">
        <v>559</v>
      </c>
      <c r="C120" s="95">
        <v>1.2681159420289856E-2</v>
      </c>
    </row>
    <row r="121" spans="1:3" x14ac:dyDescent="0.3">
      <c r="A121" s="94" t="s">
        <v>321</v>
      </c>
      <c r="B121" s="91">
        <v>391</v>
      </c>
      <c r="C121" s="95">
        <v>-0.30053667262969591</v>
      </c>
    </row>
    <row r="122" spans="1:3" x14ac:dyDescent="0.3">
      <c r="A122" s="94" t="s">
        <v>322</v>
      </c>
      <c r="B122" s="91">
        <v>278</v>
      </c>
      <c r="C122" s="95">
        <v>-0.28900255754475701</v>
      </c>
    </row>
    <row r="123" spans="1:3" x14ac:dyDescent="0.3">
      <c r="A123" s="94" t="s">
        <v>323</v>
      </c>
      <c r="B123" s="91">
        <v>449</v>
      </c>
      <c r="C123" s="95">
        <v>0.6151079136690647</v>
      </c>
    </row>
    <row r="124" spans="1:3" x14ac:dyDescent="0.3">
      <c r="A124" s="93" t="s">
        <v>312</v>
      </c>
      <c r="B124" s="91"/>
      <c r="C124" s="95"/>
    </row>
    <row r="125" spans="1:3" x14ac:dyDescent="0.3">
      <c r="A125" s="94" t="s">
        <v>324</v>
      </c>
      <c r="B125" s="91">
        <v>267</v>
      </c>
      <c r="C125" s="95"/>
    </row>
    <row r="126" spans="1:3" x14ac:dyDescent="0.3">
      <c r="A126" s="94" t="s">
        <v>325</v>
      </c>
      <c r="B126" s="91">
        <v>848</v>
      </c>
      <c r="C126" s="95">
        <v>2.1760299625468167</v>
      </c>
    </row>
    <row r="127" spans="1:3" x14ac:dyDescent="0.3">
      <c r="A127" s="94" t="s">
        <v>326</v>
      </c>
      <c r="B127" s="91">
        <v>579</v>
      </c>
      <c r="C127" s="95">
        <v>-0.31721698113207547</v>
      </c>
    </row>
    <row r="128" spans="1:3" x14ac:dyDescent="0.3">
      <c r="A128" s="94" t="s">
        <v>327</v>
      </c>
      <c r="B128" s="91">
        <v>475</v>
      </c>
      <c r="C128" s="95">
        <v>-0.17962003454231434</v>
      </c>
    </row>
    <row r="129" spans="1:3" x14ac:dyDescent="0.3">
      <c r="A129" s="94" t="s">
        <v>328</v>
      </c>
      <c r="B129" s="91">
        <v>12</v>
      </c>
      <c r="C129" s="95">
        <v>-0.97473684210526312</v>
      </c>
    </row>
    <row r="130" spans="1:3" x14ac:dyDescent="0.3">
      <c r="A130" s="1" t="s">
        <v>82</v>
      </c>
      <c r="B130" s="91">
        <v>3483</v>
      </c>
      <c r="C130" s="95"/>
    </row>
    <row r="131" spans="1:3" x14ac:dyDescent="0.3">
      <c r="A131" s="93" t="s">
        <v>310</v>
      </c>
      <c r="B131" s="91"/>
      <c r="C131" s="95"/>
    </row>
    <row r="132" spans="1:3" x14ac:dyDescent="0.3">
      <c r="A132" s="94" t="s">
        <v>318</v>
      </c>
      <c r="B132" s="91">
        <v>49</v>
      </c>
      <c r="C132" s="95"/>
    </row>
    <row r="133" spans="1:3" x14ac:dyDescent="0.3">
      <c r="A133" s="94" t="s">
        <v>319</v>
      </c>
      <c r="B133" s="91">
        <v>181</v>
      </c>
      <c r="C133" s="95">
        <v>2.693877551020408</v>
      </c>
    </row>
    <row r="134" spans="1:3" x14ac:dyDescent="0.3">
      <c r="A134" s="94" t="s">
        <v>320</v>
      </c>
      <c r="B134" s="91">
        <v>228</v>
      </c>
      <c r="C134" s="95">
        <v>0.25966850828729282</v>
      </c>
    </row>
    <row r="135" spans="1:3" x14ac:dyDescent="0.3">
      <c r="A135" s="94" t="s">
        <v>321</v>
      </c>
      <c r="B135" s="91">
        <v>20</v>
      </c>
      <c r="C135" s="95">
        <v>-0.91228070175438591</v>
      </c>
    </row>
    <row r="136" spans="1:3" x14ac:dyDescent="0.3">
      <c r="A136" s="94" t="s">
        <v>322</v>
      </c>
      <c r="B136" s="91">
        <v>112</v>
      </c>
      <c r="C136" s="95">
        <v>4.5999999999999996</v>
      </c>
    </row>
    <row r="137" spans="1:3" x14ac:dyDescent="0.3">
      <c r="A137" s="94" t="s">
        <v>323</v>
      </c>
      <c r="B137" s="91">
        <v>267</v>
      </c>
      <c r="C137" s="95">
        <v>1.3839285714285714</v>
      </c>
    </row>
    <row r="138" spans="1:3" x14ac:dyDescent="0.3">
      <c r="A138" s="93" t="s">
        <v>311</v>
      </c>
      <c r="B138" s="91"/>
      <c r="C138" s="95"/>
    </row>
    <row r="139" spans="1:3" x14ac:dyDescent="0.3">
      <c r="A139" s="94" t="s">
        <v>324</v>
      </c>
      <c r="B139" s="91">
        <v>106</v>
      </c>
      <c r="C139" s="95"/>
    </row>
    <row r="140" spans="1:3" x14ac:dyDescent="0.3">
      <c r="A140" s="94" t="s">
        <v>325</v>
      </c>
      <c r="B140" s="91">
        <v>181</v>
      </c>
      <c r="C140" s="95">
        <v>0.70754716981132071</v>
      </c>
    </row>
    <row r="141" spans="1:3" x14ac:dyDescent="0.3">
      <c r="A141" s="94" t="s">
        <v>326</v>
      </c>
      <c r="B141" s="91">
        <v>42</v>
      </c>
      <c r="C141" s="95">
        <v>-0.76795580110497241</v>
      </c>
    </row>
    <row r="142" spans="1:3" x14ac:dyDescent="0.3">
      <c r="A142" s="94" t="s">
        <v>327</v>
      </c>
      <c r="B142" s="91">
        <v>215</v>
      </c>
      <c r="C142" s="95">
        <v>4.1190476190476186</v>
      </c>
    </row>
    <row r="143" spans="1:3" x14ac:dyDescent="0.3">
      <c r="A143" s="94" t="s">
        <v>328</v>
      </c>
      <c r="B143" s="91">
        <v>130</v>
      </c>
      <c r="C143" s="95">
        <v>-0.39534883720930231</v>
      </c>
    </row>
    <row r="144" spans="1:3" x14ac:dyDescent="0.3">
      <c r="A144" s="94" t="s">
        <v>329</v>
      </c>
      <c r="B144" s="91">
        <v>173</v>
      </c>
      <c r="C144" s="95">
        <v>0.33076923076923076</v>
      </c>
    </row>
    <row r="145" spans="1:3" x14ac:dyDescent="0.3">
      <c r="A145" s="94" t="s">
        <v>318</v>
      </c>
      <c r="B145" s="91">
        <v>10</v>
      </c>
      <c r="C145" s="95">
        <v>-0.94219653179190754</v>
      </c>
    </row>
    <row r="146" spans="1:3" x14ac:dyDescent="0.3">
      <c r="A146" s="94" t="s">
        <v>319</v>
      </c>
      <c r="B146" s="91">
        <v>126</v>
      </c>
      <c r="C146" s="95">
        <v>11.6</v>
      </c>
    </row>
    <row r="147" spans="1:3" x14ac:dyDescent="0.3">
      <c r="A147" s="94" t="s">
        <v>320</v>
      </c>
      <c r="B147" s="91">
        <v>75</v>
      </c>
      <c r="C147" s="95">
        <v>-0.40476190476190477</v>
      </c>
    </row>
    <row r="148" spans="1:3" x14ac:dyDescent="0.3">
      <c r="A148" s="94" t="s">
        <v>321</v>
      </c>
      <c r="B148" s="91">
        <v>172</v>
      </c>
      <c r="C148" s="95">
        <v>1.2933333333333332</v>
      </c>
    </row>
    <row r="149" spans="1:3" x14ac:dyDescent="0.3">
      <c r="A149" s="94" t="s">
        <v>322</v>
      </c>
      <c r="B149" s="91">
        <v>231</v>
      </c>
      <c r="C149" s="95">
        <v>0.34302325581395349</v>
      </c>
    </row>
    <row r="150" spans="1:3" x14ac:dyDescent="0.3">
      <c r="A150" s="94" t="s">
        <v>323</v>
      </c>
      <c r="B150" s="91">
        <v>264</v>
      </c>
      <c r="C150" s="95">
        <v>0.14285714285714285</v>
      </c>
    </row>
    <row r="151" spans="1:3" x14ac:dyDescent="0.3">
      <c r="A151" s="93" t="s">
        <v>312</v>
      </c>
      <c r="B151" s="91"/>
      <c r="C151" s="95"/>
    </row>
    <row r="152" spans="1:3" x14ac:dyDescent="0.3">
      <c r="A152" s="94" t="s">
        <v>324</v>
      </c>
      <c r="B152" s="91">
        <v>166</v>
      </c>
      <c r="C152" s="95"/>
    </row>
    <row r="153" spans="1:3" x14ac:dyDescent="0.3">
      <c r="A153" s="94" t="s">
        <v>325</v>
      </c>
      <c r="B153" s="91">
        <v>154</v>
      </c>
      <c r="C153" s="95">
        <v>-7.2289156626506021E-2</v>
      </c>
    </row>
    <row r="154" spans="1:3" x14ac:dyDescent="0.3">
      <c r="A154" s="94" t="s">
        <v>326</v>
      </c>
      <c r="B154" s="91">
        <v>313</v>
      </c>
      <c r="C154" s="95">
        <v>1.0324675324675325</v>
      </c>
    </row>
    <row r="155" spans="1:3" x14ac:dyDescent="0.3">
      <c r="A155" s="94" t="s">
        <v>327</v>
      </c>
      <c r="B155" s="91">
        <v>268</v>
      </c>
      <c r="C155" s="95">
        <v>-0.14376996805111822</v>
      </c>
    </row>
    <row r="156" spans="1:3" x14ac:dyDescent="0.3">
      <c r="A156" s="1" t="s">
        <v>83</v>
      </c>
      <c r="B156" s="91">
        <v>7583</v>
      </c>
      <c r="C156" s="95"/>
    </row>
    <row r="157" spans="1:3" x14ac:dyDescent="0.3">
      <c r="A157" s="93" t="s">
        <v>310</v>
      </c>
      <c r="B157" s="91"/>
      <c r="C157" s="95"/>
    </row>
    <row r="158" spans="1:3" x14ac:dyDescent="0.3">
      <c r="A158" s="94" t="s">
        <v>318</v>
      </c>
      <c r="B158" s="91">
        <v>121</v>
      </c>
      <c r="C158" s="95"/>
    </row>
    <row r="159" spans="1:3" x14ac:dyDescent="0.3">
      <c r="A159" s="94" t="s">
        <v>319</v>
      </c>
      <c r="B159" s="91">
        <v>194</v>
      </c>
      <c r="C159" s="95">
        <v>0.60330578512396693</v>
      </c>
    </row>
    <row r="160" spans="1:3" x14ac:dyDescent="0.3">
      <c r="A160" s="94" t="s">
        <v>320</v>
      </c>
      <c r="B160" s="91">
        <v>133</v>
      </c>
      <c r="C160" s="95">
        <v>-0.31443298969072164</v>
      </c>
    </row>
    <row r="161" spans="1:3" x14ac:dyDescent="0.3">
      <c r="A161" s="94" t="s">
        <v>321</v>
      </c>
      <c r="B161" s="91">
        <v>246</v>
      </c>
      <c r="C161" s="95">
        <v>0.84962406015037595</v>
      </c>
    </row>
    <row r="162" spans="1:3" x14ac:dyDescent="0.3">
      <c r="A162" s="94" t="s">
        <v>322</v>
      </c>
      <c r="B162" s="91">
        <v>192</v>
      </c>
      <c r="C162" s="95">
        <v>-0.21951219512195122</v>
      </c>
    </row>
    <row r="163" spans="1:3" x14ac:dyDescent="0.3">
      <c r="A163" s="94" t="s">
        <v>323</v>
      </c>
      <c r="B163" s="91">
        <v>417</v>
      </c>
      <c r="C163" s="95">
        <v>1.171875</v>
      </c>
    </row>
    <row r="164" spans="1:3" x14ac:dyDescent="0.3">
      <c r="A164" s="93" t="s">
        <v>311</v>
      </c>
      <c r="B164" s="91"/>
      <c r="C164" s="95"/>
    </row>
    <row r="165" spans="1:3" x14ac:dyDescent="0.3">
      <c r="A165" s="94" t="s">
        <v>324</v>
      </c>
      <c r="B165" s="91">
        <v>621</v>
      </c>
      <c r="C165" s="95"/>
    </row>
    <row r="166" spans="1:3" x14ac:dyDescent="0.3">
      <c r="A166" s="94" t="s">
        <v>325</v>
      </c>
      <c r="B166" s="91">
        <v>40</v>
      </c>
      <c r="C166" s="95">
        <v>-0.93558776167471824</v>
      </c>
    </row>
    <row r="167" spans="1:3" x14ac:dyDescent="0.3">
      <c r="A167" s="94" t="s">
        <v>326</v>
      </c>
      <c r="B167" s="91">
        <v>347</v>
      </c>
      <c r="C167" s="95">
        <v>7.6749999999999998</v>
      </c>
    </row>
    <row r="168" spans="1:3" x14ac:dyDescent="0.3">
      <c r="A168" s="94" t="s">
        <v>327</v>
      </c>
      <c r="B168" s="91">
        <v>56</v>
      </c>
      <c r="C168" s="95">
        <v>-0.83861671469740628</v>
      </c>
    </row>
    <row r="169" spans="1:3" x14ac:dyDescent="0.3">
      <c r="A169" s="94" t="s">
        <v>328</v>
      </c>
      <c r="B169" s="91">
        <v>357</v>
      </c>
      <c r="C169" s="95">
        <v>5.375</v>
      </c>
    </row>
    <row r="170" spans="1:3" x14ac:dyDescent="0.3">
      <c r="A170" s="94" t="s">
        <v>329</v>
      </c>
      <c r="B170" s="91">
        <v>229</v>
      </c>
      <c r="C170" s="95">
        <v>-0.35854341736694678</v>
      </c>
    </row>
    <row r="171" spans="1:3" x14ac:dyDescent="0.3">
      <c r="A171" s="94" t="s">
        <v>318</v>
      </c>
      <c r="B171" s="91">
        <v>361</v>
      </c>
      <c r="C171" s="95">
        <v>0.57641921397379914</v>
      </c>
    </row>
    <row r="172" spans="1:3" x14ac:dyDescent="0.3">
      <c r="A172" s="94" t="s">
        <v>319</v>
      </c>
      <c r="B172" s="91">
        <v>526</v>
      </c>
      <c r="C172" s="95">
        <v>0.45706371191135736</v>
      </c>
    </row>
    <row r="173" spans="1:3" x14ac:dyDescent="0.3">
      <c r="A173" s="94" t="s">
        <v>320</v>
      </c>
      <c r="B173" s="91">
        <v>359</v>
      </c>
      <c r="C173" s="95">
        <v>-0.31749049429657794</v>
      </c>
    </row>
    <row r="174" spans="1:3" x14ac:dyDescent="0.3">
      <c r="A174" s="94" t="s">
        <v>321</v>
      </c>
      <c r="B174" s="91">
        <v>465</v>
      </c>
      <c r="C174" s="95">
        <v>0.29526462395543174</v>
      </c>
    </row>
    <row r="175" spans="1:3" x14ac:dyDescent="0.3">
      <c r="A175" s="94" t="s">
        <v>322</v>
      </c>
      <c r="B175" s="91">
        <v>250</v>
      </c>
      <c r="C175" s="95">
        <v>-0.46236559139784944</v>
      </c>
    </row>
    <row r="176" spans="1:3" x14ac:dyDescent="0.3">
      <c r="A176" s="94" t="s">
        <v>323</v>
      </c>
      <c r="B176" s="91">
        <v>426</v>
      </c>
      <c r="C176" s="95">
        <v>0.70399999999999996</v>
      </c>
    </row>
    <row r="177" spans="1:3" x14ac:dyDescent="0.3">
      <c r="A177" s="93" t="s">
        <v>312</v>
      </c>
      <c r="B177" s="91"/>
      <c r="C177" s="95"/>
    </row>
    <row r="178" spans="1:3" x14ac:dyDescent="0.3">
      <c r="A178" s="94" t="s">
        <v>324</v>
      </c>
      <c r="B178" s="91">
        <v>413</v>
      </c>
      <c r="C178" s="95"/>
    </row>
    <row r="179" spans="1:3" x14ac:dyDescent="0.3">
      <c r="A179" s="94" t="s">
        <v>325</v>
      </c>
      <c r="B179" s="91">
        <v>432</v>
      </c>
      <c r="C179" s="95">
        <v>4.6004842615012108E-2</v>
      </c>
    </row>
    <row r="180" spans="1:3" x14ac:dyDescent="0.3">
      <c r="A180" s="94" t="s">
        <v>326</v>
      </c>
      <c r="B180" s="91">
        <v>483</v>
      </c>
      <c r="C180" s="95">
        <v>0.11805555555555555</v>
      </c>
    </row>
    <row r="181" spans="1:3" x14ac:dyDescent="0.3">
      <c r="A181" s="94" t="s">
        <v>327</v>
      </c>
      <c r="B181" s="91">
        <v>713</v>
      </c>
      <c r="C181" s="95">
        <v>0.47619047619047616</v>
      </c>
    </row>
    <row r="182" spans="1:3" x14ac:dyDescent="0.3">
      <c r="A182" s="94" t="s">
        <v>328</v>
      </c>
      <c r="B182" s="91">
        <v>202</v>
      </c>
      <c r="C182" s="95">
        <v>-0.71669004207573628</v>
      </c>
    </row>
    <row r="183" spans="1:3" x14ac:dyDescent="0.3">
      <c r="A183" s="1" t="s">
        <v>84</v>
      </c>
      <c r="B183" s="91">
        <v>4449</v>
      </c>
      <c r="C183" s="95"/>
    </row>
    <row r="184" spans="1:3" x14ac:dyDescent="0.3">
      <c r="A184" s="93" t="s">
        <v>310</v>
      </c>
      <c r="B184" s="91"/>
      <c r="C184" s="95"/>
    </row>
    <row r="185" spans="1:3" x14ac:dyDescent="0.3">
      <c r="A185" s="94" t="s">
        <v>319</v>
      </c>
      <c r="B185" s="91">
        <v>39</v>
      </c>
      <c r="C185" s="95"/>
    </row>
    <row r="186" spans="1:3" x14ac:dyDescent="0.3">
      <c r="A186" s="94" t="s">
        <v>320</v>
      </c>
      <c r="B186" s="91">
        <v>91</v>
      </c>
      <c r="C186" s="95">
        <v>1.3333333333333333</v>
      </c>
    </row>
    <row r="187" spans="1:3" x14ac:dyDescent="0.3">
      <c r="A187" s="94" t="s">
        <v>321</v>
      </c>
      <c r="B187" s="91">
        <v>176</v>
      </c>
      <c r="C187" s="95">
        <v>0.93406593406593408</v>
      </c>
    </row>
    <row r="188" spans="1:3" x14ac:dyDescent="0.3">
      <c r="A188" s="94" t="s">
        <v>322</v>
      </c>
      <c r="B188" s="91">
        <v>103</v>
      </c>
      <c r="C188" s="95">
        <v>-0.41477272727272729</v>
      </c>
    </row>
    <row r="189" spans="1:3" x14ac:dyDescent="0.3">
      <c r="A189" s="94" t="s">
        <v>323</v>
      </c>
      <c r="B189" s="91">
        <v>76</v>
      </c>
      <c r="C189" s="95">
        <v>-0.26213592233009708</v>
      </c>
    </row>
    <row r="190" spans="1:3" x14ac:dyDescent="0.3">
      <c r="A190" s="93" t="s">
        <v>311</v>
      </c>
      <c r="B190" s="91"/>
      <c r="C190" s="95"/>
    </row>
    <row r="191" spans="1:3" x14ac:dyDescent="0.3">
      <c r="A191" s="94" t="s">
        <v>324</v>
      </c>
      <c r="B191" s="91">
        <v>228</v>
      </c>
      <c r="C191" s="95"/>
    </row>
    <row r="192" spans="1:3" x14ac:dyDescent="0.3">
      <c r="A192" s="94" t="s">
        <v>325</v>
      </c>
      <c r="B192" s="91">
        <v>20</v>
      </c>
      <c r="C192" s="95">
        <v>-0.91228070175438591</v>
      </c>
    </row>
    <row r="193" spans="1:3" x14ac:dyDescent="0.3">
      <c r="A193" s="94" t="s">
        <v>326</v>
      </c>
      <c r="B193" s="91">
        <v>145</v>
      </c>
      <c r="C193" s="95">
        <v>6.25</v>
      </c>
    </row>
    <row r="194" spans="1:3" x14ac:dyDescent="0.3">
      <c r="A194" s="94" t="s">
        <v>327</v>
      </c>
      <c r="B194" s="91">
        <v>447</v>
      </c>
      <c r="C194" s="95">
        <v>2.0827586206896553</v>
      </c>
    </row>
    <row r="195" spans="1:3" x14ac:dyDescent="0.3">
      <c r="A195" s="94" t="s">
        <v>328</v>
      </c>
      <c r="B195" s="91">
        <v>198</v>
      </c>
      <c r="C195" s="95">
        <v>-0.55704697986577179</v>
      </c>
    </row>
    <row r="196" spans="1:3" x14ac:dyDescent="0.3">
      <c r="A196" s="94" t="s">
        <v>329</v>
      </c>
      <c r="B196" s="91">
        <v>117</v>
      </c>
      <c r="C196" s="95">
        <v>-0.40909090909090912</v>
      </c>
    </row>
    <row r="197" spans="1:3" x14ac:dyDescent="0.3">
      <c r="A197" s="94" t="s">
        <v>318</v>
      </c>
      <c r="B197" s="91">
        <v>196</v>
      </c>
      <c r="C197" s="95">
        <v>0.67521367521367526</v>
      </c>
    </row>
    <row r="198" spans="1:3" x14ac:dyDescent="0.3">
      <c r="A198" s="94" t="s">
        <v>319</v>
      </c>
      <c r="B198" s="91">
        <v>217</v>
      </c>
      <c r="C198" s="95">
        <v>0.10714285714285714</v>
      </c>
    </row>
    <row r="199" spans="1:3" x14ac:dyDescent="0.3">
      <c r="A199" s="94" t="s">
        <v>320</v>
      </c>
      <c r="B199" s="91">
        <v>291</v>
      </c>
      <c r="C199" s="95">
        <v>0.34101382488479265</v>
      </c>
    </row>
    <row r="200" spans="1:3" x14ac:dyDescent="0.3">
      <c r="A200" s="94" t="s">
        <v>321</v>
      </c>
      <c r="B200" s="91">
        <v>314</v>
      </c>
      <c r="C200" s="95">
        <v>7.903780068728522E-2</v>
      </c>
    </row>
    <row r="201" spans="1:3" x14ac:dyDescent="0.3">
      <c r="A201" s="94" t="s">
        <v>322</v>
      </c>
      <c r="B201" s="91">
        <v>70</v>
      </c>
      <c r="C201" s="95">
        <v>-0.77707006369426757</v>
      </c>
    </row>
    <row r="202" spans="1:3" x14ac:dyDescent="0.3">
      <c r="A202" s="94" t="s">
        <v>323</v>
      </c>
      <c r="B202" s="91">
        <v>9</v>
      </c>
      <c r="C202" s="95">
        <v>-0.87142857142857144</v>
      </c>
    </row>
    <row r="203" spans="1:3" x14ac:dyDescent="0.3">
      <c r="A203" s="93" t="s">
        <v>312</v>
      </c>
      <c r="B203" s="91"/>
      <c r="C203" s="95"/>
    </row>
    <row r="204" spans="1:3" x14ac:dyDescent="0.3">
      <c r="A204" s="94" t="s">
        <v>324</v>
      </c>
      <c r="B204" s="91">
        <v>305</v>
      </c>
      <c r="C204" s="95"/>
    </row>
    <row r="205" spans="1:3" x14ac:dyDescent="0.3">
      <c r="A205" s="94" t="s">
        <v>325</v>
      </c>
      <c r="B205" s="91">
        <v>328</v>
      </c>
      <c r="C205" s="95">
        <v>7.5409836065573776E-2</v>
      </c>
    </row>
    <row r="206" spans="1:3" x14ac:dyDescent="0.3">
      <c r="A206" s="94" t="s">
        <v>326</v>
      </c>
      <c r="B206" s="91">
        <v>307</v>
      </c>
      <c r="C206" s="95">
        <v>-6.402439024390244E-2</v>
      </c>
    </row>
    <row r="207" spans="1:3" x14ac:dyDescent="0.3">
      <c r="A207" s="94" t="s">
        <v>327</v>
      </c>
      <c r="B207" s="91">
        <v>567</v>
      </c>
      <c r="C207" s="95">
        <v>0.84690553745928343</v>
      </c>
    </row>
    <row r="208" spans="1:3" x14ac:dyDescent="0.3">
      <c r="A208" s="94" t="s">
        <v>328</v>
      </c>
      <c r="B208" s="91">
        <v>205</v>
      </c>
      <c r="C208" s="95">
        <v>-0.63844797178130508</v>
      </c>
    </row>
    <row r="209" spans="1:3" x14ac:dyDescent="0.3">
      <c r="A209" s="1" t="s">
        <v>85</v>
      </c>
      <c r="B209" s="91">
        <v>3036</v>
      </c>
      <c r="C209" s="95"/>
    </row>
    <row r="210" spans="1:3" x14ac:dyDescent="0.3">
      <c r="A210" s="93" t="s">
        <v>310</v>
      </c>
      <c r="B210" s="91"/>
      <c r="C210" s="95"/>
    </row>
    <row r="211" spans="1:3" x14ac:dyDescent="0.3">
      <c r="A211" s="94" t="s">
        <v>318</v>
      </c>
      <c r="B211" s="91">
        <v>84</v>
      </c>
      <c r="C211" s="95"/>
    </row>
    <row r="212" spans="1:3" x14ac:dyDescent="0.3">
      <c r="A212" s="94" t="s">
        <v>319</v>
      </c>
      <c r="B212" s="91">
        <v>80</v>
      </c>
      <c r="C212" s="95">
        <v>-4.7619047619047616E-2</v>
      </c>
    </row>
    <row r="213" spans="1:3" x14ac:dyDescent="0.3">
      <c r="A213" s="94" t="s">
        <v>320</v>
      </c>
      <c r="B213" s="91">
        <v>80</v>
      </c>
      <c r="C213" s="95">
        <v>0</v>
      </c>
    </row>
    <row r="214" spans="1:3" x14ac:dyDescent="0.3">
      <c r="A214" s="94" t="s">
        <v>321</v>
      </c>
      <c r="B214" s="91">
        <v>90</v>
      </c>
      <c r="C214" s="95">
        <v>0.125</v>
      </c>
    </row>
    <row r="215" spans="1:3" x14ac:dyDescent="0.3">
      <c r="A215" s="94" t="s">
        <v>322</v>
      </c>
      <c r="B215" s="91">
        <v>246</v>
      </c>
      <c r="C215" s="95">
        <v>1.7333333333333334</v>
      </c>
    </row>
    <row r="216" spans="1:3" x14ac:dyDescent="0.3">
      <c r="A216" s="94" t="s">
        <v>323</v>
      </c>
      <c r="B216" s="91">
        <v>170</v>
      </c>
      <c r="C216" s="95">
        <v>-0.30894308943089432</v>
      </c>
    </row>
    <row r="217" spans="1:3" x14ac:dyDescent="0.3">
      <c r="A217" s="93" t="s">
        <v>311</v>
      </c>
      <c r="B217" s="91"/>
      <c r="C217" s="95"/>
    </row>
    <row r="218" spans="1:3" x14ac:dyDescent="0.3">
      <c r="A218" s="94" t="s">
        <v>324</v>
      </c>
      <c r="B218" s="91">
        <v>28</v>
      </c>
      <c r="C218" s="95"/>
    </row>
    <row r="219" spans="1:3" x14ac:dyDescent="0.3">
      <c r="A219" s="94" t="s">
        <v>326</v>
      </c>
      <c r="B219" s="91">
        <v>188</v>
      </c>
      <c r="C219" s="95">
        <v>5.7142857142857144</v>
      </c>
    </row>
    <row r="220" spans="1:3" x14ac:dyDescent="0.3">
      <c r="A220" s="94" t="s">
        <v>328</v>
      </c>
      <c r="B220" s="91">
        <v>247</v>
      </c>
      <c r="C220" s="95">
        <v>0.31382978723404253</v>
      </c>
    </row>
    <row r="221" spans="1:3" x14ac:dyDescent="0.3">
      <c r="A221" s="94" t="s">
        <v>329</v>
      </c>
      <c r="B221" s="91">
        <v>58</v>
      </c>
      <c r="C221" s="95">
        <v>-0.76518218623481782</v>
      </c>
    </row>
    <row r="222" spans="1:3" x14ac:dyDescent="0.3">
      <c r="A222" s="94" t="s">
        <v>318</v>
      </c>
      <c r="B222" s="91">
        <v>278</v>
      </c>
      <c r="C222" s="95">
        <v>3.7931034482758621</v>
      </c>
    </row>
    <row r="223" spans="1:3" x14ac:dyDescent="0.3">
      <c r="A223" s="94" t="s">
        <v>319</v>
      </c>
      <c r="B223" s="91">
        <v>35</v>
      </c>
      <c r="C223" s="95">
        <v>-0.87410071942446044</v>
      </c>
    </row>
    <row r="224" spans="1:3" x14ac:dyDescent="0.3">
      <c r="A224" s="94" t="s">
        <v>320</v>
      </c>
      <c r="B224" s="91">
        <v>223</v>
      </c>
      <c r="C224" s="95">
        <v>5.371428571428571</v>
      </c>
    </row>
    <row r="225" spans="1:3" x14ac:dyDescent="0.3">
      <c r="A225" s="94" t="s">
        <v>321</v>
      </c>
      <c r="B225" s="91">
        <v>361</v>
      </c>
      <c r="C225" s="95">
        <v>0.6188340807174888</v>
      </c>
    </row>
    <row r="226" spans="1:3" x14ac:dyDescent="0.3">
      <c r="A226" s="94" t="s">
        <v>322</v>
      </c>
      <c r="B226" s="91">
        <v>28</v>
      </c>
      <c r="C226" s="95">
        <v>-0.92243767313019387</v>
      </c>
    </row>
    <row r="227" spans="1:3" x14ac:dyDescent="0.3">
      <c r="A227" s="94" t="s">
        <v>323</v>
      </c>
      <c r="B227" s="91">
        <v>53</v>
      </c>
      <c r="C227" s="95">
        <v>0.8928571428571429</v>
      </c>
    </row>
    <row r="228" spans="1:3" x14ac:dyDescent="0.3">
      <c r="A228" s="93" t="s">
        <v>312</v>
      </c>
      <c r="B228" s="91"/>
      <c r="C228" s="95"/>
    </row>
    <row r="229" spans="1:3" x14ac:dyDescent="0.3">
      <c r="A229" s="94" t="s">
        <v>324</v>
      </c>
      <c r="B229" s="91">
        <v>277</v>
      </c>
      <c r="C229" s="95"/>
    </row>
    <row r="230" spans="1:3" x14ac:dyDescent="0.3">
      <c r="A230" s="94" t="s">
        <v>325</v>
      </c>
      <c r="B230" s="91">
        <v>343</v>
      </c>
      <c r="C230" s="95">
        <v>0.23826714801444043</v>
      </c>
    </row>
    <row r="231" spans="1:3" x14ac:dyDescent="0.3">
      <c r="A231" s="94" t="s">
        <v>326</v>
      </c>
      <c r="B231" s="91">
        <v>157</v>
      </c>
      <c r="C231" s="95">
        <v>-0.54227405247813409</v>
      </c>
    </row>
    <row r="232" spans="1:3" x14ac:dyDescent="0.3">
      <c r="A232" s="94" t="s">
        <v>327</v>
      </c>
      <c r="B232" s="91">
        <v>10</v>
      </c>
      <c r="C232" s="95">
        <v>-0.93630573248407645</v>
      </c>
    </row>
    <row r="233" spans="1:3" x14ac:dyDescent="0.3">
      <c r="A233" s="1" t="s">
        <v>308</v>
      </c>
      <c r="B233" s="91">
        <v>50119</v>
      </c>
      <c r="C233" s="95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7BF0-A12F-4EEE-9FE3-03CBEA51B4EE}">
  <dimension ref="A1:C79"/>
  <sheetViews>
    <sheetView workbookViewId="0">
      <selection activeCell="G24" sqref="G24"/>
    </sheetView>
  </sheetViews>
  <sheetFormatPr baseColWidth="10" defaultRowHeight="14.4" x14ac:dyDescent="0.3"/>
  <cols>
    <col min="1" max="1" width="29.33203125" bestFit="1" customWidth="1"/>
    <col min="2" max="2" width="16.44140625" bestFit="1" customWidth="1"/>
    <col min="3" max="3" width="22.77734375" bestFit="1" customWidth="1"/>
  </cols>
  <sheetData>
    <row r="1" spans="1:3" x14ac:dyDescent="0.3">
      <c r="A1" s="90" t="s">
        <v>334</v>
      </c>
      <c r="B1" t="s">
        <v>312</v>
      </c>
    </row>
    <row r="3" spans="1:3" x14ac:dyDescent="0.3">
      <c r="A3" s="90" t="s">
        <v>307</v>
      </c>
      <c r="B3" t="s">
        <v>313</v>
      </c>
      <c r="C3" t="s">
        <v>335</v>
      </c>
    </row>
    <row r="4" spans="1:3" x14ac:dyDescent="0.3">
      <c r="A4" s="1" t="s">
        <v>0</v>
      </c>
      <c r="B4" s="91">
        <v>240</v>
      </c>
      <c r="C4" s="91">
        <v>408</v>
      </c>
    </row>
    <row r="5" spans="1:3" x14ac:dyDescent="0.3">
      <c r="A5" s="1" t="s">
        <v>1</v>
      </c>
      <c r="B5" s="91">
        <v>104</v>
      </c>
      <c r="C5" s="91">
        <v>176.79999999999998</v>
      </c>
    </row>
    <row r="6" spans="1:3" x14ac:dyDescent="0.3">
      <c r="A6" s="1" t="s">
        <v>2</v>
      </c>
      <c r="B6" s="91">
        <v>304</v>
      </c>
      <c r="C6" s="91">
        <v>456</v>
      </c>
    </row>
    <row r="7" spans="1:3" x14ac:dyDescent="0.3">
      <c r="A7" s="1" t="s">
        <v>3</v>
      </c>
      <c r="B7" s="91">
        <v>469</v>
      </c>
      <c r="C7" s="91">
        <v>703.5</v>
      </c>
    </row>
    <row r="8" spans="1:3" x14ac:dyDescent="0.3">
      <c r="A8" s="1" t="s">
        <v>4</v>
      </c>
      <c r="B8" s="91">
        <v>151</v>
      </c>
      <c r="C8" s="91">
        <v>256.7</v>
      </c>
    </row>
    <row r="9" spans="1:3" x14ac:dyDescent="0.3">
      <c r="A9" s="1" t="s">
        <v>5</v>
      </c>
      <c r="B9" s="91">
        <v>359</v>
      </c>
      <c r="C9" s="91">
        <v>538.5</v>
      </c>
    </row>
    <row r="10" spans="1:3" x14ac:dyDescent="0.3">
      <c r="A10" s="1" t="s">
        <v>6</v>
      </c>
      <c r="B10" s="91">
        <v>354</v>
      </c>
      <c r="C10" s="91">
        <v>531</v>
      </c>
    </row>
    <row r="11" spans="1:3" x14ac:dyDescent="0.3">
      <c r="A11" s="1" t="s">
        <v>7</v>
      </c>
      <c r="B11" s="91">
        <v>242</v>
      </c>
      <c r="C11" s="91">
        <v>411.4</v>
      </c>
    </row>
    <row r="12" spans="1:3" x14ac:dyDescent="0.3">
      <c r="A12" s="1" t="s">
        <v>8</v>
      </c>
      <c r="B12" s="91">
        <v>81</v>
      </c>
      <c r="C12" s="91">
        <v>137.69999999999999</v>
      </c>
    </row>
    <row r="13" spans="1:3" x14ac:dyDescent="0.3">
      <c r="A13" s="1" t="s">
        <v>9</v>
      </c>
      <c r="B13" s="91">
        <v>150</v>
      </c>
      <c r="C13" s="91">
        <v>255</v>
      </c>
    </row>
    <row r="14" spans="1:3" x14ac:dyDescent="0.3">
      <c r="A14" s="1" t="s">
        <v>10</v>
      </c>
      <c r="B14" s="91">
        <v>8</v>
      </c>
      <c r="C14" s="91">
        <v>13.6</v>
      </c>
    </row>
    <row r="15" spans="1:3" x14ac:dyDescent="0.3">
      <c r="A15" s="1" t="s">
        <v>11</v>
      </c>
      <c r="B15" s="91">
        <v>270</v>
      </c>
      <c r="C15" s="91">
        <v>459</v>
      </c>
    </row>
    <row r="16" spans="1:3" x14ac:dyDescent="0.3">
      <c r="A16" s="1" t="s">
        <v>12</v>
      </c>
      <c r="B16" s="91">
        <v>202</v>
      </c>
      <c r="C16" s="91">
        <v>343.4</v>
      </c>
    </row>
    <row r="17" spans="1:3" x14ac:dyDescent="0.3">
      <c r="A17" s="1" t="s">
        <v>13</v>
      </c>
      <c r="B17" s="91">
        <v>145</v>
      </c>
      <c r="C17" s="91">
        <v>246.5</v>
      </c>
    </row>
    <row r="18" spans="1:3" x14ac:dyDescent="0.3">
      <c r="A18" s="1" t="s">
        <v>14</v>
      </c>
      <c r="B18" s="91">
        <v>337</v>
      </c>
      <c r="C18" s="91">
        <v>505.5</v>
      </c>
    </row>
    <row r="19" spans="1:3" x14ac:dyDescent="0.3">
      <c r="A19" s="1" t="s">
        <v>15</v>
      </c>
      <c r="B19" s="91">
        <v>177</v>
      </c>
      <c r="C19" s="91">
        <v>300.89999999999998</v>
      </c>
    </row>
    <row r="20" spans="1:3" x14ac:dyDescent="0.3">
      <c r="A20" s="1" t="s">
        <v>17</v>
      </c>
      <c r="B20" s="91">
        <v>196</v>
      </c>
      <c r="C20" s="91">
        <v>333.2</v>
      </c>
    </row>
    <row r="21" spans="1:3" x14ac:dyDescent="0.3">
      <c r="A21" s="1" t="s">
        <v>18</v>
      </c>
      <c r="B21" s="91">
        <v>277</v>
      </c>
      <c r="C21" s="91">
        <v>470.9</v>
      </c>
    </row>
    <row r="22" spans="1:3" x14ac:dyDescent="0.3">
      <c r="A22" s="1" t="s">
        <v>19</v>
      </c>
      <c r="B22" s="91">
        <v>144</v>
      </c>
      <c r="C22" s="91">
        <v>244.79999999999998</v>
      </c>
    </row>
    <row r="23" spans="1:3" x14ac:dyDescent="0.3">
      <c r="A23" s="1" t="s">
        <v>20</v>
      </c>
      <c r="B23" s="91">
        <v>68</v>
      </c>
      <c r="C23" s="91">
        <v>115.6</v>
      </c>
    </row>
    <row r="24" spans="1:3" x14ac:dyDescent="0.3">
      <c r="A24" s="1" t="s">
        <v>21</v>
      </c>
      <c r="B24" s="91">
        <v>536</v>
      </c>
      <c r="C24" s="91">
        <v>804</v>
      </c>
    </row>
    <row r="25" spans="1:3" x14ac:dyDescent="0.3">
      <c r="A25" s="1" t="s">
        <v>22</v>
      </c>
      <c r="B25" s="91">
        <v>159</v>
      </c>
      <c r="C25" s="91">
        <v>270.3</v>
      </c>
    </row>
    <row r="26" spans="1:3" x14ac:dyDescent="0.3">
      <c r="A26" s="1" t="s">
        <v>23</v>
      </c>
      <c r="B26" s="91">
        <v>77</v>
      </c>
      <c r="C26" s="91">
        <v>130.9</v>
      </c>
    </row>
    <row r="27" spans="1:3" x14ac:dyDescent="0.3">
      <c r="A27" s="1" t="s">
        <v>24</v>
      </c>
      <c r="B27" s="91">
        <v>232</v>
      </c>
      <c r="C27" s="91">
        <v>394.4</v>
      </c>
    </row>
    <row r="28" spans="1:3" x14ac:dyDescent="0.3">
      <c r="A28" s="1" t="s">
        <v>25</v>
      </c>
      <c r="B28" s="91">
        <v>133</v>
      </c>
      <c r="C28" s="91">
        <v>226.1</v>
      </c>
    </row>
    <row r="29" spans="1:3" x14ac:dyDescent="0.3">
      <c r="A29" s="1" t="s">
        <v>26</v>
      </c>
      <c r="B29" s="91">
        <v>346</v>
      </c>
      <c r="C29" s="91">
        <v>519</v>
      </c>
    </row>
    <row r="30" spans="1:3" x14ac:dyDescent="0.3">
      <c r="A30" s="1" t="s">
        <v>27</v>
      </c>
      <c r="B30" s="91">
        <v>234</v>
      </c>
      <c r="C30" s="91">
        <v>397.8</v>
      </c>
    </row>
    <row r="31" spans="1:3" x14ac:dyDescent="0.3">
      <c r="A31" s="1" t="s">
        <v>28</v>
      </c>
      <c r="B31" s="91">
        <v>150</v>
      </c>
      <c r="C31" s="91">
        <v>255</v>
      </c>
    </row>
    <row r="32" spans="1:3" x14ac:dyDescent="0.3">
      <c r="A32" s="1" t="s">
        <v>29</v>
      </c>
      <c r="B32" s="91">
        <v>309</v>
      </c>
      <c r="C32" s="91">
        <v>463.5</v>
      </c>
    </row>
    <row r="33" spans="1:3" x14ac:dyDescent="0.3">
      <c r="A33" s="1" t="s">
        <v>30</v>
      </c>
      <c r="B33" s="91">
        <v>635</v>
      </c>
      <c r="C33" s="91">
        <v>952.5</v>
      </c>
    </row>
    <row r="34" spans="1:3" x14ac:dyDescent="0.3">
      <c r="A34" s="1" t="s">
        <v>31</v>
      </c>
      <c r="B34" s="91">
        <v>386</v>
      </c>
      <c r="C34" s="91">
        <v>579</v>
      </c>
    </row>
    <row r="35" spans="1:3" x14ac:dyDescent="0.3">
      <c r="A35" s="1" t="s">
        <v>32</v>
      </c>
      <c r="B35" s="91">
        <v>94</v>
      </c>
      <c r="C35" s="91">
        <v>159.79999999999998</v>
      </c>
    </row>
    <row r="36" spans="1:3" x14ac:dyDescent="0.3">
      <c r="A36" s="1" t="s">
        <v>33</v>
      </c>
      <c r="B36" s="91">
        <v>55</v>
      </c>
      <c r="C36" s="91">
        <v>93.5</v>
      </c>
    </row>
    <row r="37" spans="1:3" x14ac:dyDescent="0.3">
      <c r="A37" s="1" t="s">
        <v>34</v>
      </c>
      <c r="B37" s="91">
        <v>102</v>
      </c>
      <c r="C37" s="91">
        <v>173.4</v>
      </c>
    </row>
    <row r="38" spans="1:3" x14ac:dyDescent="0.3">
      <c r="A38" s="1" t="s">
        <v>36</v>
      </c>
      <c r="B38" s="91">
        <v>238</v>
      </c>
      <c r="C38" s="91">
        <v>404.59999999999997</v>
      </c>
    </row>
    <row r="39" spans="1:3" x14ac:dyDescent="0.3">
      <c r="A39" s="1" t="s">
        <v>37</v>
      </c>
      <c r="B39" s="91">
        <v>146</v>
      </c>
      <c r="C39" s="91">
        <v>248.2</v>
      </c>
    </row>
    <row r="40" spans="1:3" x14ac:dyDescent="0.3">
      <c r="A40" s="1" t="s">
        <v>38</v>
      </c>
      <c r="B40" s="91">
        <v>159</v>
      </c>
      <c r="C40" s="91">
        <v>270.3</v>
      </c>
    </row>
    <row r="41" spans="1:3" x14ac:dyDescent="0.3">
      <c r="A41" s="1" t="s">
        <v>39</v>
      </c>
      <c r="B41" s="91">
        <v>3</v>
      </c>
      <c r="C41" s="91">
        <v>5.0999999999999996</v>
      </c>
    </row>
    <row r="42" spans="1:3" x14ac:dyDescent="0.3">
      <c r="A42" s="1" t="s">
        <v>40</v>
      </c>
      <c r="B42" s="91">
        <v>203</v>
      </c>
      <c r="C42" s="91">
        <v>345.09999999999997</v>
      </c>
    </row>
    <row r="43" spans="1:3" x14ac:dyDescent="0.3">
      <c r="A43" s="1" t="s">
        <v>41</v>
      </c>
      <c r="B43" s="91">
        <v>217</v>
      </c>
      <c r="C43" s="91">
        <v>368.9</v>
      </c>
    </row>
    <row r="44" spans="1:3" x14ac:dyDescent="0.3">
      <c r="A44" s="1" t="s">
        <v>42</v>
      </c>
      <c r="B44" s="91">
        <v>116</v>
      </c>
      <c r="C44" s="91">
        <v>197.2</v>
      </c>
    </row>
    <row r="45" spans="1:3" x14ac:dyDescent="0.3">
      <c r="A45" s="1" t="s">
        <v>43</v>
      </c>
      <c r="B45" s="91">
        <v>110</v>
      </c>
      <c r="C45" s="91">
        <v>187</v>
      </c>
    </row>
    <row r="46" spans="1:3" x14ac:dyDescent="0.3">
      <c r="A46" s="1" t="s">
        <v>44</v>
      </c>
      <c r="B46" s="91">
        <v>266</v>
      </c>
      <c r="C46" s="91">
        <v>452.2</v>
      </c>
    </row>
    <row r="47" spans="1:3" x14ac:dyDescent="0.3">
      <c r="A47" s="1" t="s">
        <v>45</v>
      </c>
      <c r="B47" s="91">
        <v>236</v>
      </c>
      <c r="C47" s="91">
        <v>401.2</v>
      </c>
    </row>
    <row r="48" spans="1:3" x14ac:dyDescent="0.3">
      <c r="A48" s="1" t="s">
        <v>46</v>
      </c>
      <c r="B48" s="91">
        <v>314</v>
      </c>
      <c r="C48" s="91">
        <v>471</v>
      </c>
    </row>
    <row r="49" spans="1:3" x14ac:dyDescent="0.3">
      <c r="A49" s="1" t="s">
        <v>47</v>
      </c>
      <c r="B49" s="91">
        <v>374</v>
      </c>
      <c r="C49" s="91">
        <v>561</v>
      </c>
    </row>
    <row r="50" spans="1:3" x14ac:dyDescent="0.3">
      <c r="A50" s="1" t="s">
        <v>48</v>
      </c>
      <c r="B50" s="91">
        <v>149</v>
      </c>
      <c r="C50" s="91">
        <v>253.29999999999998</v>
      </c>
    </row>
    <row r="51" spans="1:3" x14ac:dyDescent="0.3">
      <c r="A51" s="1" t="s">
        <v>49</v>
      </c>
      <c r="B51" s="91">
        <v>282</v>
      </c>
      <c r="C51" s="91">
        <v>479.4</v>
      </c>
    </row>
    <row r="52" spans="1:3" x14ac:dyDescent="0.3">
      <c r="A52" s="1" t="s">
        <v>50</v>
      </c>
      <c r="B52" s="91">
        <v>94</v>
      </c>
      <c r="C52" s="91">
        <v>159.79999999999998</v>
      </c>
    </row>
    <row r="53" spans="1:3" x14ac:dyDescent="0.3">
      <c r="A53" s="1" t="s">
        <v>51</v>
      </c>
      <c r="B53" s="91">
        <v>553</v>
      </c>
      <c r="C53" s="91">
        <v>829.5</v>
      </c>
    </row>
    <row r="54" spans="1:3" x14ac:dyDescent="0.3">
      <c r="A54" s="1" t="s">
        <v>52</v>
      </c>
      <c r="B54" s="91">
        <v>149</v>
      </c>
      <c r="C54" s="91">
        <v>253.29999999999998</v>
      </c>
    </row>
    <row r="55" spans="1:3" x14ac:dyDescent="0.3">
      <c r="A55" s="1" t="s">
        <v>53</v>
      </c>
      <c r="B55" s="91">
        <v>441</v>
      </c>
      <c r="C55" s="91">
        <v>661.5</v>
      </c>
    </row>
    <row r="56" spans="1:3" x14ac:dyDescent="0.3">
      <c r="A56" s="1" t="s">
        <v>54</v>
      </c>
      <c r="B56" s="91">
        <v>10</v>
      </c>
      <c r="C56" s="91">
        <v>17</v>
      </c>
    </row>
    <row r="57" spans="1:3" x14ac:dyDescent="0.3">
      <c r="A57" s="1" t="s">
        <v>55</v>
      </c>
      <c r="B57" s="91">
        <v>101</v>
      </c>
      <c r="C57" s="91">
        <v>171.7</v>
      </c>
    </row>
    <row r="58" spans="1:3" x14ac:dyDescent="0.3">
      <c r="A58" s="1" t="s">
        <v>56</v>
      </c>
      <c r="B58" s="91">
        <v>87</v>
      </c>
      <c r="C58" s="91">
        <v>147.9</v>
      </c>
    </row>
    <row r="59" spans="1:3" x14ac:dyDescent="0.3">
      <c r="A59" s="1" t="s">
        <v>57</v>
      </c>
      <c r="B59" s="91">
        <v>165</v>
      </c>
      <c r="C59" s="91">
        <v>280.5</v>
      </c>
    </row>
    <row r="60" spans="1:3" x14ac:dyDescent="0.3">
      <c r="A60" s="1" t="s">
        <v>58</v>
      </c>
      <c r="B60" s="91">
        <v>65</v>
      </c>
      <c r="C60" s="91">
        <v>110.5</v>
      </c>
    </row>
    <row r="61" spans="1:3" x14ac:dyDescent="0.3">
      <c r="A61" s="1" t="s">
        <v>59</v>
      </c>
      <c r="B61" s="91">
        <v>281</v>
      </c>
      <c r="C61" s="91">
        <v>477.7</v>
      </c>
    </row>
    <row r="62" spans="1:3" x14ac:dyDescent="0.3">
      <c r="A62" s="1" t="s">
        <v>60</v>
      </c>
      <c r="B62" s="91">
        <v>229</v>
      </c>
      <c r="C62" s="91">
        <v>389.3</v>
      </c>
    </row>
    <row r="63" spans="1:3" x14ac:dyDescent="0.3">
      <c r="A63" s="1" t="s">
        <v>61</v>
      </c>
      <c r="B63" s="91">
        <v>110</v>
      </c>
      <c r="C63" s="91">
        <v>187</v>
      </c>
    </row>
    <row r="64" spans="1:3" x14ac:dyDescent="0.3">
      <c r="A64" s="1" t="s">
        <v>62</v>
      </c>
      <c r="B64" s="91">
        <v>328</v>
      </c>
      <c r="C64" s="91">
        <v>492</v>
      </c>
    </row>
    <row r="65" spans="1:3" x14ac:dyDescent="0.3">
      <c r="A65" s="1" t="s">
        <v>63</v>
      </c>
      <c r="B65" s="91">
        <v>203</v>
      </c>
      <c r="C65" s="91">
        <v>345.09999999999997</v>
      </c>
    </row>
    <row r="66" spans="1:3" x14ac:dyDescent="0.3">
      <c r="A66" s="1" t="s">
        <v>64</v>
      </c>
      <c r="B66" s="91">
        <v>125</v>
      </c>
      <c r="C66" s="91">
        <v>212.5</v>
      </c>
    </row>
    <row r="67" spans="1:3" x14ac:dyDescent="0.3">
      <c r="A67" s="1" t="s">
        <v>65</v>
      </c>
      <c r="B67" s="91">
        <v>239</v>
      </c>
      <c r="C67" s="91">
        <v>406.3</v>
      </c>
    </row>
    <row r="68" spans="1:3" x14ac:dyDescent="0.3">
      <c r="A68" s="1" t="s">
        <v>66</v>
      </c>
      <c r="B68" s="91">
        <v>378</v>
      </c>
      <c r="C68" s="91">
        <v>567</v>
      </c>
    </row>
    <row r="69" spans="1:3" x14ac:dyDescent="0.3">
      <c r="A69" s="1" t="s">
        <v>67</v>
      </c>
      <c r="B69" s="91">
        <v>286</v>
      </c>
      <c r="C69" s="91">
        <v>486.2</v>
      </c>
    </row>
    <row r="70" spans="1:3" x14ac:dyDescent="0.3">
      <c r="A70" s="1" t="s">
        <v>68</v>
      </c>
      <c r="B70" s="91">
        <v>332</v>
      </c>
      <c r="C70" s="91">
        <v>498</v>
      </c>
    </row>
    <row r="71" spans="1:3" x14ac:dyDescent="0.3">
      <c r="A71" s="1" t="s">
        <v>69</v>
      </c>
      <c r="B71" s="91">
        <v>15</v>
      </c>
      <c r="C71" s="91">
        <v>25.5</v>
      </c>
    </row>
    <row r="72" spans="1:3" x14ac:dyDescent="0.3">
      <c r="A72" s="1" t="s">
        <v>70</v>
      </c>
      <c r="B72" s="91">
        <v>100</v>
      </c>
      <c r="C72" s="91">
        <v>170</v>
      </c>
    </row>
    <row r="73" spans="1:3" x14ac:dyDescent="0.3">
      <c r="A73" s="1" t="s">
        <v>71</v>
      </c>
      <c r="B73" s="91">
        <v>186</v>
      </c>
      <c r="C73" s="91">
        <v>316.2</v>
      </c>
    </row>
    <row r="74" spans="1:3" x14ac:dyDescent="0.3">
      <c r="A74" s="1" t="s">
        <v>72</v>
      </c>
      <c r="B74" s="91">
        <v>398</v>
      </c>
      <c r="C74" s="91">
        <v>597</v>
      </c>
    </row>
    <row r="75" spans="1:3" x14ac:dyDescent="0.3">
      <c r="A75" s="1" t="s">
        <v>73</v>
      </c>
      <c r="B75" s="91">
        <v>33</v>
      </c>
      <c r="C75" s="91">
        <v>56.1</v>
      </c>
    </row>
    <row r="76" spans="1:3" x14ac:dyDescent="0.3">
      <c r="A76" s="1" t="s">
        <v>74</v>
      </c>
      <c r="B76" s="91">
        <v>147</v>
      </c>
      <c r="C76" s="91">
        <v>249.9</v>
      </c>
    </row>
    <row r="77" spans="1:3" x14ac:dyDescent="0.3">
      <c r="A77" s="1" t="s">
        <v>75</v>
      </c>
      <c r="B77" s="91">
        <v>238</v>
      </c>
      <c r="C77" s="91">
        <v>404.59999999999997</v>
      </c>
    </row>
    <row r="78" spans="1:3" x14ac:dyDescent="0.3">
      <c r="A78" s="1" t="s">
        <v>76</v>
      </c>
      <c r="B78" s="91">
        <v>110</v>
      </c>
      <c r="C78" s="91">
        <v>187</v>
      </c>
    </row>
    <row r="79" spans="1:3" x14ac:dyDescent="0.3">
      <c r="A79" s="1" t="s">
        <v>308</v>
      </c>
      <c r="B79" s="91">
        <v>15942</v>
      </c>
      <c r="C79" s="91">
        <v>23913</v>
      </c>
    </row>
  </sheetData>
  <conditionalFormatting pivot="1" sqref="C4:C78">
    <cfRule type="cellIs" dxfId="0" priority="1" operator="between">
      <formula>$B$4</formula>
      <formula>$B$4*1.5</formula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2093"/>
  <sheetViews>
    <sheetView topLeftCell="A11" workbookViewId="0">
      <selection activeCell="A11" sqref="A11:G2093"/>
    </sheetView>
  </sheetViews>
  <sheetFormatPr baseColWidth="10" defaultColWidth="0" defaultRowHeight="14.4" x14ac:dyDescent="0.3"/>
  <cols>
    <col min="1" max="1" width="33" style="6" bestFit="1" customWidth="1"/>
    <col min="2" max="2" width="11.44140625" style="6" customWidth="1"/>
    <col min="3" max="3" width="16.6640625" style="6" bestFit="1" customWidth="1"/>
    <col min="4" max="4" width="10.6640625" style="6" bestFit="1" customWidth="1"/>
    <col min="5" max="5" width="31.6640625" style="6" bestFit="1" customWidth="1"/>
    <col min="6" max="6" width="7" style="6" bestFit="1" customWidth="1"/>
    <col min="7" max="7" width="8.88671875" style="6" bestFit="1" customWidth="1"/>
    <col min="8" max="11" width="11.44140625" style="6" customWidth="1"/>
    <col min="12" max="12" width="0" style="1" hidden="1" customWidth="1"/>
    <col min="13" max="16384" width="11.44140625" style="1" hidden="1"/>
  </cols>
  <sheetData>
    <row r="1" spans="1:12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8" x14ac:dyDescent="0.35">
      <c r="A2" s="3"/>
      <c r="B2" s="2"/>
      <c r="C2" s="2"/>
      <c r="D2" s="2"/>
      <c r="E2"/>
      <c r="F2" s="2"/>
      <c r="G2"/>
      <c r="H2" s="2"/>
      <c r="I2" s="2"/>
      <c r="J2" s="2"/>
      <c r="K2" s="2"/>
      <c r="L2" s="2"/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2"/>
      <c r="C5" s="4" t="s">
        <v>86</v>
      </c>
      <c r="D5" s="5"/>
      <c r="E5" s="2"/>
      <c r="F5" s="2"/>
      <c r="G5" s="2"/>
      <c r="H5" s="2"/>
      <c r="I5" s="2"/>
      <c r="J5" s="2"/>
      <c r="K5" s="2"/>
      <c r="L5" s="2"/>
    </row>
    <row r="6" spans="1:12" x14ac:dyDescent="0.3">
      <c r="A6" s="2"/>
      <c r="B6" s="2"/>
      <c r="C6" s="1"/>
      <c r="D6" s="2"/>
      <c r="F6" s="1"/>
      <c r="G6" s="2"/>
      <c r="H6" s="2"/>
      <c r="I6" s="2"/>
      <c r="J6" s="2"/>
      <c r="K6" s="2"/>
      <c r="L6" s="2"/>
    </row>
    <row r="7" spans="1:12" ht="25.8" x14ac:dyDescent="0.3">
      <c r="A7" s="2"/>
      <c r="B7" s="2"/>
      <c r="C7" s="7" t="s">
        <v>87</v>
      </c>
      <c r="D7" s="8"/>
      <c r="E7" s="8"/>
      <c r="F7" s="8"/>
      <c r="G7" s="8"/>
      <c r="H7" s="8"/>
      <c r="I7" s="8"/>
      <c r="J7" s="2"/>
      <c r="L7" s="6"/>
    </row>
    <row r="8" spans="1:12" ht="16.2" thickBot="1" x14ac:dyDescent="0.35">
      <c r="A8" s="9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ht="15" thickTop="1" x14ac:dyDescent="0.3"/>
    <row r="10" spans="1:12" ht="15" thickBot="1" x14ac:dyDescent="0.35"/>
    <row r="11" spans="1:12" x14ac:dyDescent="0.3">
      <c r="A11" s="15" t="s">
        <v>88</v>
      </c>
      <c r="B11" s="16" t="s">
        <v>89</v>
      </c>
      <c r="C11" s="16" t="s">
        <v>90</v>
      </c>
      <c r="D11" s="16" t="s">
        <v>91</v>
      </c>
      <c r="E11" s="16" t="s">
        <v>92</v>
      </c>
      <c r="F11" s="16" t="s">
        <v>93</v>
      </c>
      <c r="G11" s="17" t="s">
        <v>94</v>
      </c>
    </row>
    <row r="12" spans="1:12" x14ac:dyDescent="0.3">
      <c r="A12" s="18" t="s">
        <v>95</v>
      </c>
      <c r="B12" s="12" t="s">
        <v>96</v>
      </c>
      <c r="C12" s="12" t="s">
        <v>85</v>
      </c>
      <c r="D12" s="13">
        <v>40375</v>
      </c>
      <c r="E12" s="12" t="s">
        <v>49</v>
      </c>
      <c r="F12" s="14">
        <v>14</v>
      </c>
      <c r="G12" s="19">
        <v>12</v>
      </c>
    </row>
    <row r="13" spans="1:12" x14ac:dyDescent="0.3">
      <c r="A13" s="18" t="s">
        <v>95</v>
      </c>
      <c r="B13" s="12" t="s">
        <v>96</v>
      </c>
      <c r="C13" s="12" t="s">
        <v>85</v>
      </c>
      <c r="D13" s="13">
        <v>40375</v>
      </c>
      <c r="E13" s="12" t="s">
        <v>60</v>
      </c>
      <c r="F13" s="14">
        <v>9.8000000000000007</v>
      </c>
      <c r="G13" s="19">
        <v>10</v>
      </c>
    </row>
    <row r="14" spans="1:12" x14ac:dyDescent="0.3">
      <c r="A14" s="18" t="s">
        <v>95</v>
      </c>
      <c r="B14" s="12" t="s">
        <v>96</v>
      </c>
      <c r="C14" s="12" t="s">
        <v>85</v>
      </c>
      <c r="D14" s="13">
        <v>40375</v>
      </c>
      <c r="E14" s="12" t="s">
        <v>40</v>
      </c>
      <c r="F14" s="14">
        <v>34.799999999999997</v>
      </c>
      <c r="G14" s="19">
        <v>5</v>
      </c>
    </row>
    <row r="15" spans="1:12" x14ac:dyDescent="0.3">
      <c r="A15" s="18" t="s">
        <v>97</v>
      </c>
      <c r="B15" s="12" t="s">
        <v>98</v>
      </c>
      <c r="C15" s="12" t="s">
        <v>82</v>
      </c>
      <c r="D15" s="13">
        <v>40369</v>
      </c>
      <c r="E15" s="12" t="s">
        <v>69</v>
      </c>
      <c r="F15" s="14">
        <v>18.600000000000001</v>
      </c>
      <c r="G15" s="19">
        <v>9</v>
      </c>
    </row>
    <row r="16" spans="1:12" x14ac:dyDescent="0.3">
      <c r="A16" s="18" t="s">
        <v>97</v>
      </c>
      <c r="B16" s="12" t="s">
        <v>98</v>
      </c>
      <c r="C16" s="12" t="s">
        <v>82</v>
      </c>
      <c r="D16" s="13">
        <v>40369</v>
      </c>
      <c r="E16" s="12" t="s">
        <v>36</v>
      </c>
      <c r="F16" s="14">
        <v>42.4</v>
      </c>
      <c r="G16" s="19">
        <v>40</v>
      </c>
    </row>
    <row r="17" spans="1:7" x14ac:dyDescent="0.3">
      <c r="A17" s="18" t="s">
        <v>99</v>
      </c>
      <c r="B17" s="12" t="s">
        <v>98</v>
      </c>
      <c r="C17" s="12" t="s">
        <v>81</v>
      </c>
      <c r="D17" s="13">
        <v>40371</v>
      </c>
      <c r="E17" s="12" t="s">
        <v>29</v>
      </c>
      <c r="F17" s="14">
        <v>7.7</v>
      </c>
      <c r="G17" s="19">
        <v>10</v>
      </c>
    </row>
    <row r="18" spans="1:7" x14ac:dyDescent="0.3">
      <c r="A18" s="18" t="s">
        <v>99</v>
      </c>
      <c r="B18" s="12" t="s">
        <v>98</v>
      </c>
      <c r="C18" s="12" t="s">
        <v>81</v>
      </c>
      <c r="D18" s="13">
        <v>40371</v>
      </c>
      <c r="E18" s="12" t="s">
        <v>36</v>
      </c>
      <c r="F18" s="14">
        <v>42.4</v>
      </c>
      <c r="G18" s="19">
        <v>35</v>
      </c>
    </row>
    <row r="19" spans="1:7" x14ac:dyDescent="0.3">
      <c r="A19" s="18" t="s">
        <v>99</v>
      </c>
      <c r="B19" s="12" t="s">
        <v>98</v>
      </c>
      <c r="C19" s="12" t="s">
        <v>81</v>
      </c>
      <c r="D19" s="13">
        <v>40371</v>
      </c>
      <c r="E19" s="12" t="s">
        <v>34</v>
      </c>
      <c r="F19" s="14">
        <v>16.8</v>
      </c>
      <c r="G19" s="19">
        <v>15</v>
      </c>
    </row>
    <row r="20" spans="1:7" x14ac:dyDescent="0.3">
      <c r="A20" s="18" t="s">
        <v>100</v>
      </c>
      <c r="B20" s="12" t="s">
        <v>101</v>
      </c>
      <c r="C20" s="12" t="s">
        <v>79</v>
      </c>
      <c r="D20" s="13">
        <v>40374</v>
      </c>
      <c r="E20" s="12" t="s">
        <v>25</v>
      </c>
      <c r="F20" s="14">
        <v>16.8</v>
      </c>
      <c r="G20" s="19">
        <v>6</v>
      </c>
    </row>
    <row r="21" spans="1:7" x14ac:dyDescent="0.3">
      <c r="A21" s="18" t="s">
        <v>100</v>
      </c>
      <c r="B21" s="12" t="s">
        <v>101</v>
      </c>
      <c r="C21" s="12" t="s">
        <v>79</v>
      </c>
      <c r="D21" s="13">
        <v>40374</v>
      </c>
      <c r="E21" s="12" t="s">
        <v>52</v>
      </c>
      <c r="F21" s="14">
        <v>15.6</v>
      </c>
      <c r="G21" s="19">
        <v>15</v>
      </c>
    </row>
    <row r="22" spans="1:7" x14ac:dyDescent="0.3">
      <c r="A22" s="18" t="s">
        <v>100</v>
      </c>
      <c r="B22" s="12" t="s">
        <v>101</v>
      </c>
      <c r="C22" s="12" t="s">
        <v>79</v>
      </c>
      <c r="D22" s="13">
        <v>40374</v>
      </c>
      <c r="E22" s="12" t="s">
        <v>34</v>
      </c>
      <c r="F22" s="14">
        <v>16.8</v>
      </c>
      <c r="G22" s="19">
        <v>20</v>
      </c>
    </row>
    <row r="23" spans="1:7" x14ac:dyDescent="0.3">
      <c r="A23" s="18" t="s">
        <v>102</v>
      </c>
      <c r="B23" s="12" t="s">
        <v>103</v>
      </c>
      <c r="C23" s="12" t="s">
        <v>81</v>
      </c>
      <c r="D23" s="13">
        <v>40370</v>
      </c>
      <c r="E23" s="12" t="s">
        <v>61</v>
      </c>
      <c r="F23" s="14">
        <v>64.8</v>
      </c>
      <c r="G23" s="19">
        <v>40</v>
      </c>
    </row>
    <row r="24" spans="1:7" x14ac:dyDescent="0.3">
      <c r="A24" s="18" t="s">
        <v>102</v>
      </c>
      <c r="B24" s="12" t="s">
        <v>103</v>
      </c>
      <c r="C24" s="12" t="s">
        <v>81</v>
      </c>
      <c r="D24" s="13">
        <v>40370</v>
      </c>
      <c r="E24" s="12" t="s">
        <v>15</v>
      </c>
      <c r="F24" s="14">
        <v>2</v>
      </c>
      <c r="G24" s="19">
        <v>25</v>
      </c>
    </row>
    <row r="25" spans="1:7" x14ac:dyDescent="0.3">
      <c r="A25" s="18" t="s">
        <v>102</v>
      </c>
      <c r="B25" s="12" t="s">
        <v>103</v>
      </c>
      <c r="C25" s="12" t="s">
        <v>81</v>
      </c>
      <c r="D25" s="13">
        <v>40370</v>
      </c>
      <c r="E25" s="12" t="s">
        <v>3</v>
      </c>
      <c r="F25" s="14">
        <v>27.2</v>
      </c>
      <c r="G25" s="19">
        <v>40</v>
      </c>
    </row>
    <row r="26" spans="1:7" x14ac:dyDescent="0.3">
      <c r="A26" s="18" t="s">
        <v>99</v>
      </c>
      <c r="B26" s="12" t="s">
        <v>98</v>
      </c>
      <c r="C26" s="12" t="s">
        <v>79</v>
      </c>
      <c r="D26" s="13">
        <v>40375</v>
      </c>
      <c r="E26" s="12" t="s">
        <v>18</v>
      </c>
      <c r="F26" s="14">
        <v>10</v>
      </c>
      <c r="G26" s="19">
        <v>20</v>
      </c>
    </row>
    <row r="27" spans="1:7" x14ac:dyDescent="0.3">
      <c r="A27" s="18" t="s">
        <v>99</v>
      </c>
      <c r="B27" s="12" t="s">
        <v>98</v>
      </c>
      <c r="C27" s="12" t="s">
        <v>79</v>
      </c>
      <c r="D27" s="13">
        <v>40375</v>
      </c>
      <c r="E27" s="12" t="s">
        <v>7</v>
      </c>
      <c r="F27" s="14">
        <v>14.4</v>
      </c>
      <c r="G27" s="19">
        <v>42</v>
      </c>
    </row>
    <row r="28" spans="1:7" x14ac:dyDescent="0.3">
      <c r="A28" s="18" t="s">
        <v>99</v>
      </c>
      <c r="B28" s="12" t="s">
        <v>98</v>
      </c>
      <c r="C28" s="12" t="s">
        <v>79</v>
      </c>
      <c r="D28" s="13">
        <v>40375</v>
      </c>
      <c r="E28" s="12" t="s">
        <v>38</v>
      </c>
      <c r="F28" s="14">
        <v>16</v>
      </c>
      <c r="G28" s="19">
        <v>40</v>
      </c>
    </row>
    <row r="29" spans="1:7" x14ac:dyDescent="0.3">
      <c r="A29" s="18" t="s">
        <v>104</v>
      </c>
      <c r="B29" s="12" t="s">
        <v>105</v>
      </c>
      <c r="C29" s="12" t="s">
        <v>85</v>
      </c>
      <c r="D29" s="13">
        <v>40382</v>
      </c>
      <c r="E29" s="12" t="s">
        <v>21</v>
      </c>
      <c r="F29" s="14">
        <v>3.6</v>
      </c>
      <c r="G29" s="19">
        <v>15</v>
      </c>
    </row>
    <row r="30" spans="1:7" x14ac:dyDescent="0.3">
      <c r="A30" s="18" t="s">
        <v>104</v>
      </c>
      <c r="B30" s="12" t="s">
        <v>105</v>
      </c>
      <c r="C30" s="12" t="s">
        <v>85</v>
      </c>
      <c r="D30" s="13">
        <v>40382</v>
      </c>
      <c r="E30" s="12" t="s">
        <v>46</v>
      </c>
      <c r="F30" s="14">
        <v>19.2</v>
      </c>
      <c r="G30" s="19">
        <v>21</v>
      </c>
    </row>
    <row r="31" spans="1:7" x14ac:dyDescent="0.3">
      <c r="A31" s="18" t="s">
        <v>104</v>
      </c>
      <c r="B31" s="12" t="s">
        <v>105</v>
      </c>
      <c r="C31" s="12" t="s">
        <v>85</v>
      </c>
      <c r="D31" s="13">
        <v>40382</v>
      </c>
      <c r="E31" s="12" t="s">
        <v>33</v>
      </c>
      <c r="F31" s="14">
        <v>8</v>
      </c>
      <c r="G31" s="19">
        <v>21</v>
      </c>
    </row>
    <row r="32" spans="1:7" x14ac:dyDescent="0.3">
      <c r="A32" s="18" t="s">
        <v>106</v>
      </c>
      <c r="B32" s="12" t="s">
        <v>105</v>
      </c>
      <c r="C32" s="12" t="s">
        <v>78</v>
      </c>
      <c r="D32" s="13">
        <v>40374</v>
      </c>
      <c r="E32" s="12" t="s">
        <v>6</v>
      </c>
      <c r="F32" s="14">
        <v>15.2</v>
      </c>
      <c r="G32" s="19">
        <v>20</v>
      </c>
    </row>
    <row r="33" spans="1:7" x14ac:dyDescent="0.3">
      <c r="A33" s="18" t="s">
        <v>106</v>
      </c>
      <c r="B33" s="12" t="s">
        <v>105</v>
      </c>
      <c r="C33" s="12" t="s">
        <v>78</v>
      </c>
      <c r="D33" s="13">
        <v>40374</v>
      </c>
      <c r="E33" s="12" t="s">
        <v>47</v>
      </c>
      <c r="F33" s="14">
        <v>13.9</v>
      </c>
      <c r="G33" s="19">
        <v>35</v>
      </c>
    </row>
    <row r="34" spans="1:7" x14ac:dyDescent="0.3">
      <c r="A34" s="18" t="s">
        <v>106</v>
      </c>
      <c r="B34" s="12" t="s">
        <v>105</v>
      </c>
      <c r="C34" s="12" t="s">
        <v>78</v>
      </c>
      <c r="D34" s="13">
        <v>40374</v>
      </c>
      <c r="E34" s="12" t="s">
        <v>27</v>
      </c>
      <c r="F34" s="14">
        <v>15.2</v>
      </c>
      <c r="G34" s="19">
        <v>25</v>
      </c>
    </row>
    <row r="35" spans="1:7" x14ac:dyDescent="0.3">
      <c r="A35" s="18" t="s">
        <v>106</v>
      </c>
      <c r="B35" s="12" t="s">
        <v>105</v>
      </c>
      <c r="C35" s="12" t="s">
        <v>78</v>
      </c>
      <c r="D35" s="13">
        <v>40374</v>
      </c>
      <c r="E35" s="12" t="s">
        <v>51</v>
      </c>
      <c r="F35" s="14">
        <v>44</v>
      </c>
      <c r="G35" s="19">
        <v>30</v>
      </c>
    </row>
    <row r="36" spans="1:7" x14ac:dyDescent="0.3">
      <c r="A36" s="18" t="s">
        <v>107</v>
      </c>
      <c r="B36" s="12" t="s">
        <v>98</v>
      </c>
      <c r="C36" s="12" t="s">
        <v>79</v>
      </c>
      <c r="D36" s="13">
        <v>40376</v>
      </c>
      <c r="E36" s="12" t="s">
        <v>48</v>
      </c>
      <c r="F36" s="14">
        <v>26.2</v>
      </c>
      <c r="G36" s="19">
        <v>15</v>
      </c>
    </row>
    <row r="37" spans="1:7" x14ac:dyDescent="0.3">
      <c r="A37" s="18" t="s">
        <v>107</v>
      </c>
      <c r="B37" s="12" t="s">
        <v>98</v>
      </c>
      <c r="C37" s="12" t="s">
        <v>79</v>
      </c>
      <c r="D37" s="13">
        <v>40376</v>
      </c>
      <c r="E37" s="12" t="s">
        <v>44</v>
      </c>
      <c r="F37" s="14">
        <v>10.4</v>
      </c>
      <c r="G37" s="19">
        <v>12</v>
      </c>
    </row>
    <row r="38" spans="1:7" x14ac:dyDescent="0.3">
      <c r="A38" s="18" t="s">
        <v>108</v>
      </c>
      <c r="B38" s="12" t="s">
        <v>109</v>
      </c>
      <c r="C38" s="12" t="s">
        <v>81</v>
      </c>
      <c r="D38" s="13">
        <v>40381</v>
      </c>
      <c r="E38" s="12" t="s">
        <v>58</v>
      </c>
      <c r="F38" s="14">
        <v>35.1</v>
      </c>
      <c r="G38" s="19">
        <v>25</v>
      </c>
    </row>
    <row r="39" spans="1:7" x14ac:dyDescent="0.3">
      <c r="A39" s="18" t="s">
        <v>108</v>
      </c>
      <c r="B39" s="12" t="s">
        <v>109</v>
      </c>
      <c r="C39" s="12" t="s">
        <v>81</v>
      </c>
      <c r="D39" s="13">
        <v>40381</v>
      </c>
      <c r="E39" s="12" t="s">
        <v>7</v>
      </c>
      <c r="F39" s="14">
        <v>14.4</v>
      </c>
      <c r="G39" s="19">
        <v>6</v>
      </c>
    </row>
    <row r="40" spans="1:7" x14ac:dyDescent="0.3">
      <c r="A40" s="18" t="s">
        <v>108</v>
      </c>
      <c r="B40" s="12" t="s">
        <v>109</v>
      </c>
      <c r="C40" s="12" t="s">
        <v>81</v>
      </c>
      <c r="D40" s="13">
        <v>40381</v>
      </c>
      <c r="E40" s="12" t="s">
        <v>44</v>
      </c>
      <c r="F40" s="14">
        <v>10.4</v>
      </c>
      <c r="G40" s="19">
        <v>15</v>
      </c>
    </row>
    <row r="41" spans="1:7" x14ac:dyDescent="0.3">
      <c r="A41" s="18" t="s">
        <v>110</v>
      </c>
      <c r="B41" s="12" t="s">
        <v>111</v>
      </c>
      <c r="C41" s="12" t="s">
        <v>83</v>
      </c>
      <c r="D41" s="13">
        <v>40382</v>
      </c>
      <c r="E41" s="12" t="s">
        <v>6</v>
      </c>
      <c r="F41" s="14">
        <v>15.2</v>
      </c>
      <c r="G41" s="19">
        <v>50</v>
      </c>
    </row>
    <row r="42" spans="1:7" x14ac:dyDescent="0.3">
      <c r="A42" s="18" t="s">
        <v>110</v>
      </c>
      <c r="B42" s="12" t="s">
        <v>111</v>
      </c>
      <c r="C42" s="12" t="s">
        <v>83</v>
      </c>
      <c r="D42" s="13">
        <v>40382</v>
      </c>
      <c r="E42" s="12" t="s">
        <v>9</v>
      </c>
      <c r="F42" s="14">
        <v>17</v>
      </c>
      <c r="G42" s="19">
        <v>65</v>
      </c>
    </row>
    <row r="43" spans="1:7" x14ac:dyDescent="0.3">
      <c r="A43" s="18" t="s">
        <v>110</v>
      </c>
      <c r="B43" s="12" t="s">
        <v>111</v>
      </c>
      <c r="C43" s="12" t="s">
        <v>83</v>
      </c>
      <c r="D43" s="13">
        <v>40382</v>
      </c>
      <c r="E43" s="12" t="s">
        <v>37</v>
      </c>
      <c r="F43" s="14">
        <v>25.6</v>
      </c>
      <c r="G43" s="19">
        <v>6</v>
      </c>
    </row>
    <row r="44" spans="1:7" x14ac:dyDescent="0.3">
      <c r="A44" s="18" t="s">
        <v>112</v>
      </c>
      <c r="B44" s="12" t="s">
        <v>113</v>
      </c>
      <c r="C44" s="12" t="s">
        <v>81</v>
      </c>
      <c r="D44" s="13">
        <v>40384</v>
      </c>
      <c r="E44" s="12" t="s">
        <v>62</v>
      </c>
      <c r="F44" s="14">
        <v>8</v>
      </c>
      <c r="G44" s="19">
        <v>10</v>
      </c>
    </row>
    <row r="45" spans="1:7" x14ac:dyDescent="0.3">
      <c r="A45" s="18" t="s">
        <v>112</v>
      </c>
      <c r="B45" s="12" t="s">
        <v>113</v>
      </c>
      <c r="C45" s="12" t="s">
        <v>81</v>
      </c>
      <c r="D45" s="13">
        <v>40384</v>
      </c>
      <c r="E45" s="12" t="s">
        <v>20</v>
      </c>
      <c r="F45" s="14">
        <v>20.8</v>
      </c>
      <c r="G45" s="19">
        <v>1</v>
      </c>
    </row>
    <row r="46" spans="1:7" x14ac:dyDescent="0.3">
      <c r="A46" s="18" t="s">
        <v>114</v>
      </c>
      <c r="B46" s="12" t="s">
        <v>115</v>
      </c>
      <c r="C46" s="12" t="s">
        <v>81</v>
      </c>
      <c r="D46" s="13">
        <v>40388</v>
      </c>
      <c r="E46" s="12" t="s">
        <v>29</v>
      </c>
      <c r="F46" s="14">
        <v>7.7</v>
      </c>
      <c r="G46" s="19">
        <v>16</v>
      </c>
    </row>
    <row r="47" spans="1:7" x14ac:dyDescent="0.3">
      <c r="A47" s="18" t="s">
        <v>114</v>
      </c>
      <c r="B47" s="12" t="s">
        <v>115</v>
      </c>
      <c r="C47" s="12" t="s">
        <v>81</v>
      </c>
      <c r="D47" s="13">
        <v>40388</v>
      </c>
      <c r="E47" s="12" t="s">
        <v>52</v>
      </c>
      <c r="F47" s="14">
        <v>15.6</v>
      </c>
      <c r="G47" s="19">
        <v>50</v>
      </c>
    </row>
    <row r="48" spans="1:7" x14ac:dyDescent="0.3">
      <c r="A48" s="18" t="s">
        <v>114</v>
      </c>
      <c r="B48" s="12" t="s">
        <v>115</v>
      </c>
      <c r="C48" s="12" t="s">
        <v>81</v>
      </c>
      <c r="D48" s="13">
        <v>40388</v>
      </c>
      <c r="E48" s="12" t="s">
        <v>66</v>
      </c>
      <c r="F48" s="14">
        <v>39.4</v>
      </c>
      <c r="G48" s="19">
        <v>15</v>
      </c>
    </row>
    <row r="49" spans="1:7" x14ac:dyDescent="0.3">
      <c r="A49" s="18" t="s">
        <v>114</v>
      </c>
      <c r="B49" s="12" t="s">
        <v>115</v>
      </c>
      <c r="C49" s="12" t="s">
        <v>81</v>
      </c>
      <c r="D49" s="13">
        <v>40388</v>
      </c>
      <c r="E49" s="12" t="s">
        <v>45</v>
      </c>
      <c r="F49" s="14">
        <v>12</v>
      </c>
      <c r="G49" s="19">
        <v>21</v>
      </c>
    </row>
    <row r="50" spans="1:7" x14ac:dyDescent="0.3">
      <c r="A50" s="18" t="s">
        <v>116</v>
      </c>
      <c r="B50" s="12" t="s">
        <v>98</v>
      </c>
      <c r="C50" s="12" t="s">
        <v>81</v>
      </c>
      <c r="D50" s="13">
        <v>40389</v>
      </c>
      <c r="E50" s="12" t="s">
        <v>62</v>
      </c>
      <c r="F50" s="14">
        <v>8</v>
      </c>
      <c r="G50" s="19">
        <v>20</v>
      </c>
    </row>
    <row r="51" spans="1:7" x14ac:dyDescent="0.3">
      <c r="A51" s="18" t="s">
        <v>116</v>
      </c>
      <c r="B51" s="12" t="s">
        <v>98</v>
      </c>
      <c r="C51" s="12" t="s">
        <v>81</v>
      </c>
      <c r="D51" s="13">
        <v>40389</v>
      </c>
      <c r="E51" s="12" t="s">
        <v>65</v>
      </c>
      <c r="F51" s="14">
        <v>14.4</v>
      </c>
      <c r="G51" s="19">
        <v>20</v>
      </c>
    </row>
    <row r="52" spans="1:7" x14ac:dyDescent="0.3">
      <c r="A52" s="18" t="s">
        <v>117</v>
      </c>
      <c r="B52" s="12" t="s">
        <v>115</v>
      </c>
      <c r="C52" s="12" t="s">
        <v>80</v>
      </c>
      <c r="D52" s="13">
        <v>40384</v>
      </c>
      <c r="E52" s="12" t="s">
        <v>9</v>
      </c>
      <c r="F52" s="14">
        <v>17</v>
      </c>
      <c r="G52" s="19">
        <v>12</v>
      </c>
    </row>
    <row r="53" spans="1:7" x14ac:dyDescent="0.3">
      <c r="A53" s="18" t="s">
        <v>117</v>
      </c>
      <c r="B53" s="12" t="s">
        <v>115</v>
      </c>
      <c r="C53" s="12" t="s">
        <v>80</v>
      </c>
      <c r="D53" s="13">
        <v>40384</v>
      </c>
      <c r="E53" s="12" t="s">
        <v>72</v>
      </c>
      <c r="F53" s="14">
        <v>24</v>
      </c>
      <c r="G53" s="19">
        <v>15</v>
      </c>
    </row>
    <row r="54" spans="1:7" x14ac:dyDescent="0.3">
      <c r="A54" s="18" t="s">
        <v>117</v>
      </c>
      <c r="B54" s="12" t="s">
        <v>115</v>
      </c>
      <c r="C54" s="12" t="s">
        <v>80</v>
      </c>
      <c r="D54" s="13">
        <v>40384</v>
      </c>
      <c r="E54" s="12" t="s">
        <v>17</v>
      </c>
      <c r="F54" s="14">
        <v>30.4</v>
      </c>
      <c r="G54" s="19">
        <v>2</v>
      </c>
    </row>
    <row r="55" spans="1:7" x14ac:dyDescent="0.3">
      <c r="A55" s="18" t="s">
        <v>110</v>
      </c>
      <c r="B55" s="12" t="s">
        <v>111</v>
      </c>
      <c r="C55" s="12" t="s">
        <v>78</v>
      </c>
      <c r="D55" s="13">
        <v>40390</v>
      </c>
      <c r="E55" s="12" t="s">
        <v>47</v>
      </c>
      <c r="F55" s="14">
        <v>13.9</v>
      </c>
      <c r="G55" s="19">
        <v>60</v>
      </c>
    </row>
    <row r="56" spans="1:7" x14ac:dyDescent="0.3">
      <c r="A56" s="18" t="s">
        <v>110</v>
      </c>
      <c r="B56" s="12" t="s">
        <v>111</v>
      </c>
      <c r="C56" s="12" t="s">
        <v>78</v>
      </c>
      <c r="D56" s="13">
        <v>40390</v>
      </c>
      <c r="E56" s="12" t="s">
        <v>21</v>
      </c>
      <c r="F56" s="14">
        <v>3.6</v>
      </c>
      <c r="G56" s="19">
        <v>28</v>
      </c>
    </row>
    <row r="57" spans="1:7" x14ac:dyDescent="0.3">
      <c r="A57" s="18" t="s">
        <v>110</v>
      </c>
      <c r="B57" s="12" t="s">
        <v>111</v>
      </c>
      <c r="C57" s="12" t="s">
        <v>78</v>
      </c>
      <c r="D57" s="13">
        <v>40390</v>
      </c>
      <c r="E57" s="12" t="s">
        <v>41</v>
      </c>
      <c r="F57" s="14">
        <v>20.7</v>
      </c>
      <c r="G57" s="19">
        <v>60</v>
      </c>
    </row>
    <row r="58" spans="1:7" x14ac:dyDescent="0.3">
      <c r="A58" s="18" t="s">
        <v>110</v>
      </c>
      <c r="B58" s="12" t="s">
        <v>111</v>
      </c>
      <c r="C58" s="12" t="s">
        <v>78</v>
      </c>
      <c r="D58" s="13">
        <v>40390</v>
      </c>
      <c r="E58" s="12" t="s">
        <v>33</v>
      </c>
      <c r="F58" s="14">
        <v>8</v>
      </c>
      <c r="G58" s="19">
        <v>36</v>
      </c>
    </row>
    <row r="59" spans="1:7" x14ac:dyDescent="0.3">
      <c r="A59" s="18" t="s">
        <v>118</v>
      </c>
      <c r="B59" s="12" t="s">
        <v>119</v>
      </c>
      <c r="C59" s="12" t="s">
        <v>82</v>
      </c>
      <c r="D59" s="13">
        <v>40413</v>
      </c>
      <c r="E59" s="12" t="s">
        <v>6</v>
      </c>
      <c r="F59" s="14">
        <v>15.2</v>
      </c>
      <c r="G59" s="19">
        <v>35</v>
      </c>
    </row>
    <row r="60" spans="1:7" x14ac:dyDescent="0.3">
      <c r="A60" s="18" t="s">
        <v>118</v>
      </c>
      <c r="B60" s="12" t="s">
        <v>119</v>
      </c>
      <c r="C60" s="12" t="s">
        <v>82</v>
      </c>
      <c r="D60" s="13">
        <v>40413</v>
      </c>
      <c r="E60" s="12" t="s">
        <v>29</v>
      </c>
      <c r="F60" s="14">
        <v>7.7</v>
      </c>
      <c r="G60" s="19">
        <v>25</v>
      </c>
    </row>
    <row r="61" spans="1:7" x14ac:dyDescent="0.3">
      <c r="A61" s="18" t="s">
        <v>120</v>
      </c>
      <c r="B61" s="12" t="s">
        <v>101</v>
      </c>
      <c r="C61" s="12" t="s">
        <v>77</v>
      </c>
      <c r="D61" s="13">
        <v>40402</v>
      </c>
      <c r="E61" s="12" t="s">
        <v>0</v>
      </c>
      <c r="F61" s="14">
        <v>31.2</v>
      </c>
      <c r="G61" s="19">
        <v>30</v>
      </c>
    </row>
    <row r="62" spans="1:7" x14ac:dyDescent="0.3">
      <c r="A62" s="18" t="s">
        <v>120</v>
      </c>
      <c r="B62" s="12" t="s">
        <v>101</v>
      </c>
      <c r="C62" s="12" t="s">
        <v>77</v>
      </c>
      <c r="D62" s="13">
        <v>40402</v>
      </c>
      <c r="E62" s="12" t="s">
        <v>45</v>
      </c>
      <c r="F62" s="14">
        <v>12</v>
      </c>
      <c r="G62" s="19">
        <v>20</v>
      </c>
    </row>
    <row r="63" spans="1:7" x14ac:dyDescent="0.3">
      <c r="A63" s="18" t="s">
        <v>121</v>
      </c>
      <c r="B63" s="12" t="s">
        <v>96</v>
      </c>
      <c r="C63" s="12" t="s">
        <v>79</v>
      </c>
      <c r="D63" s="13">
        <v>40390</v>
      </c>
      <c r="E63" s="12" t="s">
        <v>50</v>
      </c>
      <c r="F63" s="14">
        <v>30.4</v>
      </c>
      <c r="G63" s="19">
        <v>12</v>
      </c>
    </row>
    <row r="64" spans="1:7" x14ac:dyDescent="0.3">
      <c r="A64" s="18" t="s">
        <v>122</v>
      </c>
      <c r="B64" s="12" t="s">
        <v>123</v>
      </c>
      <c r="C64" s="12" t="s">
        <v>81</v>
      </c>
      <c r="D64" s="13">
        <v>40396</v>
      </c>
      <c r="E64" s="12" t="s">
        <v>2</v>
      </c>
      <c r="F64" s="14">
        <v>14.7</v>
      </c>
      <c r="G64" s="19">
        <v>50</v>
      </c>
    </row>
    <row r="65" spans="1:7" x14ac:dyDescent="0.3">
      <c r="A65" s="18" t="s">
        <v>122</v>
      </c>
      <c r="B65" s="12" t="s">
        <v>123</v>
      </c>
      <c r="C65" s="12" t="s">
        <v>81</v>
      </c>
      <c r="D65" s="13">
        <v>40396</v>
      </c>
      <c r="E65" s="12" t="s">
        <v>51</v>
      </c>
      <c r="F65" s="14">
        <v>44</v>
      </c>
      <c r="G65" s="19">
        <v>70</v>
      </c>
    </row>
    <row r="66" spans="1:7" x14ac:dyDescent="0.3">
      <c r="A66" s="18" t="s">
        <v>122</v>
      </c>
      <c r="B66" s="12" t="s">
        <v>123</v>
      </c>
      <c r="C66" s="12" t="s">
        <v>81</v>
      </c>
      <c r="D66" s="13">
        <v>40396</v>
      </c>
      <c r="E66" s="12" t="s">
        <v>31</v>
      </c>
      <c r="F66" s="14">
        <v>14.4</v>
      </c>
      <c r="G66" s="19">
        <v>15</v>
      </c>
    </row>
    <row r="67" spans="1:7" x14ac:dyDescent="0.3">
      <c r="A67" s="18" t="s">
        <v>124</v>
      </c>
      <c r="B67" s="12" t="s">
        <v>109</v>
      </c>
      <c r="C67" s="12" t="s">
        <v>80</v>
      </c>
      <c r="D67" s="13">
        <v>40392</v>
      </c>
      <c r="E67" s="12" t="s">
        <v>68</v>
      </c>
      <c r="F67" s="14">
        <v>99</v>
      </c>
      <c r="G67" s="19">
        <v>10</v>
      </c>
    </row>
    <row r="68" spans="1:7" x14ac:dyDescent="0.3">
      <c r="A68" s="18" t="s">
        <v>124</v>
      </c>
      <c r="B68" s="12" t="s">
        <v>109</v>
      </c>
      <c r="C68" s="12" t="s">
        <v>80</v>
      </c>
      <c r="D68" s="13">
        <v>40392</v>
      </c>
      <c r="E68" s="12" t="s">
        <v>40</v>
      </c>
      <c r="F68" s="14">
        <v>27.8</v>
      </c>
      <c r="G68" s="19">
        <v>4</v>
      </c>
    </row>
    <row r="69" spans="1:7" x14ac:dyDescent="0.3">
      <c r="A69" s="18" t="s">
        <v>125</v>
      </c>
      <c r="B69" s="12" t="s">
        <v>115</v>
      </c>
      <c r="C69" s="12" t="s">
        <v>85</v>
      </c>
      <c r="D69" s="13">
        <v>40399</v>
      </c>
      <c r="E69" s="12" t="s">
        <v>15</v>
      </c>
      <c r="F69" s="14">
        <v>2</v>
      </c>
      <c r="G69" s="19">
        <v>60</v>
      </c>
    </row>
    <row r="70" spans="1:7" x14ac:dyDescent="0.3">
      <c r="A70" s="18" t="s">
        <v>125</v>
      </c>
      <c r="B70" s="12" t="s">
        <v>115</v>
      </c>
      <c r="C70" s="12" t="s">
        <v>85</v>
      </c>
      <c r="D70" s="13">
        <v>40399</v>
      </c>
      <c r="E70" s="12" t="s">
        <v>40</v>
      </c>
      <c r="F70" s="14">
        <v>27.8</v>
      </c>
      <c r="G70" s="19">
        <v>20</v>
      </c>
    </row>
    <row r="71" spans="1:7" x14ac:dyDescent="0.3">
      <c r="A71" s="18" t="s">
        <v>121</v>
      </c>
      <c r="B71" s="12" t="s">
        <v>96</v>
      </c>
      <c r="C71" s="12" t="s">
        <v>83</v>
      </c>
      <c r="D71" s="13">
        <v>40392</v>
      </c>
      <c r="E71" s="12" t="s">
        <v>27</v>
      </c>
      <c r="F71" s="14">
        <v>15.2</v>
      </c>
      <c r="G71" s="19">
        <v>30</v>
      </c>
    </row>
    <row r="72" spans="1:7" x14ac:dyDescent="0.3">
      <c r="A72" s="18" t="s">
        <v>121</v>
      </c>
      <c r="B72" s="12" t="s">
        <v>96</v>
      </c>
      <c r="C72" s="12" t="s">
        <v>83</v>
      </c>
      <c r="D72" s="13">
        <v>40392</v>
      </c>
      <c r="E72" s="12" t="s">
        <v>28</v>
      </c>
      <c r="F72" s="14">
        <v>36.799999999999997</v>
      </c>
      <c r="G72" s="19">
        <v>25</v>
      </c>
    </row>
    <row r="73" spans="1:7" x14ac:dyDescent="0.3">
      <c r="A73" s="18" t="s">
        <v>126</v>
      </c>
      <c r="B73" s="12" t="s">
        <v>115</v>
      </c>
      <c r="C73" s="12" t="s">
        <v>82</v>
      </c>
      <c r="D73" s="13">
        <v>40420</v>
      </c>
      <c r="E73" s="12" t="s">
        <v>15</v>
      </c>
      <c r="F73" s="14">
        <v>2</v>
      </c>
      <c r="G73" s="19">
        <v>24</v>
      </c>
    </row>
    <row r="74" spans="1:7" x14ac:dyDescent="0.3">
      <c r="A74" s="18" t="s">
        <v>117</v>
      </c>
      <c r="B74" s="12" t="s">
        <v>115</v>
      </c>
      <c r="C74" s="12" t="s">
        <v>82</v>
      </c>
      <c r="D74" s="13">
        <v>40396</v>
      </c>
      <c r="E74" s="12" t="s">
        <v>61</v>
      </c>
      <c r="F74" s="14">
        <v>64.8</v>
      </c>
      <c r="G74" s="19">
        <v>6</v>
      </c>
    </row>
    <row r="75" spans="1:7" x14ac:dyDescent="0.3">
      <c r="A75" s="18" t="s">
        <v>117</v>
      </c>
      <c r="B75" s="12" t="s">
        <v>115</v>
      </c>
      <c r="C75" s="12" t="s">
        <v>82</v>
      </c>
      <c r="D75" s="13">
        <v>40396</v>
      </c>
      <c r="E75" s="12" t="s">
        <v>18</v>
      </c>
      <c r="F75" s="14">
        <v>10</v>
      </c>
      <c r="G75" s="19">
        <v>40</v>
      </c>
    </row>
    <row r="76" spans="1:7" x14ac:dyDescent="0.3">
      <c r="A76" s="18" t="s">
        <v>117</v>
      </c>
      <c r="B76" s="12" t="s">
        <v>115</v>
      </c>
      <c r="C76" s="12" t="s">
        <v>82</v>
      </c>
      <c r="D76" s="13">
        <v>40396</v>
      </c>
      <c r="E76" s="12" t="s">
        <v>40</v>
      </c>
      <c r="F76" s="14">
        <v>27.8</v>
      </c>
      <c r="G76" s="19">
        <v>24</v>
      </c>
    </row>
    <row r="77" spans="1:7" x14ac:dyDescent="0.3">
      <c r="A77" s="18" t="s">
        <v>127</v>
      </c>
      <c r="B77" s="12" t="s">
        <v>123</v>
      </c>
      <c r="C77" s="12" t="s">
        <v>79</v>
      </c>
      <c r="D77" s="13">
        <v>40402</v>
      </c>
      <c r="E77" s="12" t="s">
        <v>26</v>
      </c>
      <c r="F77" s="14">
        <v>24.8</v>
      </c>
      <c r="G77" s="19">
        <v>24</v>
      </c>
    </row>
    <row r="78" spans="1:7" x14ac:dyDescent="0.3">
      <c r="A78" s="18" t="s">
        <v>127</v>
      </c>
      <c r="B78" s="12" t="s">
        <v>123</v>
      </c>
      <c r="C78" s="12" t="s">
        <v>79</v>
      </c>
      <c r="D78" s="13">
        <v>40402</v>
      </c>
      <c r="E78" s="12" t="s">
        <v>18</v>
      </c>
      <c r="F78" s="14">
        <v>10</v>
      </c>
      <c r="G78" s="19">
        <v>15</v>
      </c>
    </row>
    <row r="79" spans="1:7" x14ac:dyDescent="0.3">
      <c r="A79" s="18" t="s">
        <v>127</v>
      </c>
      <c r="B79" s="12" t="s">
        <v>123</v>
      </c>
      <c r="C79" s="12" t="s">
        <v>79</v>
      </c>
      <c r="D79" s="13">
        <v>40402</v>
      </c>
      <c r="E79" s="12" t="s">
        <v>15</v>
      </c>
      <c r="F79" s="14">
        <v>2</v>
      </c>
      <c r="G79" s="19">
        <v>20</v>
      </c>
    </row>
    <row r="80" spans="1:7" x14ac:dyDescent="0.3">
      <c r="A80" s="18" t="s">
        <v>127</v>
      </c>
      <c r="B80" s="12" t="s">
        <v>123</v>
      </c>
      <c r="C80" s="12" t="s">
        <v>79</v>
      </c>
      <c r="D80" s="13">
        <v>40402</v>
      </c>
      <c r="E80" s="12" t="s">
        <v>2</v>
      </c>
      <c r="F80" s="14">
        <v>14.7</v>
      </c>
      <c r="G80" s="19">
        <v>60</v>
      </c>
    </row>
    <row r="81" spans="1:7" x14ac:dyDescent="0.3">
      <c r="A81" s="18" t="s">
        <v>127</v>
      </c>
      <c r="B81" s="12" t="s">
        <v>123</v>
      </c>
      <c r="C81" s="12" t="s">
        <v>79</v>
      </c>
      <c r="D81" s="13">
        <v>40402</v>
      </c>
      <c r="E81" s="12" t="s">
        <v>31</v>
      </c>
      <c r="F81" s="14">
        <v>14.4</v>
      </c>
      <c r="G81" s="19">
        <v>33</v>
      </c>
    </row>
    <row r="82" spans="1:7" x14ac:dyDescent="0.3">
      <c r="A82" s="18" t="s">
        <v>128</v>
      </c>
      <c r="B82" s="12" t="s">
        <v>101</v>
      </c>
      <c r="C82" s="12" t="s">
        <v>82</v>
      </c>
      <c r="D82" s="13">
        <v>40406</v>
      </c>
      <c r="E82" s="12" t="s">
        <v>14</v>
      </c>
      <c r="F82" s="14">
        <v>17.2</v>
      </c>
      <c r="G82" s="19">
        <v>20</v>
      </c>
    </row>
    <row r="83" spans="1:7" x14ac:dyDescent="0.3">
      <c r="A83" s="18" t="s">
        <v>128</v>
      </c>
      <c r="B83" s="12" t="s">
        <v>101</v>
      </c>
      <c r="C83" s="12" t="s">
        <v>82</v>
      </c>
      <c r="D83" s="13">
        <v>40406</v>
      </c>
      <c r="E83" s="12" t="s">
        <v>40</v>
      </c>
      <c r="F83" s="14">
        <v>27.8</v>
      </c>
      <c r="G83" s="19">
        <v>7</v>
      </c>
    </row>
    <row r="84" spans="1:7" x14ac:dyDescent="0.3">
      <c r="A84" s="18" t="s">
        <v>129</v>
      </c>
      <c r="B84" s="12" t="s">
        <v>130</v>
      </c>
      <c r="C84" s="12" t="s">
        <v>83</v>
      </c>
      <c r="D84" s="13">
        <v>40399</v>
      </c>
      <c r="E84" s="12" t="s">
        <v>21</v>
      </c>
      <c r="F84" s="14">
        <v>3.6</v>
      </c>
      <c r="G84" s="19">
        <v>12</v>
      </c>
    </row>
    <row r="85" spans="1:7" x14ac:dyDescent="0.3">
      <c r="A85" s="18" t="s">
        <v>129</v>
      </c>
      <c r="B85" s="12" t="s">
        <v>130</v>
      </c>
      <c r="C85" s="12" t="s">
        <v>83</v>
      </c>
      <c r="D85" s="13">
        <v>40399</v>
      </c>
      <c r="E85" s="12" t="s">
        <v>51</v>
      </c>
      <c r="F85" s="14">
        <v>44</v>
      </c>
      <c r="G85" s="19">
        <v>6</v>
      </c>
    </row>
    <row r="86" spans="1:7" x14ac:dyDescent="0.3">
      <c r="A86" s="18" t="s">
        <v>131</v>
      </c>
      <c r="B86" s="12" t="s">
        <v>113</v>
      </c>
      <c r="C86" s="12" t="s">
        <v>80</v>
      </c>
      <c r="D86" s="13">
        <v>40404</v>
      </c>
      <c r="E86" s="12" t="s">
        <v>26</v>
      </c>
      <c r="F86" s="14">
        <v>24.8</v>
      </c>
      <c r="G86" s="19">
        <v>15</v>
      </c>
    </row>
    <row r="87" spans="1:7" x14ac:dyDescent="0.3">
      <c r="A87" s="18" t="s">
        <v>131</v>
      </c>
      <c r="B87" s="12" t="s">
        <v>113</v>
      </c>
      <c r="C87" s="12" t="s">
        <v>80</v>
      </c>
      <c r="D87" s="13">
        <v>40404</v>
      </c>
      <c r="E87" s="12" t="s">
        <v>30</v>
      </c>
      <c r="F87" s="14">
        <v>4.8</v>
      </c>
      <c r="G87" s="19">
        <v>10</v>
      </c>
    </row>
    <row r="88" spans="1:7" x14ac:dyDescent="0.3">
      <c r="A88" s="18" t="s">
        <v>132</v>
      </c>
      <c r="B88" s="12" t="s">
        <v>123</v>
      </c>
      <c r="C88" s="12" t="s">
        <v>77</v>
      </c>
      <c r="D88" s="13">
        <v>40403</v>
      </c>
      <c r="E88" s="12" t="s">
        <v>56</v>
      </c>
      <c r="F88" s="14">
        <v>36.4</v>
      </c>
      <c r="G88" s="19">
        <v>20</v>
      </c>
    </row>
    <row r="89" spans="1:7" x14ac:dyDescent="0.3">
      <c r="A89" s="18" t="s">
        <v>132</v>
      </c>
      <c r="B89" s="12" t="s">
        <v>123</v>
      </c>
      <c r="C89" s="12" t="s">
        <v>77</v>
      </c>
      <c r="D89" s="13">
        <v>40403</v>
      </c>
      <c r="E89" s="12" t="s">
        <v>66</v>
      </c>
      <c r="F89" s="14">
        <v>39.4</v>
      </c>
      <c r="G89" s="19">
        <v>12</v>
      </c>
    </row>
    <row r="90" spans="1:7" x14ac:dyDescent="0.3">
      <c r="A90" s="18" t="s">
        <v>133</v>
      </c>
      <c r="B90" s="12" t="s">
        <v>119</v>
      </c>
      <c r="C90" s="12" t="s">
        <v>80</v>
      </c>
      <c r="D90" s="13">
        <v>40406</v>
      </c>
      <c r="E90" s="12" t="s">
        <v>23</v>
      </c>
      <c r="F90" s="14">
        <v>15.5</v>
      </c>
      <c r="G90" s="19">
        <v>16</v>
      </c>
    </row>
    <row r="91" spans="1:7" x14ac:dyDescent="0.3">
      <c r="A91" s="18" t="s">
        <v>133</v>
      </c>
      <c r="B91" s="12" t="s">
        <v>119</v>
      </c>
      <c r="C91" s="12" t="s">
        <v>80</v>
      </c>
      <c r="D91" s="13">
        <v>40406</v>
      </c>
      <c r="E91" s="12" t="s">
        <v>51</v>
      </c>
      <c r="F91" s="14">
        <v>44</v>
      </c>
      <c r="G91" s="19">
        <v>15</v>
      </c>
    </row>
    <row r="92" spans="1:7" x14ac:dyDescent="0.3">
      <c r="A92" s="18" t="s">
        <v>133</v>
      </c>
      <c r="B92" s="12" t="s">
        <v>119</v>
      </c>
      <c r="C92" s="12" t="s">
        <v>80</v>
      </c>
      <c r="D92" s="13">
        <v>40406</v>
      </c>
      <c r="E92" s="12" t="s">
        <v>74</v>
      </c>
      <c r="F92" s="14">
        <v>35.1</v>
      </c>
      <c r="G92" s="19">
        <v>8</v>
      </c>
    </row>
    <row r="93" spans="1:7" x14ac:dyDescent="0.3">
      <c r="A93" s="18" t="s">
        <v>133</v>
      </c>
      <c r="B93" s="12" t="s">
        <v>119</v>
      </c>
      <c r="C93" s="12" t="s">
        <v>80</v>
      </c>
      <c r="D93" s="13">
        <v>40406</v>
      </c>
      <c r="E93" s="12" t="s">
        <v>54</v>
      </c>
      <c r="F93" s="14">
        <v>12</v>
      </c>
      <c r="G93" s="19">
        <v>25</v>
      </c>
    </row>
    <row r="94" spans="1:7" x14ac:dyDescent="0.3">
      <c r="A94" s="18" t="s">
        <v>134</v>
      </c>
      <c r="B94" s="12" t="s">
        <v>123</v>
      </c>
      <c r="C94" s="12" t="s">
        <v>80</v>
      </c>
      <c r="D94" s="13">
        <v>40406</v>
      </c>
      <c r="E94" s="12" t="s">
        <v>0</v>
      </c>
      <c r="F94" s="14">
        <v>31.2</v>
      </c>
      <c r="G94" s="19">
        <v>15</v>
      </c>
    </row>
    <row r="95" spans="1:7" x14ac:dyDescent="0.3">
      <c r="A95" s="18" t="s">
        <v>133</v>
      </c>
      <c r="B95" s="12" t="s">
        <v>119</v>
      </c>
      <c r="C95" s="12" t="s">
        <v>77</v>
      </c>
      <c r="D95" s="13">
        <v>40433</v>
      </c>
      <c r="E95" s="12" t="s">
        <v>21</v>
      </c>
      <c r="F95" s="14">
        <v>3.6</v>
      </c>
      <c r="G95" s="19">
        <v>12</v>
      </c>
    </row>
    <row r="96" spans="1:7" x14ac:dyDescent="0.3">
      <c r="A96" s="18" t="s">
        <v>133</v>
      </c>
      <c r="B96" s="12" t="s">
        <v>119</v>
      </c>
      <c r="C96" s="12" t="s">
        <v>77</v>
      </c>
      <c r="D96" s="13">
        <v>40433</v>
      </c>
      <c r="E96" s="12" t="s">
        <v>46</v>
      </c>
      <c r="F96" s="14">
        <v>19.2</v>
      </c>
      <c r="G96" s="19">
        <v>20</v>
      </c>
    </row>
    <row r="97" spans="1:7" x14ac:dyDescent="0.3">
      <c r="A97" s="18" t="s">
        <v>133</v>
      </c>
      <c r="B97" s="12" t="s">
        <v>119</v>
      </c>
      <c r="C97" s="12" t="s">
        <v>77</v>
      </c>
      <c r="D97" s="13">
        <v>40433</v>
      </c>
      <c r="E97" s="12" t="s">
        <v>53</v>
      </c>
      <c r="F97" s="14">
        <v>6.2</v>
      </c>
      <c r="G97" s="19">
        <v>30</v>
      </c>
    </row>
    <row r="98" spans="1:7" x14ac:dyDescent="0.3">
      <c r="A98" s="18" t="s">
        <v>135</v>
      </c>
      <c r="B98" s="12" t="s">
        <v>136</v>
      </c>
      <c r="C98" s="12" t="s">
        <v>81</v>
      </c>
      <c r="D98" s="13">
        <v>40411</v>
      </c>
      <c r="E98" s="12" t="s">
        <v>67</v>
      </c>
      <c r="F98" s="14">
        <v>7.3</v>
      </c>
      <c r="G98" s="19">
        <v>1</v>
      </c>
    </row>
    <row r="99" spans="1:7" x14ac:dyDescent="0.3">
      <c r="A99" s="18" t="s">
        <v>135</v>
      </c>
      <c r="B99" s="12" t="s">
        <v>136</v>
      </c>
      <c r="C99" s="12" t="s">
        <v>81</v>
      </c>
      <c r="D99" s="13">
        <v>40411</v>
      </c>
      <c r="E99" s="12" t="s">
        <v>21</v>
      </c>
      <c r="F99" s="14">
        <v>3.6</v>
      </c>
      <c r="G99" s="19">
        <v>6</v>
      </c>
    </row>
    <row r="100" spans="1:7" x14ac:dyDescent="0.3">
      <c r="A100" s="18" t="s">
        <v>135</v>
      </c>
      <c r="B100" s="12" t="s">
        <v>136</v>
      </c>
      <c r="C100" s="12" t="s">
        <v>81</v>
      </c>
      <c r="D100" s="13">
        <v>40411</v>
      </c>
      <c r="E100" s="12" t="s">
        <v>65</v>
      </c>
      <c r="F100" s="14">
        <v>14.4</v>
      </c>
      <c r="G100" s="19">
        <v>4</v>
      </c>
    </row>
    <row r="101" spans="1:7" x14ac:dyDescent="0.3">
      <c r="A101" s="18" t="s">
        <v>135</v>
      </c>
      <c r="B101" s="12" t="s">
        <v>136</v>
      </c>
      <c r="C101" s="12" t="s">
        <v>81</v>
      </c>
      <c r="D101" s="13">
        <v>40411</v>
      </c>
      <c r="E101" s="12" t="s">
        <v>41</v>
      </c>
      <c r="F101" s="14">
        <v>20.7</v>
      </c>
      <c r="G101" s="19">
        <v>6</v>
      </c>
    </row>
    <row r="102" spans="1:7" x14ac:dyDescent="0.3">
      <c r="A102" s="18" t="s">
        <v>135</v>
      </c>
      <c r="B102" s="12" t="s">
        <v>136</v>
      </c>
      <c r="C102" s="12" t="s">
        <v>81</v>
      </c>
      <c r="D102" s="13">
        <v>40411</v>
      </c>
      <c r="E102" s="12" t="s">
        <v>52</v>
      </c>
      <c r="F102" s="14">
        <v>15.6</v>
      </c>
      <c r="G102" s="19">
        <v>2</v>
      </c>
    </row>
    <row r="103" spans="1:7" x14ac:dyDescent="0.3">
      <c r="A103" s="18" t="s">
        <v>137</v>
      </c>
      <c r="B103" s="12" t="s">
        <v>109</v>
      </c>
      <c r="C103" s="12" t="s">
        <v>79</v>
      </c>
      <c r="D103" s="13">
        <v>40413</v>
      </c>
      <c r="E103" s="12" t="s">
        <v>16</v>
      </c>
      <c r="F103" s="14">
        <v>12.4</v>
      </c>
      <c r="G103" s="19">
        <v>20</v>
      </c>
    </row>
    <row r="104" spans="1:7" x14ac:dyDescent="0.3">
      <c r="A104" s="18" t="s">
        <v>137</v>
      </c>
      <c r="B104" s="12" t="s">
        <v>109</v>
      </c>
      <c r="C104" s="12" t="s">
        <v>79</v>
      </c>
      <c r="D104" s="13">
        <v>40413</v>
      </c>
      <c r="E104" s="12" t="s">
        <v>67</v>
      </c>
      <c r="F104" s="14">
        <v>7.3</v>
      </c>
      <c r="G104" s="19">
        <v>18</v>
      </c>
    </row>
    <row r="105" spans="1:7" x14ac:dyDescent="0.3">
      <c r="A105" s="18" t="s">
        <v>137</v>
      </c>
      <c r="B105" s="12" t="s">
        <v>109</v>
      </c>
      <c r="C105" s="12" t="s">
        <v>79</v>
      </c>
      <c r="D105" s="13">
        <v>40413</v>
      </c>
      <c r="E105" s="12" t="s">
        <v>3</v>
      </c>
      <c r="F105" s="14">
        <v>27.2</v>
      </c>
      <c r="G105" s="19">
        <v>35</v>
      </c>
    </row>
    <row r="106" spans="1:7" x14ac:dyDescent="0.3">
      <c r="A106" s="18" t="s">
        <v>137</v>
      </c>
      <c r="B106" s="12" t="s">
        <v>109</v>
      </c>
      <c r="C106" s="12" t="s">
        <v>79</v>
      </c>
      <c r="D106" s="13">
        <v>40413</v>
      </c>
      <c r="E106" s="12" t="s">
        <v>40</v>
      </c>
      <c r="F106" s="14">
        <v>27.8</v>
      </c>
      <c r="G106" s="19">
        <v>3</v>
      </c>
    </row>
    <row r="107" spans="1:7" x14ac:dyDescent="0.3">
      <c r="A107" s="18" t="s">
        <v>134</v>
      </c>
      <c r="B107" s="12" t="s">
        <v>123</v>
      </c>
      <c r="C107" s="12" t="s">
        <v>81</v>
      </c>
      <c r="D107" s="13">
        <v>40417</v>
      </c>
      <c r="E107" s="12" t="s">
        <v>58</v>
      </c>
      <c r="F107" s="14">
        <v>35.1</v>
      </c>
      <c r="G107" s="19">
        <v>15</v>
      </c>
    </row>
    <row r="108" spans="1:7" x14ac:dyDescent="0.3">
      <c r="A108" s="18" t="s">
        <v>134</v>
      </c>
      <c r="B108" s="12" t="s">
        <v>123</v>
      </c>
      <c r="C108" s="12" t="s">
        <v>81</v>
      </c>
      <c r="D108" s="13">
        <v>40417</v>
      </c>
      <c r="E108" s="12" t="s">
        <v>23</v>
      </c>
      <c r="F108" s="14">
        <v>15.5</v>
      </c>
      <c r="G108" s="19">
        <v>21</v>
      </c>
    </row>
    <row r="109" spans="1:7" x14ac:dyDescent="0.3">
      <c r="A109" s="18" t="s">
        <v>134</v>
      </c>
      <c r="B109" s="12" t="s">
        <v>123</v>
      </c>
      <c r="C109" s="12" t="s">
        <v>81</v>
      </c>
      <c r="D109" s="13">
        <v>40417</v>
      </c>
      <c r="E109" s="12" t="s">
        <v>3</v>
      </c>
      <c r="F109" s="14">
        <v>27.2</v>
      </c>
      <c r="G109" s="19">
        <v>20</v>
      </c>
    </row>
    <row r="110" spans="1:7" x14ac:dyDescent="0.3">
      <c r="A110" s="18" t="s">
        <v>134</v>
      </c>
      <c r="B110" s="12" t="s">
        <v>123</v>
      </c>
      <c r="C110" s="12" t="s">
        <v>81</v>
      </c>
      <c r="D110" s="13">
        <v>40417</v>
      </c>
      <c r="E110" s="12" t="s">
        <v>32</v>
      </c>
      <c r="F110" s="14">
        <v>11.2</v>
      </c>
      <c r="G110" s="19">
        <v>5</v>
      </c>
    </row>
    <row r="111" spans="1:7" x14ac:dyDescent="0.3">
      <c r="A111" s="18" t="s">
        <v>127</v>
      </c>
      <c r="B111" s="12" t="s">
        <v>123</v>
      </c>
      <c r="C111" s="12" t="s">
        <v>83</v>
      </c>
      <c r="D111" s="13">
        <v>40416</v>
      </c>
      <c r="E111" s="12" t="s">
        <v>5</v>
      </c>
      <c r="F111" s="14">
        <v>14.4</v>
      </c>
      <c r="G111" s="19">
        <v>45</v>
      </c>
    </row>
    <row r="112" spans="1:7" x14ac:dyDescent="0.3">
      <c r="A112" s="18" t="s">
        <v>127</v>
      </c>
      <c r="B112" s="12" t="s">
        <v>123</v>
      </c>
      <c r="C112" s="12" t="s">
        <v>83</v>
      </c>
      <c r="D112" s="13">
        <v>40416</v>
      </c>
      <c r="E112" s="12" t="s">
        <v>2</v>
      </c>
      <c r="F112" s="14">
        <v>14.7</v>
      </c>
      <c r="G112" s="19">
        <v>40</v>
      </c>
    </row>
    <row r="113" spans="1:7" x14ac:dyDescent="0.3">
      <c r="A113" s="18" t="s">
        <v>127</v>
      </c>
      <c r="B113" s="12" t="s">
        <v>123</v>
      </c>
      <c r="C113" s="12" t="s">
        <v>83</v>
      </c>
      <c r="D113" s="13">
        <v>40416</v>
      </c>
      <c r="E113" s="12" t="s">
        <v>48</v>
      </c>
      <c r="F113" s="14">
        <v>26.2</v>
      </c>
      <c r="G113" s="19">
        <v>36</v>
      </c>
    </row>
    <row r="114" spans="1:7" x14ac:dyDescent="0.3">
      <c r="A114" s="18" t="s">
        <v>127</v>
      </c>
      <c r="B114" s="12" t="s">
        <v>123</v>
      </c>
      <c r="C114" s="12" t="s">
        <v>80</v>
      </c>
      <c r="D114" s="13">
        <v>40420</v>
      </c>
      <c r="E114" s="12" t="s">
        <v>65</v>
      </c>
      <c r="F114" s="14">
        <v>14.4</v>
      </c>
      <c r="G114" s="19">
        <v>100</v>
      </c>
    </row>
    <row r="115" spans="1:7" x14ac:dyDescent="0.3">
      <c r="A115" s="18" t="s">
        <v>127</v>
      </c>
      <c r="B115" s="12" t="s">
        <v>123</v>
      </c>
      <c r="C115" s="12" t="s">
        <v>80</v>
      </c>
      <c r="D115" s="13">
        <v>40420</v>
      </c>
      <c r="E115" s="12" t="s">
        <v>66</v>
      </c>
      <c r="F115" s="14">
        <v>39.4</v>
      </c>
      <c r="G115" s="19">
        <v>40</v>
      </c>
    </row>
    <row r="116" spans="1:7" x14ac:dyDescent="0.3">
      <c r="A116" s="18" t="s">
        <v>138</v>
      </c>
      <c r="B116" s="12" t="s">
        <v>98</v>
      </c>
      <c r="C116" s="12" t="s">
        <v>80</v>
      </c>
      <c r="D116" s="13">
        <v>40418</v>
      </c>
      <c r="E116" s="12" t="s">
        <v>47</v>
      </c>
      <c r="F116" s="14">
        <v>13.9</v>
      </c>
      <c r="G116" s="19">
        <v>40</v>
      </c>
    </row>
    <row r="117" spans="1:7" x14ac:dyDescent="0.3">
      <c r="A117" s="18" t="s">
        <v>138</v>
      </c>
      <c r="B117" s="12" t="s">
        <v>98</v>
      </c>
      <c r="C117" s="12" t="s">
        <v>80</v>
      </c>
      <c r="D117" s="13">
        <v>40418</v>
      </c>
      <c r="E117" s="12" t="s">
        <v>57</v>
      </c>
      <c r="F117" s="14">
        <v>11.2</v>
      </c>
      <c r="G117" s="19">
        <v>20</v>
      </c>
    </row>
    <row r="118" spans="1:7" x14ac:dyDescent="0.3">
      <c r="A118" s="18" t="s">
        <v>138</v>
      </c>
      <c r="B118" s="12" t="s">
        <v>98</v>
      </c>
      <c r="C118" s="12" t="s">
        <v>80</v>
      </c>
      <c r="D118" s="13">
        <v>40418</v>
      </c>
      <c r="E118" s="12" t="s">
        <v>64</v>
      </c>
      <c r="F118" s="14">
        <v>9.6</v>
      </c>
      <c r="G118" s="19">
        <v>15</v>
      </c>
    </row>
    <row r="119" spans="1:7" x14ac:dyDescent="0.3">
      <c r="A119" s="18" t="s">
        <v>139</v>
      </c>
      <c r="B119" s="12" t="s">
        <v>130</v>
      </c>
      <c r="C119" s="12" t="s">
        <v>81</v>
      </c>
      <c r="D119" s="13">
        <v>40424</v>
      </c>
      <c r="E119" s="12" t="s">
        <v>70</v>
      </c>
      <c r="F119" s="14">
        <v>5.9</v>
      </c>
      <c r="G119" s="19">
        <v>10</v>
      </c>
    </row>
    <row r="120" spans="1:7" x14ac:dyDescent="0.3">
      <c r="A120" s="18" t="s">
        <v>139</v>
      </c>
      <c r="B120" s="12" t="s">
        <v>130</v>
      </c>
      <c r="C120" s="12" t="s">
        <v>81</v>
      </c>
      <c r="D120" s="13">
        <v>40424</v>
      </c>
      <c r="E120" s="12" t="s">
        <v>59</v>
      </c>
      <c r="F120" s="14">
        <v>10</v>
      </c>
      <c r="G120" s="19">
        <v>3</v>
      </c>
    </row>
    <row r="121" spans="1:7" x14ac:dyDescent="0.3">
      <c r="A121" s="18" t="s">
        <v>140</v>
      </c>
      <c r="B121" s="12" t="s">
        <v>141</v>
      </c>
      <c r="C121" s="12" t="s">
        <v>84</v>
      </c>
      <c r="D121" s="13">
        <v>40418</v>
      </c>
      <c r="E121" s="12" t="s">
        <v>1</v>
      </c>
      <c r="F121" s="14">
        <v>8</v>
      </c>
      <c r="G121" s="19">
        <v>30</v>
      </c>
    </row>
    <row r="122" spans="1:7" x14ac:dyDescent="0.3">
      <c r="A122" s="18" t="s">
        <v>140</v>
      </c>
      <c r="B122" s="12" t="s">
        <v>141</v>
      </c>
      <c r="C122" s="12" t="s">
        <v>84</v>
      </c>
      <c r="D122" s="13">
        <v>40418</v>
      </c>
      <c r="E122" s="12" t="s">
        <v>75</v>
      </c>
      <c r="F122" s="14">
        <v>26.6</v>
      </c>
      <c r="G122" s="19">
        <v>9</v>
      </c>
    </row>
    <row r="123" spans="1:7" x14ac:dyDescent="0.3">
      <c r="A123" s="18" t="s">
        <v>142</v>
      </c>
      <c r="B123" s="12" t="s">
        <v>98</v>
      </c>
      <c r="C123" s="12" t="s">
        <v>80</v>
      </c>
      <c r="D123" s="13">
        <v>40424</v>
      </c>
      <c r="E123" s="12" t="s">
        <v>9</v>
      </c>
      <c r="F123" s="14">
        <v>17</v>
      </c>
      <c r="G123" s="19">
        <v>20</v>
      </c>
    </row>
    <row r="124" spans="1:7" x14ac:dyDescent="0.3">
      <c r="A124" s="18" t="s">
        <v>142</v>
      </c>
      <c r="B124" s="12" t="s">
        <v>98</v>
      </c>
      <c r="C124" s="12" t="s">
        <v>80</v>
      </c>
      <c r="D124" s="13">
        <v>40424</v>
      </c>
      <c r="E124" s="12" t="s">
        <v>68</v>
      </c>
      <c r="F124" s="14">
        <v>99</v>
      </c>
      <c r="G124" s="19">
        <v>15</v>
      </c>
    </row>
    <row r="125" spans="1:7" x14ac:dyDescent="0.3">
      <c r="A125" s="18" t="s">
        <v>142</v>
      </c>
      <c r="B125" s="12" t="s">
        <v>98</v>
      </c>
      <c r="C125" s="12" t="s">
        <v>80</v>
      </c>
      <c r="D125" s="13">
        <v>40424</v>
      </c>
      <c r="E125" s="12" t="s">
        <v>38</v>
      </c>
      <c r="F125" s="14">
        <v>16</v>
      </c>
      <c r="G125" s="19">
        <v>15</v>
      </c>
    </row>
    <row r="126" spans="1:7" x14ac:dyDescent="0.3">
      <c r="A126" s="18" t="s">
        <v>142</v>
      </c>
      <c r="B126" s="12" t="s">
        <v>98</v>
      </c>
      <c r="C126" s="12" t="s">
        <v>80</v>
      </c>
      <c r="D126" s="13">
        <v>40424</v>
      </c>
      <c r="E126" s="12" t="s">
        <v>44</v>
      </c>
      <c r="F126" s="14">
        <v>10.4</v>
      </c>
      <c r="G126" s="19">
        <v>10</v>
      </c>
    </row>
    <row r="127" spans="1:7" x14ac:dyDescent="0.3">
      <c r="A127" s="18" t="s">
        <v>116</v>
      </c>
      <c r="B127" s="12" t="s">
        <v>98</v>
      </c>
      <c r="C127" s="12" t="s">
        <v>82</v>
      </c>
      <c r="D127" s="13">
        <v>40425</v>
      </c>
      <c r="E127" s="12" t="s">
        <v>30</v>
      </c>
      <c r="F127" s="14">
        <v>4.8</v>
      </c>
      <c r="G127" s="19">
        <v>20</v>
      </c>
    </row>
    <row r="128" spans="1:7" x14ac:dyDescent="0.3">
      <c r="A128" s="18" t="s">
        <v>116</v>
      </c>
      <c r="B128" s="12" t="s">
        <v>98</v>
      </c>
      <c r="C128" s="12" t="s">
        <v>82</v>
      </c>
      <c r="D128" s="13">
        <v>40425</v>
      </c>
      <c r="E128" s="12" t="s">
        <v>23</v>
      </c>
      <c r="F128" s="14">
        <v>15.5</v>
      </c>
      <c r="G128" s="19">
        <v>24</v>
      </c>
    </row>
    <row r="129" spans="1:7" x14ac:dyDescent="0.3">
      <c r="A129" s="18" t="s">
        <v>116</v>
      </c>
      <c r="B129" s="12" t="s">
        <v>98</v>
      </c>
      <c r="C129" s="12" t="s">
        <v>82</v>
      </c>
      <c r="D129" s="13">
        <v>40425</v>
      </c>
      <c r="E129" s="12" t="s">
        <v>36</v>
      </c>
      <c r="F129" s="14">
        <v>42.4</v>
      </c>
      <c r="G129" s="19">
        <v>2</v>
      </c>
    </row>
    <row r="130" spans="1:7" x14ac:dyDescent="0.3">
      <c r="A130" s="18" t="s">
        <v>97</v>
      </c>
      <c r="B130" s="12" t="s">
        <v>98</v>
      </c>
      <c r="C130" s="12" t="s">
        <v>83</v>
      </c>
      <c r="D130" s="13">
        <v>40423</v>
      </c>
      <c r="E130" s="12" t="s">
        <v>61</v>
      </c>
      <c r="F130" s="14">
        <v>64.8</v>
      </c>
      <c r="G130" s="19">
        <v>20</v>
      </c>
    </row>
    <row r="131" spans="1:7" x14ac:dyDescent="0.3">
      <c r="A131" s="18" t="s">
        <v>131</v>
      </c>
      <c r="B131" s="12" t="s">
        <v>113</v>
      </c>
      <c r="C131" s="12" t="s">
        <v>83</v>
      </c>
      <c r="D131" s="13">
        <v>40432</v>
      </c>
      <c r="E131" s="12" t="s">
        <v>4</v>
      </c>
      <c r="F131" s="14">
        <v>50</v>
      </c>
      <c r="G131" s="19">
        <v>12</v>
      </c>
    </row>
    <row r="132" spans="1:7" x14ac:dyDescent="0.3">
      <c r="A132" s="18" t="s">
        <v>131</v>
      </c>
      <c r="B132" s="12" t="s">
        <v>113</v>
      </c>
      <c r="C132" s="12" t="s">
        <v>83</v>
      </c>
      <c r="D132" s="13">
        <v>40432</v>
      </c>
      <c r="E132" s="12" t="s">
        <v>21</v>
      </c>
      <c r="F132" s="14">
        <v>3.6</v>
      </c>
      <c r="G132" s="19">
        <v>10</v>
      </c>
    </row>
    <row r="133" spans="1:7" x14ac:dyDescent="0.3">
      <c r="A133" s="18" t="s">
        <v>131</v>
      </c>
      <c r="B133" s="12" t="s">
        <v>113</v>
      </c>
      <c r="C133" s="12" t="s">
        <v>83</v>
      </c>
      <c r="D133" s="13">
        <v>40432</v>
      </c>
      <c r="E133" s="12" t="s">
        <v>74</v>
      </c>
      <c r="F133" s="14">
        <v>35.1</v>
      </c>
      <c r="G133" s="19">
        <v>5</v>
      </c>
    </row>
    <row r="134" spans="1:7" x14ac:dyDescent="0.3">
      <c r="A134" s="18" t="s">
        <v>131</v>
      </c>
      <c r="B134" s="12" t="s">
        <v>113</v>
      </c>
      <c r="C134" s="12" t="s">
        <v>83</v>
      </c>
      <c r="D134" s="13">
        <v>40432</v>
      </c>
      <c r="E134" s="12" t="s">
        <v>53</v>
      </c>
      <c r="F134" s="14">
        <v>6.2</v>
      </c>
      <c r="G134" s="19">
        <v>6</v>
      </c>
    </row>
    <row r="135" spans="1:7" x14ac:dyDescent="0.3">
      <c r="A135" s="18" t="s">
        <v>117</v>
      </c>
      <c r="B135" s="12" t="s">
        <v>115</v>
      </c>
      <c r="C135" s="12" t="s">
        <v>81</v>
      </c>
      <c r="D135" s="13">
        <v>40426</v>
      </c>
      <c r="E135" s="12" t="s">
        <v>5</v>
      </c>
      <c r="F135" s="14">
        <v>14.4</v>
      </c>
      <c r="G135" s="19">
        <v>18</v>
      </c>
    </row>
    <row r="136" spans="1:7" x14ac:dyDescent="0.3">
      <c r="A136" s="18" t="s">
        <v>117</v>
      </c>
      <c r="B136" s="12" t="s">
        <v>115</v>
      </c>
      <c r="C136" s="12" t="s">
        <v>81</v>
      </c>
      <c r="D136" s="13">
        <v>40426</v>
      </c>
      <c r="E136" s="12" t="s">
        <v>0</v>
      </c>
      <c r="F136" s="14">
        <v>31.2</v>
      </c>
      <c r="G136" s="19">
        <v>15</v>
      </c>
    </row>
    <row r="137" spans="1:7" x14ac:dyDescent="0.3">
      <c r="A137" s="18" t="s">
        <v>117</v>
      </c>
      <c r="B137" s="12" t="s">
        <v>115</v>
      </c>
      <c r="C137" s="12" t="s">
        <v>81</v>
      </c>
      <c r="D137" s="13">
        <v>40426</v>
      </c>
      <c r="E137" s="12" t="s">
        <v>28</v>
      </c>
      <c r="F137" s="14">
        <v>36.799999999999997</v>
      </c>
      <c r="G137" s="19">
        <v>15</v>
      </c>
    </row>
    <row r="138" spans="1:7" x14ac:dyDescent="0.3">
      <c r="A138" s="18" t="s">
        <v>117</v>
      </c>
      <c r="B138" s="12" t="s">
        <v>115</v>
      </c>
      <c r="C138" s="12" t="s">
        <v>81</v>
      </c>
      <c r="D138" s="13">
        <v>40426</v>
      </c>
      <c r="E138" s="12" t="s">
        <v>3</v>
      </c>
      <c r="F138" s="14">
        <v>27.2</v>
      </c>
      <c r="G138" s="19">
        <v>21</v>
      </c>
    </row>
    <row r="139" spans="1:7" x14ac:dyDescent="0.3">
      <c r="A139" s="18" t="s">
        <v>117</v>
      </c>
      <c r="B139" s="12" t="s">
        <v>115</v>
      </c>
      <c r="C139" s="12" t="s">
        <v>81</v>
      </c>
      <c r="D139" s="13">
        <v>40426</v>
      </c>
      <c r="E139" s="12" t="s">
        <v>53</v>
      </c>
      <c r="F139" s="14">
        <v>6.2</v>
      </c>
      <c r="G139" s="19">
        <v>6</v>
      </c>
    </row>
    <row r="140" spans="1:7" x14ac:dyDescent="0.3">
      <c r="A140" s="18" t="s">
        <v>128</v>
      </c>
      <c r="B140" s="12" t="s">
        <v>101</v>
      </c>
      <c r="C140" s="12" t="s">
        <v>77</v>
      </c>
      <c r="D140" s="13">
        <v>40431</v>
      </c>
      <c r="E140" s="12" t="s">
        <v>17</v>
      </c>
      <c r="F140" s="14">
        <v>30.4</v>
      </c>
      <c r="G140" s="19">
        <v>4</v>
      </c>
    </row>
    <row r="141" spans="1:7" x14ac:dyDescent="0.3">
      <c r="A141" s="18" t="s">
        <v>137</v>
      </c>
      <c r="B141" s="12" t="s">
        <v>109</v>
      </c>
      <c r="C141" s="12" t="s">
        <v>82</v>
      </c>
      <c r="D141" s="13">
        <v>40432</v>
      </c>
      <c r="E141" s="12" t="s">
        <v>49</v>
      </c>
      <c r="F141" s="14">
        <v>16.8</v>
      </c>
      <c r="G141" s="19">
        <v>12</v>
      </c>
    </row>
    <row r="142" spans="1:7" x14ac:dyDescent="0.3">
      <c r="A142" s="18" t="s">
        <v>137</v>
      </c>
      <c r="B142" s="12" t="s">
        <v>109</v>
      </c>
      <c r="C142" s="12" t="s">
        <v>82</v>
      </c>
      <c r="D142" s="13">
        <v>40432</v>
      </c>
      <c r="E142" s="12" t="s">
        <v>47</v>
      </c>
      <c r="F142" s="14">
        <v>13.9</v>
      </c>
      <c r="G142" s="19">
        <v>30</v>
      </c>
    </row>
    <row r="143" spans="1:7" x14ac:dyDescent="0.3">
      <c r="A143" s="18" t="s">
        <v>137</v>
      </c>
      <c r="B143" s="12" t="s">
        <v>109</v>
      </c>
      <c r="C143" s="12" t="s">
        <v>82</v>
      </c>
      <c r="D143" s="13">
        <v>40432</v>
      </c>
      <c r="E143" s="12" t="s">
        <v>22</v>
      </c>
      <c r="F143" s="14">
        <v>28.8</v>
      </c>
      <c r="G143" s="19">
        <v>15</v>
      </c>
    </row>
    <row r="144" spans="1:7" x14ac:dyDescent="0.3">
      <c r="A144" s="18" t="s">
        <v>120</v>
      </c>
      <c r="B144" s="12" t="s">
        <v>101</v>
      </c>
      <c r="C144" s="12" t="s">
        <v>85</v>
      </c>
      <c r="D144" s="13">
        <v>40431</v>
      </c>
      <c r="E144" s="12" t="s">
        <v>7</v>
      </c>
      <c r="F144" s="14">
        <v>14.4</v>
      </c>
      <c r="G144" s="19">
        <v>60</v>
      </c>
    </row>
    <row r="145" spans="1:7" x14ac:dyDescent="0.3">
      <c r="A145" s="18" t="s">
        <v>120</v>
      </c>
      <c r="B145" s="12" t="s">
        <v>101</v>
      </c>
      <c r="C145" s="12" t="s">
        <v>85</v>
      </c>
      <c r="D145" s="13">
        <v>40431</v>
      </c>
      <c r="E145" s="12" t="s">
        <v>40</v>
      </c>
      <c r="F145" s="14">
        <v>27.8</v>
      </c>
      <c r="G145" s="19">
        <v>20</v>
      </c>
    </row>
    <row r="146" spans="1:7" x14ac:dyDescent="0.3">
      <c r="A146" s="18" t="s">
        <v>143</v>
      </c>
      <c r="B146" s="12" t="s">
        <v>144</v>
      </c>
      <c r="C146" s="12" t="s">
        <v>82</v>
      </c>
      <c r="D146" s="13">
        <v>40432</v>
      </c>
      <c r="E146" s="12" t="s">
        <v>6</v>
      </c>
      <c r="F146" s="14">
        <v>15.2</v>
      </c>
      <c r="G146" s="19">
        <v>40</v>
      </c>
    </row>
    <row r="147" spans="1:7" x14ac:dyDescent="0.3">
      <c r="A147" s="18" t="s">
        <v>143</v>
      </c>
      <c r="B147" s="12" t="s">
        <v>144</v>
      </c>
      <c r="C147" s="12" t="s">
        <v>82</v>
      </c>
      <c r="D147" s="13">
        <v>40432</v>
      </c>
      <c r="E147" s="12" t="s">
        <v>27</v>
      </c>
      <c r="F147" s="14">
        <v>15.2</v>
      </c>
      <c r="G147" s="19">
        <v>40</v>
      </c>
    </row>
    <row r="148" spans="1:7" x14ac:dyDescent="0.3">
      <c r="A148" s="18" t="s">
        <v>143</v>
      </c>
      <c r="B148" s="12" t="s">
        <v>144</v>
      </c>
      <c r="C148" s="12" t="s">
        <v>82</v>
      </c>
      <c r="D148" s="13">
        <v>40432</v>
      </c>
      <c r="E148" s="12" t="s">
        <v>51</v>
      </c>
      <c r="F148" s="14">
        <v>44</v>
      </c>
      <c r="G148" s="19">
        <v>30</v>
      </c>
    </row>
    <row r="149" spans="1:7" x14ac:dyDescent="0.3">
      <c r="A149" s="18" t="s">
        <v>143</v>
      </c>
      <c r="B149" s="12" t="s">
        <v>144</v>
      </c>
      <c r="C149" s="12" t="s">
        <v>82</v>
      </c>
      <c r="D149" s="13">
        <v>40432</v>
      </c>
      <c r="E149" s="12" t="s">
        <v>66</v>
      </c>
      <c r="F149" s="14">
        <v>39.4</v>
      </c>
      <c r="G149" s="19">
        <v>15</v>
      </c>
    </row>
    <row r="150" spans="1:7" x14ac:dyDescent="0.3">
      <c r="A150" s="18" t="s">
        <v>138</v>
      </c>
      <c r="B150" s="12" t="s">
        <v>98</v>
      </c>
      <c r="C150" s="12" t="s">
        <v>81</v>
      </c>
      <c r="D150" s="13">
        <v>40434</v>
      </c>
      <c r="E150" s="12" t="s">
        <v>67</v>
      </c>
      <c r="F150" s="14">
        <v>7.3</v>
      </c>
      <c r="G150" s="19">
        <v>15</v>
      </c>
    </row>
    <row r="151" spans="1:7" x14ac:dyDescent="0.3">
      <c r="A151" s="18" t="s">
        <v>138</v>
      </c>
      <c r="B151" s="12" t="s">
        <v>98</v>
      </c>
      <c r="C151" s="12" t="s">
        <v>81</v>
      </c>
      <c r="D151" s="13">
        <v>40434</v>
      </c>
      <c r="E151" s="12" t="s">
        <v>45</v>
      </c>
      <c r="F151" s="14">
        <v>12</v>
      </c>
      <c r="G151" s="19">
        <v>20</v>
      </c>
    </row>
    <row r="152" spans="1:7" x14ac:dyDescent="0.3">
      <c r="A152" s="18" t="s">
        <v>129</v>
      </c>
      <c r="B152" s="12" t="s">
        <v>130</v>
      </c>
      <c r="C152" s="12" t="s">
        <v>77</v>
      </c>
      <c r="D152" s="13">
        <v>40439</v>
      </c>
      <c r="E152" s="12" t="s">
        <v>35</v>
      </c>
      <c r="F152" s="14">
        <v>13.6</v>
      </c>
      <c r="G152" s="19">
        <v>30</v>
      </c>
    </row>
    <row r="153" spans="1:7" x14ac:dyDescent="0.3">
      <c r="A153" s="18" t="s">
        <v>129</v>
      </c>
      <c r="B153" s="12" t="s">
        <v>130</v>
      </c>
      <c r="C153" s="12" t="s">
        <v>77</v>
      </c>
      <c r="D153" s="13">
        <v>40439</v>
      </c>
      <c r="E153" s="12" t="s">
        <v>59</v>
      </c>
      <c r="F153" s="14">
        <v>10</v>
      </c>
      <c r="G153" s="19">
        <v>20</v>
      </c>
    </row>
    <row r="154" spans="1:7" x14ac:dyDescent="0.3">
      <c r="A154" s="18" t="s">
        <v>145</v>
      </c>
      <c r="B154" s="12" t="s">
        <v>123</v>
      </c>
      <c r="C154" s="12" t="s">
        <v>80</v>
      </c>
      <c r="D154" s="13">
        <v>40438</v>
      </c>
      <c r="E154" s="12" t="s">
        <v>2</v>
      </c>
      <c r="F154" s="14">
        <v>14.7</v>
      </c>
      <c r="G154" s="19">
        <v>10</v>
      </c>
    </row>
    <row r="155" spans="1:7" x14ac:dyDescent="0.3">
      <c r="A155" s="18" t="s">
        <v>145</v>
      </c>
      <c r="B155" s="12" t="s">
        <v>123</v>
      </c>
      <c r="C155" s="12" t="s">
        <v>80</v>
      </c>
      <c r="D155" s="13">
        <v>40438</v>
      </c>
      <c r="E155" s="12" t="s">
        <v>17</v>
      </c>
      <c r="F155" s="14">
        <v>30.4</v>
      </c>
      <c r="G155" s="19">
        <v>20</v>
      </c>
    </row>
    <row r="156" spans="1:7" x14ac:dyDescent="0.3">
      <c r="A156" s="18" t="s">
        <v>102</v>
      </c>
      <c r="B156" s="12" t="s">
        <v>103</v>
      </c>
      <c r="C156" s="12" t="s">
        <v>81</v>
      </c>
      <c r="D156" s="13">
        <v>40460</v>
      </c>
      <c r="E156" s="12" t="s">
        <v>0</v>
      </c>
      <c r="F156" s="14">
        <v>31.2</v>
      </c>
      <c r="G156" s="19">
        <v>40</v>
      </c>
    </row>
    <row r="157" spans="1:7" x14ac:dyDescent="0.3">
      <c r="A157" s="18" t="s">
        <v>102</v>
      </c>
      <c r="B157" s="12" t="s">
        <v>103</v>
      </c>
      <c r="C157" s="12" t="s">
        <v>81</v>
      </c>
      <c r="D157" s="13">
        <v>40460</v>
      </c>
      <c r="E157" s="12" t="s">
        <v>56</v>
      </c>
      <c r="F157" s="14">
        <v>36.4</v>
      </c>
      <c r="G157" s="19">
        <v>28</v>
      </c>
    </row>
    <row r="158" spans="1:7" x14ac:dyDescent="0.3">
      <c r="A158" s="18" t="s">
        <v>102</v>
      </c>
      <c r="B158" s="12" t="s">
        <v>103</v>
      </c>
      <c r="C158" s="12" t="s">
        <v>81</v>
      </c>
      <c r="D158" s="13">
        <v>40460</v>
      </c>
      <c r="E158" s="12" t="s">
        <v>28</v>
      </c>
      <c r="F158" s="14">
        <v>36.799999999999997</v>
      </c>
      <c r="G158" s="19">
        <v>12</v>
      </c>
    </row>
    <row r="159" spans="1:7" x14ac:dyDescent="0.3">
      <c r="A159" s="18" t="s">
        <v>146</v>
      </c>
      <c r="B159" s="12" t="s">
        <v>136</v>
      </c>
      <c r="C159" s="12" t="s">
        <v>84</v>
      </c>
      <c r="D159" s="13">
        <v>40439</v>
      </c>
      <c r="E159" s="12" t="s">
        <v>2</v>
      </c>
      <c r="F159" s="14">
        <v>14.7</v>
      </c>
      <c r="G159" s="19">
        <v>40</v>
      </c>
    </row>
    <row r="160" spans="1:7" x14ac:dyDescent="0.3">
      <c r="A160" s="18" t="s">
        <v>146</v>
      </c>
      <c r="B160" s="12" t="s">
        <v>136</v>
      </c>
      <c r="C160" s="12" t="s">
        <v>84</v>
      </c>
      <c r="D160" s="13">
        <v>40439</v>
      </c>
      <c r="E160" s="12" t="s">
        <v>34</v>
      </c>
      <c r="F160" s="14">
        <v>16.8</v>
      </c>
      <c r="G160" s="19">
        <v>30</v>
      </c>
    </row>
    <row r="161" spans="1:7" x14ac:dyDescent="0.3">
      <c r="A161" s="18" t="s">
        <v>146</v>
      </c>
      <c r="B161" s="12" t="s">
        <v>136</v>
      </c>
      <c r="C161" s="12" t="s">
        <v>84</v>
      </c>
      <c r="D161" s="13">
        <v>40439</v>
      </c>
      <c r="E161" s="12" t="s">
        <v>59</v>
      </c>
      <c r="F161" s="14">
        <v>10</v>
      </c>
      <c r="G161" s="19">
        <v>15</v>
      </c>
    </row>
    <row r="162" spans="1:7" x14ac:dyDescent="0.3">
      <c r="A162" s="18" t="s">
        <v>131</v>
      </c>
      <c r="B162" s="12" t="s">
        <v>113</v>
      </c>
      <c r="C162" s="12" t="s">
        <v>83</v>
      </c>
      <c r="D162" s="13">
        <v>40438</v>
      </c>
      <c r="E162" s="12" t="s">
        <v>38</v>
      </c>
      <c r="F162" s="14">
        <v>16</v>
      </c>
      <c r="G162" s="19">
        <v>30</v>
      </c>
    </row>
    <row r="163" spans="1:7" x14ac:dyDescent="0.3">
      <c r="A163" s="18" t="s">
        <v>131</v>
      </c>
      <c r="B163" s="12" t="s">
        <v>113</v>
      </c>
      <c r="C163" s="12" t="s">
        <v>83</v>
      </c>
      <c r="D163" s="13">
        <v>40438</v>
      </c>
      <c r="E163" s="12" t="s">
        <v>51</v>
      </c>
      <c r="F163" s="14">
        <v>44</v>
      </c>
      <c r="G163" s="19">
        <v>10</v>
      </c>
    </row>
    <row r="164" spans="1:7" x14ac:dyDescent="0.3">
      <c r="A164" s="18" t="s">
        <v>131</v>
      </c>
      <c r="B164" s="12" t="s">
        <v>113</v>
      </c>
      <c r="C164" s="12" t="s">
        <v>83</v>
      </c>
      <c r="D164" s="13">
        <v>40438</v>
      </c>
      <c r="E164" s="12" t="s">
        <v>14</v>
      </c>
      <c r="F164" s="14">
        <v>17.2</v>
      </c>
      <c r="G164" s="19">
        <v>2</v>
      </c>
    </row>
    <row r="165" spans="1:7" x14ac:dyDescent="0.3">
      <c r="A165" s="18" t="s">
        <v>114</v>
      </c>
      <c r="B165" s="12" t="s">
        <v>115</v>
      </c>
      <c r="C165" s="12" t="s">
        <v>80</v>
      </c>
      <c r="D165" s="13">
        <v>40460</v>
      </c>
      <c r="E165" s="12" t="s">
        <v>4</v>
      </c>
      <c r="F165" s="14">
        <v>50</v>
      </c>
      <c r="G165" s="19">
        <v>25</v>
      </c>
    </row>
    <row r="166" spans="1:7" x14ac:dyDescent="0.3">
      <c r="A166" s="18" t="s">
        <v>114</v>
      </c>
      <c r="B166" s="12" t="s">
        <v>115</v>
      </c>
      <c r="C166" s="12" t="s">
        <v>80</v>
      </c>
      <c r="D166" s="13">
        <v>40460</v>
      </c>
      <c r="E166" s="12" t="s">
        <v>68</v>
      </c>
      <c r="F166" s="14">
        <v>99</v>
      </c>
      <c r="G166" s="19">
        <v>25</v>
      </c>
    </row>
    <row r="167" spans="1:7" x14ac:dyDescent="0.3">
      <c r="A167" s="18" t="s">
        <v>114</v>
      </c>
      <c r="B167" s="12" t="s">
        <v>115</v>
      </c>
      <c r="C167" s="12" t="s">
        <v>80</v>
      </c>
      <c r="D167" s="13">
        <v>40460</v>
      </c>
      <c r="E167" s="12" t="s">
        <v>7</v>
      </c>
      <c r="F167" s="14">
        <v>14.4</v>
      </c>
      <c r="G167" s="19">
        <v>30</v>
      </c>
    </row>
    <row r="168" spans="1:7" x14ac:dyDescent="0.3">
      <c r="A168" s="18" t="s">
        <v>135</v>
      </c>
      <c r="B168" s="12" t="s">
        <v>136</v>
      </c>
      <c r="C168" s="12" t="s">
        <v>83</v>
      </c>
      <c r="D168" s="13">
        <v>40444</v>
      </c>
      <c r="E168" s="12" t="s">
        <v>41</v>
      </c>
      <c r="F168" s="14">
        <v>20.7</v>
      </c>
      <c r="G168" s="19">
        <v>10</v>
      </c>
    </row>
    <row r="169" spans="1:7" x14ac:dyDescent="0.3">
      <c r="A169" s="18" t="s">
        <v>135</v>
      </c>
      <c r="B169" s="12" t="s">
        <v>136</v>
      </c>
      <c r="C169" s="12" t="s">
        <v>83</v>
      </c>
      <c r="D169" s="13">
        <v>40444</v>
      </c>
      <c r="E169" s="12" t="s">
        <v>48</v>
      </c>
      <c r="F169" s="14">
        <v>26.2</v>
      </c>
      <c r="G169" s="19">
        <v>10</v>
      </c>
    </row>
    <row r="170" spans="1:7" x14ac:dyDescent="0.3">
      <c r="A170" s="18" t="s">
        <v>135</v>
      </c>
      <c r="B170" s="12" t="s">
        <v>136</v>
      </c>
      <c r="C170" s="12" t="s">
        <v>83</v>
      </c>
      <c r="D170" s="13">
        <v>40444</v>
      </c>
      <c r="E170" s="12" t="s">
        <v>70</v>
      </c>
      <c r="F170" s="14">
        <v>5.9</v>
      </c>
      <c r="G170" s="19">
        <v>5</v>
      </c>
    </row>
    <row r="171" spans="1:7" x14ac:dyDescent="0.3">
      <c r="A171" s="18" t="s">
        <v>147</v>
      </c>
      <c r="B171" s="12" t="s">
        <v>115</v>
      </c>
      <c r="C171" s="12" t="s">
        <v>77</v>
      </c>
      <c r="D171" s="13">
        <v>40446</v>
      </c>
      <c r="E171" s="12" t="s">
        <v>66</v>
      </c>
      <c r="F171" s="14">
        <v>39.4</v>
      </c>
      <c r="G171" s="19">
        <v>10</v>
      </c>
    </row>
    <row r="172" spans="1:7" x14ac:dyDescent="0.3">
      <c r="A172" s="18" t="s">
        <v>147</v>
      </c>
      <c r="B172" s="12" t="s">
        <v>115</v>
      </c>
      <c r="C172" s="12" t="s">
        <v>77</v>
      </c>
      <c r="D172" s="13">
        <v>40446</v>
      </c>
      <c r="E172" s="12" t="s">
        <v>59</v>
      </c>
      <c r="F172" s="14">
        <v>10</v>
      </c>
      <c r="G172" s="19">
        <v>3</v>
      </c>
    </row>
    <row r="173" spans="1:7" x14ac:dyDescent="0.3">
      <c r="A173" s="18" t="s">
        <v>148</v>
      </c>
      <c r="B173" s="12" t="s">
        <v>113</v>
      </c>
      <c r="C173" s="12" t="s">
        <v>84</v>
      </c>
      <c r="D173" s="13">
        <v>40445</v>
      </c>
      <c r="E173" s="12" t="s">
        <v>22</v>
      </c>
      <c r="F173" s="14">
        <v>28.8</v>
      </c>
      <c r="G173" s="19">
        <v>1</v>
      </c>
    </row>
    <row r="174" spans="1:7" x14ac:dyDescent="0.3">
      <c r="A174" s="18" t="s">
        <v>148</v>
      </c>
      <c r="B174" s="12" t="s">
        <v>113</v>
      </c>
      <c r="C174" s="12" t="s">
        <v>84</v>
      </c>
      <c r="D174" s="13">
        <v>40445</v>
      </c>
      <c r="E174" s="12" t="s">
        <v>45</v>
      </c>
      <c r="F174" s="14">
        <v>12</v>
      </c>
      <c r="G174" s="19">
        <v>5</v>
      </c>
    </row>
    <row r="175" spans="1:7" x14ac:dyDescent="0.3">
      <c r="A175" s="18" t="s">
        <v>143</v>
      </c>
      <c r="B175" s="12" t="s">
        <v>144</v>
      </c>
      <c r="C175" s="12" t="s">
        <v>79</v>
      </c>
      <c r="D175" s="13">
        <v>40474</v>
      </c>
      <c r="E175" s="12" t="s">
        <v>8</v>
      </c>
      <c r="F175" s="14">
        <v>17.600000000000001</v>
      </c>
      <c r="G175" s="19">
        <v>20</v>
      </c>
    </row>
    <row r="176" spans="1:7" x14ac:dyDescent="0.3">
      <c r="A176" s="18" t="s">
        <v>143</v>
      </c>
      <c r="B176" s="12" t="s">
        <v>144</v>
      </c>
      <c r="C176" s="12" t="s">
        <v>79</v>
      </c>
      <c r="D176" s="13">
        <v>40474</v>
      </c>
      <c r="E176" s="12" t="s">
        <v>19</v>
      </c>
      <c r="F176" s="14">
        <v>20</v>
      </c>
      <c r="G176" s="19">
        <v>30</v>
      </c>
    </row>
    <row r="177" spans="1:7" x14ac:dyDescent="0.3">
      <c r="A177" s="18" t="s">
        <v>143</v>
      </c>
      <c r="B177" s="12" t="s">
        <v>144</v>
      </c>
      <c r="C177" s="12" t="s">
        <v>79</v>
      </c>
      <c r="D177" s="13">
        <v>40474</v>
      </c>
      <c r="E177" s="12" t="s">
        <v>60</v>
      </c>
      <c r="F177" s="14">
        <v>11.2</v>
      </c>
      <c r="G177" s="19">
        <v>2</v>
      </c>
    </row>
    <row r="178" spans="1:7" x14ac:dyDescent="0.3">
      <c r="A178" s="18" t="s">
        <v>143</v>
      </c>
      <c r="B178" s="12" t="s">
        <v>144</v>
      </c>
      <c r="C178" s="12" t="s">
        <v>79</v>
      </c>
      <c r="D178" s="13">
        <v>40474</v>
      </c>
      <c r="E178" s="12" t="s">
        <v>28</v>
      </c>
      <c r="F178" s="14">
        <v>36.799999999999997</v>
      </c>
      <c r="G178" s="19">
        <v>20</v>
      </c>
    </row>
    <row r="179" spans="1:7" x14ac:dyDescent="0.3">
      <c r="A179" s="18" t="s">
        <v>143</v>
      </c>
      <c r="B179" s="12" t="s">
        <v>144</v>
      </c>
      <c r="C179" s="12" t="s">
        <v>79</v>
      </c>
      <c r="D179" s="13">
        <v>40474</v>
      </c>
      <c r="E179" s="12" t="s">
        <v>14</v>
      </c>
      <c r="F179" s="14">
        <v>17.2</v>
      </c>
      <c r="G179" s="19">
        <v>3</v>
      </c>
    </row>
    <row r="180" spans="1:7" x14ac:dyDescent="0.3">
      <c r="A180" s="18" t="s">
        <v>149</v>
      </c>
      <c r="B180" s="12" t="s">
        <v>115</v>
      </c>
      <c r="C180" s="12" t="s">
        <v>80</v>
      </c>
      <c r="D180" s="13">
        <v>40448</v>
      </c>
      <c r="E180" s="12" t="s">
        <v>47</v>
      </c>
      <c r="F180" s="14">
        <v>13.9</v>
      </c>
      <c r="G180" s="19">
        <v>10</v>
      </c>
    </row>
    <row r="181" spans="1:7" x14ac:dyDescent="0.3">
      <c r="A181" s="18" t="s">
        <v>149</v>
      </c>
      <c r="B181" s="12" t="s">
        <v>115</v>
      </c>
      <c r="C181" s="12" t="s">
        <v>80</v>
      </c>
      <c r="D181" s="13">
        <v>40448</v>
      </c>
      <c r="E181" s="12" t="s">
        <v>66</v>
      </c>
      <c r="F181" s="14">
        <v>39.4</v>
      </c>
      <c r="G181" s="19">
        <v>5</v>
      </c>
    </row>
    <row r="182" spans="1:7" x14ac:dyDescent="0.3">
      <c r="A182" s="18" t="s">
        <v>150</v>
      </c>
      <c r="B182" s="12" t="s">
        <v>101</v>
      </c>
      <c r="C182" s="12" t="s">
        <v>83</v>
      </c>
      <c r="D182" s="13">
        <v>40447</v>
      </c>
      <c r="E182" s="12" t="s">
        <v>60</v>
      </c>
      <c r="F182" s="14">
        <v>11.2</v>
      </c>
      <c r="G182" s="19">
        <v>6</v>
      </c>
    </row>
    <row r="183" spans="1:7" x14ac:dyDescent="0.3">
      <c r="A183" s="18" t="s">
        <v>150</v>
      </c>
      <c r="B183" s="12" t="s">
        <v>101</v>
      </c>
      <c r="C183" s="12" t="s">
        <v>83</v>
      </c>
      <c r="D183" s="13">
        <v>40447</v>
      </c>
      <c r="E183" s="12" t="s">
        <v>22</v>
      </c>
      <c r="F183" s="14">
        <v>28.8</v>
      </c>
      <c r="G183" s="19">
        <v>7</v>
      </c>
    </row>
    <row r="184" spans="1:7" x14ac:dyDescent="0.3">
      <c r="A184" s="18" t="s">
        <v>145</v>
      </c>
      <c r="B184" s="12" t="s">
        <v>123</v>
      </c>
      <c r="C184" s="12" t="s">
        <v>77</v>
      </c>
      <c r="D184" s="13">
        <v>40454</v>
      </c>
      <c r="E184" s="12" t="s">
        <v>56</v>
      </c>
      <c r="F184" s="14">
        <v>36.4</v>
      </c>
      <c r="G184" s="19">
        <v>4</v>
      </c>
    </row>
    <row r="185" spans="1:7" x14ac:dyDescent="0.3">
      <c r="A185" s="18" t="s">
        <v>145</v>
      </c>
      <c r="B185" s="12" t="s">
        <v>123</v>
      </c>
      <c r="C185" s="12" t="s">
        <v>77</v>
      </c>
      <c r="D185" s="13">
        <v>40454</v>
      </c>
      <c r="E185" s="12" t="s">
        <v>28</v>
      </c>
      <c r="F185" s="14">
        <v>36.799999999999997</v>
      </c>
      <c r="G185" s="19">
        <v>24</v>
      </c>
    </row>
    <row r="186" spans="1:7" x14ac:dyDescent="0.3">
      <c r="A186" s="18" t="s">
        <v>145</v>
      </c>
      <c r="B186" s="12" t="s">
        <v>123</v>
      </c>
      <c r="C186" s="12" t="s">
        <v>77</v>
      </c>
      <c r="D186" s="13">
        <v>40454</v>
      </c>
      <c r="E186" s="12" t="s">
        <v>48</v>
      </c>
      <c r="F186" s="14">
        <v>26.2</v>
      </c>
      <c r="G186" s="19">
        <v>20</v>
      </c>
    </row>
    <row r="187" spans="1:7" x14ac:dyDescent="0.3">
      <c r="A187" s="18" t="s">
        <v>145</v>
      </c>
      <c r="B187" s="12" t="s">
        <v>123</v>
      </c>
      <c r="C187" s="12" t="s">
        <v>77</v>
      </c>
      <c r="D187" s="13">
        <v>40454</v>
      </c>
      <c r="E187" s="12" t="s">
        <v>53</v>
      </c>
      <c r="F187" s="14">
        <v>6.2</v>
      </c>
      <c r="G187" s="19">
        <v>10</v>
      </c>
    </row>
    <row r="188" spans="1:7" x14ac:dyDescent="0.3">
      <c r="A188" s="18" t="s">
        <v>127</v>
      </c>
      <c r="B188" s="12" t="s">
        <v>123</v>
      </c>
      <c r="C188" s="12" t="s">
        <v>77</v>
      </c>
      <c r="D188" s="13">
        <v>40455</v>
      </c>
      <c r="E188" s="12" t="s">
        <v>27</v>
      </c>
      <c r="F188" s="14">
        <v>15.2</v>
      </c>
      <c r="G188" s="19">
        <v>12</v>
      </c>
    </row>
    <row r="189" spans="1:7" x14ac:dyDescent="0.3">
      <c r="A189" s="18" t="s">
        <v>117</v>
      </c>
      <c r="B189" s="12" t="s">
        <v>115</v>
      </c>
      <c r="C189" s="12" t="s">
        <v>83</v>
      </c>
      <c r="D189" s="13">
        <v>40455</v>
      </c>
      <c r="E189" s="12" t="s">
        <v>37</v>
      </c>
      <c r="F189" s="14">
        <v>25.6</v>
      </c>
      <c r="G189" s="19">
        <v>40</v>
      </c>
    </row>
    <row r="190" spans="1:7" x14ac:dyDescent="0.3">
      <c r="A190" s="18" t="s">
        <v>117</v>
      </c>
      <c r="B190" s="12" t="s">
        <v>115</v>
      </c>
      <c r="C190" s="12" t="s">
        <v>83</v>
      </c>
      <c r="D190" s="13">
        <v>40455</v>
      </c>
      <c r="E190" s="12" t="s">
        <v>12</v>
      </c>
      <c r="F190" s="14">
        <v>10.6</v>
      </c>
      <c r="G190" s="19">
        <v>30</v>
      </c>
    </row>
    <row r="191" spans="1:7" x14ac:dyDescent="0.3">
      <c r="A191" s="18" t="s">
        <v>117</v>
      </c>
      <c r="B191" s="12" t="s">
        <v>115</v>
      </c>
      <c r="C191" s="12" t="s">
        <v>83</v>
      </c>
      <c r="D191" s="13">
        <v>40455</v>
      </c>
      <c r="E191" s="12" t="s">
        <v>66</v>
      </c>
      <c r="F191" s="14">
        <v>39.4</v>
      </c>
      <c r="G191" s="19">
        <v>25</v>
      </c>
    </row>
    <row r="192" spans="1:7" x14ac:dyDescent="0.3">
      <c r="A192" s="18" t="s">
        <v>151</v>
      </c>
      <c r="B192" s="12" t="s">
        <v>141</v>
      </c>
      <c r="C192" s="12" t="s">
        <v>81</v>
      </c>
      <c r="D192" s="13">
        <v>40454</v>
      </c>
      <c r="E192" s="12" t="s">
        <v>57</v>
      </c>
      <c r="F192" s="14">
        <v>11.2</v>
      </c>
      <c r="G192" s="19">
        <v>14</v>
      </c>
    </row>
    <row r="193" spans="1:7" x14ac:dyDescent="0.3">
      <c r="A193" s="18" t="s">
        <v>151</v>
      </c>
      <c r="B193" s="12" t="s">
        <v>141</v>
      </c>
      <c r="C193" s="12" t="s">
        <v>81</v>
      </c>
      <c r="D193" s="13">
        <v>40454</v>
      </c>
      <c r="E193" s="12" t="s">
        <v>45</v>
      </c>
      <c r="F193" s="14">
        <v>12</v>
      </c>
      <c r="G193" s="19">
        <v>30</v>
      </c>
    </row>
    <row r="194" spans="1:7" x14ac:dyDescent="0.3">
      <c r="A194" s="18" t="s">
        <v>117</v>
      </c>
      <c r="B194" s="12" t="s">
        <v>115</v>
      </c>
      <c r="C194" s="12" t="s">
        <v>83</v>
      </c>
      <c r="D194" s="13">
        <v>40459</v>
      </c>
      <c r="E194" s="12" t="s">
        <v>29</v>
      </c>
      <c r="F194" s="14">
        <v>7.7</v>
      </c>
      <c r="G194" s="19">
        <v>10</v>
      </c>
    </row>
    <row r="195" spans="1:7" x14ac:dyDescent="0.3">
      <c r="A195" s="18" t="s">
        <v>117</v>
      </c>
      <c r="B195" s="12" t="s">
        <v>115</v>
      </c>
      <c r="C195" s="12" t="s">
        <v>83</v>
      </c>
      <c r="D195" s="13">
        <v>40459</v>
      </c>
      <c r="E195" s="12" t="s">
        <v>66</v>
      </c>
      <c r="F195" s="14">
        <v>39.4</v>
      </c>
      <c r="G195" s="19">
        <v>70</v>
      </c>
    </row>
    <row r="196" spans="1:7" x14ac:dyDescent="0.3">
      <c r="A196" s="18" t="s">
        <v>147</v>
      </c>
      <c r="B196" s="12" t="s">
        <v>115</v>
      </c>
      <c r="C196" s="12" t="s">
        <v>82</v>
      </c>
      <c r="D196" s="13">
        <v>40461</v>
      </c>
      <c r="E196" s="12" t="s">
        <v>5</v>
      </c>
      <c r="F196" s="14">
        <v>14.4</v>
      </c>
      <c r="G196" s="19">
        <v>20</v>
      </c>
    </row>
    <row r="197" spans="1:7" x14ac:dyDescent="0.3">
      <c r="A197" s="18" t="s">
        <v>151</v>
      </c>
      <c r="B197" s="12" t="s">
        <v>141</v>
      </c>
      <c r="C197" s="12" t="s">
        <v>80</v>
      </c>
      <c r="D197" s="13">
        <v>40455</v>
      </c>
      <c r="E197" s="12" t="s">
        <v>29</v>
      </c>
      <c r="F197" s="14">
        <v>7.7</v>
      </c>
      <c r="G197" s="19">
        <v>20</v>
      </c>
    </row>
    <row r="198" spans="1:7" x14ac:dyDescent="0.3">
      <c r="A198" s="18" t="s">
        <v>151</v>
      </c>
      <c r="B198" s="12" t="s">
        <v>141</v>
      </c>
      <c r="C198" s="12" t="s">
        <v>80</v>
      </c>
      <c r="D198" s="13">
        <v>40455</v>
      </c>
      <c r="E198" s="12" t="s">
        <v>31</v>
      </c>
      <c r="F198" s="14">
        <v>14.4</v>
      </c>
      <c r="G198" s="19">
        <v>6</v>
      </c>
    </row>
    <row r="199" spans="1:7" x14ac:dyDescent="0.3">
      <c r="A199" s="18" t="s">
        <v>131</v>
      </c>
      <c r="B199" s="12" t="s">
        <v>113</v>
      </c>
      <c r="C199" s="12" t="s">
        <v>84</v>
      </c>
      <c r="D199" s="13">
        <v>40462</v>
      </c>
      <c r="E199" s="12" t="s">
        <v>0</v>
      </c>
      <c r="F199" s="14">
        <v>31.2</v>
      </c>
      <c r="G199" s="19">
        <v>8</v>
      </c>
    </row>
    <row r="200" spans="1:7" x14ac:dyDescent="0.3">
      <c r="A200" s="18" t="s">
        <v>131</v>
      </c>
      <c r="B200" s="12" t="s">
        <v>113</v>
      </c>
      <c r="C200" s="12" t="s">
        <v>84</v>
      </c>
      <c r="D200" s="13">
        <v>40462</v>
      </c>
      <c r="E200" s="12" t="s">
        <v>56</v>
      </c>
      <c r="F200" s="14">
        <v>36.4</v>
      </c>
      <c r="G200" s="19">
        <v>14</v>
      </c>
    </row>
    <row r="201" spans="1:7" x14ac:dyDescent="0.3">
      <c r="A201" s="18" t="s">
        <v>131</v>
      </c>
      <c r="B201" s="12" t="s">
        <v>113</v>
      </c>
      <c r="C201" s="12" t="s">
        <v>84</v>
      </c>
      <c r="D201" s="13">
        <v>40462</v>
      </c>
      <c r="E201" s="12" t="s">
        <v>31</v>
      </c>
      <c r="F201" s="14">
        <v>14.4</v>
      </c>
      <c r="G201" s="19">
        <v>30</v>
      </c>
    </row>
    <row r="202" spans="1:7" x14ac:dyDescent="0.3">
      <c r="A202" s="18" t="s">
        <v>121</v>
      </c>
      <c r="B202" s="12" t="s">
        <v>96</v>
      </c>
      <c r="C202" s="12" t="s">
        <v>85</v>
      </c>
      <c r="D202" s="13">
        <v>40469</v>
      </c>
      <c r="E202" s="12" t="s">
        <v>14</v>
      </c>
      <c r="F202" s="14">
        <v>17.2</v>
      </c>
      <c r="G202" s="19">
        <v>30</v>
      </c>
    </row>
    <row r="203" spans="1:7" x14ac:dyDescent="0.3">
      <c r="A203" s="18" t="s">
        <v>151</v>
      </c>
      <c r="B203" s="12" t="s">
        <v>141</v>
      </c>
      <c r="C203" s="12" t="s">
        <v>79</v>
      </c>
      <c r="D203" s="13">
        <v>40462</v>
      </c>
      <c r="E203" s="12" t="s">
        <v>65</v>
      </c>
      <c r="F203" s="14">
        <v>14.4</v>
      </c>
      <c r="G203" s="19">
        <v>10</v>
      </c>
    </row>
    <row r="204" spans="1:7" x14ac:dyDescent="0.3">
      <c r="A204" s="18" t="s">
        <v>152</v>
      </c>
      <c r="B204" s="12" t="s">
        <v>113</v>
      </c>
      <c r="C204" s="12" t="s">
        <v>84</v>
      </c>
      <c r="D204" s="13">
        <v>40474</v>
      </c>
      <c r="E204" s="12" t="s">
        <v>13</v>
      </c>
      <c r="F204" s="14">
        <v>5.6</v>
      </c>
      <c r="G204" s="19">
        <v>20</v>
      </c>
    </row>
    <row r="205" spans="1:7" x14ac:dyDescent="0.3">
      <c r="A205" s="18" t="s">
        <v>153</v>
      </c>
      <c r="B205" s="12" t="s">
        <v>123</v>
      </c>
      <c r="C205" s="12" t="s">
        <v>81</v>
      </c>
      <c r="D205" s="13">
        <v>40465</v>
      </c>
      <c r="E205" s="12" t="s">
        <v>16</v>
      </c>
      <c r="F205" s="14">
        <v>12.4</v>
      </c>
      <c r="G205" s="19">
        <v>5</v>
      </c>
    </row>
    <row r="206" spans="1:7" x14ac:dyDescent="0.3">
      <c r="A206" s="18" t="s">
        <v>153</v>
      </c>
      <c r="B206" s="12" t="s">
        <v>123</v>
      </c>
      <c r="C206" s="12" t="s">
        <v>81</v>
      </c>
      <c r="D206" s="13">
        <v>40465</v>
      </c>
      <c r="E206" s="12" t="s">
        <v>43</v>
      </c>
      <c r="F206" s="14">
        <v>11.2</v>
      </c>
      <c r="G206" s="19">
        <v>4</v>
      </c>
    </row>
    <row r="207" spans="1:7" x14ac:dyDescent="0.3">
      <c r="A207" s="18" t="s">
        <v>153</v>
      </c>
      <c r="B207" s="12" t="s">
        <v>123</v>
      </c>
      <c r="C207" s="12" t="s">
        <v>81</v>
      </c>
      <c r="D207" s="13">
        <v>40465</v>
      </c>
      <c r="E207" s="12" t="s">
        <v>7</v>
      </c>
      <c r="F207" s="14">
        <v>14.4</v>
      </c>
      <c r="G207" s="19">
        <v>4</v>
      </c>
    </row>
    <row r="208" spans="1:7" x14ac:dyDescent="0.3">
      <c r="A208" s="18" t="s">
        <v>154</v>
      </c>
      <c r="B208" s="12" t="s">
        <v>115</v>
      </c>
      <c r="C208" s="12" t="s">
        <v>78</v>
      </c>
      <c r="D208" s="13">
        <v>40461</v>
      </c>
      <c r="E208" s="12" t="s">
        <v>47</v>
      </c>
      <c r="F208" s="14">
        <v>13.9</v>
      </c>
      <c r="G208" s="19">
        <v>21</v>
      </c>
    </row>
    <row r="209" spans="1:7" x14ac:dyDescent="0.3">
      <c r="A209" s="18" t="s">
        <v>154</v>
      </c>
      <c r="B209" s="12" t="s">
        <v>115</v>
      </c>
      <c r="C209" s="12" t="s">
        <v>78</v>
      </c>
      <c r="D209" s="13">
        <v>40461</v>
      </c>
      <c r="E209" s="12" t="s">
        <v>65</v>
      </c>
      <c r="F209" s="14">
        <v>14.4</v>
      </c>
      <c r="G209" s="19">
        <v>70</v>
      </c>
    </row>
    <row r="210" spans="1:7" x14ac:dyDescent="0.3">
      <c r="A210" s="18" t="s">
        <v>154</v>
      </c>
      <c r="B210" s="12" t="s">
        <v>115</v>
      </c>
      <c r="C210" s="12" t="s">
        <v>78</v>
      </c>
      <c r="D210" s="13">
        <v>40461</v>
      </c>
      <c r="E210" s="12" t="s">
        <v>64</v>
      </c>
      <c r="F210" s="14">
        <v>9.6</v>
      </c>
      <c r="G210" s="19">
        <v>30</v>
      </c>
    </row>
    <row r="211" spans="1:7" x14ac:dyDescent="0.3">
      <c r="A211" s="18" t="s">
        <v>154</v>
      </c>
      <c r="B211" s="12" t="s">
        <v>115</v>
      </c>
      <c r="C211" s="12" t="s">
        <v>78</v>
      </c>
      <c r="D211" s="13">
        <v>40461</v>
      </c>
      <c r="E211" s="12" t="s">
        <v>51</v>
      </c>
      <c r="F211" s="14">
        <v>44</v>
      </c>
      <c r="G211" s="19">
        <v>40</v>
      </c>
    </row>
    <row r="212" spans="1:7" x14ac:dyDescent="0.3">
      <c r="A212" s="18" t="s">
        <v>154</v>
      </c>
      <c r="B212" s="12" t="s">
        <v>115</v>
      </c>
      <c r="C212" s="12" t="s">
        <v>78</v>
      </c>
      <c r="D212" s="13">
        <v>40461</v>
      </c>
      <c r="E212" s="12" t="s">
        <v>74</v>
      </c>
      <c r="F212" s="14">
        <v>35.1</v>
      </c>
      <c r="G212" s="19">
        <v>80</v>
      </c>
    </row>
    <row r="213" spans="1:7" x14ac:dyDescent="0.3">
      <c r="A213" s="18" t="s">
        <v>153</v>
      </c>
      <c r="B213" s="12" t="s">
        <v>123</v>
      </c>
      <c r="C213" s="12" t="s">
        <v>83</v>
      </c>
      <c r="D213" s="13">
        <v>40465</v>
      </c>
      <c r="E213" s="12" t="s">
        <v>19</v>
      </c>
      <c r="F213" s="14">
        <v>20</v>
      </c>
      <c r="G213" s="19">
        <v>6</v>
      </c>
    </row>
    <row r="214" spans="1:7" x14ac:dyDescent="0.3">
      <c r="A214" s="18" t="s">
        <v>153</v>
      </c>
      <c r="B214" s="12" t="s">
        <v>123</v>
      </c>
      <c r="C214" s="12" t="s">
        <v>83</v>
      </c>
      <c r="D214" s="13">
        <v>40465</v>
      </c>
      <c r="E214" s="12" t="s">
        <v>30</v>
      </c>
      <c r="F214" s="14">
        <v>4.8</v>
      </c>
      <c r="G214" s="19">
        <v>12</v>
      </c>
    </row>
    <row r="215" spans="1:7" x14ac:dyDescent="0.3">
      <c r="A215" s="18" t="s">
        <v>153</v>
      </c>
      <c r="B215" s="12" t="s">
        <v>123</v>
      </c>
      <c r="C215" s="12" t="s">
        <v>83</v>
      </c>
      <c r="D215" s="13">
        <v>40465</v>
      </c>
      <c r="E215" s="12" t="s">
        <v>69</v>
      </c>
      <c r="F215" s="14">
        <v>18.600000000000001</v>
      </c>
      <c r="G215" s="19">
        <v>9</v>
      </c>
    </row>
    <row r="216" spans="1:7" x14ac:dyDescent="0.3">
      <c r="A216" s="18" t="s">
        <v>153</v>
      </c>
      <c r="B216" s="12" t="s">
        <v>123</v>
      </c>
      <c r="C216" s="12" t="s">
        <v>83</v>
      </c>
      <c r="D216" s="13">
        <v>40465</v>
      </c>
      <c r="E216" s="12" t="s">
        <v>18</v>
      </c>
      <c r="F216" s="14">
        <v>10</v>
      </c>
      <c r="G216" s="19">
        <v>4</v>
      </c>
    </row>
    <row r="217" spans="1:7" x14ac:dyDescent="0.3">
      <c r="A217" s="18" t="s">
        <v>153</v>
      </c>
      <c r="B217" s="12" t="s">
        <v>123</v>
      </c>
      <c r="C217" s="12" t="s">
        <v>83</v>
      </c>
      <c r="D217" s="13">
        <v>40465</v>
      </c>
      <c r="E217" s="12" t="s">
        <v>40</v>
      </c>
      <c r="F217" s="14">
        <v>27.8</v>
      </c>
      <c r="G217" s="19">
        <v>40</v>
      </c>
    </row>
    <row r="218" spans="1:7" x14ac:dyDescent="0.3">
      <c r="A218" s="18" t="s">
        <v>155</v>
      </c>
      <c r="B218" s="12" t="s">
        <v>136</v>
      </c>
      <c r="C218" s="12" t="s">
        <v>81</v>
      </c>
      <c r="D218" s="13">
        <v>40465</v>
      </c>
      <c r="E218" s="12" t="s">
        <v>8</v>
      </c>
      <c r="F218" s="14">
        <v>17.600000000000001</v>
      </c>
      <c r="G218" s="19">
        <v>24</v>
      </c>
    </row>
    <row r="219" spans="1:7" x14ac:dyDescent="0.3">
      <c r="A219" s="18" t="s">
        <v>155</v>
      </c>
      <c r="B219" s="12" t="s">
        <v>136</v>
      </c>
      <c r="C219" s="12" t="s">
        <v>81</v>
      </c>
      <c r="D219" s="13">
        <v>40465</v>
      </c>
      <c r="E219" s="12" t="s">
        <v>52</v>
      </c>
      <c r="F219" s="14">
        <v>15.6</v>
      </c>
      <c r="G219" s="19">
        <v>16</v>
      </c>
    </row>
    <row r="220" spans="1:7" x14ac:dyDescent="0.3">
      <c r="A220" s="18" t="s">
        <v>155</v>
      </c>
      <c r="B220" s="12" t="s">
        <v>136</v>
      </c>
      <c r="C220" s="12" t="s">
        <v>81</v>
      </c>
      <c r="D220" s="13">
        <v>40465</v>
      </c>
      <c r="E220" s="12" t="s">
        <v>53</v>
      </c>
      <c r="F220" s="14">
        <v>6.2</v>
      </c>
      <c r="G220" s="19">
        <v>50</v>
      </c>
    </row>
    <row r="221" spans="1:7" x14ac:dyDescent="0.3">
      <c r="A221" s="18" t="s">
        <v>118</v>
      </c>
      <c r="B221" s="12" t="s">
        <v>119</v>
      </c>
      <c r="C221" s="12" t="s">
        <v>77</v>
      </c>
      <c r="D221" s="13">
        <v>40465</v>
      </c>
      <c r="E221" s="12" t="s">
        <v>6</v>
      </c>
      <c r="F221" s="14">
        <v>15.2</v>
      </c>
      <c r="G221" s="19">
        <v>25</v>
      </c>
    </row>
    <row r="222" spans="1:7" x14ac:dyDescent="0.3">
      <c r="A222" s="18" t="s">
        <v>118</v>
      </c>
      <c r="B222" s="12" t="s">
        <v>119</v>
      </c>
      <c r="C222" s="12" t="s">
        <v>77</v>
      </c>
      <c r="D222" s="13">
        <v>40465</v>
      </c>
      <c r="E222" s="12" t="s">
        <v>49</v>
      </c>
      <c r="F222" s="14">
        <v>16.8</v>
      </c>
      <c r="G222" s="19">
        <v>50</v>
      </c>
    </row>
    <row r="223" spans="1:7" x14ac:dyDescent="0.3">
      <c r="A223" s="18" t="s">
        <v>118</v>
      </c>
      <c r="B223" s="12" t="s">
        <v>119</v>
      </c>
      <c r="C223" s="12" t="s">
        <v>77</v>
      </c>
      <c r="D223" s="13">
        <v>40465</v>
      </c>
      <c r="E223" s="12" t="s">
        <v>41</v>
      </c>
      <c r="F223" s="14">
        <v>20.7</v>
      </c>
      <c r="G223" s="19">
        <v>35</v>
      </c>
    </row>
    <row r="224" spans="1:7" x14ac:dyDescent="0.3">
      <c r="A224" s="18" t="s">
        <v>118</v>
      </c>
      <c r="B224" s="12" t="s">
        <v>119</v>
      </c>
      <c r="C224" s="12" t="s">
        <v>77</v>
      </c>
      <c r="D224" s="13">
        <v>40465</v>
      </c>
      <c r="E224" s="12" t="s">
        <v>12</v>
      </c>
      <c r="F224" s="14">
        <v>10.6</v>
      </c>
      <c r="G224" s="19">
        <v>30</v>
      </c>
    </row>
    <row r="225" spans="1:7" x14ac:dyDescent="0.3">
      <c r="A225" s="18" t="s">
        <v>156</v>
      </c>
      <c r="B225" s="12" t="s">
        <v>157</v>
      </c>
      <c r="C225" s="12" t="s">
        <v>81</v>
      </c>
      <c r="D225" s="13">
        <v>40468</v>
      </c>
      <c r="E225" s="12" t="s">
        <v>51</v>
      </c>
      <c r="F225" s="14">
        <v>44</v>
      </c>
      <c r="G225" s="19">
        <v>9</v>
      </c>
    </row>
    <row r="226" spans="1:7" x14ac:dyDescent="0.3">
      <c r="A226" s="18" t="s">
        <v>156</v>
      </c>
      <c r="B226" s="12" t="s">
        <v>157</v>
      </c>
      <c r="C226" s="12" t="s">
        <v>81</v>
      </c>
      <c r="D226" s="13">
        <v>40468</v>
      </c>
      <c r="E226" s="12" t="s">
        <v>34</v>
      </c>
      <c r="F226" s="14">
        <v>16.8</v>
      </c>
      <c r="G226" s="19">
        <v>40</v>
      </c>
    </row>
    <row r="227" spans="1:7" x14ac:dyDescent="0.3">
      <c r="A227" s="18" t="s">
        <v>156</v>
      </c>
      <c r="B227" s="12" t="s">
        <v>157</v>
      </c>
      <c r="C227" s="12" t="s">
        <v>81</v>
      </c>
      <c r="D227" s="13">
        <v>40468</v>
      </c>
      <c r="E227" s="12" t="s">
        <v>59</v>
      </c>
      <c r="F227" s="14">
        <v>10</v>
      </c>
      <c r="G227" s="19">
        <v>10</v>
      </c>
    </row>
    <row r="228" spans="1:7" x14ac:dyDescent="0.3">
      <c r="A228" s="18" t="s">
        <v>126</v>
      </c>
      <c r="B228" s="12" t="s">
        <v>115</v>
      </c>
      <c r="C228" s="12" t="s">
        <v>81</v>
      </c>
      <c r="D228" s="13">
        <v>40474</v>
      </c>
      <c r="E228" s="12" t="s">
        <v>67</v>
      </c>
      <c r="F228" s="14">
        <v>7.3</v>
      </c>
      <c r="G228" s="19">
        <v>10</v>
      </c>
    </row>
    <row r="229" spans="1:7" x14ac:dyDescent="0.3">
      <c r="A229" s="18" t="s">
        <v>126</v>
      </c>
      <c r="B229" s="12" t="s">
        <v>115</v>
      </c>
      <c r="C229" s="12" t="s">
        <v>81</v>
      </c>
      <c r="D229" s="13">
        <v>40474</v>
      </c>
      <c r="E229" s="12" t="s">
        <v>41</v>
      </c>
      <c r="F229" s="14">
        <v>20.7</v>
      </c>
      <c r="G229" s="19">
        <v>8</v>
      </c>
    </row>
    <row r="230" spans="1:7" x14ac:dyDescent="0.3">
      <c r="A230" s="18" t="s">
        <v>126</v>
      </c>
      <c r="B230" s="12" t="s">
        <v>115</v>
      </c>
      <c r="C230" s="12" t="s">
        <v>81</v>
      </c>
      <c r="D230" s="13">
        <v>40474</v>
      </c>
      <c r="E230" s="12" t="s">
        <v>11</v>
      </c>
      <c r="F230" s="14">
        <v>210.8</v>
      </c>
      <c r="G230" s="19">
        <v>20</v>
      </c>
    </row>
    <row r="231" spans="1:7" x14ac:dyDescent="0.3">
      <c r="A231" s="18" t="s">
        <v>126</v>
      </c>
      <c r="B231" s="12" t="s">
        <v>115</v>
      </c>
      <c r="C231" s="12" t="s">
        <v>81</v>
      </c>
      <c r="D231" s="13">
        <v>40474</v>
      </c>
      <c r="E231" s="12" t="s">
        <v>17</v>
      </c>
      <c r="F231" s="14">
        <v>30.4</v>
      </c>
      <c r="G231" s="19">
        <v>12</v>
      </c>
    </row>
    <row r="232" spans="1:7" x14ac:dyDescent="0.3">
      <c r="A232" s="18" t="s">
        <v>137</v>
      </c>
      <c r="B232" s="12" t="s">
        <v>109</v>
      </c>
      <c r="C232" s="12" t="s">
        <v>79</v>
      </c>
      <c r="D232" s="13">
        <v>40479</v>
      </c>
      <c r="E232" s="12" t="s">
        <v>24</v>
      </c>
      <c r="F232" s="14">
        <v>24.9</v>
      </c>
      <c r="G232" s="19">
        <v>50</v>
      </c>
    </row>
    <row r="233" spans="1:7" x14ac:dyDescent="0.3">
      <c r="A233" s="18" t="s">
        <v>137</v>
      </c>
      <c r="B233" s="12" t="s">
        <v>109</v>
      </c>
      <c r="C233" s="12" t="s">
        <v>79</v>
      </c>
      <c r="D233" s="13">
        <v>40479</v>
      </c>
      <c r="E233" s="12" t="s">
        <v>40</v>
      </c>
      <c r="F233" s="14">
        <v>27.8</v>
      </c>
      <c r="G233" s="19">
        <v>25</v>
      </c>
    </row>
    <row r="234" spans="1:7" x14ac:dyDescent="0.3">
      <c r="A234" s="18" t="s">
        <v>158</v>
      </c>
      <c r="B234" s="12" t="s">
        <v>101</v>
      </c>
      <c r="C234" s="12" t="s">
        <v>78</v>
      </c>
      <c r="D234" s="13">
        <v>40472</v>
      </c>
      <c r="E234" s="12" t="s">
        <v>70</v>
      </c>
      <c r="F234" s="14">
        <v>5.9</v>
      </c>
      <c r="G234" s="19">
        <v>15</v>
      </c>
    </row>
    <row r="235" spans="1:7" x14ac:dyDescent="0.3">
      <c r="A235" s="18" t="s">
        <v>159</v>
      </c>
      <c r="B235" s="12" t="s">
        <v>160</v>
      </c>
      <c r="C235" s="12" t="s">
        <v>79</v>
      </c>
      <c r="D235" s="13">
        <v>40472</v>
      </c>
      <c r="E235" s="12" t="s">
        <v>4</v>
      </c>
      <c r="F235" s="14">
        <v>50</v>
      </c>
      <c r="G235" s="19">
        <v>40</v>
      </c>
    </row>
    <row r="236" spans="1:7" x14ac:dyDescent="0.3">
      <c r="A236" s="18" t="s">
        <v>159</v>
      </c>
      <c r="B236" s="12" t="s">
        <v>160</v>
      </c>
      <c r="C236" s="12" t="s">
        <v>79</v>
      </c>
      <c r="D236" s="13">
        <v>40472</v>
      </c>
      <c r="E236" s="12" t="s">
        <v>60</v>
      </c>
      <c r="F236" s="14">
        <v>11.2</v>
      </c>
      <c r="G236" s="19">
        <v>10</v>
      </c>
    </row>
    <row r="237" spans="1:7" x14ac:dyDescent="0.3">
      <c r="A237" s="18" t="s">
        <v>159</v>
      </c>
      <c r="B237" s="12" t="s">
        <v>160</v>
      </c>
      <c r="C237" s="12" t="s">
        <v>79</v>
      </c>
      <c r="D237" s="13">
        <v>40472</v>
      </c>
      <c r="E237" s="12" t="s">
        <v>76</v>
      </c>
      <c r="F237" s="14">
        <v>7.6</v>
      </c>
      <c r="G237" s="19">
        <v>16</v>
      </c>
    </row>
    <row r="238" spans="1:7" x14ac:dyDescent="0.3">
      <c r="A238" s="18" t="s">
        <v>121</v>
      </c>
      <c r="B238" s="12" t="s">
        <v>96</v>
      </c>
      <c r="C238" s="12" t="s">
        <v>85</v>
      </c>
      <c r="D238" s="13">
        <v>40476</v>
      </c>
      <c r="E238" s="12" t="s">
        <v>69</v>
      </c>
      <c r="F238" s="14">
        <v>18.600000000000001</v>
      </c>
      <c r="G238" s="19">
        <v>10</v>
      </c>
    </row>
    <row r="239" spans="1:7" x14ac:dyDescent="0.3">
      <c r="A239" s="18" t="s">
        <v>121</v>
      </c>
      <c r="B239" s="12" t="s">
        <v>96</v>
      </c>
      <c r="C239" s="12" t="s">
        <v>85</v>
      </c>
      <c r="D239" s="13">
        <v>40476</v>
      </c>
      <c r="E239" s="12" t="s">
        <v>62</v>
      </c>
      <c r="F239" s="14">
        <v>8</v>
      </c>
      <c r="G239" s="19">
        <v>10</v>
      </c>
    </row>
    <row r="240" spans="1:7" x14ac:dyDescent="0.3">
      <c r="A240" s="18" t="s">
        <v>121</v>
      </c>
      <c r="B240" s="12" t="s">
        <v>96</v>
      </c>
      <c r="C240" s="12" t="s">
        <v>85</v>
      </c>
      <c r="D240" s="13">
        <v>40476</v>
      </c>
      <c r="E240" s="12" t="s">
        <v>14</v>
      </c>
      <c r="F240" s="14">
        <v>17.2</v>
      </c>
      <c r="G240" s="19">
        <v>40</v>
      </c>
    </row>
    <row r="241" spans="1:7" x14ac:dyDescent="0.3">
      <c r="A241" s="18" t="s">
        <v>100</v>
      </c>
      <c r="B241" s="12" t="s">
        <v>101</v>
      </c>
      <c r="C241" s="12" t="s">
        <v>80</v>
      </c>
      <c r="D241" s="13">
        <v>40479</v>
      </c>
      <c r="E241" s="12" t="s">
        <v>13</v>
      </c>
      <c r="F241" s="14">
        <v>5.6</v>
      </c>
      <c r="G241" s="19">
        <v>8</v>
      </c>
    </row>
    <row r="242" spans="1:7" x14ac:dyDescent="0.3">
      <c r="A242" s="18" t="s">
        <v>100</v>
      </c>
      <c r="B242" s="12" t="s">
        <v>101</v>
      </c>
      <c r="C242" s="12" t="s">
        <v>80</v>
      </c>
      <c r="D242" s="13">
        <v>40479</v>
      </c>
      <c r="E242" s="12" t="s">
        <v>59</v>
      </c>
      <c r="F242" s="14">
        <v>10</v>
      </c>
      <c r="G242" s="19">
        <v>10</v>
      </c>
    </row>
    <row r="243" spans="1:7" x14ac:dyDescent="0.3">
      <c r="A243" s="18" t="s">
        <v>143</v>
      </c>
      <c r="B243" s="12" t="s">
        <v>144</v>
      </c>
      <c r="C243" s="12" t="s">
        <v>84</v>
      </c>
      <c r="D243" s="13">
        <v>40475</v>
      </c>
      <c r="E243" s="12" t="s">
        <v>6</v>
      </c>
      <c r="F243" s="14">
        <v>15.2</v>
      </c>
      <c r="G243" s="19">
        <v>7</v>
      </c>
    </row>
    <row r="244" spans="1:7" x14ac:dyDescent="0.3">
      <c r="A244" s="18" t="s">
        <v>143</v>
      </c>
      <c r="B244" s="12" t="s">
        <v>144</v>
      </c>
      <c r="C244" s="12" t="s">
        <v>84</v>
      </c>
      <c r="D244" s="13">
        <v>40475</v>
      </c>
      <c r="E244" s="12" t="s">
        <v>18</v>
      </c>
      <c r="F244" s="14">
        <v>10</v>
      </c>
      <c r="G244" s="19">
        <v>25</v>
      </c>
    </row>
    <row r="245" spans="1:7" x14ac:dyDescent="0.3">
      <c r="A245" s="18" t="s">
        <v>143</v>
      </c>
      <c r="B245" s="12" t="s">
        <v>144</v>
      </c>
      <c r="C245" s="12" t="s">
        <v>84</v>
      </c>
      <c r="D245" s="13">
        <v>40475</v>
      </c>
      <c r="E245" s="12" t="s">
        <v>37</v>
      </c>
      <c r="F245" s="14">
        <v>25.6</v>
      </c>
      <c r="G245" s="19">
        <v>6</v>
      </c>
    </row>
    <row r="246" spans="1:7" x14ac:dyDescent="0.3">
      <c r="A246" s="18" t="s">
        <v>143</v>
      </c>
      <c r="B246" s="12" t="s">
        <v>144</v>
      </c>
      <c r="C246" s="12" t="s">
        <v>84</v>
      </c>
      <c r="D246" s="13">
        <v>40475</v>
      </c>
      <c r="E246" s="12" t="s">
        <v>36</v>
      </c>
      <c r="F246" s="14">
        <v>42.4</v>
      </c>
      <c r="G246" s="19">
        <v>48</v>
      </c>
    </row>
    <row r="247" spans="1:7" x14ac:dyDescent="0.3">
      <c r="A247" s="18" t="s">
        <v>161</v>
      </c>
      <c r="B247" s="12" t="s">
        <v>157</v>
      </c>
      <c r="C247" s="12" t="s">
        <v>84</v>
      </c>
      <c r="D247" s="13">
        <v>40476</v>
      </c>
      <c r="E247" s="12" t="s">
        <v>8</v>
      </c>
      <c r="F247" s="14">
        <v>17.600000000000001</v>
      </c>
      <c r="G247" s="19">
        <v>18</v>
      </c>
    </row>
    <row r="248" spans="1:7" x14ac:dyDescent="0.3">
      <c r="A248" s="18" t="s">
        <v>122</v>
      </c>
      <c r="B248" s="12" t="s">
        <v>123</v>
      </c>
      <c r="C248" s="12" t="s">
        <v>81</v>
      </c>
      <c r="D248" s="13">
        <v>40480</v>
      </c>
      <c r="E248" s="12" t="s">
        <v>71</v>
      </c>
      <c r="F248" s="14">
        <v>7.2</v>
      </c>
      <c r="G248" s="19">
        <v>40</v>
      </c>
    </row>
    <row r="249" spans="1:7" x14ac:dyDescent="0.3">
      <c r="A249" s="18" t="s">
        <v>122</v>
      </c>
      <c r="B249" s="12" t="s">
        <v>123</v>
      </c>
      <c r="C249" s="12" t="s">
        <v>81</v>
      </c>
      <c r="D249" s="13">
        <v>40480</v>
      </c>
      <c r="E249" s="12" t="s">
        <v>24</v>
      </c>
      <c r="F249" s="14">
        <v>24.9</v>
      </c>
      <c r="G249" s="19">
        <v>24</v>
      </c>
    </row>
    <row r="250" spans="1:7" x14ac:dyDescent="0.3">
      <c r="A250" s="18" t="s">
        <v>122</v>
      </c>
      <c r="B250" s="12" t="s">
        <v>123</v>
      </c>
      <c r="C250" s="12" t="s">
        <v>81</v>
      </c>
      <c r="D250" s="13">
        <v>40480</v>
      </c>
      <c r="E250" s="12" t="s">
        <v>27</v>
      </c>
      <c r="F250" s="14">
        <v>15.2</v>
      </c>
      <c r="G250" s="19">
        <v>20</v>
      </c>
    </row>
    <row r="251" spans="1:7" x14ac:dyDescent="0.3">
      <c r="A251" s="18" t="s">
        <v>122</v>
      </c>
      <c r="B251" s="12" t="s">
        <v>123</v>
      </c>
      <c r="C251" s="12" t="s">
        <v>81</v>
      </c>
      <c r="D251" s="13">
        <v>40480</v>
      </c>
      <c r="E251" s="12" t="s">
        <v>20</v>
      </c>
      <c r="F251" s="14">
        <v>20.8</v>
      </c>
      <c r="G251" s="19">
        <v>28</v>
      </c>
    </row>
    <row r="252" spans="1:7" x14ac:dyDescent="0.3">
      <c r="A252" s="18" t="s">
        <v>122</v>
      </c>
      <c r="B252" s="12" t="s">
        <v>123</v>
      </c>
      <c r="C252" s="12" t="s">
        <v>81</v>
      </c>
      <c r="D252" s="13">
        <v>40480</v>
      </c>
      <c r="E252" s="12" t="s">
        <v>40</v>
      </c>
      <c r="F252" s="14">
        <v>27.8</v>
      </c>
      <c r="G252" s="19">
        <v>25</v>
      </c>
    </row>
    <row r="253" spans="1:7" x14ac:dyDescent="0.3">
      <c r="A253" s="18" t="s">
        <v>114</v>
      </c>
      <c r="B253" s="12" t="s">
        <v>115</v>
      </c>
      <c r="C253" s="12" t="s">
        <v>81</v>
      </c>
      <c r="D253" s="13">
        <v>40480</v>
      </c>
      <c r="E253" s="12" t="s">
        <v>0</v>
      </c>
      <c r="F253" s="14">
        <v>31.2</v>
      </c>
      <c r="G253" s="19">
        <v>20</v>
      </c>
    </row>
    <row r="254" spans="1:7" x14ac:dyDescent="0.3">
      <c r="A254" s="18" t="s">
        <v>114</v>
      </c>
      <c r="B254" s="12" t="s">
        <v>115</v>
      </c>
      <c r="C254" s="12" t="s">
        <v>81</v>
      </c>
      <c r="D254" s="13">
        <v>40480</v>
      </c>
      <c r="E254" s="12" t="s">
        <v>41</v>
      </c>
      <c r="F254" s="14">
        <v>20.7</v>
      </c>
      <c r="G254" s="19">
        <v>15</v>
      </c>
    </row>
    <row r="255" spans="1:7" x14ac:dyDescent="0.3">
      <c r="A255" s="18" t="s">
        <v>159</v>
      </c>
      <c r="B255" s="12" t="s">
        <v>160</v>
      </c>
      <c r="C255" s="12" t="s">
        <v>77</v>
      </c>
      <c r="D255" s="13">
        <v>40486</v>
      </c>
      <c r="E255" s="12" t="s">
        <v>8</v>
      </c>
      <c r="F255" s="14">
        <v>17.600000000000001</v>
      </c>
      <c r="G255" s="19">
        <v>10</v>
      </c>
    </row>
    <row r="256" spans="1:7" x14ac:dyDescent="0.3">
      <c r="A256" s="18" t="s">
        <v>159</v>
      </c>
      <c r="B256" s="12" t="s">
        <v>160</v>
      </c>
      <c r="C256" s="12" t="s">
        <v>77</v>
      </c>
      <c r="D256" s="13">
        <v>40486</v>
      </c>
      <c r="E256" s="12" t="s">
        <v>0</v>
      </c>
      <c r="F256" s="14">
        <v>31.2</v>
      </c>
      <c r="G256" s="19">
        <v>70</v>
      </c>
    </row>
    <row r="257" spans="1:7" x14ac:dyDescent="0.3">
      <c r="A257" s="18" t="s">
        <v>159</v>
      </c>
      <c r="B257" s="12" t="s">
        <v>160</v>
      </c>
      <c r="C257" s="12" t="s">
        <v>77</v>
      </c>
      <c r="D257" s="13">
        <v>40486</v>
      </c>
      <c r="E257" s="12" t="s">
        <v>66</v>
      </c>
      <c r="F257" s="14">
        <v>39.4</v>
      </c>
      <c r="G257" s="19">
        <v>28</v>
      </c>
    </row>
    <row r="258" spans="1:7" x14ac:dyDescent="0.3">
      <c r="A258" s="18" t="s">
        <v>158</v>
      </c>
      <c r="B258" s="12" t="s">
        <v>101</v>
      </c>
      <c r="C258" s="12" t="s">
        <v>83</v>
      </c>
      <c r="D258" s="13">
        <v>40490</v>
      </c>
      <c r="E258" s="12" t="s">
        <v>4</v>
      </c>
      <c r="F258" s="14">
        <v>50</v>
      </c>
      <c r="G258" s="19">
        <v>20</v>
      </c>
    </row>
    <row r="259" spans="1:7" x14ac:dyDescent="0.3">
      <c r="A259" s="18" t="s">
        <v>158</v>
      </c>
      <c r="B259" s="12" t="s">
        <v>101</v>
      </c>
      <c r="C259" s="12" t="s">
        <v>83</v>
      </c>
      <c r="D259" s="13">
        <v>40490</v>
      </c>
      <c r="E259" s="12" t="s">
        <v>29</v>
      </c>
      <c r="F259" s="14">
        <v>7.7</v>
      </c>
      <c r="G259" s="19">
        <v>12</v>
      </c>
    </row>
    <row r="260" spans="1:7" x14ac:dyDescent="0.3">
      <c r="A260" s="18" t="s">
        <v>158</v>
      </c>
      <c r="B260" s="12" t="s">
        <v>101</v>
      </c>
      <c r="C260" s="12" t="s">
        <v>83</v>
      </c>
      <c r="D260" s="13">
        <v>40490</v>
      </c>
      <c r="E260" s="12" t="s">
        <v>28</v>
      </c>
      <c r="F260" s="14">
        <v>36.799999999999997</v>
      </c>
      <c r="G260" s="19">
        <v>40</v>
      </c>
    </row>
    <row r="261" spans="1:7" x14ac:dyDescent="0.3">
      <c r="A261" s="18" t="s">
        <v>162</v>
      </c>
      <c r="B261" s="12" t="s">
        <v>163</v>
      </c>
      <c r="C261" s="12" t="s">
        <v>84</v>
      </c>
      <c r="D261" s="13">
        <v>40487</v>
      </c>
      <c r="E261" s="12" t="s">
        <v>15</v>
      </c>
      <c r="F261" s="14">
        <v>2</v>
      </c>
      <c r="G261" s="19">
        <v>8</v>
      </c>
    </row>
    <row r="262" spans="1:7" x14ac:dyDescent="0.3">
      <c r="A262" s="18" t="s">
        <v>162</v>
      </c>
      <c r="B262" s="12" t="s">
        <v>163</v>
      </c>
      <c r="C262" s="12" t="s">
        <v>84</v>
      </c>
      <c r="D262" s="13">
        <v>40487</v>
      </c>
      <c r="E262" s="12" t="s">
        <v>51</v>
      </c>
      <c r="F262" s="14">
        <v>44</v>
      </c>
      <c r="G262" s="19">
        <v>9</v>
      </c>
    </row>
    <row r="263" spans="1:7" x14ac:dyDescent="0.3">
      <c r="A263" s="18" t="s">
        <v>122</v>
      </c>
      <c r="B263" s="12" t="s">
        <v>123</v>
      </c>
      <c r="C263" s="12" t="s">
        <v>81</v>
      </c>
      <c r="D263" s="13">
        <v>40486</v>
      </c>
      <c r="E263" s="12" t="s">
        <v>6</v>
      </c>
      <c r="F263" s="14">
        <v>15.2</v>
      </c>
      <c r="G263" s="19">
        <v>24</v>
      </c>
    </row>
    <row r="264" spans="1:7" x14ac:dyDescent="0.3">
      <c r="A264" s="18" t="s">
        <v>122</v>
      </c>
      <c r="B264" s="12" t="s">
        <v>123</v>
      </c>
      <c r="C264" s="12" t="s">
        <v>81</v>
      </c>
      <c r="D264" s="13">
        <v>40486</v>
      </c>
      <c r="E264" s="12" t="s">
        <v>18</v>
      </c>
      <c r="F264" s="14">
        <v>10</v>
      </c>
      <c r="G264" s="19">
        <v>56</v>
      </c>
    </row>
    <row r="265" spans="1:7" x14ac:dyDescent="0.3">
      <c r="A265" s="18" t="s">
        <v>122</v>
      </c>
      <c r="B265" s="12" t="s">
        <v>123</v>
      </c>
      <c r="C265" s="12" t="s">
        <v>81</v>
      </c>
      <c r="D265" s="13">
        <v>40486</v>
      </c>
      <c r="E265" s="12" t="s">
        <v>27</v>
      </c>
      <c r="F265" s="14">
        <v>15.2</v>
      </c>
      <c r="G265" s="19">
        <v>40</v>
      </c>
    </row>
    <row r="266" spans="1:7" x14ac:dyDescent="0.3">
      <c r="A266" s="18" t="s">
        <v>122</v>
      </c>
      <c r="B266" s="12" t="s">
        <v>123</v>
      </c>
      <c r="C266" s="12" t="s">
        <v>81</v>
      </c>
      <c r="D266" s="13">
        <v>40486</v>
      </c>
      <c r="E266" s="12" t="s">
        <v>46</v>
      </c>
      <c r="F266" s="14">
        <v>19.2</v>
      </c>
      <c r="G266" s="19">
        <v>40</v>
      </c>
    </row>
    <row r="267" spans="1:7" x14ac:dyDescent="0.3">
      <c r="A267" s="18" t="s">
        <v>134</v>
      </c>
      <c r="B267" s="12" t="s">
        <v>123</v>
      </c>
      <c r="C267" s="12" t="s">
        <v>81</v>
      </c>
      <c r="D267" s="13">
        <v>40488</v>
      </c>
      <c r="E267" s="12" t="s">
        <v>75</v>
      </c>
      <c r="F267" s="14">
        <v>26.6</v>
      </c>
      <c r="G267" s="19">
        <v>50</v>
      </c>
    </row>
    <row r="268" spans="1:7" x14ac:dyDescent="0.3">
      <c r="A268" s="18" t="s">
        <v>134</v>
      </c>
      <c r="B268" s="12" t="s">
        <v>123</v>
      </c>
      <c r="C268" s="12" t="s">
        <v>81</v>
      </c>
      <c r="D268" s="13">
        <v>40488</v>
      </c>
      <c r="E268" s="12" t="s">
        <v>59</v>
      </c>
      <c r="F268" s="14">
        <v>10</v>
      </c>
      <c r="G268" s="19">
        <v>4</v>
      </c>
    </row>
    <row r="269" spans="1:7" x14ac:dyDescent="0.3">
      <c r="A269" s="18" t="s">
        <v>134</v>
      </c>
      <c r="B269" s="12" t="s">
        <v>123</v>
      </c>
      <c r="C269" s="12" t="s">
        <v>81</v>
      </c>
      <c r="D269" s="13">
        <v>40488</v>
      </c>
      <c r="E269" s="12" t="s">
        <v>31</v>
      </c>
      <c r="F269" s="14">
        <v>14.4</v>
      </c>
      <c r="G269" s="19">
        <v>15</v>
      </c>
    </row>
    <row r="270" spans="1:7" x14ac:dyDescent="0.3">
      <c r="A270" s="18" t="s">
        <v>125</v>
      </c>
      <c r="B270" s="12" t="s">
        <v>115</v>
      </c>
      <c r="C270" s="12" t="s">
        <v>81</v>
      </c>
      <c r="D270" s="13">
        <v>40487</v>
      </c>
      <c r="E270" s="12" t="s">
        <v>8</v>
      </c>
      <c r="F270" s="14">
        <v>17.600000000000001</v>
      </c>
      <c r="G270" s="19">
        <v>35</v>
      </c>
    </row>
    <row r="271" spans="1:7" x14ac:dyDescent="0.3">
      <c r="A271" s="18" t="s">
        <v>125</v>
      </c>
      <c r="B271" s="12" t="s">
        <v>115</v>
      </c>
      <c r="C271" s="12" t="s">
        <v>81</v>
      </c>
      <c r="D271" s="13">
        <v>40487</v>
      </c>
      <c r="E271" s="12" t="s">
        <v>42</v>
      </c>
      <c r="F271" s="14">
        <v>32</v>
      </c>
      <c r="G271" s="19">
        <v>70</v>
      </c>
    </row>
    <row r="272" spans="1:7" x14ac:dyDescent="0.3">
      <c r="A272" s="18" t="s">
        <v>127</v>
      </c>
      <c r="B272" s="12" t="s">
        <v>123</v>
      </c>
      <c r="C272" s="12" t="s">
        <v>77</v>
      </c>
      <c r="D272" s="13">
        <v>40493</v>
      </c>
      <c r="E272" s="12" t="s">
        <v>42</v>
      </c>
      <c r="F272" s="14">
        <v>32</v>
      </c>
      <c r="G272" s="19">
        <v>70</v>
      </c>
    </row>
    <row r="273" spans="1:7" x14ac:dyDescent="0.3">
      <c r="A273" s="18" t="s">
        <v>127</v>
      </c>
      <c r="B273" s="12" t="s">
        <v>123</v>
      </c>
      <c r="C273" s="12" t="s">
        <v>77</v>
      </c>
      <c r="D273" s="13">
        <v>40493</v>
      </c>
      <c r="E273" s="12" t="s">
        <v>67</v>
      </c>
      <c r="F273" s="14">
        <v>7.3</v>
      </c>
      <c r="G273" s="19">
        <v>80</v>
      </c>
    </row>
    <row r="274" spans="1:7" x14ac:dyDescent="0.3">
      <c r="A274" s="18" t="s">
        <v>127</v>
      </c>
      <c r="B274" s="12" t="s">
        <v>123</v>
      </c>
      <c r="C274" s="12" t="s">
        <v>77</v>
      </c>
      <c r="D274" s="13">
        <v>40493</v>
      </c>
      <c r="E274" s="12" t="s">
        <v>60</v>
      </c>
      <c r="F274" s="14">
        <v>11.2</v>
      </c>
      <c r="G274" s="19">
        <v>9</v>
      </c>
    </row>
    <row r="275" spans="1:7" x14ac:dyDescent="0.3">
      <c r="A275" s="18" t="s">
        <v>117</v>
      </c>
      <c r="B275" s="12" t="s">
        <v>115</v>
      </c>
      <c r="C275" s="12" t="s">
        <v>79</v>
      </c>
      <c r="D275" s="13">
        <v>40490</v>
      </c>
      <c r="E275" s="12" t="s">
        <v>0</v>
      </c>
      <c r="F275" s="14">
        <v>31.2</v>
      </c>
      <c r="G275" s="19">
        <v>36</v>
      </c>
    </row>
    <row r="276" spans="1:7" x14ac:dyDescent="0.3">
      <c r="A276" s="18" t="s">
        <v>117</v>
      </c>
      <c r="B276" s="12" t="s">
        <v>115</v>
      </c>
      <c r="C276" s="12" t="s">
        <v>79</v>
      </c>
      <c r="D276" s="13">
        <v>40490</v>
      </c>
      <c r="E276" s="12" t="s">
        <v>17</v>
      </c>
      <c r="F276" s="14">
        <v>30.4</v>
      </c>
      <c r="G276" s="19">
        <v>20</v>
      </c>
    </row>
    <row r="277" spans="1:7" x14ac:dyDescent="0.3">
      <c r="A277" s="18" t="s">
        <v>164</v>
      </c>
      <c r="B277" s="12" t="s">
        <v>98</v>
      </c>
      <c r="C277" s="12" t="s">
        <v>81</v>
      </c>
      <c r="D277" s="13">
        <v>40490</v>
      </c>
      <c r="E277" s="12" t="s">
        <v>43</v>
      </c>
      <c r="F277" s="14">
        <v>11.2</v>
      </c>
      <c r="G277" s="19">
        <v>10</v>
      </c>
    </row>
    <row r="278" spans="1:7" x14ac:dyDescent="0.3">
      <c r="A278" s="18" t="s">
        <v>164</v>
      </c>
      <c r="B278" s="12" t="s">
        <v>98</v>
      </c>
      <c r="C278" s="12" t="s">
        <v>81</v>
      </c>
      <c r="D278" s="13">
        <v>40490</v>
      </c>
      <c r="E278" s="12" t="s">
        <v>7</v>
      </c>
      <c r="F278" s="14">
        <v>14.4</v>
      </c>
      <c r="G278" s="19">
        <v>50</v>
      </c>
    </row>
    <row r="279" spans="1:7" x14ac:dyDescent="0.3">
      <c r="A279" s="18" t="s">
        <v>164</v>
      </c>
      <c r="B279" s="12" t="s">
        <v>98</v>
      </c>
      <c r="C279" s="12" t="s">
        <v>81</v>
      </c>
      <c r="D279" s="13">
        <v>40490</v>
      </c>
      <c r="E279" s="12" t="s">
        <v>2</v>
      </c>
      <c r="F279" s="14">
        <v>14.7</v>
      </c>
      <c r="G279" s="19">
        <v>4</v>
      </c>
    </row>
    <row r="280" spans="1:7" x14ac:dyDescent="0.3">
      <c r="A280" s="18" t="s">
        <v>164</v>
      </c>
      <c r="B280" s="12" t="s">
        <v>98</v>
      </c>
      <c r="C280" s="12" t="s">
        <v>81</v>
      </c>
      <c r="D280" s="13">
        <v>40490</v>
      </c>
      <c r="E280" s="12" t="s">
        <v>53</v>
      </c>
      <c r="F280" s="14">
        <v>6.2</v>
      </c>
      <c r="G280" s="19">
        <v>6</v>
      </c>
    </row>
    <row r="281" spans="1:7" x14ac:dyDescent="0.3">
      <c r="A281" s="18" t="s">
        <v>145</v>
      </c>
      <c r="B281" s="12" t="s">
        <v>123</v>
      </c>
      <c r="C281" s="12" t="s">
        <v>81</v>
      </c>
      <c r="D281" s="13">
        <v>40497</v>
      </c>
      <c r="E281" s="12" t="s">
        <v>5</v>
      </c>
      <c r="F281" s="14">
        <v>14.4</v>
      </c>
      <c r="G281" s="19">
        <v>15</v>
      </c>
    </row>
    <row r="282" spans="1:7" x14ac:dyDescent="0.3">
      <c r="A282" s="18" t="s">
        <v>145</v>
      </c>
      <c r="B282" s="12" t="s">
        <v>123</v>
      </c>
      <c r="C282" s="12" t="s">
        <v>81</v>
      </c>
      <c r="D282" s="13">
        <v>40497</v>
      </c>
      <c r="E282" s="12" t="s">
        <v>71</v>
      </c>
      <c r="F282" s="14">
        <v>7.2</v>
      </c>
      <c r="G282" s="19">
        <v>25</v>
      </c>
    </row>
    <row r="283" spans="1:7" x14ac:dyDescent="0.3">
      <c r="A283" s="18" t="s">
        <v>126</v>
      </c>
      <c r="B283" s="12" t="s">
        <v>115</v>
      </c>
      <c r="C283" s="12" t="s">
        <v>84</v>
      </c>
      <c r="D283" s="13">
        <v>40497</v>
      </c>
      <c r="E283" s="12" t="s">
        <v>70</v>
      </c>
      <c r="F283" s="14">
        <v>5.9</v>
      </c>
      <c r="G283" s="19">
        <v>24</v>
      </c>
    </row>
    <row r="284" spans="1:7" x14ac:dyDescent="0.3">
      <c r="A284" s="18" t="s">
        <v>165</v>
      </c>
      <c r="B284" s="12" t="s">
        <v>101</v>
      </c>
      <c r="C284" s="12" t="s">
        <v>82</v>
      </c>
      <c r="D284" s="13">
        <v>40515</v>
      </c>
      <c r="E284" s="12" t="s">
        <v>73</v>
      </c>
      <c r="F284" s="14">
        <v>13</v>
      </c>
      <c r="G284" s="19">
        <v>15</v>
      </c>
    </row>
    <row r="285" spans="1:7" x14ac:dyDescent="0.3">
      <c r="A285" s="18" t="s">
        <v>165</v>
      </c>
      <c r="B285" s="12" t="s">
        <v>101</v>
      </c>
      <c r="C285" s="12" t="s">
        <v>82</v>
      </c>
      <c r="D285" s="13">
        <v>40515</v>
      </c>
      <c r="E285" s="12" t="s">
        <v>22</v>
      </c>
      <c r="F285" s="14">
        <v>28.8</v>
      </c>
      <c r="G285" s="19">
        <v>18</v>
      </c>
    </row>
    <row r="286" spans="1:7" x14ac:dyDescent="0.3">
      <c r="A286" s="18" t="s">
        <v>110</v>
      </c>
      <c r="B286" s="12" t="s">
        <v>111</v>
      </c>
      <c r="C286" s="12" t="s">
        <v>83</v>
      </c>
      <c r="D286" s="13">
        <v>40502</v>
      </c>
      <c r="E286" s="12" t="s">
        <v>11</v>
      </c>
      <c r="F286" s="14">
        <v>210.8</v>
      </c>
      <c r="G286" s="19">
        <v>20</v>
      </c>
    </row>
    <row r="287" spans="1:7" x14ac:dyDescent="0.3">
      <c r="A287" s="18" t="s">
        <v>110</v>
      </c>
      <c r="B287" s="12" t="s">
        <v>111</v>
      </c>
      <c r="C287" s="12" t="s">
        <v>83</v>
      </c>
      <c r="D287" s="13">
        <v>40502</v>
      </c>
      <c r="E287" s="12" t="s">
        <v>29</v>
      </c>
      <c r="F287" s="14">
        <v>7.7</v>
      </c>
      <c r="G287" s="19">
        <v>13</v>
      </c>
    </row>
    <row r="288" spans="1:7" x14ac:dyDescent="0.3">
      <c r="A288" s="18" t="s">
        <v>110</v>
      </c>
      <c r="B288" s="12" t="s">
        <v>111</v>
      </c>
      <c r="C288" s="12" t="s">
        <v>83</v>
      </c>
      <c r="D288" s="13">
        <v>40502</v>
      </c>
      <c r="E288" s="12" t="s">
        <v>23</v>
      </c>
      <c r="F288" s="14">
        <v>15.5</v>
      </c>
      <c r="G288" s="19">
        <v>77</v>
      </c>
    </row>
    <row r="289" spans="1:7" x14ac:dyDescent="0.3">
      <c r="A289" s="18" t="s">
        <v>110</v>
      </c>
      <c r="B289" s="12" t="s">
        <v>111</v>
      </c>
      <c r="C289" s="12" t="s">
        <v>83</v>
      </c>
      <c r="D289" s="13">
        <v>40502</v>
      </c>
      <c r="E289" s="12" t="s">
        <v>34</v>
      </c>
      <c r="F289" s="14">
        <v>16.8</v>
      </c>
      <c r="G289" s="19">
        <v>10</v>
      </c>
    </row>
    <row r="290" spans="1:7" x14ac:dyDescent="0.3">
      <c r="A290" s="18" t="s">
        <v>156</v>
      </c>
      <c r="B290" s="12" t="s">
        <v>157</v>
      </c>
      <c r="C290" s="12" t="s">
        <v>79</v>
      </c>
      <c r="D290" s="13">
        <v>40500</v>
      </c>
      <c r="E290" s="12" t="s">
        <v>21</v>
      </c>
      <c r="F290" s="14">
        <v>3.6</v>
      </c>
      <c r="G290" s="19">
        <v>10</v>
      </c>
    </row>
    <row r="291" spans="1:7" x14ac:dyDescent="0.3">
      <c r="A291" s="18" t="s">
        <v>156</v>
      </c>
      <c r="B291" s="12" t="s">
        <v>157</v>
      </c>
      <c r="C291" s="12" t="s">
        <v>79</v>
      </c>
      <c r="D291" s="13">
        <v>40500</v>
      </c>
      <c r="E291" s="12" t="s">
        <v>70</v>
      </c>
      <c r="F291" s="14">
        <v>5.9</v>
      </c>
      <c r="G291" s="19">
        <v>20</v>
      </c>
    </row>
    <row r="292" spans="1:7" x14ac:dyDescent="0.3">
      <c r="A292" s="18" t="s">
        <v>166</v>
      </c>
      <c r="B292" s="12" t="s">
        <v>111</v>
      </c>
      <c r="C292" s="12" t="s">
        <v>84</v>
      </c>
      <c r="D292" s="13">
        <v>40507</v>
      </c>
      <c r="E292" s="12" t="s">
        <v>49</v>
      </c>
      <c r="F292" s="14">
        <v>16.8</v>
      </c>
      <c r="G292" s="19">
        <v>12</v>
      </c>
    </row>
    <row r="293" spans="1:7" x14ac:dyDescent="0.3">
      <c r="A293" s="18" t="s">
        <v>166</v>
      </c>
      <c r="B293" s="12" t="s">
        <v>111</v>
      </c>
      <c r="C293" s="12" t="s">
        <v>84</v>
      </c>
      <c r="D293" s="13">
        <v>40507</v>
      </c>
      <c r="E293" s="12" t="s">
        <v>11</v>
      </c>
      <c r="F293" s="14">
        <v>210.8</v>
      </c>
      <c r="G293" s="19">
        <v>50</v>
      </c>
    </row>
    <row r="294" spans="1:7" x14ac:dyDescent="0.3">
      <c r="A294" s="18" t="s">
        <v>152</v>
      </c>
      <c r="B294" s="12" t="s">
        <v>113</v>
      </c>
      <c r="C294" s="12" t="s">
        <v>80</v>
      </c>
      <c r="D294" s="13">
        <v>40502</v>
      </c>
      <c r="E294" s="12" t="s">
        <v>5</v>
      </c>
      <c r="F294" s="14">
        <v>14.4</v>
      </c>
      <c r="G294" s="19">
        <v>12</v>
      </c>
    </row>
    <row r="295" spans="1:7" x14ac:dyDescent="0.3">
      <c r="A295" s="18" t="s">
        <v>152</v>
      </c>
      <c r="B295" s="12" t="s">
        <v>113</v>
      </c>
      <c r="C295" s="12" t="s">
        <v>80</v>
      </c>
      <c r="D295" s="13">
        <v>40502</v>
      </c>
      <c r="E295" s="12" t="s">
        <v>68</v>
      </c>
      <c r="F295" s="14">
        <v>99</v>
      </c>
      <c r="G295" s="19">
        <v>4</v>
      </c>
    </row>
    <row r="296" spans="1:7" x14ac:dyDescent="0.3">
      <c r="A296" s="18" t="s">
        <v>167</v>
      </c>
      <c r="B296" s="12" t="s">
        <v>141</v>
      </c>
      <c r="C296" s="12" t="s">
        <v>82</v>
      </c>
      <c r="D296" s="13">
        <v>40502</v>
      </c>
      <c r="E296" s="12" t="s">
        <v>21</v>
      </c>
      <c r="F296" s="14">
        <v>3.6</v>
      </c>
      <c r="G296" s="19">
        <v>25</v>
      </c>
    </row>
    <row r="297" spans="1:7" x14ac:dyDescent="0.3">
      <c r="A297" s="18" t="s">
        <v>167</v>
      </c>
      <c r="B297" s="12" t="s">
        <v>141</v>
      </c>
      <c r="C297" s="12" t="s">
        <v>82</v>
      </c>
      <c r="D297" s="13">
        <v>40502</v>
      </c>
      <c r="E297" s="12" t="s">
        <v>52</v>
      </c>
      <c r="F297" s="14">
        <v>15.6</v>
      </c>
      <c r="G297" s="19">
        <v>25</v>
      </c>
    </row>
    <row r="298" spans="1:7" x14ac:dyDescent="0.3">
      <c r="A298" s="18" t="s">
        <v>145</v>
      </c>
      <c r="B298" s="12" t="s">
        <v>123</v>
      </c>
      <c r="C298" s="12" t="s">
        <v>82</v>
      </c>
      <c r="D298" s="13">
        <v>40509</v>
      </c>
      <c r="E298" s="12" t="s">
        <v>18</v>
      </c>
      <c r="F298" s="14">
        <v>10</v>
      </c>
      <c r="G298" s="19">
        <v>30</v>
      </c>
    </row>
    <row r="299" spans="1:7" x14ac:dyDescent="0.3">
      <c r="A299" s="18" t="s">
        <v>145</v>
      </c>
      <c r="B299" s="12" t="s">
        <v>123</v>
      </c>
      <c r="C299" s="12" t="s">
        <v>82</v>
      </c>
      <c r="D299" s="13">
        <v>40509</v>
      </c>
      <c r="E299" s="12" t="s">
        <v>46</v>
      </c>
      <c r="F299" s="14">
        <v>19.2</v>
      </c>
      <c r="G299" s="19">
        <v>12</v>
      </c>
    </row>
    <row r="300" spans="1:7" x14ac:dyDescent="0.3">
      <c r="A300" s="18" t="s">
        <v>145</v>
      </c>
      <c r="B300" s="12" t="s">
        <v>123</v>
      </c>
      <c r="C300" s="12" t="s">
        <v>82</v>
      </c>
      <c r="D300" s="13">
        <v>40509</v>
      </c>
      <c r="E300" s="12" t="s">
        <v>22</v>
      </c>
      <c r="F300" s="14">
        <v>28.8</v>
      </c>
      <c r="G300" s="19">
        <v>20</v>
      </c>
    </row>
    <row r="301" spans="1:7" x14ac:dyDescent="0.3">
      <c r="A301" s="18" t="s">
        <v>137</v>
      </c>
      <c r="B301" s="12" t="s">
        <v>109</v>
      </c>
      <c r="C301" s="12" t="s">
        <v>83</v>
      </c>
      <c r="D301" s="13">
        <v>40514</v>
      </c>
      <c r="E301" s="12" t="s">
        <v>26</v>
      </c>
      <c r="F301" s="14">
        <v>24.8</v>
      </c>
      <c r="G301" s="19">
        <v>30</v>
      </c>
    </row>
    <row r="302" spans="1:7" x14ac:dyDescent="0.3">
      <c r="A302" s="18" t="s">
        <v>137</v>
      </c>
      <c r="B302" s="12" t="s">
        <v>109</v>
      </c>
      <c r="C302" s="12" t="s">
        <v>83</v>
      </c>
      <c r="D302" s="13">
        <v>40514</v>
      </c>
      <c r="E302" s="12" t="s">
        <v>24</v>
      </c>
      <c r="F302" s="14">
        <v>24.9</v>
      </c>
      <c r="G302" s="19">
        <v>16</v>
      </c>
    </row>
    <row r="303" spans="1:7" x14ac:dyDescent="0.3">
      <c r="A303" s="18" t="s">
        <v>137</v>
      </c>
      <c r="B303" s="12" t="s">
        <v>109</v>
      </c>
      <c r="C303" s="12" t="s">
        <v>83</v>
      </c>
      <c r="D303" s="13">
        <v>40514</v>
      </c>
      <c r="E303" s="12" t="s">
        <v>3</v>
      </c>
      <c r="F303" s="14">
        <v>27.2</v>
      </c>
      <c r="G303" s="19">
        <v>8</v>
      </c>
    </row>
    <row r="304" spans="1:7" x14ac:dyDescent="0.3">
      <c r="A304" s="18" t="s">
        <v>165</v>
      </c>
      <c r="B304" s="12" t="s">
        <v>101</v>
      </c>
      <c r="C304" s="12" t="s">
        <v>85</v>
      </c>
      <c r="D304" s="13">
        <v>40509</v>
      </c>
      <c r="E304" s="12" t="s">
        <v>21</v>
      </c>
      <c r="F304" s="14">
        <v>3.6</v>
      </c>
      <c r="G304" s="19">
        <v>10</v>
      </c>
    </row>
    <row r="305" spans="1:7" x14ac:dyDescent="0.3">
      <c r="A305" s="18" t="s">
        <v>165</v>
      </c>
      <c r="B305" s="12" t="s">
        <v>101</v>
      </c>
      <c r="C305" s="12" t="s">
        <v>85</v>
      </c>
      <c r="D305" s="13">
        <v>40509</v>
      </c>
      <c r="E305" s="12" t="s">
        <v>57</v>
      </c>
      <c r="F305" s="14">
        <v>11.2</v>
      </c>
      <c r="G305" s="19">
        <v>10</v>
      </c>
    </row>
    <row r="306" spans="1:7" x14ac:dyDescent="0.3">
      <c r="A306" s="18" t="s">
        <v>165</v>
      </c>
      <c r="B306" s="12" t="s">
        <v>101</v>
      </c>
      <c r="C306" s="12" t="s">
        <v>85</v>
      </c>
      <c r="D306" s="13">
        <v>40509</v>
      </c>
      <c r="E306" s="12" t="s">
        <v>27</v>
      </c>
      <c r="F306" s="14">
        <v>15.2</v>
      </c>
      <c r="G306" s="19">
        <v>20</v>
      </c>
    </row>
    <row r="307" spans="1:7" x14ac:dyDescent="0.3">
      <c r="A307" s="18" t="s">
        <v>168</v>
      </c>
      <c r="B307" s="12" t="s">
        <v>141</v>
      </c>
      <c r="C307" s="12" t="s">
        <v>85</v>
      </c>
      <c r="D307" s="13">
        <v>40508</v>
      </c>
      <c r="E307" s="12" t="s">
        <v>47</v>
      </c>
      <c r="F307" s="14">
        <v>13.9</v>
      </c>
      <c r="G307" s="19">
        <v>56</v>
      </c>
    </row>
    <row r="308" spans="1:7" x14ac:dyDescent="0.3">
      <c r="A308" s="18" t="s">
        <v>168</v>
      </c>
      <c r="B308" s="12" t="s">
        <v>141</v>
      </c>
      <c r="C308" s="12" t="s">
        <v>85</v>
      </c>
      <c r="D308" s="13">
        <v>40508</v>
      </c>
      <c r="E308" s="12" t="s">
        <v>18</v>
      </c>
      <c r="F308" s="14">
        <v>10</v>
      </c>
      <c r="G308" s="19">
        <v>70</v>
      </c>
    </row>
    <row r="309" spans="1:7" x14ac:dyDescent="0.3">
      <c r="A309" s="18" t="s">
        <v>168</v>
      </c>
      <c r="B309" s="12" t="s">
        <v>141</v>
      </c>
      <c r="C309" s="12" t="s">
        <v>85</v>
      </c>
      <c r="D309" s="13">
        <v>40508</v>
      </c>
      <c r="E309" s="12" t="s">
        <v>3</v>
      </c>
      <c r="F309" s="14">
        <v>27.2</v>
      </c>
      <c r="G309" s="19">
        <v>80</v>
      </c>
    </row>
    <row r="310" spans="1:7" x14ac:dyDescent="0.3">
      <c r="A310" s="18" t="s">
        <v>120</v>
      </c>
      <c r="B310" s="12" t="s">
        <v>101</v>
      </c>
      <c r="C310" s="12" t="s">
        <v>81</v>
      </c>
      <c r="D310" s="13">
        <v>40514</v>
      </c>
      <c r="E310" s="12" t="s">
        <v>56</v>
      </c>
      <c r="F310" s="14">
        <v>36.4</v>
      </c>
      <c r="G310" s="19">
        <v>30</v>
      </c>
    </row>
    <row r="311" spans="1:7" x14ac:dyDescent="0.3">
      <c r="A311" s="18" t="s">
        <v>120</v>
      </c>
      <c r="B311" s="12" t="s">
        <v>101</v>
      </c>
      <c r="C311" s="12" t="s">
        <v>81</v>
      </c>
      <c r="D311" s="13">
        <v>40514</v>
      </c>
      <c r="E311" s="12" t="s">
        <v>68</v>
      </c>
      <c r="F311" s="14">
        <v>99</v>
      </c>
      <c r="G311" s="19">
        <v>35</v>
      </c>
    </row>
    <row r="312" spans="1:7" x14ac:dyDescent="0.3">
      <c r="A312" s="18" t="s">
        <v>120</v>
      </c>
      <c r="B312" s="12" t="s">
        <v>101</v>
      </c>
      <c r="C312" s="12" t="s">
        <v>81</v>
      </c>
      <c r="D312" s="13">
        <v>40514</v>
      </c>
      <c r="E312" s="12" t="s">
        <v>11</v>
      </c>
      <c r="F312" s="14">
        <v>210.8</v>
      </c>
      <c r="G312" s="19">
        <v>10</v>
      </c>
    </row>
    <row r="313" spans="1:7" x14ac:dyDescent="0.3">
      <c r="A313" s="18" t="s">
        <v>120</v>
      </c>
      <c r="B313" s="12" t="s">
        <v>101</v>
      </c>
      <c r="C313" s="12" t="s">
        <v>81</v>
      </c>
      <c r="D313" s="13">
        <v>40514</v>
      </c>
      <c r="E313" s="12" t="s">
        <v>38</v>
      </c>
      <c r="F313" s="14">
        <v>16</v>
      </c>
      <c r="G313" s="19">
        <v>35</v>
      </c>
    </row>
    <row r="314" spans="1:7" x14ac:dyDescent="0.3">
      <c r="A314" s="18" t="s">
        <v>120</v>
      </c>
      <c r="B314" s="12" t="s">
        <v>101</v>
      </c>
      <c r="C314" s="12" t="s">
        <v>81</v>
      </c>
      <c r="D314" s="13">
        <v>40514</v>
      </c>
      <c r="E314" s="12" t="s">
        <v>70</v>
      </c>
      <c r="F314" s="14">
        <v>5.9</v>
      </c>
      <c r="G314" s="19">
        <v>28</v>
      </c>
    </row>
    <row r="315" spans="1:7" x14ac:dyDescent="0.3">
      <c r="A315" s="18" t="s">
        <v>127</v>
      </c>
      <c r="B315" s="12" t="s">
        <v>123</v>
      </c>
      <c r="C315" s="12" t="s">
        <v>83</v>
      </c>
      <c r="D315" s="13">
        <v>40515</v>
      </c>
      <c r="E315" s="12" t="s">
        <v>7</v>
      </c>
      <c r="F315" s="14">
        <v>14.4</v>
      </c>
      <c r="G315" s="19">
        <v>54</v>
      </c>
    </row>
    <row r="316" spans="1:7" x14ac:dyDescent="0.3">
      <c r="A316" s="18" t="s">
        <v>127</v>
      </c>
      <c r="B316" s="12" t="s">
        <v>123</v>
      </c>
      <c r="C316" s="12" t="s">
        <v>83</v>
      </c>
      <c r="D316" s="13">
        <v>40515</v>
      </c>
      <c r="E316" s="12" t="s">
        <v>3</v>
      </c>
      <c r="F316" s="14">
        <v>27.2</v>
      </c>
      <c r="G316" s="19">
        <v>55</v>
      </c>
    </row>
    <row r="317" spans="1:7" x14ac:dyDescent="0.3">
      <c r="A317" s="18" t="s">
        <v>158</v>
      </c>
      <c r="B317" s="12" t="s">
        <v>101</v>
      </c>
      <c r="C317" s="12" t="s">
        <v>79</v>
      </c>
      <c r="D317" s="13">
        <v>40510</v>
      </c>
      <c r="E317" s="12" t="s">
        <v>43</v>
      </c>
      <c r="F317" s="14">
        <v>11.2</v>
      </c>
      <c r="G317" s="19">
        <v>50</v>
      </c>
    </row>
    <row r="318" spans="1:7" x14ac:dyDescent="0.3">
      <c r="A318" s="18" t="s">
        <v>158</v>
      </c>
      <c r="B318" s="12" t="s">
        <v>101</v>
      </c>
      <c r="C318" s="12" t="s">
        <v>79</v>
      </c>
      <c r="D318" s="13">
        <v>40510</v>
      </c>
      <c r="E318" s="12" t="s">
        <v>36</v>
      </c>
      <c r="F318" s="14">
        <v>42.4</v>
      </c>
      <c r="G318" s="19">
        <v>20</v>
      </c>
    </row>
    <row r="319" spans="1:7" x14ac:dyDescent="0.3">
      <c r="A319" s="18" t="s">
        <v>158</v>
      </c>
      <c r="B319" s="12" t="s">
        <v>101</v>
      </c>
      <c r="C319" s="12" t="s">
        <v>79</v>
      </c>
      <c r="D319" s="13">
        <v>40510</v>
      </c>
      <c r="E319" s="12" t="s">
        <v>70</v>
      </c>
      <c r="F319" s="14">
        <v>5.9</v>
      </c>
      <c r="G319" s="19">
        <v>24</v>
      </c>
    </row>
    <row r="320" spans="1:7" x14ac:dyDescent="0.3">
      <c r="A320" s="18" t="s">
        <v>169</v>
      </c>
      <c r="B320" s="12" t="s">
        <v>123</v>
      </c>
      <c r="C320" s="12" t="s">
        <v>81</v>
      </c>
      <c r="D320" s="13">
        <v>40516</v>
      </c>
      <c r="E320" s="12" t="s">
        <v>18</v>
      </c>
      <c r="F320" s="14">
        <v>10</v>
      </c>
      <c r="G320" s="19">
        <v>20</v>
      </c>
    </row>
    <row r="321" spans="1:7" x14ac:dyDescent="0.3">
      <c r="A321" s="18" t="s">
        <v>169</v>
      </c>
      <c r="B321" s="12" t="s">
        <v>123</v>
      </c>
      <c r="C321" s="12" t="s">
        <v>81</v>
      </c>
      <c r="D321" s="13">
        <v>40516</v>
      </c>
      <c r="E321" s="12" t="s">
        <v>53</v>
      </c>
      <c r="F321" s="14">
        <v>6.2</v>
      </c>
      <c r="G321" s="19">
        <v>12</v>
      </c>
    </row>
    <row r="322" spans="1:7" x14ac:dyDescent="0.3">
      <c r="A322" s="18" t="s">
        <v>169</v>
      </c>
      <c r="B322" s="12" t="s">
        <v>123</v>
      </c>
      <c r="C322" s="12" t="s">
        <v>81</v>
      </c>
      <c r="D322" s="13">
        <v>40516</v>
      </c>
      <c r="E322" s="12" t="s">
        <v>31</v>
      </c>
      <c r="F322" s="14">
        <v>14.4</v>
      </c>
      <c r="G322" s="19">
        <v>12</v>
      </c>
    </row>
    <row r="323" spans="1:7" x14ac:dyDescent="0.3">
      <c r="A323" s="18" t="s">
        <v>170</v>
      </c>
      <c r="B323" s="12" t="s">
        <v>141</v>
      </c>
      <c r="C323" s="12" t="s">
        <v>83</v>
      </c>
      <c r="D323" s="13">
        <v>40516</v>
      </c>
      <c r="E323" s="12" t="s">
        <v>22</v>
      </c>
      <c r="F323" s="14">
        <v>28.8</v>
      </c>
      <c r="G323" s="19">
        <v>30</v>
      </c>
    </row>
    <row r="324" spans="1:7" x14ac:dyDescent="0.3">
      <c r="A324" s="18" t="s">
        <v>170</v>
      </c>
      <c r="B324" s="12" t="s">
        <v>141</v>
      </c>
      <c r="C324" s="12" t="s">
        <v>83</v>
      </c>
      <c r="D324" s="13">
        <v>40516</v>
      </c>
      <c r="E324" s="12" t="s">
        <v>14</v>
      </c>
      <c r="F324" s="14">
        <v>17.2</v>
      </c>
      <c r="G324" s="19">
        <v>5</v>
      </c>
    </row>
    <row r="325" spans="1:7" x14ac:dyDescent="0.3">
      <c r="A325" s="18" t="s">
        <v>171</v>
      </c>
      <c r="B325" s="12" t="s">
        <v>113</v>
      </c>
      <c r="C325" s="12" t="s">
        <v>79</v>
      </c>
      <c r="D325" s="13">
        <v>40514</v>
      </c>
      <c r="E325" s="12" t="s">
        <v>49</v>
      </c>
      <c r="F325" s="14">
        <v>16.8</v>
      </c>
      <c r="G325" s="19">
        <v>24</v>
      </c>
    </row>
    <row r="326" spans="1:7" x14ac:dyDescent="0.3">
      <c r="A326" s="18" t="s">
        <v>172</v>
      </c>
      <c r="B326" s="12" t="s">
        <v>136</v>
      </c>
      <c r="C326" s="12" t="s">
        <v>80</v>
      </c>
      <c r="D326" s="13">
        <v>40542</v>
      </c>
      <c r="E326" s="12" t="s">
        <v>34</v>
      </c>
      <c r="F326" s="14">
        <v>16.8</v>
      </c>
      <c r="G326" s="19">
        <v>5</v>
      </c>
    </row>
    <row r="327" spans="1:7" x14ac:dyDescent="0.3">
      <c r="A327" s="18" t="s">
        <v>172</v>
      </c>
      <c r="B327" s="12" t="s">
        <v>136</v>
      </c>
      <c r="C327" s="12" t="s">
        <v>80</v>
      </c>
      <c r="D327" s="13">
        <v>40542</v>
      </c>
      <c r="E327" s="12" t="s">
        <v>44</v>
      </c>
      <c r="F327" s="14">
        <v>10.4</v>
      </c>
      <c r="G327" s="19">
        <v>5</v>
      </c>
    </row>
    <row r="328" spans="1:7" x14ac:dyDescent="0.3">
      <c r="A328" s="18" t="s">
        <v>173</v>
      </c>
      <c r="B328" s="12" t="s">
        <v>163</v>
      </c>
      <c r="C328" s="12" t="s">
        <v>84</v>
      </c>
      <c r="D328" s="13">
        <v>40514</v>
      </c>
      <c r="E328" s="12" t="s">
        <v>57</v>
      </c>
      <c r="F328" s="14">
        <v>11.2</v>
      </c>
      <c r="G328" s="19">
        <v>36</v>
      </c>
    </row>
    <row r="329" spans="1:7" x14ac:dyDescent="0.3">
      <c r="A329" s="18" t="s">
        <v>173</v>
      </c>
      <c r="B329" s="12" t="s">
        <v>163</v>
      </c>
      <c r="C329" s="12" t="s">
        <v>84</v>
      </c>
      <c r="D329" s="13">
        <v>40514</v>
      </c>
      <c r="E329" s="12" t="s">
        <v>70</v>
      </c>
      <c r="F329" s="14">
        <v>5.9</v>
      </c>
      <c r="G329" s="19">
        <v>18</v>
      </c>
    </row>
    <row r="330" spans="1:7" x14ac:dyDescent="0.3">
      <c r="A330" s="18" t="s">
        <v>173</v>
      </c>
      <c r="B330" s="12" t="s">
        <v>163</v>
      </c>
      <c r="C330" s="12" t="s">
        <v>84</v>
      </c>
      <c r="D330" s="13">
        <v>40514</v>
      </c>
      <c r="E330" s="12" t="s">
        <v>34</v>
      </c>
      <c r="F330" s="14">
        <v>16.8</v>
      </c>
      <c r="G330" s="19">
        <v>15</v>
      </c>
    </row>
    <row r="331" spans="1:7" x14ac:dyDescent="0.3">
      <c r="A331" s="18" t="s">
        <v>173</v>
      </c>
      <c r="B331" s="12" t="s">
        <v>163</v>
      </c>
      <c r="C331" s="12" t="s">
        <v>84</v>
      </c>
      <c r="D331" s="13">
        <v>40514</v>
      </c>
      <c r="E331" s="12" t="s">
        <v>44</v>
      </c>
      <c r="F331" s="14">
        <v>10.4</v>
      </c>
      <c r="G331" s="19">
        <v>7</v>
      </c>
    </row>
    <row r="332" spans="1:7" x14ac:dyDescent="0.3">
      <c r="A332" s="18" t="s">
        <v>110</v>
      </c>
      <c r="B332" s="12" t="s">
        <v>111</v>
      </c>
      <c r="C332" s="12" t="s">
        <v>77</v>
      </c>
      <c r="D332" s="13">
        <v>40514</v>
      </c>
      <c r="E332" s="12" t="s">
        <v>62</v>
      </c>
      <c r="F332" s="14">
        <v>8</v>
      </c>
      <c r="G332" s="19">
        <v>5</v>
      </c>
    </row>
    <row r="333" spans="1:7" x14ac:dyDescent="0.3">
      <c r="A333" s="18" t="s">
        <v>110</v>
      </c>
      <c r="B333" s="12" t="s">
        <v>111</v>
      </c>
      <c r="C333" s="12" t="s">
        <v>77</v>
      </c>
      <c r="D333" s="13">
        <v>40514</v>
      </c>
      <c r="E333" s="12" t="s">
        <v>56</v>
      </c>
      <c r="F333" s="14">
        <v>36.4</v>
      </c>
      <c r="G333" s="19">
        <v>13</v>
      </c>
    </row>
    <row r="334" spans="1:7" x14ac:dyDescent="0.3">
      <c r="A334" s="18" t="s">
        <v>110</v>
      </c>
      <c r="B334" s="12" t="s">
        <v>111</v>
      </c>
      <c r="C334" s="12" t="s">
        <v>77</v>
      </c>
      <c r="D334" s="13">
        <v>40514</v>
      </c>
      <c r="E334" s="12" t="s">
        <v>52</v>
      </c>
      <c r="F334" s="14">
        <v>15.6</v>
      </c>
      <c r="G334" s="19">
        <v>25</v>
      </c>
    </row>
    <row r="335" spans="1:7" x14ac:dyDescent="0.3">
      <c r="A335" s="18" t="s">
        <v>110</v>
      </c>
      <c r="B335" s="12" t="s">
        <v>111</v>
      </c>
      <c r="C335" s="12" t="s">
        <v>77</v>
      </c>
      <c r="D335" s="13">
        <v>40514</v>
      </c>
      <c r="E335" s="12" t="s">
        <v>75</v>
      </c>
      <c r="F335" s="14">
        <v>26.6</v>
      </c>
      <c r="G335" s="19">
        <v>35</v>
      </c>
    </row>
    <row r="336" spans="1:7" x14ac:dyDescent="0.3">
      <c r="A336" s="18" t="s">
        <v>126</v>
      </c>
      <c r="B336" s="12" t="s">
        <v>115</v>
      </c>
      <c r="C336" s="12" t="s">
        <v>80</v>
      </c>
      <c r="D336" s="13">
        <v>40521</v>
      </c>
      <c r="E336" s="12" t="s">
        <v>68</v>
      </c>
      <c r="F336" s="14">
        <v>99</v>
      </c>
      <c r="G336" s="19">
        <v>20</v>
      </c>
    </row>
    <row r="337" spans="1:7" x14ac:dyDescent="0.3">
      <c r="A337" s="18" t="s">
        <v>126</v>
      </c>
      <c r="B337" s="12" t="s">
        <v>115</v>
      </c>
      <c r="C337" s="12" t="s">
        <v>80</v>
      </c>
      <c r="D337" s="13">
        <v>40521</v>
      </c>
      <c r="E337" s="12" t="s">
        <v>17</v>
      </c>
      <c r="F337" s="14">
        <v>30.4</v>
      </c>
      <c r="G337" s="19">
        <v>18</v>
      </c>
    </row>
    <row r="338" spans="1:7" x14ac:dyDescent="0.3">
      <c r="A338" s="18" t="s">
        <v>104</v>
      </c>
      <c r="B338" s="12" t="s">
        <v>105</v>
      </c>
      <c r="C338" s="12" t="s">
        <v>82</v>
      </c>
      <c r="D338" s="13">
        <v>40539</v>
      </c>
      <c r="E338" s="12" t="s">
        <v>5</v>
      </c>
      <c r="F338" s="14">
        <v>14.4</v>
      </c>
      <c r="G338" s="19">
        <v>15</v>
      </c>
    </row>
    <row r="339" spans="1:7" x14ac:dyDescent="0.3">
      <c r="A339" s="18" t="s">
        <v>104</v>
      </c>
      <c r="B339" s="12" t="s">
        <v>105</v>
      </c>
      <c r="C339" s="12" t="s">
        <v>82</v>
      </c>
      <c r="D339" s="13">
        <v>40539</v>
      </c>
      <c r="E339" s="12" t="s">
        <v>75</v>
      </c>
      <c r="F339" s="14">
        <v>26.6</v>
      </c>
      <c r="G339" s="19">
        <v>30</v>
      </c>
    </row>
    <row r="340" spans="1:7" x14ac:dyDescent="0.3">
      <c r="A340" s="18" t="s">
        <v>104</v>
      </c>
      <c r="B340" s="12" t="s">
        <v>105</v>
      </c>
      <c r="C340" s="12" t="s">
        <v>82</v>
      </c>
      <c r="D340" s="13">
        <v>40539</v>
      </c>
      <c r="E340" s="12" t="s">
        <v>33</v>
      </c>
      <c r="F340" s="14">
        <v>8</v>
      </c>
      <c r="G340" s="19">
        <v>20</v>
      </c>
    </row>
    <row r="341" spans="1:7" x14ac:dyDescent="0.3">
      <c r="A341" s="18" t="s">
        <v>165</v>
      </c>
      <c r="B341" s="12" t="s">
        <v>101</v>
      </c>
      <c r="C341" s="12" t="s">
        <v>83</v>
      </c>
      <c r="D341" s="13">
        <v>40536</v>
      </c>
      <c r="E341" s="12" t="s">
        <v>27</v>
      </c>
      <c r="F341" s="14">
        <v>15.2</v>
      </c>
      <c r="G341" s="19">
        <v>6</v>
      </c>
    </row>
    <row r="342" spans="1:7" x14ac:dyDescent="0.3">
      <c r="A342" s="18" t="s">
        <v>174</v>
      </c>
      <c r="B342" s="12" t="s">
        <v>98</v>
      </c>
      <c r="C342" s="12" t="s">
        <v>85</v>
      </c>
      <c r="D342" s="13">
        <v>40521</v>
      </c>
      <c r="E342" s="12" t="s">
        <v>61</v>
      </c>
      <c r="F342" s="14">
        <v>64.8</v>
      </c>
      <c r="G342" s="19">
        <v>12</v>
      </c>
    </row>
    <row r="343" spans="1:7" x14ac:dyDescent="0.3">
      <c r="A343" s="18" t="s">
        <v>174</v>
      </c>
      <c r="B343" s="12" t="s">
        <v>98</v>
      </c>
      <c r="C343" s="12" t="s">
        <v>85</v>
      </c>
      <c r="D343" s="13">
        <v>40521</v>
      </c>
      <c r="E343" s="12" t="s">
        <v>11</v>
      </c>
      <c r="F343" s="14">
        <v>210.8</v>
      </c>
      <c r="G343" s="19">
        <v>40</v>
      </c>
    </row>
    <row r="344" spans="1:7" x14ac:dyDescent="0.3">
      <c r="A344" s="18" t="s">
        <v>174</v>
      </c>
      <c r="B344" s="12" t="s">
        <v>98</v>
      </c>
      <c r="C344" s="12" t="s">
        <v>85</v>
      </c>
      <c r="D344" s="13">
        <v>40521</v>
      </c>
      <c r="E344" s="12" t="s">
        <v>3</v>
      </c>
      <c r="F344" s="14">
        <v>27.2</v>
      </c>
      <c r="G344" s="19">
        <v>70</v>
      </c>
    </row>
    <row r="345" spans="1:7" x14ac:dyDescent="0.3">
      <c r="A345" s="18" t="s">
        <v>174</v>
      </c>
      <c r="B345" s="12" t="s">
        <v>98</v>
      </c>
      <c r="C345" s="12" t="s">
        <v>85</v>
      </c>
      <c r="D345" s="13">
        <v>40521</v>
      </c>
      <c r="E345" s="12" t="s">
        <v>40</v>
      </c>
      <c r="F345" s="14">
        <v>27.8</v>
      </c>
      <c r="G345" s="19">
        <v>42</v>
      </c>
    </row>
    <row r="346" spans="1:7" x14ac:dyDescent="0.3">
      <c r="A346" s="18" t="s">
        <v>143</v>
      </c>
      <c r="B346" s="12" t="s">
        <v>144</v>
      </c>
      <c r="C346" s="12" t="s">
        <v>81</v>
      </c>
      <c r="D346" s="13">
        <v>40523</v>
      </c>
      <c r="E346" s="12" t="s">
        <v>12</v>
      </c>
      <c r="F346" s="14">
        <v>10.6</v>
      </c>
      <c r="G346" s="19">
        <v>80</v>
      </c>
    </row>
    <row r="347" spans="1:7" x14ac:dyDescent="0.3">
      <c r="A347" s="18" t="s">
        <v>143</v>
      </c>
      <c r="B347" s="12" t="s">
        <v>144</v>
      </c>
      <c r="C347" s="12" t="s">
        <v>81</v>
      </c>
      <c r="D347" s="13">
        <v>40523</v>
      </c>
      <c r="E347" s="12" t="s">
        <v>14</v>
      </c>
      <c r="F347" s="14">
        <v>17.2</v>
      </c>
      <c r="G347" s="19">
        <v>50</v>
      </c>
    </row>
    <row r="348" spans="1:7" x14ac:dyDescent="0.3">
      <c r="A348" s="18" t="s">
        <v>175</v>
      </c>
      <c r="B348" s="12" t="s">
        <v>176</v>
      </c>
      <c r="C348" s="12" t="s">
        <v>83</v>
      </c>
      <c r="D348" s="13">
        <v>40521</v>
      </c>
      <c r="E348" s="12" t="s">
        <v>18</v>
      </c>
      <c r="F348" s="14">
        <v>10</v>
      </c>
      <c r="G348" s="19">
        <v>30</v>
      </c>
    </row>
    <row r="349" spans="1:7" x14ac:dyDescent="0.3">
      <c r="A349" s="18" t="s">
        <v>175</v>
      </c>
      <c r="B349" s="12" t="s">
        <v>176</v>
      </c>
      <c r="C349" s="12" t="s">
        <v>83</v>
      </c>
      <c r="D349" s="13">
        <v>40521</v>
      </c>
      <c r="E349" s="12" t="s">
        <v>12</v>
      </c>
      <c r="F349" s="14">
        <v>10.6</v>
      </c>
      <c r="G349" s="19">
        <v>15</v>
      </c>
    </row>
    <row r="350" spans="1:7" x14ac:dyDescent="0.3">
      <c r="A350" s="18" t="s">
        <v>177</v>
      </c>
      <c r="B350" s="12" t="s">
        <v>115</v>
      </c>
      <c r="C350" s="12" t="s">
        <v>79</v>
      </c>
      <c r="D350" s="13">
        <v>40521</v>
      </c>
      <c r="E350" s="12" t="s">
        <v>69</v>
      </c>
      <c r="F350" s="14">
        <v>18.600000000000001</v>
      </c>
      <c r="G350" s="19">
        <v>15</v>
      </c>
    </row>
    <row r="351" spans="1:7" x14ac:dyDescent="0.3">
      <c r="A351" s="18" t="s">
        <v>177</v>
      </c>
      <c r="B351" s="12" t="s">
        <v>115</v>
      </c>
      <c r="C351" s="12" t="s">
        <v>79</v>
      </c>
      <c r="D351" s="13">
        <v>40521</v>
      </c>
      <c r="E351" s="12" t="s">
        <v>70</v>
      </c>
      <c r="F351" s="14">
        <v>5.9</v>
      </c>
      <c r="G351" s="19">
        <v>10</v>
      </c>
    </row>
    <row r="352" spans="1:7" x14ac:dyDescent="0.3">
      <c r="A352" s="18" t="s">
        <v>159</v>
      </c>
      <c r="B352" s="12" t="s">
        <v>160</v>
      </c>
      <c r="C352" s="12" t="s">
        <v>83</v>
      </c>
      <c r="D352" s="13">
        <v>40525</v>
      </c>
      <c r="E352" s="12" t="s">
        <v>18</v>
      </c>
      <c r="F352" s="14">
        <v>10</v>
      </c>
      <c r="G352" s="19">
        <v>42</v>
      </c>
    </row>
    <row r="353" spans="1:7" x14ac:dyDescent="0.3">
      <c r="A353" s="18" t="s">
        <v>168</v>
      </c>
      <c r="B353" s="12" t="s">
        <v>141</v>
      </c>
      <c r="C353" s="12" t="s">
        <v>83</v>
      </c>
      <c r="D353" s="13">
        <v>40525</v>
      </c>
      <c r="E353" s="12" t="s">
        <v>56</v>
      </c>
      <c r="F353" s="14">
        <v>36.4</v>
      </c>
      <c r="G353" s="19">
        <v>20</v>
      </c>
    </row>
    <row r="354" spans="1:7" x14ac:dyDescent="0.3">
      <c r="A354" s="18" t="s">
        <v>168</v>
      </c>
      <c r="B354" s="12" t="s">
        <v>141</v>
      </c>
      <c r="C354" s="12" t="s">
        <v>83</v>
      </c>
      <c r="D354" s="13">
        <v>40525</v>
      </c>
      <c r="E354" s="12" t="s">
        <v>7</v>
      </c>
      <c r="F354" s="14">
        <v>14.4</v>
      </c>
      <c r="G354" s="19">
        <v>20</v>
      </c>
    </row>
    <row r="355" spans="1:7" x14ac:dyDescent="0.3">
      <c r="A355" s="18" t="s">
        <v>118</v>
      </c>
      <c r="B355" s="12" t="s">
        <v>119</v>
      </c>
      <c r="C355" s="12" t="s">
        <v>85</v>
      </c>
      <c r="D355" s="13">
        <v>40531</v>
      </c>
      <c r="E355" s="12" t="s">
        <v>14</v>
      </c>
      <c r="F355" s="14">
        <v>17.2</v>
      </c>
      <c r="G355" s="19">
        <v>6</v>
      </c>
    </row>
    <row r="356" spans="1:7" x14ac:dyDescent="0.3">
      <c r="A356" s="18" t="s">
        <v>116</v>
      </c>
      <c r="B356" s="12" t="s">
        <v>98</v>
      </c>
      <c r="C356" s="12" t="s">
        <v>77</v>
      </c>
      <c r="D356" s="13">
        <v>40525</v>
      </c>
      <c r="E356" s="12" t="s">
        <v>29</v>
      </c>
      <c r="F356" s="14">
        <v>7.7</v>
      </c>
      <c r="G356" s="19">
        <v>8</v>
      </c>
    </row>
    <row r="357" spans="1:7" x14ac:dyDescent="0.3">
      <c r="A357" s="18" t="s">
        <v>116</v>
      </c>
      <c r="B357" s="12" t="s">
        <v>98</v>
      </c>
      <c r="C357" s="12" t="s">
        <v>77</v>
      </c>
      <c r="D357" s="13">
        <v>40525</v>
      </c>
      <c r="E357" s="12" t="s">
        <v>74</v>
      </c>
      <c r="F357" s="14">
        <v>35.1</v>
      </c>
      <c r="G357" s="19">
        <v>16</v>
      </c>
    </row>
    <row r="358" spans="1:7" x14ac:dyDescent="0.3">
      <c r="A358" s="18" t="s">
        <v>116</v>
      </c>
      <c r="B358" s="12" t="s">
        <v>98</v>
      </c>
      <c r="C358" s="12" t="s">
        <v>77</v>
      </c>
      <c r="D358" s="13">
        <v>40525</v>
      </c>
      <c r="E358" s="12" t="s">
        <v>34</v>
      </c>
      <c r="F358" s="14">
        <v>16.8</v>
      </c>
      <c r="G358" s="19">
        <v>20</v>
      </c>
    </row>
    <row r="359" spans="1:7" x14ac:dyDescent="0.3">
      <c r="A359" s="18" t="s">
        <v>143</v>
      </c>
      <c r="B359" s="12" t="s">
        <v>144</v>
      </c>
      <c r="C359" s="12" t="s">
        <v>80</v>
      </c>
      <c r="D359" s="13">
        <v>40559</v>
      </c>
      <c r="E359" s="12" t="s">
        <v>41</v>
      </c>
      <c r="F359" s="14">
        <v>20.7</v>
      </c>
      <c r="G359" s="19">
        <v>18</v>
      </c>
    </row>
    <row r="360" spans="1:7" x14ac:dyDescent="0.3">
      <c r="A360" s="18" t="s">
        <v>143</v>
      </c>
      <c r="B360" s="12" t="s">
        <v>144</v>
      </c>
      <c r="C360" s="12" t="s">
        <v>80</v>
      </c>
      <c r="D360" s="13">
        <v>40559</v>
      </c>
      <c r="E360" s="12" t="s">
        <v>48</v>
      </c>
      <c r="F360" s="14">
        <v>26.2</v>
      </c>
      <c r="G360" s="19">
        <v>20</v>
      </c>
    </row>
    <row r="361" spans="1:7" x14ac:dyDescent="0.3">
      <c r="A361" s="18" t="s">
        <v>143</v>
      </c>
      <c r="B361" s="12" t="s">
        <v>144</v>
      </c>
      <c r="C361" s="12" t="s">
        <v>80</v>
      </c>
      <c r="D361" s="13">
        <v>40559</v>
      </c>
      <c r="E361" s="12" t="s">
        <v>3</v>
      </c>
      <c r="F361" s="14">
        <v>27.2</v>
      </c>
      <c r="G361" s="19">
        <v>6</v>
      </c>
    </row>
    <row r="362" spans="1:7" x14ac:dyDescent="0.3">
      <c r="A362" s="18" t="s">
        <v>143</v>
      </c>
      <c r="B362" s="12" t="s">
        <v>144</v>
      </c>
      <c r="C362" s="12" t="s">
        <v>80</v>
      </c>
      <c r="D362" s="13">
        <v>40559</v>
      </c>
      <c r="E362" s="12" t="s">
        <v>45</v>
      </c>
      <c r="F362" s="14">
        <v>12</v>
      </c>
      <c r="G362" s="19">
        <v>30</v>
      </c>
    </row>
    <row r="363" spans="1:7" x14ac:dyDescent="0.3">
      <c r="A363" s="18" t="s">
        <v>137</v>
      </c>
      <c r="B363" s="12" t="s">
        <v>109</v>
      </c>
      <c r="C363" s="12" t="s">
        <v>79</v>
      </c>
      <c r="D363" s="13">
        <v>40525</v>
      </c>
      <c r="E363" s="12" t="s">
        <v>33</v>
      </c>
      <c r="F363" s="14">
        <v>8</v>
      </c>
      <c r="G363" s="19">
        <v>14</v>
      </c>
    </row>
    <row r="364" spans="1:7" x14ac:dyDescent="0.3">
      <c r="A364" s="18" t="s">
        <v>110</v>
      </c>
      <c r="B364" s="12" t="s">
        <v>111</v>
      </c>
      <c r="C364" s="12" t="s">
        <v>81</v>
      </c>
      <c r="D364" s="13">
        <v>40528</v>
      </c>
      <c r="E364" s="12" t="s">
        <v>9</v>
      </c>
      <c r="F364" s="14">
        <v>17</v>
      </c>
      <c r="G364" s="19">
        <v>32</v>
      </c>
    </row>
    <row r="365" spans="1:7" x14ac:dyDescent="0.3">
      <c r="A365" s="18" t="s">
        <v>110</v>
      </c>
      <c r="B365" s="12" t="s">
        <v>111</v>
      </c>
      <c r="C365" s="12" t="s">
        <v>81</v>
      </c>
      <c r="D365" s="13">
        <v>40528</v>
      </c>
      <c r="E365" s="12" t="s">
        <v>4</v>
      </c>
      <c r="F365" s="14">
        <v>50</v>
      </c>
      <c r="G365" s="19">
        <v>9</v>
      </c>
    </row>
    <row r="366" spans="1:7" x14ac:dyDescent="0.3">
      <c r="A366" s="18" t="s">
        <v>110</v>
      </c>
      <c r="B366" s="12" t="s">
        <v>111</v>
      </c>
      <c r="C366" s="12" t="s">
        <v>81</v>
      </c>
      <c r="D366" s="13">
        <v>40528</v>
      </c>
      <c r="E366" s="12" t="s">
        <v>68</v>
      </c>
      <c r="F366" s="14">
        <v>99</v>
      </c>
      <c r="G366" s="19">
        <v>14</v>
      </c>
    </row>
    <row r="367" spans="1:7" x14ac:dyDescent="0.3">
      <c r="A367" s="18" t="s">
        <v>110</v>
      </c>
      <c r="B367" s="12" t="s">
        <v>111</v>
      </c>
      <c r="C367" s="12" t="s">
        <v>81</v>
      </c>
      <c r="D367" s="13">
        <v>40528</v>
      </c>
      <c r="E367" s="12" t="s">
        <v>15</v>
      </c>
      <c r="F367" s="14">
        <v>2</v>
      </c>
      <c r="G367" s="19">
        <v>60</v>
      </c>
    </row>
    <row r="368" spans="1:7" x14ac:dyDescent="0.3">
      <c r="A368" s="18" t="s">
        <v>110</v>
      </c>
      <c r="B368" s="12" t="s">
        <v>111</v>
      </c>
      <c r="C368" s="12" t="s">
        <v>81</v>
      </c>
      <c r="D368" s="13">
        <v>40528</v>
      </c>
      <c r="E368" s="12" t="s">
        <v>33</v>
      </c>
      <c r="F368" s="14">
        <v>8</v>
      </c>
      <c r="G368" s="19">
        <v>50</v>
      </c>
    </row>
    <row r="369" spans="1:7" x14ac:dyDescent="0.3">
      <c r="A369" s="18" t="s">
        <v>167</v>
      </c>
      <c r="B369" s="12" t="s">
        <v>141</v>
      </c>
      <c r="C369" s="12" t="s">
        <v>80</v>
      </c>
      <c r="D369" s="13">
        <v>40530</v>
      </c>
      <c r="E369" s="12" t="s">
        <v>30</v>
      </c>
      <c r="F369" s="14">
        <v>4.8</v>
      </c>
      <c r="G369" s="19">
        <v>20</v>
      </c>
    </row>
    <row r="370" spans="1:7" x14ac:dyDescent="0.3">
      <c r="A370" s="18" t="s">
        <v>167</v>
      </c>
      <c r="B370" s="12" t="s">
        <v>141</v>
      </c>
      <c r="C370" s="12" t="s">
        <v>80</v>
      </c>
      <c r="D370" s="13">
        <v>40530</v>
      </c>
      <c r="E370" s="12" t="s">
        <v>73</v>
      </c>
      <c r="F370" s="14">
        <v>13</v>
      </c>
      <c r="G370" s="19">
        <v>15</v>
      </c>
    </row>
    <row r="371" spans="1:7" x14ac:dyDescent="0.3">
      <c r="A371" s="18" t="s">
        <v>167</v>
      </c>
      <c r="B371" s="12" t="s">
        <v>141</v>
      </c>
      <c r="C371" s="12" t="s">
        <v>80</v>
      </c>
      <c r="D371" s="13">
        <v>40530</v>
      </c>
      <c r="E371" s="12" t="s">
        <v>17</v>
      </c>
      <c r="F371" s="14">
        <v>30.4</v>
      </c>
      <c r="G371" s="19">
        <v>20</v>
      </c>
    </row>
    <row r="372" spans="1:7" x14ac:dyDescent="0.3">
      <c r="A372" s="18" t="s">
        <v>133</v>
      </c>
      <c r="B372" s="12" t="s">
        <v>119</v>
      </c>
      <c r="C372" s="12" t="s">
        <v>79</v>
      </c>
      <c r="D372" s="13">
        <v>40532</v>
      </c>
      <c r="E372" s="12" t="s">
        <v>61</v>
      </c>
      <c r="F372" s="14">
        <v>64.8</v>
      </c>
      <c r="G372" s="19">
        <v>28</v>
      </c>
    </row>
    <row r="373" spans="1:7" x14ac:dyDescent="0.3">
      <c r="A373" s="18" t="s">
        <v>133</v>
      </c>
      <c r="B373" s="12" t="s">
        <v>119</v>
      </c>
      <c r="C373" s="12" t="s">
        <v>79</v>
      </c>
      <c r="D373" s="13">
        <v>40532</v>
      </c>
      <c r="E373" s="12" t="s">
        <v>3</v>
      </c>
      <c r="F373" s="14">
        <v>27.2</v>
      </c>
      <c r="G373" s="19">
        <v>15</v>
      </c>
    </row>
    <row r="374" spans="1:7" x14ac:dyDescent="0.3">
      <c r="A374" s="18" t="s">
        <v>126</v>
      </c>
      <c r="B374" s="12" t="s">
        <v>115</v>
      </c>
      <c r="C374" s="12" t="s">
        <v>83</v>
      </c>
      <c r="D374" s="13">
        <v>40535</v>
      </c>
      <c r="E374" s="12" t="s">
        <v>72</v>
      </c>
      <c r="F374" s="14">
        <v>24</v>
      </c>
      <c r="G374" s="19">
        <v>10</v>
      </c>
    </row>
    <row r="375" spans="1:7" x14ac:dyDescent="0.3">
      <c r="A375" s="18" t="s">
        <v>126</v>
      </c>
      <c r="B375" s="12" t="s">
        <v>115</v>
      </c>
      <c r="C375" s="12" t="s">
        <v>83</v>
      </c>
      <c r="D375" s="13">
        <v>40535</v>
      </c>
      <c r="E375" s="12" t="s">
        <v>3</v>
      </c>
      <c r="F375" s="14">
        <v>27.2</v>
      </c>
      <c r="G375" s="19">
        <v>20</v>
      </c>
    </row>
    <row r="376" spans="1:7" x14ac:dyDescent="0.3">
      <c r="A376" s="18" t="s">
        <v>126</v>
      </c>
      <c r="B376" s="12" t="s">
        <v>115</v>
      </c>
      <c r="C376" s="12" t="s">
        <v>83</v>
      </c>
      <c r="D376" s="13">
        <v>40535</v>
      </c>
      <c r="E376" s="12" t="s">
        <v>59</v>
      </c>
      <c r="F376" s="14">
        <v>10</v>
      </c>
      <c r="G376" s="19">
        <v>8</v>
      </c>
    </row>
    <row r="377" spans="1:7" x14ac:dyDescent="0.3">
      <c r="A377" s="18" t="s">
        <v>164</v>
      </c>
      <c r="B377" s="12" t="s">
        <v>98</v>
      </c>
      <c r="C377" s="12" t="s">
        <v>78</v>
      </c>
      <c r="D377" s="13">
        <v>40537</v>
      </c>
      <c r="E377" s="12" t="s">
        <v>21</v>
      </c>
      <c r="F377" s="14">
        <v>3.6</v>
      </c>
      <c r="G377" s="19">
        <v>15</v>
      </c>
    </row>
    <row r="378" spans="1:7" x14ac:dyDescent="0.3">
      <c r="A378" s="18" t="s">
        <v>164</v>
      </c>
      <c r="B378" s="12" t="s">
        <v>98</v>
      </c>
      <c r="C378" s="12" t="s">
        <v>78</v>
      </c>
      <c r="D378" s="13">
        <v>40537</v>
      </c>
      <c r="E378" s="12" t="s">
        <v>57</v>
      </c>
      <c r="F378" s="14">
        <v>11.2</v>
      </c>
      <c r="G378" s="19">
        <v>10</v>
      </c>
    </row>
    <row r="379" spans="1:7" x14ac:dyDescent="0.3">
      <c r="A379" s="18" t="s">
        <v>178</v>
      </c>
      <c r="B379" s="12" t="s">
        <v>179</v>
      </c>
      <c r="C379" s="12" t="s">
        <v>83</v>
      </c>
      <c r="D379" s="13">
        <v>40532</v>
      </c>
      <c r="E379" s="12" t="s">
        <v>21</v>
      </c>
      <c r="F379" s="14">
        <v>3.6</v>
      </c>
      <c r="G379" s="19">
        <v>15</v>
      </c>
    </row>
    <row r="380" spans="1:7" x14ac:dyDescent="0.3">
      <c r="A380" s="18" t="s">
        <v>178</v>
      </c>
      <c r="B380" s="12" t="s">
        <v>179</v>
      </c>
      <c r="C380" s="12" t="s">
        <v>83</v>
      </c>
      <c r="D380" s="13">
        <v>40532</v>
      </c>
      <c r="E380" s="12" t="s">
        <v>56</v>
      </c>
      <c r="F380" s="14">
        <v>36.4</v>
      </c>
      <c r="G380" s="19">
        <v>6</v>
      </c>
    </row>
    <row r="381" spans="1:7" x14ac:dyDescent="0.3">
      <c r="A381" s="18" t="s">
        <v>178</v>
      </c>
      <c r="B381" s="12" t="s">
        <v>179</v>
      </c>
      <c r="C381" s="12" t="s">
        <v>83</v>
      </c>
      <c r="D381" s="13">
        <v>40532</v>
      </c>
      <c r="E381" s="12" t="s">
        <v>51</v>
      </c>
      <c r="F381" s="14">
        <v>44</v>
      </c>
      <c r="G381" s="19">
        <v>12</v>
      </c>
    </row>
    <row r="382" spans="1:7" x14ac:dyDescent="0.3">
      <c r="A382" s="18" t="s">
        <v>178</v>
      </c>
      <c r="B382" s="12" t="s">
        <v>179</v>
      </c>
      <c r="C382" s="12" t="s">
        <v>83</v>
      </c>
      <c r="D382" s="13">
        <v>40532</v>
      </c>
      <c r="E382" s="12" t="s">
        <v>14</v>
      </c>
      <c r="F382" s="14">
        <v>17.2</v>
      </c>
      <c r="G382" s="19">
        <v>15</v>
      </c>
    </row>
    <row r="383" spans="1:7" x14ac:dyDescent="0.3">
      <c r="A383" s="18" t="s">
        <v>168</v>
      </c>
      <c r="B383" s="12" t="s">
        <v>141</v>
      </c>
      <c r="C383" s="12" t="s">
        <v>77</v>
      </c>
      <c r="D383" s="13">
        <v>40532</v>
      </c>
      <c r="E383" s="12" t="s">
        <v>55</v>
      </c>
      <c r="F383" s="14">
        <v>7.6</v>
      </c>
      <c r="G383" s="19">
        <v>15</v>
      </c>
    </row>
    <row r="384" spans="1:7" x14ac:dyDescent="0.3">
      <c r="A384" s="18" t="s">
        <v>168</v>
      </c>
      <c r="B384" s="12" t="s">
        <v>141</v>
      </c>
      <c r="C384" s="12" t="s">
        <v>77</v>
      </c>
      <c r="D384" s="13">
        <v>40532</v>
      </c>
      <c r="E384" s="12" t="s">
        <v>13</v>
      </c>
      <c r="F384" s="14">
        <v>5.6</v>
      </c>
      <c r="G384" s="19">
        <v>20</v>
      </c>
    </row>
    <row r="385" spans="1:7" x14ac:dyDescent="0.3">
      <c r="A385" s="18" t="s">
        <v>168</v>
      </c>
      <c r="B385" s="12" t="s">
        <v>141</v>
      </c>
      <c r="C385" s="12" t="s">
        <v>77</v>
      </c>
      <c r="D385" s="13">
        <v>40532</v>
      </c>
      <c r="E385" s="12" t="s">
        <v>48</v>
      </c>
      <c r="F385" s="14">
        <v>26.2</v>
      </c>
      <c r="G385" s="19">
        <v>40</v>
      </c>
    </row>
    <row r="386" spans="1:7" x14ac:dyDescent="0.3">
      <c r="A386" s="18" t="s">
        <v>180</v>
      </c>
      <c r="B386" s="12" t="s">
        <v>160</v>
      </c>
      <c r="C386" s="12" t="s">
        <v>81</v>
      </c>
      <c r="D386" s="13">
        <v>40536</v>
      </c>
      <c r="E386" s="12" t="s">
        <v>26</v>
      </c>
      <c r="F386" s="14">
        <v>24.8</v>
      </c>
      <c r="G386" s="19">
        <v>16</v>
      </c>
    </row>
    <row r="387" spans="1:7" x14ac:dyDescent="0.3">
      <c r="A387" s="18" t="s">
        <v>180</v>
      </c>
      <c r="B387" s="12" t="s">
        <v>160</v>
      </c>
      <c r="C387" s="12" t="s">
        <v>81</v>
      </c>
      <c r="D387" s="13">
        <v>40536</v>
      </c>
      <c r="E387" s="12" t="s">
        <v>46</v>
      </c>
      <c r="F387" s="14">
        <v>19.2</v>
      </c>
      <c r="G387" s="19">
        <v>15</v>
      </c>
    </row>
    <row r="388" spans="1:7" x14ac:dyDescent="0.3">
      <c r="A388" s="18" t="s">
        <v>180</v>
      </c>
      <c r="B388" s="12" t="s">
        <v>160</v>
      </c>
      <c r="C388" s="12" t="s">
        <v>81</v>
      </c>
      <c r="D388" s="13">
        <v>40536</v>
      </c>
      <c r="E388" s="12" t="s">
        <v>66</v>
      </c>
      <c r="F388" s="14">
        <v>39.4</v>
      </c>
      <c r="G388" s="19">
        <v>20</v>
      </c>
    </row>
    <row r="389" spans="1:7" x14ac:dyDescent="0.3">
      <c r="A389" s="18" t="s">
        <v>180</v>
      </c>
      <c r="B389" s="12" t="s">
        <v>160</v>
      </c>
      <c r="C389" s="12" t="s">
        <v>81</v>
      </c>
      <c r="D389" s="13">
        <v>40536</v>
      </c>
      <c r="E389" s="12" t="s">
        <v>45</v>
      </c>
      <c r="F389" s="14">
        <v>12</v>
      </c>
      <c r="G389" s="19">
        <v>30</v>
      </c>
    </row>
    <row r="390" spans="1:7" x14ac:dyDescent="0.3">
      <c r="A390" s="18" t="s">
        <v>110</v>
      </c>
      <c r="B390" s="12" t="s">
        <v>111</v>
      </c>
      <c r="C390" s="12" t="s">
        <v>82</v>
      </c>
      <c r="D390" s="13">
        <v>40538</v>
      </c>
      <c r="E390" s="12" t="s">
        <v>18</v>
      </c>
      <c r="F390" s="14">
        <v>10</v>
      </c>
      <c r="G390" s="19">
        <v>60</v>
      </c>
    </row>
    <row r="391" spans="1:7" x14ac:dyDescent="0.3">
      <c r="A391" s="18" t="s">
        <v>110</v>
      </c>
      <c r="B391" s="12" t="s">
        <v>111</v>
      </c>
      <c r="C391" s="12" t="s">
        <v>82</v>
      </c>
      <c r="D391" s="13">
        <v>40538</v>
      </c>
      <c r="E391" s="12" t="s">
        <v>65</v>
      </c>
      <c r="F391" s="14">
        <v>14.4</v>
      </c>
      <c r="G391" s="19">
        <v>40</v>
      </c>
    </row>
    <row r="392" spans="1:7" x14ac:dyDescent="0.3">
      <c r="A392" s="18" t="s">
        <v>110</v>
      </c>
      <c r="B392" s="12" t="s">
        <v>111</v>
      </c>
      <c r="C392" s="12" t="s">
        <v>82</v>
      </c>
      <c r="D392" s="13">
        <v>40538</v>
      </c>
      <c r="E392" s="12" t="s">
        <v>64</v>
      </c>
      <c r="F392" s="14">
        <v>9.6</v>
      </c>
      <c r="G392" s="19">
        <v>45</v>
      </c>
    </row>
    <row r="393" spans="1:7" x14ac:dyDescent="0.3">
      <c r="A393" s="18" t="s">
        <v>110</v>
      </c>
      <c r="B393" s="12" t="s">
        <v>111</v>
      </c>
      <c r="C393" s="12" t="s">
        <v>82</v>
      </c>
      <c r="D393" s="13">
        <v>40538</v>
      </c>
      <c r="E393" s="12" t="s">
        <v>40</v>
      </c>
      <c r="F393" s="14">
        <v>27.8</v>
      </c>
      <c r="G393" s="19">
        <v>24</v>
      </c>
    </row>
    <row r="394" spans="1:7" x14ac:dyDescent="0.3">
      <c r="A394" s="18" t="s">
        <v>169</v>
      </c>
      <c r="B394" s="12" t="s">
        <v>123</v>
      </c>
      <c r="C394" s="12" t="s">
        <v>79</v>
      </c>
      <c r="D394" s="13">
        <v>40543</v>
      </c>
      <c r="E394" s="12" t="s">
        <v>30</v>
      </c>
      <c r="F394" s="14">
        <v>4.8</v>
      </c>
      <c r="G394" s="19">
        <v>18</v>
      </c>
    </row>
    <row r="395" spans="1:7" x14ac:dyDescent="0.3">
      <c r="A395" s="18" t="s">
        <v>166</v>
      </c>
      <c r="B395" s="12" t="s">
        <v>111</v>
      </c>
      <c r="C395" s="12" t="s">
        <v>77</v>
      </c>
      <c r="D395" s="13">
        <v>40544</v>
      </c>
      <c r="E395" s="12" t="s">
        <v>22</v>
      </c>
      <c r="F395" s="14">
        <v>28.8</v>
      </c>
      <c r="G395" s="19">
        <v>50</v>
      </c>
    </row>
    <row r="396" spans="1:7" x14ac:dyDescent="0.3">
      <c r="A396" s="18" t="s">
        <v>154</v>
      </c>
      <c r="B396" s="12" t="s">
        <v>115</v>
      </c>
      <c r="C396" s="12" t="s">
        <v>83</v>
      </c>
      <c r="D396" s="13">
        <v>40546</v>
      </c>
      <c r="E396" s="12" t="s">
        <v>6</v>
      </c>
      <c r="F396" s="14">
        <v>15.2</v>
      </c>
      <c r="G396" s="19">
        <v>25</v>
      </c>
    </row>
    <row r="397" spans="1:7" x14ac:dyDescent="0.3">
      <c r="A397" s="18" t="s">
        <v>154</v>
      </c>
      <c r="B397" s="12" t="s">
        <v>115</v>
      </c>
      <c r="C397" s="12" t="s">
        <v>83</v>
      </c>
      <c r="D397" s="13">
        <v>40546</v>
      </c>
      <c r="E397" s="12" t="s">
        <v>69</v>
      </c>
      <c r="F397" s="14">
        <v>18.600000000000001</v>
      </c>
      <c r="G397" s="19">
        <v>42</v>
      </c>
    </row>
    <row r="398" spans="1:7" x14ac:dyDescent="0.3">
      <c r="A398" s="18" t="s">
        <v>154</v>
      </c>
      <c r="B398" s="12" t="s">
        <v>115</v>
      </c>
      <c r="C398" s="12" t="s">
        <v>83</v>
      </c>
      <c r="D398" s="13">
        <v>40546</v>
      </c>
      <c r="E398" s="12" t="s">
        <v>43</v>
      </c>
      <c r="F398" s="14">
        <v>11.2</v>
      </c>
      <c r="G398" s="19">
        <v>7</v>
      </c>
    </row>
    <row r="399" spans="1:7" x14ac:dyDescent="0.3">
      <c r="A399" s="18" t="s">
        <v>154</v>
      </c>
      <c r="B399" s="12" t="s">
        <v>115</v>
      </c>
      <c r="C399" s="12" t="s">
        <v>83</v>
      </c>
      <c r="D399" s="13">
        <v>40546</v>
      </c>
      <c r="E399" s="12" t="s">
        <v>24</v>
      </c>
      <c r="F399" s="14">
        <v>24.9</v>
      </c>
      <c r="G399" s="19">
        <v>70</v>
      </c>
    </row>
    <row r="400" spans="1:7" x14ac:dyDescent="0.3">
      <c r="A400" s="18" t="s">
        <v>154</v>
      </c>
      <c r="B400" s="12" t="s">
        <v>115</v>
      </c>
      <c r="C400" s="12" t="s">
        <v>83</v>
      </c>
      <c r="D400" s="13">
        <v>40546</v>
      </c>
      <c r="E400" s="12" t="s">
        <v>18</v>
      </c>
      <c r="F400" s="14">
        <v>10</v>
      </c>
      <c r="G400" s="19">
        <v>32</v>
      </c>
    </row>
    <row r="401" spans="1:7" x14ac:dyDescent="0.3">
      <c r="A401" s="18" t="s">
        <v>177</v>
      </c>
      <c r="B401" s="12" t="s">
        <v>115</v>
      </c>
      <c r="C401" s="12" t="s">
        <v>83</v>
      </c>
      <c r="D401" s="13">
        <v>40546</v>
      </c>
      <c r="E401" s="12" t="s">
        <v>30</v>
      </c>
      <c r="F401" s="14">
        <v>4.8</v>
      </c>
      <c r="G401" s="19">
        <v>10</v>
      </c>
    </row>
    <row r="402" spans="1:7" x14ac:dyDescent="0.3">
      <c r="A402" s="18" t="s">
        <v>177</v>
      </c>
      <c r="B402" s="12" t="s">
        <v>115</v>
      </c>
      <c r="C402" s="12" t="s">
        <v>83</v>
      </c>
      <c r="D402" s="13">
        <v>40546</v>
      </c>
      <c r="E402" s="12" t="s">
        <v>66</v>
      </c>
      <c r="F402" s="14">
        <v>39.4</v>
      </c>
      <c r="G402" s="19">
        <v>10</v>
      </c>
    </row>
    <row r="403" spans="1:7" x14ac:dyDescent="0.3">
      <c r="A403" s="18" t="s">
        <v>108</v>
      </c>
      <c r="B403" s="12" t="s">
        <v>109</v>
      </c>
      <c r="C403" s="12" t="s">
        <v>82</v>
      </c>
      <c r="D403" s="13">
        <v>40546</v>
      </c>
      <c r="E403" s="12" t="s">
        <v>64</v>
      </c>
      <c r="F403" s="14">
        <v>9.6</v>
      </c>
      <c r="G403" s="19">
        <v>28</v>
      </c>
    </row>
    <row r="404" spans="1:7" x14ac:dyDescent="0.3">
      <c r="A404" s="18" t="s">
        <v>108</v>
      </c>
      <c r="B404" s="12" t="s">
        <v>109</v>
      </c>
      <c r="C404" s="12" t="s">
        <v>82</v>
      </c>
      <c r="D404" s="13">
        <v>40546</v>
      </c>
      <c r="E404" s="12" t="s">
        <v>48</v>
      </c>
      <c r="F404" s="14">
        <v>26.2</v>
      </c>
      <c r="G404" s="19">
        <v>70</v>
      </c>
    </row>
    <row r="405" spans="1:7" x14ac:dyDescent="0.3">
      <c r="A405" s="18" t="s">
        <v>108</v>
      </c>
      <c r="B405" s="12" t="s">
        <v>109</v>
      </c>
      <c r="C405" s="12" t="s">
        <v>82</v>
      </c>
      <c r="D405" s="13">
        <v>40546</v>
      </c>
      <c r="E405" s="12" t="s">
        <v>22</v>
      </c>
      <c r="F405" s="14">
        <v>28.8</v>
      </c>
      <c r="G405" s="19">
        <v>8</v>
      </c>
    </row>
    <row r="406" spans="1:7" x14ac:dyDescent="0.3">
      <c r="A406" s="18" t="s">
        <v>122</v>
      </c>
      <c r="B406" s="12" t="s">
        <v>123</v>
      </c>
      <c r="C406" s="12" t="s">
        <v>83</v>
      </c>
      <c r="D406" s="13">
        <v>40549</v>
      </c>
      <c r="E406" s="12" t="s">
        <v>71</v>
      </c>
      <c r="F406" s="14">
        <v>7.2</v>
      </c>
      <c r="G406" s="19">
        <v>40</v>
      </c>
    </row>
    <row r="407" spans="1:7" x14ac:dyDescent="0.3">
      <c r="A407" s="18" t="s">
        <v>122</v>
      </c>
      <c r="B407" s="12" t="s">
        <v>123</v>
      </c>
      <c r="C407" s="12" t="s">
        <v>83</v>
      </c>
      <c r="D407" s="13">
        <v>40549</v>
      </c>
      <c r="E407" s="12" t="s">
        <v>14</v>
      </c>
      <c r="F407" s="14">
        <v>17.2</v>
      </c>
      <c r="G407" s="19">
        <v>60</v>
      </c>
    </row>
    <row r="408" spans="1:7" x14ac:dyDescent="0.3">
      <c r="A408" s="18" t="s">
        <v>122</v>
      </c>
      <c r="B408" s="12" t="s">
        <v>123</v>
      </c>
      <c r="C408" s="12" t="s">
        <v>83</v>
      </c>
      <c r="D408" s="13">
        <v>40549</v>
      </c>
      <c r="E408" s="12" t="s">
        <v>40</v>
      </c>
      <c r="F408" s="14">
        <v>27.8</v>
      </c>
      <c r="G408" s="19">
        <v>21</v>
      </c>
    </row>
    <row r="409" spans="1:7" x14ac:dyDescent="0.3">
      <c r="A409" s="18" t="s">
        <v>161</v>
      </c>
      <c r="B409" s="12" t="s">
        <v>157</v>
      </c>
      <c r="C409" s="12" t="s">
        <v>85</v>
      </c>
      <c r="D409" s="13">
        <v>40545</v>
      </c>
      <c r="E409" s="12" t="s">
        <v>62</v>
      </c>
      <c r="F409" s="14">
        <v>8</v>
      </c>
      <c r="G409" s="19">
        <v>10</v>
      </c>
    </row>
    <row r="410" spans="1:7" x14ac:dyDescent="0.3">
      <c r="A410" s="18" t="s">
        <v>161</v>
      </c>
      <c r="B410" s="12" t="s">
        <v>157</v>
      </c>
      <c r="C410" s="12" t="s">
        <v>85</v>
      </c>
      <c r="D410" s="13">
        <v>40545</v>
      </c>
      <c r="E410" s="12" t="s">
        <v>36</v>
      </c>
      <c r="F410" s="14">
        <v>42.4</v>
      </c>
      <c r="G410" s="19">
        <v>18</v>
      </c>
    </row>
    <row r="411" spans="1:7" x14ac:dyDescent="0.3">
      <c r="A411" s="18" t="s">
        <v>154</v>
      </c>
      <c r="B411" s="12" t="s">
        <v>115</v>
      </c>
      <c r="C411" s="12" t="s">
        <v>77</v>
      </c>
      <c r="D411" s="13">
        <v>40552</v>
      </c>
      <c r="E411" s="12" t="s">
        <v>65</v>
      </c>
      <c r="F411" s="14">
        <v>14.4</v>
      </c>
      <c r="G411" s="19">
        <v>30</v>
      </c>
    </row>
    <row r="412" spans="1:7" x14ac:dyDescent="0.3">
      <c r="A412" s="18" t="s">
        <v>154</v>
      </c>
      <c r="B412" s="12" t="s">
        <v>115</v>
      </c>
      <c r="C412" s="12" t="s">
        <v>77</v>
      </c>
      <c r="D412" s="13">
        <v>40552</v>
      </c>
      <c r="E412" s="12" t="s">
        <v>46</v>
      </c>
      <c r="F412" s="14">
        <v>19.2</v>
      </c>
      <c r="G412" s="19">
        <v>120</v>
      </c>
    </row>
    <row r="413" spans="1:7" x14ac:dyDescent="0.3">
      <c r="A413" s="18" t="s">
        <v>173</v>
      </c>
      <c r="B413" s="12" t="s">
        <v>163</v>
      </c>
      <c r="C413" s="12" t="s">
        <v>80</v>
      </c>
      <c r="D413" s="13">
        <v>40551</v>
      </c>
      <c r="E413" s="12" t="s">
        <v>59</v>
      </c>
      <c r="F413" s="14">
        <v>10</v>
      </c>
      <c r="G413" s="19">
        <v>60</v>
      </c>
    </row>
    <row r="414" spans="1:7" x14ac:dyDescent="0.3">
      <c r="A414" s="18" t="s">
        <v>173</v>
      </c>
      <c r="B414" s="12" t="s">
        <v>163</v>
      </c>
      <c r="C414" s="12" t="s">
        <v>80</v>
      </c>
      <c r="D414" s="13">
        <v>40551</v>
      </c>
      <c r="E414" s="12" t="s">
        <v>14</v>
      </c>
      <c r="F414" s="14">
        <v>17.2</v>
      </c>
      <c r="G414" s="19">
        <v>30</v>
      </c>
    </row>
    <row r="415" spans="1:7" x14ac:dyDescent="0.3">
      <c r="A415" s="18" t="s">
        <v>173</v>
      </c>
      <c r="B415" s="12" t="s">
        <v>163</v>
      </c>
      <c r="C415" s="12" t="s">
        <v>80</v>
      </c>
      <c r="D415" s="13">
        <v>40551</v>
      </c>
      <c r="E415" s="12" t="s">
        <v>31</v>
      </c>
      <c r="F415" s="14">
        <v>14.4</v>
      </c>
      <c r="G415" s="19">
        <v>35</v>
      </c>
    </row>
    <row r="416" spans="1:7" x14ac:dyDescent="0.3">
      <c r="A416" s="18" t="s">
        <v>173</v>
      </c>
      <c r="B416" s="12" t="s">
        <v>163</v>
      </c>
      <c r="C416" s="12" t="s">
        <v>80</v>
      </c>
      <c r="D416" s="13">
        <v>40551</v>
      </c>
      <c r="E416" s="12" t="s">
        <v>44</v>
      </c>
      <c r="F416" s="14">
        <v>10.4</v>
      </c>
      <c r="G416" s="19">
        <v>14</v>
      </c>
    </row>
    <row r="417" spans="1:7" x14ac:dyDescent="0.3">
      <c r="A417" s="18" t="s">
        <v>170</v>
      </c>
      <c r="B417" s="12" t="s">
        <v>141</v>
      </c>
      <c r="C417" s="12" t="s">
        <v>83</v>
      </c>
      <c r="D417" s="13">
        <v>40559</v>
      </c>
      <c r="E417" s="12" t="s">
        <v>68</v>
      </c>
      <c r="F417" s="14">
        <v>99</v>
      </c>
      <c r="G417" s="19">
        <v>21</v>
      </c>
    </row>
    <row r="418" spans="1:7" x14ac:dyDescent="0.3">
      <c r="A418" s="18" t="s">
        <v>170</v>
      </c>
      <c r="B418" s="12" t="s">
        <v>141</v>
      </c>
      <c r="C418" s="12" t="s">
        <v>83</v>
      </c>
      <c r="D418" s="13">
        <v>40559</v>
      </c>
      <c r="E418" s="12" t="s">
        <v>65</v>
      </c>
      <c r="F418" s="14">
        <v>14.4</v>
      </c>
      <c r="G418" s="19">
        <v>35</v>
      </c>
    </row>
    <row r="419" spans="1:7" x14ac:dyDescent="0.3">
      <c r="A419" s="18" t="s">
        <v>170</v>
      </c>
      <c r="B419" s="12" t="s">
        <v>141</v>
      </c>
      <c r="C419" s="12" t="s">
        <v>83</v>
      </c>
      <c r="D419" s="13">
        <v>40559</v>
      </c>
      <c r="E419" s="12" t="s">
        <v>38</v>
      </c>
      <c r="F419" s="14">
        <v>16</v>
      </c>
      <c r="G419" s="19">
        <v>30</v>
      </c>
    </row>
    <row r="420" spans="1:7" x14ac:dyDescent="0.3">
      <c r="A420" s="18" t="s">
        <v>117</v>
      </c>
      <c r="B420" s="12" t="s">
        <v>115</v>
      </c>
      <c r="C420" s="12" t="s">
        <v>83</v>
      </c>
      <c r="D420" s="13">
        <v>40553</v>
      </c>
      <c r="E420" s="12" t="s">
        <v>41</v>
      </c>
      <c r="F420" s="14">
        <v>20.7</v>
      </c>
      <c r="G420" s="19">
        <v>18</v>
      </c>
    </row>
    <row r="421" spans="1:7" x14ac:dyDescent="0.3">
      <c r="A421" s="18" t="s">
        <v>117</v>
      </c>
      <c r="B421" s="12" t="s">
        <v>115</v>
      </c>
      <c r="C421" s="12" t="s">
        <v>83</v>
      </c>
      <c r="D421" s="13">
        <v>40553</v>
      </c>
      <c r="E421" s="12" t="s">
        <v>17</v>
      </c>
      <c r="F421" s="14">
        <v>30.4</v>
      </c>
      <c r="G421" s="19">
        <v>70</v>
      </c>
    </row>
    <row r="422" spans="1:7" x14ac:dyDescent="0.3">
      <c r="A422" s="18" t="s">
        <v>117</v>
      </c>
      <c r="B422" s="12" t="s">
        <v>115</v>
      </c>
      <c r="C422" s="12" t="s">
        <v>83</v>
      </c>
      <c r="D422" s="13">
        <v>40553</v>
      </c>
      <c r="E422" s="12" t="s">
        <v>34</v>
      </c>
      <c r="F422" s="14">
        <v>16.8</v>
      </c>
      <c r="G422" s="19">
        <v>20</v>
      </c>
    </row>
    <row r="423" spans="1:7" x14ac:dyDescent="0.3">
      <c r="A423" s="18" t="s">
        <v>117</v>
      </c>
      <c r="B423" s="12" t="s">
        <v>115</v>
      </c>
      <c r="C423" s="12" t="s">
        <v>83</v>
      </c>
      <c r="D423" s="13">
        <v>40553</v>
      </c>
      <c r="E423" s="12" t="s">
        <v>14</v>
      </c>
      <c r="F423" s="14">
        <v>17.2</v>
      </c>
      <c r="G423" s="19">
        <v>60</v>
      </c>
    </row>
    <row r="424" spans="1:7" x14ac:dyDescent="0.3">
      <c r="A424" s="18" t="s">
        <v>110</v>
      </c>
      <c r="B424" s="12" t="s">
        <v>111</v>
      </c>
      <c r="C424" s="12" t="s">
        <v>80</v>
      </c>
      <c r="D424" s="13">
        <v>40553</v>
      </c>
      <c r="E424" s="12" t="s">
        <v>71</v>
      </c>
      <c r="F424" s="14">
        <v>7.2</v>
      </c>
      <c r="G424" s="19">
        <v>60</v>
      </c>
    </row>
    <row r="425" spans="1:7" x14ac:dyDescent="0.3">
      <c r="A425" s="18" t="s">
        <v>110</v>
      </c>
      <c r="B425" s="12" t="s">
        <v>111</v>
      </c>
      <c r="C425" s="12" t="s">
        <v>80</v>
      </c>
      <c r="D425" s="13">
        <v>40553</v>
      </c>
      <c r="E425" s="12" t="s">
        <v>74</v>
      </c>
      <c r="F425" s="14">
        <v>35.1</v>
      </c>
      <c r="G425" s="19">
        <v>65</v>
      </c>
    </row>
    <row r="426" spans="1:7" x14ac:dyDescent="0.3">
      <c r="A426" s="18" t="s">
        <v>110</v>
      </c>
      <c r="B426" s="12" t="s">
        <v>111</v>
      </c>
      <c r="C426" s="12" t="s">
        <v>81</v>
      </c>
      <c r="D426" s="13">
        <v>40552</v>
      </c>
      <c r="E426" s="12" t="s">
        <v>47</v>
      </c>
      <c r="F426" s="14">
        <v>13.9</v>
      </c>
      <c r="G426" s="19">
        <v>21</v>
      </c>
    </row>
    <row r="427" spans="1:7" x14ac:dyDescent="0.3">
      <c r="A427" s="18" t="s">
        <v>110</v>
      </c>
      <c r="B427" s="12" t="s">
        <v>111</v>
      </c>
      <c r="C427" s="12" t="s">
        <v>81</v>
      </c>
      <c r="D427" s="13">
        <v>40552</v>
      </c>
      <c r="E427" s="12" t="s">
        <v>10</v>
      </c>
      <c r="F427" s="14">
        <v>10.199999999999999</v>
      </c>
      <c r="G427" s="19">
        <v>70</v>
      </c>
    </row>
    <row r="428" spans="1:7" x14ac:dyDescent="0.3">
      <c r="A428" s="18" t="s">
        <v>129</v>
      </c>
      <c r="B428" s="12" t="s">
        <v>130</v>
      </c>
      <c r="C428" s="12" t="s">
        <v>77</v>
      </c>
      <c r="D428" s="13">
        <v>40551</v>
      </c>
      <c r="E428" s="12" t="s">
        <v>24</v>
      </c>
      <c r="F428" s="14">
        <v>24.9</v>
      </c>
      <c r="G428" s="19">
        <v>30</v>
      </c>
    </row>
    <row r="429" spans="1:7" x14ac:dyDescent="0.3">
      <c r="A429" s="18" t="s">
        <v>129</v>
      </c>
      <c r="B429" s="12" t="s">
        <v>130</v>
      </c>
      <c r="C429" s="12" t="s">
        <v>77</v>
      </c>
      <c r="D429" s="13">
        <v>40551</v>
      </c>
      <c r="E429" s="12" t="s">
        <v>60</v>
      </c>
      <c r="F429" s="14">
        <v>11.2</v>
      </c>
      <c r="G429" s="19">
        <v>40</v>
      </c>
    </row>
    <row r="430" spans="1:7" x14ac:dyDescent="0.3">
      <c r="A430" s="18" t="s">
        <v>129</v>
      </c>
      <c r="B430" s="12" t="s">
        <v>130</v>
      </c>
      <c r="C430" s="12" t="s">
        <v>77</v>
      </c>
      <c r="D430" s="13">
        <v>40551</v>
      </c>
      <c r="E430" s="12" t="s">
        <v>38</v>
      </c>
      <c r="F430" s="14">
        <v>16</v>
      </c>
      <c r="G430" s="19">
        <v>30</v>
      </c>
    </row>
    <row r="431" spans="1:7" x14ac:dyDescent="0.3">
      <c r="A431" s="18" t="s">
        <v>181</v>
      </c>
      <c r="B431" s="12" t="s">
        <v>109</v>
      </c>
      <c r="C431" s="12" t="s">
        <v>83</v>
      </c>
      <c r="D431" s="13">
        <v>40565</v>
      </c>
      <c r="E431" s="12" t="s">
        <v>1</v>
      </c>
      <c r="F431" s="14">
        <v>8</v>
      </c>
      <c r="G431" s="19">
        <v>50</v>
      </c>
    </row>
    <row r="432" spans="1:7" x14ac:dyDescent="0.3">
      <c r="A432" s="18" t="s">
        <v>174</v>
      </c>
      <c r="B432" s="12" t="s">
        <v>98</v>
      </c>
      <c r="C432" s="12" t="s">
        <v>84</v>
      </c>
      <c r="D432" s="13">
        <v>40556</v>
      </c>
      <c r="E432" s="12" t="s">
        <v>5</v>
      </c>
      <c r="F432" s="14">
        <v>14.4</v>
      </c>
      <c r="G432" s="19">
        <v>10</v>
      </c>
    </row>
    <row r="433" spans="1:7" x14ac:dyDescent="0.3">
      <c r="A433" s="18" t="s">
        <v>174</v>
      </c>
      <c r="B433" s="12" t="s">
        <v>98</v>
      </c>
      <c r="C433" s="12" t="s">
        <v>84</v>
      </c>
      <c r="D433" s="13">
        <v>40556</v>
      </c>
      <c r="E433" s="12" t="s">
        <v>62</v>
      </c>
      <c r="F433" s="14">
        <v>8</v>
      </c>
      <c r="G433" s="19">
        <v>30</v>
      </c>
    </row>
    <row r="434" spans="1:7" x14ac:dyDescent="0.3">
      <c r="A434" s="18" t="s">
        <v>174</v>
      </c>
      <c r="B434" s="12" t="s">
        <v>98</v>
      </c>
      <c r="C434" s="12" t="s">
        <v>84</v>
      </c>
      <c r="D434" s="13">
        <v>40556</v>
      </c>
      <c r="E434" s="12" t="s">
        <v>56</v>
      </c>
      <c r="F434" s="14">
        <v>36.4</v>
      </c>
      <c r="G434" s="19">
        <v>42</v>
      </c>
    </row>
    <row r="435" spans="1:7" x14ac:dyDescent="0.3">
      <c r="A435" s="18" t="s">
        <v>174</v>
      </c>
      <c r="B435" s="12" t="s">
        <v>98</v>
      </c>
      <c r="C435" s="12" t="s">
        <v>84</v>
      </c>
      <c r="D435" s="13">
        <v>40556</v>
      </c>
      <c r="E435" s="12" t="s">
        <v>27</v>
      </c>
      <c r="F435" s="14">
        <v>15.2</v>
      </c>
      <c r="G435" s="19">
        <v>5</v>
      </c>
    </row>
    <row r="436" spans="1:7" x14ac:dyDescent="0.3">
      <c r="A436" s="18" t="s">
        <v>174</v>
      </c>
      <c r="B436" s="12" t="s">
        <v>98</v>
      </c>
      <c r="C436" s="12" t="s">
        <v>84</v>
      </c>
      <c r="D436" s="13">
        <v>40556</v>
      </c>
      <c r="E436" s="12" t="s">
        <v>2</v>
      </c>
      <c r="F436" s="14">
        <v>14.7</v>
      </c>
      <c r="G436" s="19">
        <v>2</v>
      </c>
    </row>
    <row r="437" spans="1:7" x14ac:dyDescent="0.3">
      <c r="A437" s="18" t="s">
        <v>182</v>
      </c>
      <c r="B437" s="12" t="s">
        <v>123</v>
      </c>
      <c r="C437" s="12" t="s">
        <v>77</v>
      </c>
      <c r="D437" s="13">
        <v>40573</v>
      </c>
      <c r="E437" s="12" t="s">
        <v>49</v>
      </c>
      <c r="F437" s="14">
        <v>16.8</v>
      </c>
      <c r="G437" s="19">
        <v>30</v>
      </c>
    </row>
    <row r="438" spans="1:7" x14ac:dyDescent="0.3">
      <c r="A438" s="18" t="s">
        <v>182</v>
      </c>
      <c r="B438" s="12" t="s">
        <v>123</v>
      </c>
      <c r="C438" s="12" t="s">
        <v>77</v>
      </c>
      <c r="D438" s="13">
        <v>40573</v>
      </c>
      <c r="E438" s="12" t="s">
        <v>22</v>
      </c>
      <c r="F438" s="14">
        <v>28.8</v>
      </c>
      <c r="G438" s="19">
        <v>15</v>
      </c>
    </row>
    <row r="439" spans="1:7" x14ac:dyDescent="0.3">
      <c r="A439" s="18" t="s">
        <v>182</v>
      </c>
      <c r="B439" s="12" t="s">
        <v>123</v>
      </c>
      <c r="C439" s="12" t="s">
        <v>77</v>
      </c>
      <c r="D439" s="13">
        <v>40573</v>
      </c>
      <c r="E439" s="12" t="s">
        <v>14</v>
      </c>
      <c r="F439" s="14">
        <v>17.2</v>
      </c>
      <c r="G439" s="19">
        <v>15</v>
      </c>
    </row>
    <row r="440" spans="1:7" x14ac:dyDescent="0.3">
      <c r="A440" s="18" t="s">
        <v>183</v>
      </c>
      <c r="B440" s="12" t="s">
        <v>101</v>
      </c>
      <c r="C440" s="12" t="s">
        <v>80</v>
      </c>
      <c r="D440" s="13">
        <v>40557</v>
      </c>
      <c r="E440" s="12" t="s">
        <v>20</v>
      </c>
      <c r="F440" s="14">
        <v>20.8</v>
      </c>
      <c r="G440" s="19">
        <v>10</v>
      </c>
    </row>
    <row r="441" spans="1:7" x14ac:dyDescent="0.3">
      <c r="A441" s="18" t="s">
        <v>183</v>
      </c>
      <c r="B441" s="12" t="s">
        <v>101</v>
      </c>
      <c r="C441" s="12" t="s">
        <v>80</v>
      </c>
      <c r="D441" s="13">
        <v>40557</v>
      </c>
      <c r="E441" s="12" t="s">
        <v>70</v>
      </c>
      <c r="F441" s="14">
        <v>5.9</v>
      </c>
      <c r="G441" s="19">
        <v>6</v>
      </c>
    </row>
    <row r="442" spans="1:7" x14ac:dyDescent="0.3">
      <c r="A442" s="18" t="s">
        <v>183</v>
      </c>
      <c r="B442" s="12" t="s">
        <v>101</v>
      </c>
      <c r="C442" s="12" t="s">
        <v>80</v>
      </c>
      <c r="D442" s="13">
        <v>40557</v>
      </c>
      <c r="E442" s="12" t="s">
        <v>66</v>
      </c>
      <c r="F442" s="14">
        <v>39.4</v>
      </c>
      <c r="G442" s="19">
        <v>35</v>
      </c>
    </row>
    <row r="443" spans="1:7" x14ac:dyDescent="0.3">
      <c r="A443" s="18" t="s">
        <v>184</v>
      </c>
      <c r="B443" s="12" t="s">
        <v>185</v>
      </c>
      <c r="C443" s="12" t="s">
        <v>79</v>
      </c>
      <c r="D443" s="13">
        <v>40557</v>
      </c>
      <c r="E443" s="12" t="s">
        <v>69</v>
      </c>
      <c r="F443" s="14">
        <v>18.600000000000001</v>
      </c>
      <c r="G443" s="19">
        <v>12</v>
      </c>
    </row>
    <row r="444" spans="1:7" x14ac:dyDescent="0.3">
      <c r="A444" s="18" t="s">
        <v>184</v>
      </c>
      <c r="B444" s="12" t="s">
        <v>185</v>
      </c>
      <c r="C444" s="12" t="s">
        <v>79</v>
      </c>
      <c r="D444" s="13">
        <v>40557</v>
      </c>
      <c r="E444" s="12" t="s">
        <v>62</v>
      </c>
      <c r="F444" s="14">
        <v>8</v>
      </c>
      <c r="G444" s="19">
        <v>12</v>
      </c>
    </row>
    <row r="445" spans="1:7" x14ac:dyDescent="0.3">
      <c r="A445" s="18" t="s">
        <v>180</v>
      </c>
      <c r="B445" s="12" t="s">
        <v>160</v>
      </c>
      <c r="C445" s="12" t="s">
        <v>79</v>
      </c>
      <c r="D445" s="13">
        <v>40558</v>
      </c>
      <c r="E445" s="12" t="s">
        <v>15</v>
      </c>
      <c r="F445" s="14">
        <v>2</v>
      </c>
      <c r="G445" s="19">
        <v>49</v>
      </c>
    </row>
    <row r="446" spans="1:7" x14ac:dyDescent="0.3">
      <c r="A446" s="18" t="s">
        <v>180</v>
      </c>
      <c r="B446" s="12" t="s">
        <v>160</v>
      </c>
      <c r="C446" s="12" t="s">
        <v>79</v>
      </c>
      <c r="D446" s="13">
        <v>40558</v>
      </c>
      <c r="E446" s="12" t="s">
        <v>51</v>
      </c>
      <c r="F446" s="14">
        <v>44</v>
      </c>
      <c r="G446" s="19">
        <v>16</v>
      </c>
    </row>
    <row r="447" spans="1:7" x14ac:dyDescent="0.3">
      <c r="A447" s="18" t="s">
        <v>180</v>
      </c>
      <c r="B447" s="12" t="s">
        <v>160</v>
      </c>
      <c r="C447" s="12" t="s">
        <v>78</v>
      </c>
      <c r="D447" s="13">
        <v>40564</v>
      </c>
      <c r="E447" s="12" t="s">
        <v>29</v>
      </c>
      <c r="F447" s="14">
        <v>7.7</v>
      </c>
      <c r="G447" s="19">
        <v>25</v>
      </c>
    </row>
    <row r="448" spans="1:7" x14ac:dyDescent="0.3">
      <c r="A448" s="18" t="s">
        <v>180</v>
      </c>
      <c r="B448" s="12" t="s">
        <v>160</v>
      </c>
      <c r="C448" s="12" t="s">
        <v>78</v>
      </c>
      <c r="D448" s="13">
        <v>40564</v>
      </c>
      <c r="E448" s="12" t="s">
        <v>23</v>
      </c>
      <c r="F448" s="14">
        <v>15.5</v>
      </c>
      <c r="G448" s="19">
        <v>40</v>
      </c>
    </row>
    <row r="449" spans="1:7" x14ac:dyDescent="0.3">
      <c r="A449" s="18" t="s">
        <v>180</v>
      </c>
      <c r="B449" s="12" t="s">
        <v>160</v>
      </c>
      <c r="C449" s="12" t="s">
        <v>78</v>
      </c>
      <c r="D449" s="13">
        <v>40564</v>
      </c>
      <c r="E449" s="12" t="s">
        <v>51</v>
      </c>
      <c r="F449" s="14">
        <v>44</v>
      </c>
      <c r="G449" s="19">
        <v>9</v>
      </c>
    </row>
    <row r="450" spans="1:7" x14ac:dyDescent="0.3">
      <c r="A450" s="18" t="s">
        <v>121</v>
      </c>
      <c r="B450" s="12" t="s">
        <v>96</v>
      </c>
      <c r="C450" s="12" t="s">
        <v>80</v>
      </c>
      <c r="D450" s="13">
        <v>40558</v>
      </c>
      <c r="E450" s="12" t="s">
        <v>69</v>
      </c>
      <c r="F450" s="14">
        <v>18.600000000000001</v>
      </c>
      <c r="G450" s="19">
        <v>20</v>
      </c>
    </row>
    <row r="451" spans="1:7" x14ac:dyDescent="0.3">
      <c r="A451" s="18" t="s">
        <v>165</v>
      </c>
      <c r="B451" s="12" t="s">
        <v>101</v>
      </c>
      <c r="C451" s="12" t="s">
        <v>79</v>
      </c>
      <c r="D451" s="13">
        <v>40559</v>
      </c>
      <c r="E451" s="12" t="s">
        <v>5</v>
      </c>
      <c r="F451" s="14">
        <v>14.4</v>
      </c>
      <c r="G451" s="19">
        <v>24</v>
      </c>
    </row>
    <row r="452" spans="1:7" x14ac:dyDescent="0.3">
      <c r="A452" s="18" t="s">
        <v>165</v>
      </c>
      <c r="B452" s="12" t="s">
        <v>101</v>
      </c>
      <c r="C452" s="12" t="s">
        <v>79</v>
      </c>
      <c r="D452" s="13">
        <v>40559</v>
      </c>
      <c r="E452" s="12" t="s">
        <v>66</v>
      </c>
      <c r="F452" s="14">
        <v>39.4</v>
      </c>
      <c r="G452" s="19">
        <v>40</v>
      </c>
    </row>
    <row r="453" spans="1:7" x14ac:dyDescent="0.3">
      <c r="A453" s="18" t="s">
        <v>165</v>
      </c>
      <c r="B453" s="12" t="s">
        <v>101</v>
      </c>
      <c r="C453" s="12" t="s">
        <v>79</v>
      </c>
      <c r="D453" s="13">
        <v>40559</v>
      </c>
      <c r="E453" s="12" t="s">
        <v>31</v>
      </c>
      <c r="F453" s="14">
        <v>14.4</v>
      </c>
      <c r="G453" s="19">
        <v>14</v>
      </c>
    </row>
    <row r="454" spans="1:7" x14ac:dyDescent="0.3">
      <c r="A454" s="18" t="s">
        <v>164</v>
      </c>
      <c r="B454" s="12" t="s">
        <v>98</v>
      </c>
      <c r="C454" s="12" t="s">
        <v>77</v>
      </c>
      <c r="D454" s="13">
        <v>40560</v>
      </c>
      <c r="E454" s="12" t="s">
        <v>67</v>
      </c>
      <c r="F454" s="14">
        <v>7.3</v>
      </c>
      <c r="G454" s="19">
        <v>18</v>
      </c>
    </row>
    <row r="455" spans="1:7" x14ac:dyDescent="0.3">
      <c r="A455" s="18" t="s">
        <v>164</v>
      </c>
      <c r="B455" s="12" t="s">
        <v>98</v>
      </c>
      <c r="C455" s="12" t="s">
        <v>77</v>
      </c>
      <c r="D455" s="13">
        <v>40560</v>
      </c>
      <c r="E455" s="12" t="s">
        <v>15</v>
      </c>
      <c r="F455" s="14">
        <v>2</v>
      </c>
      <c r="G455" s="19">
        <v>50</v>
      </c>
    </row>
    <row r="456" spans="1:7" x14ac:dyDescent="0.3">
      <c r="A456" s="18" t="s">
        <v>177</v>
      </c>
      <c r="B456" s="12" t="s">
        <v>115</v>
      </c>
      <c r="C456" s="12" t="s">
        <v>79</v>
      </c>
      <c r="D456" s="13">
        <v>40567</v>
      </c>
      <c r="E456" s="12" t="s">
        <v>0</v>
      </c>
      <c r="F456" s="14">
        <v>31.2</v>
      </c>
      <c r="G456" s="19">
        <v>2</v>
      </c>
    </row>
    <row r="457" spans="1:7" x14ac:dyDescent="0.3">
      <c r="A457" s="18" t="s">
        <v>177</v>
      </c>
      <c r="B457" s="12" t="s">
        <v>115</v>
      </c>
      <c r="C457" s="12" t="s">
        <v>79</v>
      </c>
      <c r="D457" s="13">
        <v>40567</v>
      </c>
      <c r="E457" s="12" t="s">
        <v>15</v>
      </c>
      <c r="F457" s="14">
        <v>2</v>
      </c>
      <c r="G457" s="19">
        <v>20</v>
      </c>
    </row>
    <row r="458" spans="1:7" x14ac:dyDescent="0.3">
      <c r="A458" s="18" t="s">
        <v>121</v>
      </c>
      <c r="B458" s="12" t="s">
        <v>96</v>
      </c>
      <c r="C458" s="12" t="s">
        <v>80</v>
      </c>
      <c r="D458" s="13">
        <v>40570</v>
      </c>
      <c r="E458" s="12" t="s">
        <v>67</v>
      </c>
      <c r="F458" s="14">
        <v>7.3</v>
      </c>
      <c r="G458" s="19">
        <v>20</v>
      </c>
    </row>
    <row r="459" spans="1:7" x14ac:dyDescent="0.3">
      <c r="A459" s="18" t="s">
        <v>121</v>
      </c>
      <c r="B459" s="12" t="s">
        <v>96</v>
      </c>
      <c r="C459" s="12" t="s">
        <v>80</v>
      </c>
      <c r="D459" s="13">
        <v>40570</v>
      </c>
      <c r="E459" s="12" t="s">
        <v>48</v>
      </c>
      <c r="F459" s="14">
        <v>26.2</v>
      </c>
      <c r="G459" s="19">
        <v>10</v>
      </c>
    </row>
    <row r="460" spans="1:7" x14ac:dyDescent="0.3">
      <c r="A460" s="18" t="s">
        <v>121</v>
      </c>
      <c r="B460" s="12" t="s">
        <v>96</v>
      </c>
      <c r="C460" s="12" t="s">
        <v>80</v>
      </c>
      <c r="D460" s="13">
        <v>40570</v>
      </c>
      <c r="E460" s="12" t="s">
        <v>52</v>
      </c>
      <c r="F460" s="14">
        <v>15.6</v>
      </c>
      <c r="G460" s="19">
        <v>20</v>
      </c>
    </row>
    <row r="461" spans="1:7" x14ac:dyDescent="0.3">
      <c r="A461" s="18" t="s">
        <v>162</v>
      </c>
      <c r="B461" s="12" t="s">
        <v>163</v>
      </c>
      <c r="C461" s="12" t="s">
        <v>81</v>
      </c>
      <c r="D461" s="13">
        <v>40571</v>
      </c>
      <c r="E461" s="12" t="s">
        <v>11</v>
      </c>
      <c r="F461" s="14">
        <v>210.8</v>
      </c>
      <c r="G461" s="19">
        <v>50</v>
      </c>
    </row>
    <row r="462" spans="1:7" x14ac:dyDescent="0.3">
      <c r="A462" s="18" t="s">
        <v>162</v>
      </c>
      <c r="B462" s="12" t="s">
        <v>163</v>
      </c>
      <c r="C462" s="12" t="s">
        <v>81</v>
      </c>
      <c r="D462" s="13">
        <v>40571</v>
      </c>
      <c r="E462" s="12" t="s">
        <v>64</v>
      </c>
      <c r="F462" s="14">
        <v>9.6</v>
      </c>
      <c r="G462" s="19">
        <v>2</v>
      </c>
    </row>
    <row r="463" spans="1:7" x14ac:dyDescent="0.3">
      <c r="A463" s="18" t="s">
        <v>162</v>
      </c>
      <c r="B463" s="12" t="s">
        <v>163</v>
      </c>
      <c r="C463" s="12" t="s">
        <v>81</v>
      </c>
      <c r="D463" s="13">
        <v>40571</v>
      </c>
      <c r="E463" s="12" t="s">
        <v>59</v>
      </c>
      <c r="F463" s="14">
        <v>10</v>
      </c>
      <c r="G463" s="19">
        <v>36</v>
      </c>
    </row>
    <row r="464" spans="1:7" x14ac:dyDescent="0.3">
      <c r="A464" s="18" t="s">
        <v>162</v>
      </c>
      <c r="B464" s="12" t="s">
        <v>163</v>
      </c>
      <c r="C464" s="12" t="s">
        <v>81</v>
      </c>
      <c r="D464" s="13">
        <v>40571</v>
      </c>
      <c r="E464" s="12" t="s">
        <v>44</v>
      </c>
      <c r="F464" s="14">
        <v>10.4</v>
      </c>
      <c r="G464" s="19">
        <v>35</v>
      </c>
    </row>
    <row r="465" spans="1:7" x14ac:dyDescent="0.3">
      <c r="A465" s="18" t="s">
        <v>127</v>
      </c>
      <c r="B465" s="12" t="s">
        <v>123</v>
      </c>
      <c r="C465" s="12" t="s">
        <v>81</v>
      </c>
      <c r="D465" s="13">
        <v>40567</v>
      </c>
      <c r="E465" s="12" t="s">
        <v>6</v>
      </c>
      <c r="F465" s="14">
        <v>15.2</v>
      </c>
      <c r="G465" s="19">
        <v>60</v>
      </c>
    </row>
    <row r="466" spans="1:7" x14ac:dyDescent="0.3">
      <c r="A466" s="18" t="s">
        <v>127</v>
      </c>
      <c r="B466" s="12" t="s">
        <v>123</v>
      </c>
      <c r="C466" s="12" t="s">
        <v>81</v>
      </c>
      <c r="D466" s="13">
        <v>40567</v>
      </c>
      <c r="E466" s="12" t="s">
        <v>76</v>
      </c>
      <c r="F466" s="14">
        <v>7.6</v>
      </c>
      <c r="G466" s="19">
        <v>55</v>
      </c>
    </row>
    <row r="467" spans="1:7" x14ac:dyDescent="0.3">
      <c r="A467" s="18" t="s">
        <v>127</v>
      </c>
      <c r="B467" s="12" t="s">
        <v>123</v>
      </c>
      <c r="C467" s="12" t="s">
        <v>81</v>
      </c>
      <c r="D467" s="13">
        <v>40567</v>
      </c>
      <c r="E467" s="12" t="s">
        <v>63</v>
      </c>
      <c r="F467" s="14">
        <v>22.8</v>
      </c>
      <c r="G467" s="19">
        <v>16</v>
      </c>
    </row>
    <row r="468" spans="1:7" x14ac:dyDescent="0.3">
      <c r="A468" s="18" t="s">
        <v>127</v>
      </c>
      <c r="B468" s="12" t="s">
        <v>123</v>
      </c>
      <c r="C468" s="12" t="s">
        <v>81</v>
      </c>
      <c r="D468" s="13">
        <v>40567</v>
      </c>
      <c r="E468" s="12" t="s">
        <v>33</v>
      </c>
      <c r="F468" s="14">
        <v>8</v>
      </c>
      <c r="G468" s="19">
        <v>15</v>
      </c>
    </row>
    <row r="469" spans="1:7" x14ac:dyDescent="0.3">
      <c r="A469" s="18" t="s">
        <v>106</v>
      </c>
      <c r="B469" s="12" t="s">
        <v>105</v>
      </c>
      <c r="C469" s="12" t="s">
        <v>81</v>
      </c>
      <c r="D469" s="13">
        <v>40573</v>
      </c>
      <c r="E469" s="12" t="s">
        <v>3</v>
      </c>
      <c r="F469" s="14">
        <v>27.2</v>
      </c>
      <c r="G469" s="19">
        <v>60</v>
      </c>
    </row>
    <row r="470" spans="1:7" x14ac:dyDescent="0.3">
      <c r="A470" s="18" t="s">
        <v>106</v>
      </c>
      <c r="B470" s="12" t="s">
        <v>105</v>
      </c>
      <c r="C470" s="12" t="s">
        <v>81</v>
      </c>
      <c r="D470" s="13">
        <v>40573</v>
      </c>
      <c r="E470" s="12" t="s">
        <v>22</v>
      </c>
      <c r="F470" s="14">
        <v>28.8</v>
      </c>
      <c r="G470" s="19">
        <v>20</v>
      </c>
    </row>
    <row r="471" spans="1:7" x14ac:dyDescent="0.3">
      <c r="A471" s="18" t="s">
        <v>107</v>
      </c>
      <c r="B471" s="12" t="s">
        <v>98</v>
      </c>
      <c r="C471" s="12" t="s">
        <v>79</v>
      </c>
      <c r="D471" s="13">
        <v>40570</v>
      </c>
      <c r="E471" s="12" t="s">
        <v>39</v>
      </c>
      <c r="F471" s="14">
        <v>77.599999999999994</v>
      </c>
      <c r="G471" s="19">
        <v>20</v>
      </c>
    </row>
    <row r="472" spans="1:7" x14ac:dyDescent="0.3">
      <c r="A472" s="18" t="s">
        <v>107</v>
      </c>
      <c r="B472" s="12" t="s">
        <v>98</v>
      </c>
      <c r="C472" s="12" t="s">
        <v>79</v>
      </c>
      <c r="D472" s="13">
        <v>40570</v>
      </c>
      <c r="E472" s="12" t="s">
        <v>30</v>
      </c>
      <c r="F472" s="14">
        <v>4.8</v>
      </c>
      <c r="G472" s="19">
        <v>2</v>
      </c>
    </row>
    <row r="473" spans="1:7" x14ac:dyDescent="0.3">
      <c r="A473" s="18" t="s">
        <v>107</v>
      </c>
      <c r="B473" s="12" t="s">
        <v>98</v>
      </c>
      <c r="C473" s="12" t="s">
        <v>79</v>
      </c>
      <c r="D473" s="13">
        <v>40570</v>
      </c>
      <c r="E473" s="12" t="s">
        <v>45</v>
      </c>
      <c r="F473" s="14">
        <v>12</v>
      </c>
      <c r="G473" s="19">
        <v>8</v>
      </c>
    </row>
    <row r="474" spans="1:7" x14ac:dyDescent="0.3">
      <c r="A474" s="18" t="s">
        <v>107</v>
      </c>
      <c r="B474" s="12" t="s">
        <v>98</v>
      </c>
      <c r="C474" s="12" t="s">
        <v>79</v>
      </c>
      <c r="D474" s="13">
        <v>40570</v>
      </c>
      <c r="E474" s="12" t="s">
        <v>54</v>
      </c>
      <c r="F474" s="14">
        <v>12</v>
      </c>
      <c r="G474" s="19">
        <v>20</v>
      </c>
    </row>
    <row r="475" spans="1:7" x14ac:dyDescent="0.3">
      <c r="A475" s="18" t="s">
        <v>116</v>
      </c>
      <c r="B475" s="12" t="s">
        <v>98</v>
      </c>
      <c r="C475" s="12" t="s">
        <v>80</v>
      </c>
      <c r="D475" s="13">
        <v>40570</v>
      </c>
      <c r="E475" s="12" t="s">
        <v>67</v>
      </c>
      <c r="F475" s="14">
        <v>7.3</v>
      </c>
      <c r="G475" s="19">
        <v>4</v>
      </c>
    </row>
    <row r="476" spans="1:7" x14ac:dyDescent="0.3">
      <c r="A476" s="18" t="s">
        <v>116</v>
      </c>
      <c r="B476" s="12" t="s">
        <v>98</v>
      </c>
      <c r="C476" s="12" t="s">
        <v>80</v>
      </c>
      <c r="D476" s="13">
        <v>40570</v>
      </c>
      <c r="E476" s="12" t="s">
        <v>24</v>
      </c>
      <c r="F476" s="14">
        <v>24.9</v>
      </c>
      <c r="G476" s="19">
        <v>30</v>
      </c>
    </row>
    <row r="477" spans="1:7" x14ac:dyDescent="0.3">
      <c r="A477" s="18" t="s">
        <v>116</v>
      </c>
      <c r="B477" s="12" t="s">
        <v>98</v>
      </c>
      <c r="C477" s="12" t="s">
        <v>80</v>
      </c>
      <c r="D477" s="13">
        <v>40570</v>
      </c>
      <c r="E477" s="12" t="s">
        <v>48</v>
      </c>
      <c r="F477" s="14">
        <v>26.2</v>
      </c>
      <c r="G477" s="19">
        <v>15</v>
      </c>
    </row>
    <row r="478" spans="1:7" x14ac:dyDescent="0.3">
      <c r="A478" s="18" t="s">
        <v>116</v>
      </c>
      <c r="B478" s="12" t="s">
        <v>98</v>
      </c>
      <c r="C478" s="12" t="s">
        <v>80</v>
      </c>
      <c r="D478" s="13">
        <v>40570</v>
      </c>
      <c r="E478" s="12" t="s">
        <v>44</v>
      </c>
      <c r="F478" s="14">
        <v>10.4</v>
      </c>
      <c r="G478" s="19">
        <v>10</v>
      </c>
    </row>
    <row r="479" spans="1:7" x14ac:dyDescent="0.3">
      <c r="A479" s="18" t="s">
        <v>186</v>
      </c>
      <c r="B479" s="12" t="s">
        <v>130</v>
      </c>
      <c r="C479" s="12" t="s">
        <v>77</v>
      </c>
      <c r="D479" s="13">
        <v>40574</v>
      </c>
      <c r="E479" s="12" t="s">
        <v>24</v>
      </c>
      <c r="F479" s="14">
        <v>24.9</v>
      </c>
      <c r="G479" s="19">
        <v>2</v>
      </c>
    </row>
    <row r="480" spans="1:7" x14ac:dyDescent="0.3">
      <c r="A480" s="18" t="s">
        <v>187</v>
      </c>
      <c r="B480" s="12" t="s">
        <v>98</v>
      </c>
      <c r="C480" s="12" t="s">
        <v>82</v>
      </c>
      <c r="D480" s="13">
        <v>40598</v>
      </c>
      <c r="E480" s="12" t="s">
        <v>18</v>
      </c>
      <c r="F480" s="14">
        <v>10</v>
      </c>
      <c r="G480" s="19">
        <v>14</v>
      </c>
    </row>
    <row r="481" spans="1:7" x14ac:dyDescent="0.3">
      <c r="A481" s="18" t="s">
        <v>187</v>
      </c>
      <c r="B481" s="12" t="s">
        <v>98</v>
      </c>
      <c r="C481" s="12" t="s">
        <v>82</v>
      </c>
      <c r="D481" s="13">
        <v>40598</v>
      </c>
      <c r="E481" s="12" t="s">
        <v>51</v>
      </c>
      <c r="F481" s="14">
        <v>44</v>
      </c>
      <c r="G481" s="19">
        <v>20</v>
      </c>
    </row>
    <row r="482" spans="1:7" x14ac:dyDescent="0.3">
      <c r="A482" s="18" t="s">
        <v>159</v>
      </c>
      <c r="B482" s="12" t="s">
        <v>160</v>
      </c>
      <c r="C482" s="12" t="s">
        <v>84</v>
      </c>
      <c r="D482" s="13">
        <v>40570</v>
      </c>
      <c r="E482" s="12" t="s">
        <v>65</v>
      </c>
      <c r="F482" s="14">
        <v>14.4</v>
      </c>
      <c r="G482" s="19">
        <v>60</v>
      </c>
    </row>
    <row r="483" spans="1:7" x14ac:dyDescent="0.3">
      <c r="A483" s="18" t="s">
        <v>159</v>
      </c>
      <c r="B483" s="12" t="s">
        <v>160</v>
      </c>
      <c r="C483" s="12" t="s">
        <v>84</v>
      </c>
      <c r="D483" s="13">
        <v>40570</v>
      </c>
      <c r="E483" s="12" t="s">
        <v>11</v>
      </c>
      <c r="F483" s="14">
        <v>210.8</v>
      </c>
      <c r="G483" s="19">
        <v>49</v>
      </c>
    </row>
    <row r="484" spans="1:7" x14ac:dyDescent="0.3">
      <c r="A484" s="18" t="s">
        <v>159</v>
      </c>
      <c r="B484" s="12" t="s">
        <v>160</v>
      </c>
      <c r="C484" s="12" t="s">
        <v>84</v>
      </c>
      <c r="D484" s="13">
        <v>40570</v>
      </c>
      <c r="E484" s="12" t="s">
        <v>59</v>
      </c>
      <c r="F484" s="14">
        <v>10</v>
      </c>
      <c r="G484" s="19">
        <v>30</v>
      </c>
    </row>
    <row r="485" spans="1:7" x14ac:dyDescent="0.3">
      <c r="A485" s="18" t="s">
        <v>165</v>
      </c>
      <c r="B485" s="12" t="s">
        <v>101</v>
      </c>
      <c r="C485" s="12" t="s">
        <v>82</v>
      </c>
      <c r="D485" s="13">
        <v>40588</v>
      </c>
      <c r="E485" s="12" t="s">
        <v>46</v>
      </c>
      <c r="F485" s="14">
        <v>19.2</v>
      </c>
      <c r="G485" s="19">
        <v>10</v>
      </c>
    </row>
    <row r="486" spans="1:7" x14ac:dyDescent="0.3">
      <c r="A486" s="18" t="s">
        <v>165</v>
      </c>
      <c r="B486" s="12" t="s">
        <v>101</v>
      </c>
      <c r="C486" s="12" t="s">
        <v>82</v>
      </c>
      <c r="D486" s="13">
        <v>40588</v>
      </c>
      <c r="E486" s="12" t="s">
        <v>31</v>
      </c>
      <c r="F486" s="14">
        <v>14.4</v>
      </c>
      <c r="G486" s="19">
        <v>20</v>
      </c>
    </row>
    <row r="487" spans="1:7" x14ac:dyDescent="0.3">
      <c r="A487" s="18" t="s">
        <v>172</v>
      </c>
      <c r="B487" s="12" t="s">
        <v>136</v>
      </c>
      <c r="C487" s="12" t="s">
        <v>81</v>
      </c>
      <c r="D487" s="13">
        <v>40580</v>
      </c>
      <c r="E487" s="12" t="s">
        <v>17</v>
      </c>
      <c r="F487" s="14">
        <v>30.4</v>
      </c>
      <c r="G487" s="19">
        <v>5</v>
      </c>
    </row>
    <row r="488" spans="1:7" x14ac:dyDescent="0.3">
      <c r="A488" s="18" t="s">
        <v>172</v>
      </c>
      <c r="B488" s="12" t="s">
        <v>136</v>
      </c>
      <c r="C488" s="12" t="s">
        <v>81</v>
      </c>
      <c r="D488" s="13">
        <v>40580</v>
      </c>
      <c r="E488" s="12" t="s">
        <v>75</v>
      </c>
      <c r="F488" s="14">
        <v>26.6</v>
      </c>
      <c r="G488" s="19">
        <v>7</v>
      </c>
    </row>
    <row r="489" spans="1:7" x14ac:dyDescent="0.3">
      <c r="A489" s="18" t="s">
        <v>166</v>
      </c>
      <c r="B489" s="12" t="s">
        <v>111</v>
      </c>
      <c r="C489" s="12" t="s">
        <v>81</v>
      </c>
      <c r="D489" s="13">
        <v>40605</v>
      </c>
      <c r="E489" s="12" t="s">
        <v>69</v>
      </c>
      <c r="F489" s="14">
        <v>18.600000000000001</v>
      </c>
      <c r="G489" s="19">
        <v>35</v>
      </c>
    </row>
    <row r="490" spans="1:7" x14ac:dyDescent="0.3">
      <c r="A490" s="18" t="s">
        <v>139</v>
      </c>
      <c r="B490" s="12" t="s">
        <v>130</v>
      </c>
      <c r="C490" s="12" t="s">
        <v>84</v>
      </c>
      <c r="D490" s="13">
        <v>40578</v>
      </c>
      <c r="E490" s="12" t="s">
        <v>64</v>
      </c>
      <c r="F490" s="14">
        <v>9.6</v>
      </c>
      <c r="G490" s="19">
        <v>20</v>
      </c>
    </row>
    <row r="491" spans="1:7" x14ac:dyDescent="0.3">
      <c r="A491" s="18" t="s">
        <v>143</v>
      </c>
      <c r="B491" s="12" t="s">
        <v>144</v>
      </c>
      <c r="C491" s="12" t="s">
        <v>79</v>
      </c>
      <c r="D491" s="13">
        <v>40581</v>
      </c>
      <c r="E491" s="12" t="s">
        <v>73</v>
      </c>
      <c r="F491" s="14">
        <v>13</v>
      </c>
      <c r="G491" s="19">
        <v>40</v>
      </c>
    </row>
    <row r="492" spans="1:7" x14ac:dyDescent="0.3">
      <c r="A492" s="18" t="s">
        <v>143</v>
      </c>
      <c r="B492" s="12" t="s">
        <v>144</v>
      </c>
      <c r="C492" s="12" t="s">
        <v>79</v>
      </c>
      <c r="D492" s="13">
        <v>40581</v>
      </c>
      <c r="E492" s="12" t="s">
        <v>74</v>
      </c>
      <c r="F492" s="14">
        <v>35.1</v>
      </c>
      <c r="G492" s="19">
        <v>35</v>
      </c>
    </row>
    <row r="493" spans="1:7" x14ac:dyDescent="0.3">
      <c r="A493" s="18" t="s">
        <v>110</v>
      </c>
      <c r="B493" s="12" t="s">
        <v>111</v>
      </c>
      <c r="C493" s="12" t="s">
        <v>81</v>
      </c>
      <c r="D493" s="13">
        <v>40577</v>
      </c>
      <c r="E493" s="12" t="s">
        <v>0</v>
      </c>
      <c r="F493" s="14">
        <v>31.2</v>
      </c>
      <c r="G493" s="19">
        <v>45</v>
      </c>
    </row>
    <row r="494" spans="1:7" x14ac:dyDescent="0.3">
      <c r="A494" s="18" t="s">
        <v>110</v>
      </c>
      <c r="B494" s="12" t="s">
        <v>111</v>
      </c>
      <c r="C494" s="12" t="s">
        <v>81</v>
      </c>
      <c r="D494" s="13">
        <v>40577</v>
      </c>
      <c r="E494" s="12" t="s">
        <v>62</v>
      </c>
      <c r="F494" s="14">
        <v>8</v>
      </c>
      <c r="G494" s="19">
        <v>50</v>
      </c>
    </row>
    <row r="495" spans="1:7" x14ac:dyDescent="0.3">
      <c r="A495" s="18" t="s">
        <v>110</v>
      </c>
      <c r="B495" s="12" t="s">
        <v>111</v>
      </c>
      <c r="C495" s="12" t="s">
        <v>81</v>
      </c>
      <c r="D495" s="13">
        <v>40577</v>
      </c>
      <c r="E495" s="12" t="s">
        <v>17</v>
      </c>
      <c r="F495" s="14">
        <v>30.4</v>
      </c>
      <c r="G495" s="19">
        <v>30</v>
      </c>
    </row>
    <row r="496" spans="1:7" x14ac:dyDescent="0.3">
      <c r="A496" s="18" t="s">
        <v>110</v>
      </c>
      <c r="B496" s="12" t="s">
        <v>111</v>
      </c>
      <c r="C496" s="12" t="s">
        <v>81</v>
      </c>
      <c r="D496" s="13">
        <v>40577</v>
      </c>
      <c r="E496" s="12" t="s">
        <v>51</v>
      </c>
      <c r="F496" s="14">
        <v>44</v>
      </c>
      <c r="G496" s="19">
        <v>70</v>
      </c>
    </row>
    <row r="497" spans="1:7" x14ac:dyDescent="0.3">
      <c r="A497" s="18" t="s">
        <v>180</v>
      </c>
      <c r="B497" s="12" t="s">
        <v>160</v>
      </c>
      <c r="C497" s="12" t="s">
        <v>81</v>
      </c>
      <c r="D497" s="13">
        <v>40581</v>
      </c>
      <c r="E497" s="12" t="s">
        <v>0</v>
      </c>
      <c r="F497" s="14">
        <v>31.2</v>
      </c>
      <c r="G497" s="19">
        <v>50</v>
      </c>
    </row>
    <row r="498" spans="1:7" x14ac:dyDescent="0.3">
      <c r="A498" s="18" t="s">
        <v>180</v>
      </c>
      <c r="B498" s="12" t="s">
        <v>160</v>
      </c>
      <c r="C498" s="12" t="s">
        <v>81</v>
      </c>
      <c r="D498" s="13">
        <v>40581</v>
      </c>
      <c r="E498" s="12" t="s">
        <v>2</v>
      </c>
      <c r="F498" s="14">
        <v>14.7</v>
      </c>
      <c r="G498" s="19">
        <v>50</v>
      </c>
    </row>
    <row r="499" spans="1:7" x14ac:dyDescent="0.3">
      <c r="A499" s="18" t="s">
        <v>180</v>
      </c>
      <c r="B499" s="12" t="s">
        <v>160</v>
      </c>
      <c r="C499" s="12" t="s">
        <v>81</v>
      </c>
      <c r="D499" s="13">
        <v>40581</v>
      </c>
      <c r="E499" s="12" t="s">
        <v>76</v>
      </c>
      <c r="F499" s="14">
        <v>7.6</v>
      </c>
      <c r="G499" s="19">
        <v>30</v>
      </c>
    </row>
    <row r="500" spans="1:7" x14ac:dyDescent="0.3">
      <c r="A500" s="18" t="s">
        <v>126</v>
      </c>
      <c r="B500" s="12" t="s">
        <v>115</v>
      </c>
      <c r="C500" s="12" t="s">
        <v>79</v>
      </c>
      <c r="D500" s="13">
        <v>40581</v>
      </c>
      <c r="E500" s="12" t="s">
        <v>24</v>
      </c>
      <c r="F500" s="14">
        <v>24.9</v>
      </c>
      <c r="G500" s="19">
        <v>10</v>
      </c>
    </row>
    <row r="501" spans="1:7" x14ac:dyDescent="0.3">
      <c r="A501" s="18" t="s">
        <v>126</v>
      </c>
      <c r="B501" s="12" t="s">
        <v>115</v>
      </c>
      <c r="C501" s="12" t="s">
        <v>79</v>
      </c>
      <c r="D501" s="13">
        <v>40581</v>
      </c>
      <c r="E501" s="12" t="s">
        <v>70</v>
      </c>
      <c r="F501" s="14">
        <v>5.9</v>
      </c>
      <c r="G501" s="19">
        <v>40</v>
      </c>
    </row>
    <row r="502" spans="1:7" x14ac:dyDescent="0.3">
      <c r="A502" s="18" t="s">
        <v>161</v>
      </c>
      <c r="B502" s="12" t="s">
        <v>157</v>
      </c>
      <c r="C502" s="12" t="s">
        <v>79</v>
      </c>
      <c r="D502" s="13">
        <v>40606</v>
      </c>
      <c r="E502" s="12" t="s">
        <v>17</v>
      </c>
      <c r="F502" s="14">
        <v>30.4</v>
      </c>
      <c r="G502" s="19">
        <v>28</v>
      </c>
    </row>
    <row r="503" spans="1:7" x14ac:dyDescent="0.3">
      <c r="A503" s="18" t="s">
        <v>118</v>
      </c>
      <c r="B503" s="12" t="s">
        <v>119</v>
      </c>
      <c r="C503" s="12" t="s">
        <v>79</v>
      </c>
      <c r="D503" s="13">
        <v>40587</v>
      </c>
      <c r="E503" s="12" t="s">
        <v>49</v>
      </c>
      <c r="F503" s="14">
        <v>16.8</v>
      </c>
      <c r="G503" s="19">
        <v>6</v>
      </c>
    </row>
    <row r="504" spans="1:7" x14ac:dyDescent="0.3">
      <c r="A504" s="18" t="s">
        <v>118</v>
      </c>
      <c r="B504" s="12" t="s">
        <v>119</v>
      </c>
      <c r="C504" s="12" t="s">
        <v>79</v>
      </c>
      <c r="D504" s="13">
        <v>40587</v>
      </c>
      <c r="E504" s="12" t="s">
        <v>31</v>
      </c>
      <c r="F504" s="14">
        <v>14.4</v>
      </c>
      <c r="G504" s="19">
        <v>18</v>
      </c>
    </row>
    <row r="505" spans="1:7" x14ac:dyDescent="0.3">
      <c r="A505" s="18" t="s">
        <v>188</v>
      </c>
      <c r="B505" s="12" t="s">
        <v>141</v>
      </c>
      <c r="C505" s="12" t="s">
        <v>80</v>
      </c>
      <c r="D505" s="13">
        <v>40581</v>
      </c>
      <c r="E505" s="12" t="s">
        <v>6</v>
      </c>
      <c r="F505" s="14">
        <v>15.2</v>
      </c>
      <c r="G505" s="19">
        <v>10</v>
      </c>
    </row>
    <row r="506" spans="1:7" x14ac:dyDescent="0.3">
      <c r="A506" s="18" t="s">
        <v>188</v>
      </c>
      <c r="B506" s="12" t="s">
        <v>141</v>
      </c>
      <c r="C506" s="12" t="s">
        <v>80</v>
      </c>
      <c r="D506" s="13">
        <v>40581</v>
      </c>
      <c r="E506" s="12" t="s">
        <v>25</v>
      </c>
      <c r="F506" s="14">
        <v>16.8</v>
      </c>
      <c r="G506" s="19">
        <v>12</v>
      </c>
    </row>
    <row r="507" spans="1:7" x14ac:dyDescent="0.3">
      <c r="A507" s="18" t="s">
        <v>188</v>
      </c>
      <c r="B507" s="12" t="s">
        <v>141</v>
      </c>
      <c r="C507" s="12" t="s">
        <v>80</v>
      </c>
      <c r="D507" s="13">
        <v>40581</v>
      </c>
      <c r="E507" s="12" t="s">
        <v>40</v>
      </c>
      <c r="F507" s="14">
        <v>27.8</v>
      </c>
      <c r="G507" s="19">
        <v>10</v>
      </c>
    </row>
    <row r="508" spans="1:7" x14ac:dyDescent="0.3">
      <c r="A508" s="18" t="s">
        <v>120</v>
      </c>
      <c r="B508" s="12" t="s">
        <v>101</v>
      </c>
      <c r="C508" s="12" t="s">
        <v>79</v>
      </c>
      <c r="D508" s="13">
        <v>40585</v>
      </c>
      <c r="E508" s="12" t="s">
        <v>64</v>
      </c>
      <c r="F508" s="14">
        <v>9.6</v>
      </c>
      <c r="G508" s="19">
        <v>5</v>
      </c>
    </row>
    <row r="509" spans="1:7" x14ac:dyDescent="0.3">
      <c r="A509" s="18" t="s">
        <v>120</v>
      </c>
      <c r="B509" s="12" t="s">
        <v>101</v>
      </c>
      <c r="C509" s="12" t="s">
        <v>79</v>
      </c>
      <c r="D509" s="13">
        <v>40585</v>
      </c>
      <c r="E509" s="12" t="s">
        <v>17</v>
      </c>
      <c r="F509" s="14">
        <v>30.4</v>
      </c>
      <c r="G509" s="19">
        <v>40</v>
      </c>
    </row>
    <row r="510" spans="1:7" x14ac:dyDescent="0.3">
      <c r="A510" s="18" t="s">
        <v>120</v>
      </c>
      <c r="B510" s="12" t="s">
        <v>101</v>
      </c>
      <c r="C510" s="12" t="s">
        <v>79</v>
      </c>
      <c r="D510" s="13">
        <v>40585</v>
      </c>
      <c r="E510" s="12" t="s">
        <v>75</v>
      </c>
      <c r="F510" s="14">
        <v>26.6</v>
      </c>
      <c r="G510" s="19">
        <v>30</v>
      </c>
    </row>
    <row r="511" spans="1:7" x14ac:dyDescent="0.3">
      <c r="A511" s="18" t="s">
        <v>120</v>
      </c>
      <c r="B511" s="12" t="s">
        <v>101</v>
      </c>
      <c r="C511" s="12" t="s">
        <v>79</v>
      </c>
      <c r="D511" s="13">
        <v>40585</v>
      </c>
      <c r="E511" s="12" t="s">
        <v>53</v>
      </c>
      <c r="F511" s="14">
        <v>6.2</v>
      </c>
      <c r="G511" s="19">
        <v>24</v>
      </c>
    </row>
    <row r="512" spans="1:7" x14ac:dyDescent="0.3">
      <c r="A512" s="18" t="s">
        <v>121</v>
      </c>
      <c r="B512" s="12" t="s">
        <v>96</v>
      </c>
      <c r="C512" s="12" t="s">
        <v>80</v>
      </c>
      <c r="D512" s="13">
        <v>40586</v>
      </c>
      <c r="E512" s="12" t="s">
        <v>48</v>
      </c>
      <c r="F512" s="14">
        <v>26.2</v>
      </c>
      <c r="G512" s="19">
        <v>15</v>
      </c>
    </row>
    <row r="513" spans="1:7" x14ac:dyDescent="0.3">
      <c r="A513" s="18" t="s">
        <v>189</v>
      </c>
      <c r="B513" s="12" t="s">
        <v>123</v>
      </c>
      <c r="C513" s="12" t="s">
        <v>79</v>
      </c>
      <c r="D513" s="13">
        <v>40588</v>
      </c>
      <c r="E513" s="12" t="s">
        <v>67</v>
      </c>
      <c r="F513" s="14">
        <v>7.3</v>
      </c>
      <c r="G513" s="19">
        <v>15</v>
      </c>
    </row>
    <row r="514" spans="1:7" x14ac:dyDescent="0.3">
      <c r="A514" s="18" t="s">
        <v>189</v>
      </c>
      <c r="B514" s="12" t="s">
        <v>123</v>
      </c>
      <c r="C514" s="12" t="s">
        <v>79</v>
      </c>
      <c r="D514" s="13">
        <v>40588</v>
      </c>
      <c r="E514" s="12" t="s">
        <v>57</v>
      </c>
      <c r="F514" s="14">
        <v>11.2</v>
      </c>
      <c r="G514" s="19">
        <v>20</v>
      </c>
    </row>
    <row r="515" spans="1:7" x14ac:dyDescent="0.3">
      <c r="A515" s="18" t="s">
        <v>189</v>
      </c>
      <c r="B515" s="12" t="s">
        <v>123</v>
      </c>
      <c r="C515" s="12" t="s">
        <v>79</v>
      </c>
      <c r="D515" s="13">
        <v>40588</v>
      </c>
      <c r="E515" s="12" t="s">
        <v>52</v>
      </c>
      <c r="F515" s="14">
        <v>15.6</v>
      </c>
      <c r="G515" s="19">
        <v>15</v>
      </c>
    </row>
    <row r="516" spans="1:7" x14ac:dyDescent="0.3">
      <c r="A516" s="18" t="s">
        <v>159</v>
      </c>
      <c r="B516" s="12" t="s">
        <v>160</v>
      </c>
      <c r="C516" s="12" t="s">
        <v>82</v>
      </c>
      <c r="D516" s="13">
        <v>40584</v>
      </c>
      <c r="E516" s="12" t="s">
        <v>50</v>
      </c>
      <c r="F516" s="14">
        <v>30.4</v>
      </c>
      <c r="G516" s="19">
        <v>15</v>
      </c>
    </row>
    <row r="517" spans="1:7" x14ac:dyDescent="0.3">
      <c r="A517" s="18" t="s">
        <v>159</v>
      </c>
      <c r="B517" s="12" t="s">
        <v>160</v>
      </c>
      <c r="C517" s="12" t="s">
        <v>82</v>
      </c>
      <c r="D517" s="13">
        <v>40584</v>
      </c>
      <c r="E517" s="12" t="s">
        <v>47</v>
      </c>
      <c r="F517" s="14">
        <v>13.9</v>
      </c>
      <c r="G517" s="19">
        <v>16</v>
      </c>
    </row>
    <row r="518" spans="1:7" x14ac:dyDescent="0.3">
      <c r="A518" s="18" t="s">
        <v>159</v>
      </c>
      <c r="B518" s="12" t="s">
        <v>160</v>
      </c>
      <c r="C518" s="12" t="s">
        <v>82</v>
      </c>
      <c r="D518" s="13">
        <v>40584</v>
      </c>
      <c r="E518" s="12" t="s">
        <v>75</v>
      </c>
      <c r="F518" s="14">
        <v>26.6</v>
      </c>
      <c r="G518" s="19">
        <v>6</v>
      </c>
    </row>
    <row r="519" spans="1:7" x14ac:dyDescent="0.3">
      <c r="A519" s="18" t="s">
        <v>159</v>
      </c>
      <c r="B519" s="12" t="s">
        <v>160</v>
      </c>
      <c r="C519" s="12" t="s">
        <v>82</v>
      </c>
      <c r="D519" s="13">
        <v>40584</v>
      </c>
      <c r="E519" s="12" t="s">
        <v>33</v>
      </c>
      <c r="F519" s="14">
        <v>8</v>
      </c>
      <c r="G519" s="19">
        <v>30</v>
      </c>
    </row>
    <row r="520" spans="1:7" x14ac:dyDescent="0.3">
      <c r="A520" s="18" t="s">
        <v>154</v>
      </c>
      <c r="B520" s="12" t="s">
        <v>115</v>
      </c>
      <c r="C520" s="12" t="s">
        <v>81</v>
      </c>
      <c r="D520" s="13">
        <v>40602</v>
      </c>
      <c r="E520" s="12" t="s">
        <v>6</v>
      </c>
      <c r="F520" s="14">
        <v>15.2</v>
      </c>
      <c r="G520" s="19">
        <v>45</v>
      </c>
    </row>
    <row r="521" spans="1:7" x14ac:dyDescent="0.3">
      <c r="A521" s="18" t="s">
        <v>154</v>
      </c>
      <c r="B521" s="12" t="s">
        <v>115</v>
      </c>
      <c r="C521" s="12" t="s">
        <v>81</v>
      </c>
      <c r="D521" s="13">
        <v>40602</v>
      </c>
      <c r="E521" s="12" t="s">
        <v>47</v>
      </c>
      <c r="F521" s="14">
        <v>13.9</v>
      </c>
      <c r="G521" s="19">
        <v>49</v>
      </c>
    </row>
    <row r="522" spans="1:7" x14ac:dyDescent="0.3">
      <c r="A522" s="18" t="s">
        <v>154</v>
      </c>
      <c r="B522" s="12" t="s">
        <v>115</v>
      </c>
      <c r="C522" s="12" t="s">
        <v>81</v>
      </c>
      <c r="D522" s="13">
        <v>40602</v>
      </c>
      <c r="E522" s="12" t="s">
        <v>68</v>
      </c>
      <c r="F522" s="14">
        <v>99</v>
      </c>
      <c r="G522" s="19">
        <v>24</v>
      </c>
    </row>
    <row r="523" spans="1:7" x14ac:dyDescent="0.3">
      <c r="A523" s="18" t="s">
        <v>154</v>
      </c>
      <c r="B523" s="12" t="s">
        <v>115</v>
      </c>
      <c r="C523" s="12" t="s">
        <v>81</v>
      </c>
      <c r="D523" s="13">
        <v>40602</v>
      </c>
      <c r="E523" s="12" t="s">
        <v>63</v>
      </c>
      <c r="F523" s="14">
        <v>22.8</v>
      </c>
      <c r="G523" s="19">
        <v>90</v>
      </c>
    </row>
    <row r="524" spans="1:7" x14ac:dyDescent="0.3">
      <c r="A524" s="18" t="s">
        <v>114</v>
      </c>
      <c r="B524" s="12" t="s">
        <v>115</v>
      </c>
      <c r="C524" s="12" t="s">
        <v>79</v>
      </c>
      <c r="D524" s="13">
        <v>40616</v>
      </c>
      <c r="E524" s="12" t="s">
        <v>58</v>
      </c>
      <c r="F524" s="14">
        <v>35.1</v>
      </c>
      <c r="G524" s="19">
        <v>50</v>
      </c>
    </row>
    <row r="525" spans="1:7" x14ac:dyDescent="0.3">
      <c r="A525" s="18" t="s">
        <v>110</v>
      </c>
      <c r="B525" s="12" t="s">
        <v>111</v>
      </c>
      <c r="C525" s="12" t="s">
        <v>79</v>
      </c>
      <c r="D525" s="13">
        <v>40592</v>
      </c>
      <c r="E525" s="12" t="s">
        <v>49</v>
      </c>
      <c r="F525" s="14">
        <v>16.8</v>
      </c>
      <c r="G525" s="19">
        <v>30</v>
      </c>
    </row>
    <row r="526" spans="1:7" x14ac:dyDescent="0.3">
      <c r="A526" s="18" t="s">
        <v>110</v>
      </c>
      <c r="B526" s="12" t="s">
        <v>111</v>
      </c>
      <c r="C526" s="12" t="s">
        <v>79</v>
      </c>
      <c r="D526" s="13">
        <v>40592</v>
      </c>
      <c r="E526" s="12" t="s">
        <v>70</v>
      </c>
      <c r="F526" s="14">
        <v>5.9</v>
      </c>
      <c r="G526" s="19">
        <v>80</v>
      </c>
    </row>
    <row r="527" spans="1:7" x14ac:dyDescent="0.3">
      <c r="A527" s="18" t="s">
        <v>110</v>
      </c>
      <c r="B527" s="12" t="s">
        <v>111</v>
      </c>
      <c r="C527" s="12" t="s">
        <v>79</v>
      </c>
      <c r="D527" s="13">
        <v>40592</v>
      </c>
      <c r="E527" s="12" t="s">
        <v>35</v>
      </c>
      <c r="F527" s="14">
        <v>13.6</v>
      </c>
      <c r="G527" s="19">
        <v>60</v>
      </c>
    </row>
    <row r="528" spans="1:7" x14ac:dyDescent="0.3">
      <c r="A528" s="18" t="s">
        <v>139</v>
      </c>
      <c r="B528" s="12" t="s">
        <v>130</v>
      </c>
      <c r="C528" s="12" t="s">
        <v>80</v>
      </c>
      <c r="D528" s="13">
        <v>40588</v>
      </c>
      <c r="E528" s="12" t="s">
        <v>49</v>
      </c>
      <c r="F528" s="14">
        <v>16.8</v>
      </c>
      <c r="G528" s="19">
        <v>6</v>
      </c>
    </row>
    <row r="529" spans="1:7" x14ac:dyDescent="0.3">
      <c r="A529" s="18" t="s">
        <v>139</v>
      </c>
      <c r="B529" s="12" t="s">
        <v>130</v>
      </c>
      <c r="C529" s="12" t="s">
        <v>80</v>
      </c>
      <c r="D529" s="13">
        <v>40588</v>
      </c>
      <c r="E529" s="12" t="s">
        <v>56</v>
      </c>
      <c r="F529" s="14">
        <v>36.4</v>
      </c>
      <c r="G529" s="19">
        <v>12</v>
      </c>
    </row>
    <row r="530" spans="1:7" x14ac:dyDescent="0.3">
      <c r="A530" s="18" t="s">
        <v>133</v>
      </c>
      <c r="B530" s="12" t="s">
        <v>119</v>
      </c>
      <c r="C530" s="12" t="s">
        <v>79</v>
      </c>
      <c r="D530" s="13">
        <v>40595</v>
      </c>
      <c r="E530" s="12" t="s">
        <v>0</v>
      </c>
      <c r="F530" s="14">
        <v>31.2</v>
      </c>
      <c r="G530" s="19">
        <v>10</v>
      </c>
    </row>
    <row r="531" spans="1:7" x14ac:dyDescent="0.3">
      <c r="A531" s="18" t="s">
        <v>133</v>
      </c>
      <c r="B531" s="12" t="s">
        <v>119</v>
      </c>
      <c r="C531" s="12" t="s">
        <v>79</v>
      </c>
      <c r="D531" s="13">
        <v>40595</v>
      </c>
      <c r="E531" s="12" t="s">
        <v>24</v>
      </c>
      <c r="F531" s="14">
        <v>24.9</v>
      </c>
      <c r="G531" s="19">
        <v>15</v>
      </c>
    </row>
    <row r="532" spans="1:7" x14ac:dyDescent="0.3">
      <c r="A532" s="18" t="s">
        <v>133</v>
      </c>
      <c r="B532" s="12" t="s">
        <v>119</v>
      </c>
      <c r="C532" s="12" t="s">
        <v>79</v>
      </c>
      <c r="D532" s="13">
        <v>40595</v>
      </c>
      <c r="E532" s="12" t="s">
        <v>65</v>
      </c>
      <c r="F532" s="14">
        <v>14.4</v>
      </c>
      <c r="G532" s="19">
        <v>8</v>
      </c>
    </row>
    <row r="533" spans="1:7" x14ac:dyDescent="0.3">
      <c r="A533" s="18" t="s">
        <v>133</v>
      </c>
      <c r="B533" s="12" t="s">
        <v>119</v>
      </c>
      <c r="C533" s="12" t="s">
        <v>79</v>
      </c>
      <c r="D533" s="13">
        <v>40595</v>
      </c>
      <c r="E533" s="12" t="s">
        <v>29</v>
      </c>
      <c r="F533" s="14">
        <v>7.7</v>
      </c>
      <c r="G533" s="19">
        <v>30</v>
      </c>
    </row>
    <row r="534" spans="1:7" x14ac:dyDescent="0.3">
      <c r="A534" s="18" t="s">
        <v>133</v>
      </c>
      <c r="B534" s="12" t="s">
        <v>119</v>
      </c>
      <c r="C534" s="12" t="s">
        <v>79</v>
      </c>
      <c r="D534" s="13">
        <v>40594</v>
      </c>
      <c r="E534" s="12" t="s">
        <v>7</v>
      </c>
      <c r="F534" s="14">
        <v>14.4</v>
      </c>
      <c r="G534" s="19">
        <v>6</v>
      </c>
    </row>
    <row r="535" spans="1:7" x14ac:dyDescent="0.3">
      <c r="A535" s="18" t="s">
        <v>133</v>
      </c>
      <c r="B535" s="12" t="s">
        <v>119</v>
      </c>
      <c r="C535" s="12" t="s">
        <v>79</v>
      </c>
      <c r="D535" s="13">
        <v>40594</v>
      </c>
      <c r="E535" s="12" t="s">
        <v>70</v>
      </c>
      <c r="F535" s="14">
        <v>5.9</v>
      </c>
      <c r="G535" s="19">
        <v>15</v>
      </c>
    </row>
    <row r="536" spans="1:7" x14ac:dyDescent="0.3">
      <c r="A536" s="18" t="s">
        <v>189</v>
      </c>
      <c r="B536" s="12" t="s">
        <v>123</v>
      </c>
      <c r="C536" s="12" t="s">
        <v>82</v>
      </c>
      <c r="D536" s="13">
        <v>40593</v>
      </c>
      <c r="E536" s="12" t="s">
        <v>67</v>
      </c>
      <c r="F536" s="14">
        <v>7.3</v>
      </c>
      <c r="G536" s="19">
        <v>12</v>
      </c>
    </row>
    <row r="537" spans="1:7" x14ac:dyDescent="0.3">
      <c r="A537" s="18" t="s">
        <v>189</v>
      </c>
      <c r="B537" s="12" t="s">
        <v>123</v>
      </c>
      <c r="C537" s="12" t="s">
        <v>82</v>
      </c>
      <c r="D537" s="13">
        <v>40593</v>
      </c>
      <c r="E537" s="12" t="s">
        <v>21</v>
      </c>
      <c r="F537" s="14">
        <v>3.6</v>
      </c>
      <c r="G537" s="19">
        <v>20</v>
      </c>
    </row>
    <row r="538" spans="1:7" x14ac:dyDescent="0.3">
      <c r="A538" s="18" t="s">
        <v>189</v>
      </c>
      <c r="B538" s="12" t="s">
        <v>123</v>
      </c>
      <c r="C538" s="12" t="s">
        <v>82</v>
      </c>
      <c r="D538" s="13">
        <v>40593</v>
      </c>
      <c r="E538" s="12" t="s">
        <v>18</v>
      </c>
      <c r="F538" s="14">
        <v>10</v>
      </c>
      <c r="G538" s="19">
        <v>3</v>
      </c>
    </row>
    <row r="539" spans="1:7" x14ac:dyDescent="0.3">
      <c r="A539" s="18" t="s">
        <v>189</v>
      </c>
      <c r="B539" s="12" t="s">
        <v>123</v>
      </c>
      <c r="C539" s="12" t="s">
        <v>82</v>
      </c>
      <c r="D539" s="13">
        <v>40593</v>
      </c>
      <c r="E539" s="12" t="s">
        <v>13</v>
      </c>
      <c r="F539" s="14">
        <v>5.6</v>
      </c>
      <c r="G539" s="19">
        <v>15</v>
      </c>
    </row>
    <row r="540" spans="1:7" x14ac:dyDescent="0.3">
      <c r="A540" s="18" t="s">
        <v>138</v>
      </c>
      <c r="B540" s="12" t="s">
        <v>98</v>
      </c>
      <c r="C540" s="12" t="s">
        <v>81</v>
      </c>
      <c r="D540" s="13">
        <v>40609</v>
      </c>
      <c r="E540" s="12" t="s">
        <v>67</v>
      </c>
      <c r="F540" s="14">
        <v>7.3</v>
      </c>
      <c r="G540" s="19">
        <v>40</v>
      </c>
    </row>
    <row r="541" spans="1:7" x14ac:dyDescent="0.3">
      <c r="A541" s="18" t="s">
        <v>138</v>
      </c>
      <c r="B541" s="12" t="s">
        <v>98</v>
      </c>
      <c r="C541" s="12" t="s">
        <v>81</v>
      </c>
      <c r="D541" s="13">
        <v>40609</v>
      </c>
      <c r="E541" s="12" t="s">
        <v>34</v>
      </c>
      <c r="F541" s="14">
        <v>16.8</v>
      </c>
      <c r="G541" s="19">
        <v>35</v>
      </c>
    </row>
    <row r="542" spans="1:7" x14ac:dyDescent="0.3">
      <c r="A542" s="18" t="s">
        <v>138</v>
      </c>
      <c r="B542" s="12" t="s">
        <v>98</v>
      </c>
      <c r="C542" s="12" t="s">
        <v>81</v>
      </c>
      <c r="D542" s="13">
        <v>40609</v>
      </c>
      <c r="E542" s="12" t="s">
        <v>14</v>
      </c>
      <c r="F542" s="14">
        <v>17.2</v>
      </c>
      <c r="G542" s="19">
        <v>2</v>
      </c>
    </row>
    <row r="543" spans="1:7" x14ac:dyDescent="0.3">
      <c r="A543" s="18" t="s">
        <v>190</v>
      </c>
      <c r="B543" s="12" t="s">
        <v>185</v>
      </c>
      <c r="C543" s="12" t="s">
        <v>81</v>
      </c>
      <c r="D543" s="13">
        <v>40598</v>
      </c>
      <c r="E543" s="12" t="s">
        <v>24</v>
      </c>
      <c r="F543" s="14">
        <v>24.9</v>
      </c>
      <c r="G543" s="19">
        <v>6</v>
      </c>
    </row>
    <row r="544" spans="1:7" x14ac:dyDescent="0.3">
      <c r="A544" s="18" t="s">
        <v>190</v>
      </c>
      <c r="B544" s="12" t="s">
        <v>185</v>
      </c>
      <c r="C544" s="12" t="s">
        <v>81</v>
      </c>
      <c r="D544" s="13">
        <v>40598</v>
      </c>
      <c r="E544" s="12" t="s">
        <v>2</v>
      </c>
      <c r="F544" s="14">
        <v>14.7</v>
      </c>
      <c r="G544" s="19">
        <v>20</v>
      </c>
    </row>
    <row r="545" spans="1:7" x14ac:dyDescent="0.3">
      <c r="A545" s="18" t="s">
        <v>120</v>
      </c>
      <c r="B545" s="12" t="s">
        <v>101</v>
      </c>
      <c r="C545" s="12" t="s">
        <v>79</v>
      </c>
      <c r="D545" s="13">
        <v>40601</v>
      </c>
      <c r="E545" s="12" t="s">
        <v>26</v>
      </c>
      <c r="F545" s="14">
        <v>24.8</v>
      </c>
      <c r="G545" s="19">
        <v>14</v>
      </c>
    </row>
    <row r="546" spans="1:7" x14ac:dyDescent="0.3">
      <c r="A546" s="18" t="s">
        <v>120</v>
      </c>
      <c r="B546" s="12" t="s">
        <v>101</v>
      </c>
      <c r="C546" s="12" t="s">
        <v>79</v>
      </c>
      <c r="D546" s="13">
        <v>40601</v>
      </c>
      <c r="E546" s="12" t="s">
        <v>13</v>
      </c>
      <c r="F546" s="14">
        <v>5.6</v>
      </c>
      <c r="G546" s="19">
        <v>20</v>
      </c>
    </row>
    <row r="547" spans="1:7" x14ac:dyDescent="0.3">
      <c r="A547" s="18" t="s">
        <v>120</v>
      </c>
      <c r="B547" s="12" t="s">
        <v>101</v>
      </c>
      <c r="C547" s="12" t="s">
        <v>79</v>
      </c>
      <c r="D547" s="13">
        <v>40601</v>
      </c>
      <c r="E547" s="12" t="s">
        <v>66</v>
      </c>
      <c r="F547" s="14">
        <v>39.4</v>
      </c>
      <c r="G547" s="19">
        <v>35</v>
      </c>
    </row>
    <row r="548" spans="1:7" x14ac:dyDescent="0.3">
      <c r="A548" s="18" t="s">
        <v>100</v>
      </c>
      <c r="B548" s="12" t="s">
        <v>101</v>
      </c>
      <c r="C548" s="12" t="s">
        <v>80</v>
      </c>
      <c r="D548" s="13">
        <v>40613</v>
      </c>
      <c r="E548" s="12" t="s">
        <v>26</v>
      </c>
      <c r="F548" s="14">
        <v>24.8</v>
      </c>
      <c r="G548" s="19">
        <v>20</v>
      </c>
    </row>
    <row r="549" spans="1:7" x14ac:dyDescent="0.3">
      <c r="A549" s="18" t="s">
        <v>100</v>
      </c>
      <c r="B549" s="12" t="s">
        <v>101</v>
      </c>
      <c r="C549" s="12" t="s">
        <v>80</v>
      </c>
      <c r="D549" s="13">
        <v>40613</v>
      </c>
      <c r="E549" s="12" t="s">
        <v>70</v>
      </c>
      <c r="F549" s="14">
        <v>5.9</v>
      </c>
      <c r="G549" s="19">
        <v>6</v>
      </c>
    </row>
    <row r="550" spans="1:7" x14ac:dyDescent="0.3">
      <c r="A550" s="18" t="s">
        <v>127</v>
      </c>
      <c r="B550" s="12" t="s">
        <v>123</v>
      </c>
      <c r="C550" s="12" t="s">
        <v>81</v>
      </c>
      <c r="D550" s="13">
        <v>40614</v>
      </c>
      <c r="E550" s="12" t="s">
        <v>46</v>
      </c>
      <c r="F550" s="14">
        <v>19.2</v>
      </c>
      <c r="G550" s="19">
        <v>120</v>
      </c>
    </row>
    <row r="551" spans="1:7" x14ac:dyDescent="0.3">
      <c r="A551" s="18" t="s">
        <v>127</v>
      </c>
      <c r="B551" s="12" t="s">
        <v>123</v>
      </c>
      <c r="C551" s="12" t="s">
        <v>81</v>
      </c>
      <c r="D551" s="13">
        <v>40614</v>
      </c>
      <c r="E551" s="12" t="s">
        <v>75</v>
      </c>
      <c r="F551" s="14">
        <v>26.6</v>
      </c>
      <c r="G551" s="19">
        <v>35</v>
      </c>
    </row>
    <row r="552" spans="1:7" x14ac:dyDescent="0.3">
      <c r="A552" s="18" t="s">
        <v>127</v>
      </c>
      <c r="B552" s="12" t="s">
        <v>123</v>
      </c>
      <c r="C552" s="12" t="s">
        <v>81</v>
      </c>
      <c r="D552" s="13">
        <v>40614</v>
      </c>
      <c r="E552" s="12" t="s">
        <v>34</v>
      </c>
      <c r="F552" s="14">
        <v>16.8</v>
      </c>
      <c r="G552" s="19">
        <v>28</v>
      </c>
    </row>
    <row r="553" spans="1:7" x14ac:dyDescent="0.3">
      <c r="A553" s="18" t="s">
        <v>127</v>
      </c>
      <c r="B553" s="12" t="s">
        <v>123</v>
      </c>
      <c r="C553" s="12" t="s">
        <v>81</v>
      </c>
      <c r="D553" s="13">
        <v>40614</v>
      </c>
      <c r="E553" s="12" t="s">
        <v>44</v>
      </c>
      <c r="F553" s="14">
        <v>10.4</v>
      </c>
      <c r="G553" s="19">
        <v>55</v>
      </c>
    </row>
    <row r="554" spans="1:7" x14ac:dyDescent="0.3">
      <c r="A554" s="18" t="s">
        <v>154</v>
      </c>
      <c r="B554" s="12" t="s">
        <v>115</v>
      </c>
      <c r="C554" s="12" t="s">
        <v>80</v>
      </c>
      <c r="D554" s="13">
        <v>40600</v>
      </c>
      <c r="E554" s="12" t="s">
        <v>56</v>
      </c>
      <c r="F554" s="14">
        <v>36.4</v>
      </c>
      <c r="G554" s="19">
        <v>15</v>
      </c>
    </row>
    <row r="555" spans="1:7" x14ac:dyDescent="0.3">
      <c r="A555" s="18" t="s">
        <v>154</v>
      </c>
      <c r="B555" s="12" t="s">
        <v>115</v>
      </c>
      <c r="C555" s="12" t="s">
        <v>80</v>
      </c>
      <c r="D555" s="13">
        <v>40600</v>
      </c>
      <c r="E555" s="12" t="s">
        <v>23</v>
      </c>
      <c r="F555" s="14">
        <v>15.5</v>
      </c>
      <c r="G555" s="19">
        <v>100</v>
      </c>
    </row>
    <row r="556" spans="1:7" x14ac:dyDescent="0.3">
      <c r="A556" s="18" t="s">
        <v>167</v>
      </c>
      <c r="B556" s="12" t="s">
        <v>141</v>
      </c>
      <c r="C556" s="12" t="s">
        <v>83</v>
      </c>
      <c r="D556" s="13">
        <v>40600</v>
      </c>
      <c r="E556" s="12" t="s">
        <v>10</v>
      </c>
      <c r="F556" s="14">
        <v>10.199999999999999</v>
      </c>
      <c r="G556" s="19">
        <v>15</v>
      </c>
    </row>
    <row r="557" spans="1:7" x14ac:dyDescent="0.3">
      <c r="A557" s="18" t="s">
        <v>167</v>
      </c>
      <c r="B557" s="12" t="s">
        <v>141</v>
      </c>
      <c r="C557" s="12" t="s">
        <v>83</v>
      </c>
      <c r="D557" s="13">
        <v>40600</v>
      </c>
      <c r="E557" s="12" t="s">
        <v>45</v>
      </c>
      <c r="F557" s="14">
        <v>12</v>
      </c>
      <c r="G557" s="19">
        <v>25</v>
      </c>
    </row>
    <row r="558" spans="1:7" x14ac:dyDescent="0.3">
      <c r="A558" s="18" t="s">
        <v>165</v>
      </c>
      <c r="B558" s="12" t="s">
        <v>101</v>
      </c>
      <c r="C558" s="12" t="s">
        <v>81</v>
      </c>
      <c r="D558" s="13">
        <v>40599</v>
      </c>
      <c r="E558" s="12" t="s">
        <v>47</v>
      </c>
      <c r="F558" s="14">
        <v>13.9</v>
      </c>
      <c r="G558" s="19">
        <v>20</v>
      </c>
    </row>
    <row r="559" spans="1:7" x14ac:dyDescent="0.3">
      <c r="A559" s="18" t="s">
        <v>165</v>
      </c>
      <c r="B559" s="12" t="s">
        <v>101</v>
      </c>
      <c r="C559" s="12" t="s">
        <v>81</v>
      </c>
      <c r="D559" s="13">
        <v>40599</v>
      </c>
      <c r="E559" s="12" t="s">
        <v>15</v>
      </c>
      <c r="F559" s="14">
        <v>2</v>
      </c>
      <c r="G559" s="19">
        <v>20</v>
      </c>
    </row>
    <row r="560" spans="1:7" x14ac:dyDescent="0.3">
      <c r="A560" s="18" t="s">
        <v>165</v>
      </c>
      <c r="B560" s="12" t="s">
        <v>101</v>
      </c>
      <c r="C560" s="12" t="s">
        <v>81</v>
      </c>
      <c r="D560" s="13">
        <v>40599</v>
      </c>
      <c r="E560" s="12" t="s">
        <v>64</v>
      </c>
      <c r="F560" s="14">
        <v>9.6</v>
      </c>
      <c r="G560" s="19">
        <v>10</v>
      </c>
    </row>
    <row r="561" spans="1:7" x14ac:dyDescent="0.3">
      <c r="A561" s="18" t="s">
        <v>121</v>
      </c>
      <c r="B561" s="12" t="s">
        <v>96</v>
      </c>
      <c r="C561" s="12" t="s">
        <v>80</v>
      </c>
      <c r="D561" s="13">
        <v>40605</v>
      </c>
      <c r="E561" s="12" t="s">
        <v>7</v>
      </c>
      <c r="F561" s="14">
        <v>14.4</v>
      </c>
      <c r="G561" s="19">
        <v>20</v>
      </c>
    </row>
    <row r="562" spans="1:7" x14ac:dyDescent="0.3">
      <c r="A562" s="18" t="s">
        <v>121</v>
      </c>
      <c r="B562" s="12" t="s">
        <v>96</v>
      </c>
      <c r="C562" s="12" t="s">
        <v>80</v>
      </c>
      <c r="D562" s="13">
        <v>40605</v>
      </c>
      <c r="E562" s="12" t="s">
        <v>48</v>
      </c>
      <c r="F562" s="14">
        <v>26.2</v>
      </c>
      <c r="G562" s="19">
        <v>50</v>
      </c>
    </row>
    <row r="563" spans="1:7" x14ac:dyDescent="0.3">
      <c r="A563" s="18" t="s">
        <v>121</v>
      </c>
      <c r="B563" s="12" t="s">
        <v>96</v>
      </c>
      <c r="C563" s="12" t="s">
        <v>80</v>
      </c>
      <c r="D563" s="13">
        <v>40605</v>
      </c>
      <c r="E563" s="12" t="s">
        <v>63</v>
      </c>
      <c r="F563" s="14">
        <v>22.8</v>
      </c>
      <c r="G563" s="19">
        <v>25</v>
      </c>
    </row>
    <row r="564" spans="1:7" x14ac:dyDescent="0.3">
      <c r="A564" s="18" t="s">
        <v>121</v>
      </c>
      <c r="B564" s="12" t="s">
        <v>96</v>
      </c>
      <c r="C564" s="12" t="s">
        <v>80</v>
      </c>
      <c r="D564" s="13">
        <v>40605</v>
      </c>
      <c r="E564" s="12" t="s">
        <v>14</v>
      </c>
      <c r="F564" s="14">
        <v>17.2</v>
      </c>
      <c r="G564" s="19">
        <v>30</v>
      </c>
    </row>
    <row r="565" spans="1:7" x14ac:dyDescent="0.3">
      <c r="A565" s="18" t="s">
        <v>153</v>
      </c>
      <c r="B565" s="12" t="s">
        <v>123</v>
      </c>
      <c r="C565" s="12" t="s">
        <v>80</v>
      </c>
      <c r="D565" s="13">
        <v>40602</v>
      </c>
      <c r="E565" s="12" t="s">
        <v>62</v>
      </c>
      <c r="F565" s="14">
        <v>8</v>
      </c>
      <c r="G565" s="19">
        <v>40</v>
      </c>
    </row>
    <row r="566" spans="1:7" x14ac:dyDescent="0.3">
      <c r="A566" s="18" t="s">
        <v>153</v>
      </c>
      <c r="B566" s="12" t="s">
        <v>123</v>
      </c>
      <c r="C566" s="12" t="s">
        <v>80</v>
      </c>
      <c r="D566" s="13">
        <v>40602</v>
      </c>
      <c r="E566" s="12" t="s">
        <v>38</v>
      </c>
      <c r="F566" s="14">
        <v>16</v>
      </c>
      <c r="G566" s="19">
        <v>21</v>
      </c>
    </row>
    <row r="567" spans="1:7" x14ac:dyDescent="0.3">
      <c r="A567" s="18" t="s">
        <v>153</v>
      </c>
      <c r="B567" s="12" t="s">
        <v>123</v>
      </c>
      <c r="C567" s="12" t="s">
        <v>77</v>
      </c>
      <c r="D567" s="13">
        <v>40605</v>
      </c>
      <c r="E567" s="12" t="s">
        <v>51</v>
      </c>
      <c r="F567" s="14">
        <v>44</v>
      </c>
      <c r="G567" s="19">
        <v>36</v>
      </c>
    </row>
    <row r="568" spans="1:7" x14ac:dyDescent="0.3">
      <c r="A568" s="18" t="s">
        <v>102</v>
      </c>
      <c r="B568" s="12" t="s">
        <v>103</v>
      </c>
      <c r="C568" s="12" t="s">
        <v>84</v>
      </c>
      <c r="D568" s="13">
        <v>40606</v>
      </c>
      <c r="E568" s="12" t="s">
        <v>24</v>
      </c>
      <c r="F568" s="14">
        <v>24.9</v>
      </c>
      <c r="G568" s="19">
        <v>30</v>
      </c>
    </row>
    <row r="569" spans="1:7" x14ac:dyDescent="0.3">
      <c r="A569" s="18" t="s">
        <v>102</v>
      </c>
      <c r="B569" s="12" t="s">
        <v>103</v>
      </c>
      <c r="C569" s="12" t="s">
        <v>84</v>
      </c>
      <c r="D569" s="13">
        <v>40606</v>
      </c>
      <c r="E569" s="12" t="s">
        <v>56</v>
      </c>
      <c r="F569" s="14">
        <v>36.4</v>
      </c>
      <c r="G569" s="19">
        <v>30</v>
      </c>
    </row>
    <row r="570" spans="1:7" x14ac:dyDescent="0.3">
      <c r="A570" s="18" t="s">
        <v>102</v>
      </c>
      <c r="B570" s="12" t="s">
        <v>103</v>
      </c>
      <c r="C570" s="12" t="s">
        <v>84</v>
      </c>
      <c r="D570" s="13">
        <v>40606</v>
      </c>
      <c r="E570" s="12" t="s">
        <v>28</v>
      </c>
      <c r="F570" s="14">
        <v>36.799999999999997</v>
      </c>
      <c r="G570" s="19">
        <v>20</v>
      </c>
    </row>
    <row r="571" spans="1:7" x14ac:dyDescent="0.3">
      <c r="A571" s="18" t="s">
        <v>102</v>
      </c>
      <c r="B571" s="12" t="s">
        <v>103</v>
      </c>
      <c r="C571" s="12" t="s">
        <v>84</v>
      </c>
      <c r="D571" s="13">
        <v>40606</v>
      </c>
      <c r="E571" s="12" t="s">
        <v>17</v>
      </c>
      <c r="F571" s="14">
        <v>30.4</v>
      </c>
      <c r="G571" s="19">
        <v>15</v>
      </c>
    </row>
    <row r="572" spans="1:7" x14ac:dyDescent="0.3">
      <c r="A572" s="18" t="s">
        <v>102</v>
      </c>
      <c r="B572" s="12" t="s">
        <v>103</v>
      </c>
      <c r="C572" s="12" t="s">
        <v>84</v>
      </c>
      <c r="D572" s="13">
        <v>40606</v>
      </c>
      <c r="E572" s="12" t="s">
        <v>14</v>
      </c>
      <c r="F572" s="14">
        <v>17.2</v>
      </c>
      <c r="G572" s="19">
        <v>50</v>
      </c>
    </row>
    <row r="573" spans="1:7" x14ac:dyDescent="0.3">
      <c r="A573" s="18" t="s">
        <v>100</v>
      </c>
      <c r="B573" s="12" t="s">
        <v>101</v>
      </c>
      <c r="C573" s="12" t="s">
        <v>81</v>
      </c>
      <c r="D573" s="13">
        <v>40602</v>
      </c>
      <c r="E573" s="12" t="s">
        <v>72</v>
      </c>
      <c r="F573" s="14">
        <v>24</v>
      </c>
      <c r="G573" s="19">
        <v>16</v>
      </c>
    </row>
    <row r="574" spans="1:7" x14ac:dyDescent="0.3">
      <c r="A574" s="18" t="s">
        <v>100</v>
      </c>
      <c r="B574" s="12" t="s">
        <v>101</v>
      </c>
      <c r="C574" s="12" t="s">
        <v>81</v>
      </c>
      <c r="D574" s="13">
        <v>40602</v>
      </c>
      <c r="E574" s="12" t="s">
        <v>64</v>
      </c>
      <c r="F574" s="14">
        <v>9.6</v>
      </c>
      <c r="G574" s="19">
        <v>20</v>
      </c>
    </row>
    <row r="575" spans="1:7" x14ac:dyDescent="0.3">
      <c r="A575" s="18" t="s">
        <v>100</v>
      </c>
      <c r="B575" s="12" t="s">
        <v>101</v>
      </c>
      <c r="C575" s="12" t="s">
        <v>81</v>
      </c>
      <c r="D575" s="13">
        <v>40602</v>
      </c>
      <c r="E575" s="12" t="s">
        <v>40</v>
      </c>
      <c r="F575" s="14">
        <v>27.8</v>
      </c>
      <c r="G575" s="19">
        <v>40</v>
      </c>
    </row>
    <row r="576" spans="1:7" x14ac:dyDescent="0.3">
      <c r="A576" s="18" t="s">
        <v>118</v>
      </c>
      <c r="B576" s="12" t="s">
        <v>119</v>
      </c>
      <c r="C576" s="12" t="s">
        <v>80</v>
      </c>
      <c r="D576" s="13">
        <v>40605</v>
      </c>
      <c r="E576" s="12" t="s">
        <v>59</v>
      </c>
      <c r="F576" s="14">
        <v>10</v>
      </c>
      <c r="G576" s="19">
        <v>21</v>
      </c>
    </row>
    <row r="577" spans="1:7" x14ac:dyDescent="0.3">
      <c r="A577" s="18" t="s">
        <v>118</v>
      </c>
      <c r="B577" s="12" t="s">
        <v>119</v>
      </c>
      <c r="C577" s="12" t="s">
        <v>80</v>
      </c>
      <c r="D577" s="13">
        <v>40605</v>
      </c>
      <c r="E577" s="12" t="s">
        <v>53</v>
      </c>
      <c r="F577" s="14">
        <v>6.2</v>
      </c>
      <c r="G577" s="19">
        <v>4</v>
      </c>
    </row>
    <row r="578" spans="1:7" x14ac:dyDescent="0.3">
      <c r="A578" s="18" t="s">
        <v>137</v>
      </c>
      <c r="B578" s="12" t="s">
        <v>109</v>
      </c>
      <c r="C578" s="12" t="s">
        <v>83</v>
      </c>
      <c r="D578" s="13">
        <v>40607</v>
      </c>
      <c r="E578" s="12" t="s">
        <v>62</v>
      </c>
      <c r="F578" s="14">
        <v>8</v>
      </c>
      <c r="G578" s="19">
        <v>40</v>
      </c>
    </row>
    <row r="579" spans="1:7" x14ac:dyDescent="0.3">
      <c r="A579" s="18" t="s">
        <v>137</v>
      </c>
      <c r="B579" s="12" t="s">
        <v>109</v>
      </c>
      <c r="C579" s="12" t="s">
        <v>83</v>
      </c>
      <c r="D579" s="13">
        <v>40607</v>
      </c>
      <c r="E579" s="12" t="s">
        <v>41</v>
      </c>
      <c r="F579" s="14">
        <v>20.7</v>
      </c>
      <c r="G579" s="19">
        <v>28</v>
      </c>
    </row>
    <row r="580" spans="1:7" x14ac:dyDescent="0.3">
      <c r="A580" s="18" t="s">
        <v>137</v>
      </c>
      <c r="B580" s="12" t="s">
        <v>109</v>
      </c>
      <c r="C580" s="12" t="s">
        <v>83</v>
      </c>
      <c r="D580" s="13">
        <v>40607</v>
      </c>
      <c r="E580" s="12" t="s">
        <v>46</v>
      </c>
      <c r="F580" s="14">
        <v>19.2</v>
      </c>
      <c r="G580" s="19">
        <v>60</v>
      </c>
    </row>
    <row r="581" spans="1:7" x14ac:dyDescent="0.3">
      <c r="A581" s="18" t="s">
        <v>188</v>
      </c>
      <c r="B581" s="12" t="s">
        <v>141</v>
      </c>
      <c r="C581" s="12" t="s">
        <v>77</v>
      </c>
      <c r="D581" s="13">
        <v>40620</v>
      </c>
      <c r="E581" s="12" t="s">
        <v>30</v>
      </c>
      <c r="F581" s="14">
        <v>4.8</v>
      </c>
      <c r="G581" s="19">
        <v>1</v>
      </c>
    </row>
    <row r="582" spans="1:7" x14ac:dyDescent="0.3">
      <c r="A582" s="18" t="s">
        <v>188</v>
      </c>
      <c r="B582" s="12" t="s">
        <v>141</v>
      </c>
      <c r="C582" s="12" t="s">
        <v>77</v>
      </c>
      <c r="D582" s="13">
        <v>40620</v>
      </c>
      <c r="E582" s="12" t="s">
        <v>71</v>
      </c>
      <c r="F582" s="14">
        <v>7.2</v>
      </c>
      <c r="G582" s="19">
        <v>21</v>
      </c>
    </row>
    <row r="583" spans="1:7" x14ac:dyDescent="0.3">
      <c r="A583" s="18" t="s">
        <v>102</v>
      </c>
      <c r="B583" s="12" t="s">
        <v>103</v>
      </c>
      <c r="C583" s="12" t="s">
        <v>85</v>
      </c>
      <c r="D583" s="13">
        <v>40608</v>
      </c>
      <c r="E583" s="12" t="s">
        <v>67</v>
      </c>
      <c r="F583" s="14">
        <v>7.3</v>
      </c>
      <c r="G583" s="19">
        <v>21</v>
      </c>
    </row>
    <row r="584" spans="1:7" x14ac:dyDescent="0.3">
      <c r="A584" s="18" t="s">
        <v>102</v>
      </c>
      <c r="B584" s="12" t="s">
        <v>103</v>
      </c>
      <c r="C584" s="12" t="s">
        <v>85</v>
      </c>
      <c r="D584" s="13">
        <v>40608</v>
      </c>
      <c r="E584" s="12" t="s">
        <v>60</v>
      </c>
      <c r="F584" s="14">
        <v>11.2</v>
      </c>
      <c r="G584" s="19">
        <v>50</v>
      </c>
    </row>
    <row r="585" spans="1:7" x14ac:dyDescent="0.3">
      <c r="A585" s="18" t="s">
        <v>156</v>
      </c>
      <c r="B585" s="12" t="s">
        <v>157</v>
      </c>
      <c r="C585" s="12" t="s">
        <v>81</v>
      </c>
      <c r="D585" s="13">
        <v>40616</v>
      </c>
      <c r="E585" s="12" t="s">
        <v>8</v>
      </c>
      <c r="F585" s="14">
        <v>17.600000000000001</v>
      </c>
      <c r="G585" s="19">
        <v>16</v>
      </c>
    </row>
    <row r="586" spans="1:7" x14ac:dyDescent="0.3">
      <c r="A586" s="18" t="s">
        <v>156</v>
      </c>
      <c r="B586" s="12" t="s">
        <v>157</v>
      </c>
      <c r="C586" s="12" t="s">
        <v>81</v>
      </c>
      <c r="D586" s="13">
        <v>40616</v>
      </c>
      <c r="E586" s="12" t="s">
        <v>28</v>
      </c>
      <c r="F586" s="14">
        <v>36.799999999999997</v>
      </c>
      <c r="G586" s="19">
        <v>3</v>
      </c>
    </row>
    <row r="587" spans="1:7" x14ac:dyDescent="0.3">
      <c r="A587" s="18" t="s">
        <v>156</v>
      </c>
      <c r="B587" s="12" t="s">
        <v>157</v>
      </c>
      <c r="C587" s="12" t="s">
        <v>81</v>
      </c>
      <c r="D587" s="13">
        <v>40616</v>
      </c>
      <c r="E587" s="12" t="s">
        <v>17</v>
      </c>
      <c r="F587" s="14">
        <v>30.4</v>
      </c>
      <c r="G587" s="19">
        <v>30</v>
      </c>
    </row>
    <row r="588" spans="1:7" x14ac:dyDescent="0.3">
      <c r="A588" s="18" t="s">
        <v>156</v>
      </c>
      <c r="B588" s="12" t="s">
        <v>157</v>
      </c>
      <c r="C588" s="12" t="s">
        <v>81</v>
      </c>
      <c r="D588" s="13">
        <v>40616</v>
      </c>
      <c r="E588" s="12" t="s">
        <v>3</v>
      </c>
      <c r="F588" s="14">
        <v>27.2</v>
      </c>
      <c r="G588" s="19">
        <v>20</v>
      </c>
    </row>
    <row r="589" spans="1:7" x14ac:dyDescent="0.3">
      <c r="A589" s="18" t="s">
        <v>173</v>
      </c>
      <c r="B589" s="12" t="s">
        <v>163</v>
      </c>
      <c r="C589" s="12" t="s">
        <v>83</v>
      </c>
      <c r="D589" s="13">
        <v>40616</v>
      </c>
      <c r="E589" s="12" t="s">
        <v>21</v>
      </c>
      <c r="F589" s="14">
        <v>3.6</v>
      </c>
      <c r="G589" s="19">
        <v>25</v>
      </c>
    </row>
    <row r="590" spans="1:7" x14ac:dyDescent="0.3">
      <c r="A590" s="18" t="s">
        <v>173</v>
      </c>
      <c r="B590" s="12" t="s">
        <v>163</v>
      </c>
      <c r="C590" s="12" t="s">
        <v>83</v>
      </c>
      <c r="D590" s="13">
        <v>40616</v>
      </c>
      <c r="E590" s="12" t="s">
        <v>68</v>
      </c>
      <c r="F590" s="14">
        <v>99</v>
      </c>
      <c r="G590" s="19">
        <v>18</v>
      </c>
    </row>
    <row r="591" spans="1:7" x14ac:dyDescent="0.3">
      <c r="A591" s="18" t="s">
        <v>173</v>
      </c>
      <c r="B591" s="12" t="s">
        <v>163</v>
      </c>
      <c r="C591" s="12" t="s">
        <v>83</v>
      </c>
      <c r="D591" s="13">
        <v>40616</v>
      </c>
      <c r="E591" s="12" t="s">
        <v>2</v>
      </c>
      <c r="F591" s="14">
        <v>14.7</v>
      </c>
      <c r="G591" s="19">
        <v>20</v>
      </c>
    </row>
    <row r="592" spans="1:7" x14ac:dyDescent="0.3">
      <c r="A592" s="18" t="s">
        <v>173</v>
      </c>
      <c r="B592" s="12" t="s">
        <v>163</v>
      </c>
      <c r="C592" s="12" t="s">
        <v>83</v>
      </c>
      <c r="D592" s="13">
        <v>40616</v>
      </c>
      <c r="E592" s="12" t="s">
        <v>55</v>
      </c>
      <c r="F592" s="14">
        <v>7.6</v>
      </c>
      <c r="G592" s="19">
        <v>30</v>
      </c>
    </row>
    <row r="593" spans="1:7" x14ac:dyDescent="0.3">
      <c r="A593" s="18" t="s">
        <v>173</v>
      </c>
      <c r="B593" s="12" t="s">
        <v>163</v>
      </c>
      <c r="C593" s="12" t="s">
        <v>83</v>
      </c>
      <c r="D593" s="13">
        <v>40616</v>
      </c>
      <c r="E593" s="12" t="s">
        <v>73</v>
      </c>
      <c r="F593" s="14">
        <v>13</v>
      </c>
      <c r="G593" s="19">
        <v>25</v>
      </c>
    </row>
    <row r="594" spans="1:7" x14ac:dyDescent="0.3">
      <c r="A594" s="18" t="s">
        <v>142</v>
      </c>
      <c r="B594" s="12" t="s">
        <v>98</v>
      </c>
      <c r="C594" s="12" t="s">
        <v>81</v>
      </c>
      <c r="D594" s="13">
        <v>40615</v>
      </c>
      <c r="E594" s="12" t="s">
        <v>49</v>
      </c>
      <c r="F594" s="14">
        <v>16.8</v>
      </c>
      <c r="G594" s="19">
        <v>10</v>
      </c>
    </row>
    <row r="595" spans="1:7" x14ac:dyDescent="0.3">
      <c r="A595" s="18" t="s">
        <v>142</v>
      </c>
      <c r="B595" s="12" t="s">
        <v>98</v>
      </c>
      <c r="C595" s="12" t="s">
        <v>81</v>
      </c>
      <c r="D595" s="13">
        <v>40615</v>
      </c>
      <c r="E595" s="12" t="s">
        <v>64</v>
      </c>
      <c r="F595" s="14">
        <v>9.6</v>
      </c>
      <c r="G595" s="19">
        <v>5</v>
      </c>
    </row>
    <row r="596" spans="1:7" x14ac:dyDescent="0.3">
      <c r="A596" s="18" t="s">
        <v>129</v>
      </c>
      <c r="B596" s="12" t="s">
        <v>130</v>
      </c>
      <c r="C596" s="12" t="s">
        <v>80</v>
      </c>
      <c r="D596" s="13">
        <v>40613</v>
      </c>
      <c r="E596" s="12" t="s">
        <v>21</v>
      </c>
      <c r="F596" s="14">
        <v>3.6</v>
      </c>
      <c r="G596" s="19">
        <v>28</v>
      </c>
    </row>
    <row r="597" spans="1:7" x14ac:dyDescent="0.3">
      <c r="A597" s="18" t="s">
        <v>129</v>
      </c>
      <c r="B597" s="12" t="s">
        <v>130</v>
      </c>
      <c r="C597" s="12" t="s">
        <v>80</v>
      </c>
      <c r="D597" s="13">
        <v>40613</v>
      </c>
      <c r="E597" s="12" t="s">
        <v>43</v>
      </c>
      <c r="F597" s="14">
        <v>11.2</v>
      </c>
      <c r="G597" s="19">
        <v>12</v>
      </c>
    </row>
    <row r="598" spans="1:7" x14ac:dyDescent="0.3">
      <c r="A598" s="18" t="s">
        <v>153</v>
      </c>
      <c r="B598" s="12" t="s">
        <v>123</v>
      </c>
      <c r="C598" s="12" t="s">
        <v>79</v>
      </c>
      <c r="D598" s="13">
        <v>40614</v>
      </c>
      <c r="E598" s="12" t="s">
        <v>41</v>
      </c>
      <c r="F598" s="14">
        <v>20.7</v>
      </c>
      <c r="G598" s="19">
        <v>8</v>
      </c>
    </row>
    <row r="599" spans="1:7" x14ac:dyDescent="0.3">
      <c r="A599" s="18" t="s">
        <v>153</v>
      </c>
      <c r="B599" s="12" t="s">
        <v>123</v>
      </c>
      <c r="C599" s="12" t="s">
        <v>79</v>
      </c>
      <c r="D599" s="13">
        <v>40614</v>
      </c>
      <c r="E599" s="12" t="s">
        <v>28</v>
      </c>
      <c r="F599" s="14">
        <v>36.799999999999997</v>
      </c>
      <c r="G599" s="19">
        <v>15</v>
      </c>
    </row>
    <row r="600" spans="1:7" x14ac:dyDescent="0.3">
      <c r="A600" s="18" t="s">
        <v>125</v>
      </c>
      <c r="B600" s="12" t="s">
        <v>115</v>
      </c>
      <c r="C600" s="12" t="s">
        <v>83</v>
      </c>
      <c r="D600" s="13">
        <v>40616</v>
      </c>
      <c r="E600" s="12" t="s">
        <v>6</v>
      </c>
      <c r="F600" s="14">
        <v>15.2</v>
      </c>
      <c r="G600" s="19">
        <v>40</v>
      </c>
    </row>
    <row r="601" spans="1:7" x14ac:dyDescent="0.3">
      <c r="A601" s="18" t="s">
        <v>125</v>
      </c>
      <c r="B601" s="12" t="s">
        <v>115</v>
      </c>
      <c r="C601" s="12" t="s">
        <v>83</v>
      </c>
      <c r="D601" s="13">
        <v>40616</v>
      </c>
      <c r="E601" s="12" t="s">
        <v>47</v>
      </c>
      <c r="F601" s="14">
        <v>13.9</v>
      </c>
      <c r="G601" s="19">
        <v>35</v>
      </c>
    </row>
    <row r="602" spans="1:7" x14ac:dyDescent="0.3">
      <c r="A602" s="18" t="s">
        <v>125</v>
      </c>
      <c r="B602" s="12" t="s">
        <v>115</v>
      </c>
      <c r="C602" s="12" t="s">
        <v>83</v>
      </c>
      <c r="D602" s="13">
        <v>40616</v>
      </c>
      <c r="E602" s="12" t="s">
        <v>23</v>
      </c>
      <c r="F602" s="14">
        <v>15.5</v>
      </c>
      <c r="G602" s="19">
        <v>2</v>
      </c>
    </row>
    <row r="603" spans="1:7" x14ac:dyDescent="0.3">
      <c r="A603" s="18" t="s">
        <v>158</v>
      </c>
      <c r="B603" s="12" t="s">
        <v>101</v>
      </c>
      <c r="C603" s="12" t="s">
        <v>81</v>
      </c>
      <c r="D603" s="13">
        <v>40616</v>
      </c>
      <c r="E603" s="12" t="s">
        <v>4</v>
      </c>
      <c r="F603" s="14">
        <v>50</v>
      </c>
      <c r="G603" s="19">
        <v>30</v>
      </c>
    </row>
    <row r="604" spans="1:7" x14ac:dyDescent="0.3">
      <c r="A604" s="18" t="s">
        <v>158</v>
      </c>
      <c r="B604" s="12" t="s">
        <v>101</v>
      </c>
      <c r="C604" s="12" t="s">
        <v>81</v>
      </c>
      <c r="D604" s="13">
        <v>40616</v>
      </c>
      <c r="E604" s="12" t="s">
        <v>71</v>
      </c>
      <c r="F604" s="14">
        <v>7.2</v>
      </c>
      <c r="G604" s="19">
        <v>15</v>
      </c>
    </row>
    <row r="605" spans="1:7" x14ac:dyDescent="0.3">
      <c r="A605" s="18" t="s">
        <v>158</v>
      </c>
      <c r="B605" s="12" t="s">
        <v>101</v>
      </c>
      <c r="C605" s="12" t="s">
        <v>81</v>
      </c>
      <c r="D605" s="13">
        <v>40616</v>
      </c>
      <c r="E605" s="12" t="s">
        <v>75</v>
      </c>
      <c r="F605" s="14">
        <v>26.6</v>
      </c>
      <c r="G605" s="19">
        <v>8</v>
      </c>
    </row>
    <row r="606" spans="1:7" x14ac:dyDescent="0.3">
      <c r="A606" s="18" t="s">
        <v>140</v>
      </c>
      <c r="B606" s="12" t="s">
        <v>141</v>
      </c>
      <c r="C606" s="12" t="s">
        <v>77</v>
      </c>
      <c r="D606" s="13">
        <v>40620</v>
      </c>
      <c r="E606" s="12" t="s">
        <v>72</v>
      </c>
      <c r="F606" s="14">
        <v>24</v>
      </c>
      <c r="G606" s="19">
        <v>30</v>
      </c>
    </row>
    <row r="607" spans="1:7" x14ac:dyDescent="0.3">
      <c r="A607" s="18" t="s">
        <v>140</v>
      </c>
      <c r="B607" s="12" t="s">
        <v>141</v>
      </c>
      <c r="C607" s="12" t="s">
        <v>77</v>
      </c>
      <c r="D607" s="13">
        <v>40620</v>
      </c>
      <c r="E607" s="12" t="s">
        <v>17</v>
      </c>
      <c r="F607" s="14">
        <v>30.4</v>
      </c>
      <c r="G607" s="19">
        <v>20</v>
      </c>
    </row>
    <row r="608" spans="1:7" x14ac:dyDescent="0.3">
      <c r="A608" s="18" t="s">
        <v>168</v>
      </c>
      <c r="B608" s="12" t="s">
        <v>141</v>
      </c>
      <c r="C608" s="12" t="s">
        <v>80</v>
      </c>
      <c r="D608" s="13">
        <v>40621</v>
      </c>
      <c r="E608" s="12" t="s">
        <v>21</v>
      </c>
      <c r="F608" s="14">
        <v>3.6</v>
      </c>
      <c r="G608" s="19">
        <v>80</v>
      </c>
    </row>
    <row r="609" spans="1:7" x14ac:dyDescent="0.3">
      <c r="A609" s="18" t="s">
        <v>168</v>
      </c>
      <c r="B609" s="12" t="s">
        <v>141</v>
      </c>
      <c r="C609" s="12" t="s">
        <v>80</v>
      </c>
      <c r="D609" s="13">
        <v>40621</v>
      </c>
      <c r="E609" s="12" t="s">
        <v>36</v>
      </c>
      <c r="F609" s="14">
        <v>42.4</v>
      </c>
      <c r="G609" s="19">
        <v>18</v>
      </c>
    </row>
    <row r="610" spans="1:7" x14ac:dyDescent="0.3">
      <c r="A610" s="18" t="s">
        <v>151</v>
      </c>
      <c r="B610" s="12" t="s">
        <v>141</v>
      </c>
      <c r="C610" s="12" t="s">
        <v>83</v>
      </c>
      <c r="D610" s="13">
        <v>40623</v>
      </c>
      <c r="E610" s="12" t="s">
        <v>15</v>
      </c>
      <c r="F610" s="14">
        <v>2</v>
      </c>
      <c r="G610" s="19">
        <v>12</v>
      </c>
    </row>
    <row r="611" spans="1:7" x14ac:dyDescent="0.3">
      <c r="A611" s="18" t="s">
        <v>151</v>
      </c>
      <c r="B611" s="12" t="s">
        <v>141</v>
      </c>
      <c r="C611" s="12" t="s">
        <v>83</v>
      </c>
      <c r="D611" s="13">
        <v>40623</v>
      </c>
      <c r="E611" s="12" t="s">
        <v>14</v>
      </c>
      <c r="F611" s="14">
        <v>17.2</v>
      </c>
      <c r="G611" s="19">
        <v>12</v>
      </c>
    </row>
    <row r="612" spans="1:7" x14ac:dyDescent="0.3">
      <c r="A612" s="18" t="s">
        <v>152</v>
      </c>
      <c r="B612" s="12" t="s">
        <v>113</v>
      </c>
      <c r="C612" s="12" t="s">
        <v>85</v>
      </c>
      <c r="D612" s="13">
        <v>40623</v>
      </c>
      <c r="E612" s="12" t="s">
        <v>69</v>
      </c>
      <c r="F612" s="14">
        <v>18.600000000000001</v>
      </c>
      <c r="G612" s="19">
        <v>12</v>
      </c>
    </row>
    <row r="613" spans="1:7" x14ac:dyDescent="0.3">
      <c r="A613" s="18" t="s">
        <v>152</v>
      </c>
      <c r="B613" s="12" t="s">
        <v>113</v>
      </c>
      <c r="C613" s="12" t="s">
        <v>85</v>
      </c>
      <c r="D613" s="13">
        <v>40623</v>
      </c>
      <c r="E613" s="12" t="s">
        <v>56</v>
      </c>
      <c r="F613" s="14">
        <v>36.4</v>
      </c>
      <c r="G613" s="19">
        <v>18</v>
      </c>
    </row>
    <row r="614" spans="1:7" x14ac:dyDescent="0.3">
      <c r="A614" s="18" t="s">
        <v>152</v>
      </c>
      <c r="B614" s="12" t="s">
        <v>113</v>
      </c>
      <c r="C614" s="12" t="s">
        <v>85</v>
      </c>
      <c r="D614" s="13">
        <v>40623</v>
      </c>
      <c r="E614" s="12" t="s">
        <v>2</v>
      </c>
      <c r="F614" s="14">
        <v>14.7</v>
      </c>
      <c r="G614" s="19">
        <v>21</v>
      </c>
    </row>
    <row r="615" spans="1:7" x14ac:dyDescent="0.3">
      <c r="A615" s="18" t="s">
        <v>152</v>
      </c>
      <c r="B615" s="12" t="s">
        <v>113</v>
      </c>
      <c r="C615" s="12" t="s">
        <v>85</v>
      </c>
      <c r="D615" s="13">
        <v>40623</v>
      </c>
      <c r="E615" s="12" t="s">
        <v>53</v>
      </c>
      <c r="F615" s="14">
        <v>6.2</v>
      </c>
      <c r="G615" s="19">
        <v>10</v>
      </c>
    </row>
    <row r="616" spans="1:7" x14ac:dyDescent="0.3">
      <c r="A616" s="18" t="s">
        <v>102</v>
      </c>
      <c r="B616" s="12" t="s">
        <v>103</v>
      </c>
      <c r="C616" s="12" t="s">
        <v>78</v>
      </c>
      <c r="D616" s="13">
        <v>40637</v>
      </c>
      <c r="E616" s="12" t="s">
        <v>18</v>
      </c>
      <c r="F616" s="14">
        <v>10</v>
      </c>
      <c r="G616" s="19">
        <v>35</v>
      </c>
    </row>
    <row r="617" spans="1:7" x14ac:dyDescent="0.3">
      <c r="A617" s="18" t="s">
        <v>102</v>
      </c>
      <c r="B617" s="12" t="s">
        <v>103</v>
      </c>
      <c r="C617" s="12" t="s">
        <v>78</v>
      </c>
      <c r="D617" s="13">
        <v>40637</v>
      </c>
      <c r="E617" s="12" t="s">
        <v>35</v>
      </c>
      <c r="F617" s="14">
        <v>13.6</v>
      </c>
      <c r="G617" s="19">
        <v>60</v>
      </c>
    </row>
    <row r="618" spans="1:7" x14ac:dyDescent="0.3">
      <c r="A618" s="18" t="s">
        <v>102</v>
      </c>
      <c r="B618" s="12" t="s">
        <v>103</v>
      </c>
      <c r="C618" s="12" t="s">
        <v>78</v>
      </c>
      <c r="D618" s="13">
        <v>40637</v>
      </c>
      <c r="E618" s="12" t="s">
        <v>31</v>
      </c>
      <c r="F618" s="14">
        <v>14.4</v>
      </c>
      <c r="G618" s="19">
        <v>42</v>
      </c>
    </row>
    <row r="619" spans="1:7" x14ac:dyDescent="0.3">
      <c r="A619" s="18" t="s">
        <v>108</v>
      </c>
      <c r="B619" s="12" t="s">
        <v>109</v>
      </c>
      <c r="C619" s="12" t="s">
        <v>80</v>
      </c>
      <c r="D619" s="13">
        <v>40626</v>
      </c>
      <c r="E619" s="12" t="s">
        <v>46</v>
      </c>
      <c r="F619" s="14">
        <v>19.2</v>
      </c>
      <c r="G619" s="19">
        <v>2</v>
      </c>
    </row>
    <row r="620" spans="1:7" x14ac:dyDescent="0.3">
      <c r="A620" s="18" t="s">
        <v>108</v>
      </c>
      <c r="B620" s="12" t="s">
        <v>109</v>
      </c>
      <c r="C620" s="12" t="s">
        <v>80</v>
      </c>
      <c r="D620" s="13">
        <v>40626</v>
      </c>
      <c r="E620" s="12" t="s">
        <v>45</v>
      </c>
      <c r="F620" s="14">
        <v>12</v>
      </c>
      <c r="G620" s="19">
        <v>12</v>
      </c>
    </row>
    <row r="621" spans="1:7" x14ac:dyDescent="0.3">
      <c r="A621" s="18" t="s">
        <v>161</v>
      </c>
      <c r="B621" s="12" t="s">
        <v>157</v>
      </c>
      <c r="C621" s="12" t="s">
        <v>85</v>
      </c>
      <c r="D621" s="13">
        <v>40627</v>
      </c>
      <c r="E621" s="12" t="s">
        <v>5</v>
      </c>
      <c r="F621" s="14">
        <v>14.4</v>
      </c>
      <c r="G621" s="19">
        <v>15</v>
      </c>
    </row>
    <row r="622" spans="1:7" x14ac:dyDescent="0.3">
      <c r="A622" s="18" t="s">
        <v>161</v>
      </c>
      <c r="B622" s="12" t="s">
        <v>157</v>
      </c>
      <c r="C622" s="12" t="s">
        <v>85</v>
      </c>
      <c r="D622" s="13">
        <v>40627</v>
      </c>
      <c r="E622" s="12" t="s">
        <v>62</v>
      </c>
      <c r="F622" s="14">
        <v>8</v>
      </c>
      <c r="G622" s="19">
        <v>21</v>
      </c>
    </row>
    <row r="623" spans="1:7" x14ac:dyDescent="0.3">
      <c r="A623" s="18" t="s">
        <v>161</v>
      </c>
      <c r="B623" s="12" t="s">
        <v>157</v>
      </c>
      <c r="C623" s="12" t="s">
        <v>85</v>
      </c>
      <c r="D623" s="13">
        <v>40627</v>
      </c>
      <c r="E623" s="12" t="s">
        <v>7</v>
      </c>
      <c r="F623" s="14">
        <v>14.4</v>
      </c>
      <c r="G623" s="19">
        <v>20</v>
      </c>
    </row>
    <row r="624" spans="1:7" x14ac:dyDescent="0.3">
      <c r="A624" s="18" t="s">
        <v>100</v>
      </c>
      <c r="B624" s="12" t="s">
        <v>101</v>
      </c>
      <c r="C624" s="12" t="s">
        <v>77</v>
      </c>
      <c r="D624" s="13">
        <v>40628</v>
      </c>
      <c r="E624" s="12" t="s">
        <v>26</v>
      </c>
      <c r="F624" s="14">
        <v>24.8</v>
      </c>
      <c r="G624" s="19">
        <v>20</v>
      </c>
    </row>
    <row r="625" spans="1:7" x14ac:dyDescent="0.3">
      <c r="A625" s="18" t="s">
        <v>117</v>
      </c>
      <c r="B625" s="12" t="s">
        <v>115</v>
      </c>
      <c r="C625" s="12" t="s">
        <v>79</v>
      </c>
      <c r="D625" s="13">
        <v>40623</v>
      </c>
      <c r="E625" s="12" t="s">
        <v>11</v>
      </c>
      <c r="F625" s="14">
        <v>210.8</v>
      </c>
      <c r="G625" s="19">
        <v>30</v>
      </c>
    </row>
    <row r="626" spans="1:7" x14ac:dyDescent="0.3">
      <c r="A626" s="18" t="s">
        <v>117</v>
      </c>
      <c r="B626" s="12" t="s">
        <v>115</v>
      </c>
      <c r="C626" s="12" t="s">
        <v>79</v>
      </c>
      <c r="D626" s="13">
        <v>40623</v>
      </c>
      <c r="E626" s="12" t="s">
        <v>48</v>
      </c>
      <c r="F626" s="14">
        <v>26.2</v>
      </c>
      <c r="G626" s="19">
        <v>28</v>
      </c>
    </row>
    <row r="627" spans="1:7" x14ac:dyDescent="0.3">
      <c r="A627" s="18" t="s">
        <v>117</v>
      </c>
      <c r="B627" s="12" t="s">
        <v>115</v>
      </c>
      <c r="C627" s="12" t="s">
        <v>79</v>
      </c>
      <c r="D627" s="13">
        <v>40623</v>
      </c>
      <c r="E627" s="12" t="s">
        <v>51</v>
      </c>
      <c r="F627" s="14">
        <v>44</v>
      </c>
      <c r="G627" s="19">
        <v>60</v>
      </c>
    </row>
    <row r="628" spans="1:7" x14ac:dyDescent="0.3">
      <c r="A628" s="18" t="s">
        <v>117</v>
      </c>
      <c r="B628" s="12" t="s">
        <v>115</v>
      </c>
      <c r="C628" s="12" t="s">
        <v>79</v>
      </c>
      <c r="D628" s="13">
        <v>40623</v>
      </c>
      <c r="E628" s="12" t="s">
        <v>75</v>
      </c>
      <c r="F628" s="14">
        <v>26.6</v>
      </c>
      <c r="G628" s="19">
        <v>30</v>
      </c>
    </row>
    <row r="629" spans="1:7" x14ac:dyDescent="0.3">
      <c r="A629" s="18" t="s">
        <v>183</v>
      </c>
      <c r="B629" s="12" t="s">
        <v>101</v>
      </c>
      <c r="C629" s="12" t="s">
        <v>82</v>
      </c>
      <c r="D629" s="13">
        <v>40626</v>
      </c>
      <c r="E629" s="12" t="s">
        <v>76</v>
      </c>
      <c r="F629" s="14">
        <v>7.6</v>
      </c>
      <c r="G629" s="19">
        <v>30</v>
      </c>
    </row>
    <row r="630" spans="1:7" x14ac:dyDescent="0.3">
      <c r="A630" s="18" t="s">
        <v>183</v>
      </c>
      <c r="B630" s="12" t="s">
        <v>101</v>
      </c>
      <c r="C630" s="12" t="s">
        <v>82</v>
      </c>
      <c r="D630" s="13">
        <v>40626</v>
      </c>
      <c r="E630" s="12" t="s">
        <v>51</v>
      </c>
      <c r="F630" s="14">
        <v>44</v>
      </c>
      <c r="G630" s="19">
        <v>12</v>
      </c>
    </row>
    <row r="631" spans="1:7" x14ac:dyDescent="0.3">
      <c r="A631" s="18" t="s">
        <v>138</v>
      </c>
      <c r="B631" s="12" t="s">
        <v>98</v>
      </c>
      <c r="C631" s="12" t="s">
        <v>80</v>
      </c>
      <c r="D631" s="13">
        <v>40627</v>
      </c>
      <c r="E631" s="12" t="s">
        <v>38</v>
      </c>
      <c r="F631" s="14">
        <v>16</v>
      </c>
      <c r="G631" s="19">
        <v>24</v>
      </c>
    </row>
    <row r="632" spans="1:7" x14ac:dyDescent="0.3">
      <c r="A632" s="18" t="s">
        <v>138</v>
      </c>
      <c r="B632" s="12" t="s">
        <v>98</v>
      </c>
      <c r="C632" s="12" t="s">
        <v>80</v>
      </c>
      <c r="D632" s="13">
        <v>40627</v>
      </c>
      <c r="E632" s="12" t="s">
        <v>3</v>
      </c>
      <c r="F632" s="14">
        <v>27.2</v>
      </c>
      <c r="G632" s="19">
        <v>40</v>
      </c>
    </row>
    <row r="633" spans="1:7" x14ac:dyDescent="0.3">
      <c r="A633" s="18" t="s">
        <v>191</v>
      </c>
      <c r="B633" s="12" t="s">
        <v>115</v>
      </c>
      <c r="C633" s="12" t="s">
        <v>83</v>
      </c>
      <c r="D633" s="13">
        <v>40643</v>
      </c>
      <c r="E633" s="12" t="s">
        <v>2</v>
      </c>
      <c r="F633" s="14">
        <v>14.7</v>
      </c>
      <c r="G633" s="19">
        <v>10</v>
      </c>
    </row>
    <row r="634" spans="1:7" x14ac:dyDescent="0.3">
      <c r="A634" s="18" t="s">
        <v>125</v>
      </c>
      <c r="B634" s="12" t="s">
        <v>115</v>
      </c>
      <c r="C634" s="12" t="s">
        <v>84</v>
      </c>
      <c r="D634" s="13">
        <v>40658</v>
      </c>
      <c r="E634" s="12" t="s">
        <v>57</v>
      </c>
      <c r="F634" s="14">
        <v>11.2</v>
      </c>
      <c r="G634" s="19">
        <v>35</v>
      </c>
    </row>
    <row r="635" spans="1:7" x14ac:dyDescent="0.3">
      <c r="A635" s="18" t="s">
        <v>125</v>
      </c>
      <c r="B635" s="12" t="s">
        <v>115</v>
      </c>
      <c r="C635" s="12" t="s">
        <v>84</v>
      </c>
      <c r="D635" s="13">
        <v>40658</v>
      </c>
      <c r="E635" s="12" t="s">
        <v>44</v>
      </c>
      <c r="F635" s="14">
        <v>10.4</v>
      </c>
      <c r="G635" s="19">
        <v>30</v>
      </c>
    </row>
    <row r="636" spans="1:7" x14ac:dyDescent="0.3">
      <c r="A636" s="18" t="s">
        <v>140</v>
      </c>
      <c r="B636" s="12" t="s">
        <v>141</v>
      </c>
      <c r="C636" s="12" t="s">
        <v>79</v>
      </c>
      <c r="D636" s="13">
        <v>40634</v>
      </c>
      <c r="E636" s="12" t="s">
        <v>62</v>
      </c>
      <c r="F636" s="14">
        <v>8</v>
      </c>
      <c r="G636" s="19">
        <v>14</v>
      </c>
    </row>
    <row r="637" spans="1:7" x14ac:dyDescent="0.3">
      <c r="A637" s="18" t="s">
        <v>140</v>
      </c>
      <c r="B637" s="12" t="s">
        <v>141</v>
      </c>
      <c r="C637" s="12" t="s">
        <v>79</v>
      </c>
      <c r="D637" s="13">
        <v>40634</v>
      </c>
      <c r="E637" s="12" t="s">
        <v>2</v>
      </c>
      <c r="F637" s="14">
        <v>14.7</v>
      </c>
      <c r="G637" s="19">
        <v>10</v>
      </c>
    </row>
    <row r="638" spans="1:7" x14ac:dyDescent="0.3">
      <c r="A638" s="18" t="s">
        <v>140</v>
      </c>
      <c r="B638" s="12" t="s">
        <v>141</v>
      </c>
      <c r="C638" s="12" t="s">
        <v>79</v>
      </c>
      <c r="D638" s="13">
        <v>40634</v>
      </c>
      <c r="E638" s="12" t="s">
        <v>36</v>
      </c>
      <c r="F638" s="14">
        <v>42.4</v>
      </c>
      <c r="G638" s="19">
        <v>3</v>
      </c>
    </row>
    <row r="639" spans="1:7" x14ac:dyDescent="0.3">
      <c r="A639" s="18" t="s">
        <v>181</v>
      </c>
      <c r="B639" s="12" t="s">
        <v>109</v>
      </c>
      <c r="C639" s="12" t="s">
        <v>81</v>
      </c>
      <c r="D639" s="13">
        <v>40633</v>
      </c>
      <c r="E639" s="12" t="s">
        <v>6</v>
      </c>
      <c r="F639" s="14">
        <v>15.2</v>
      </c>
      <c r="G639" s="19">
        <v>20</v>
      </c>
    </row>
    <row r="640" spans="1:7" x14ac:dyDescent="0.3">
      <c r="A640" s="18" t="s">
        <v>181</v>
      </c>
      <c r="B640" s="12" t="s">
        <v>109</v>
      </c>
      <c r="C640" s="12" t="s">
        <v>81</v>
      </c>
      <c r="D640" s="13">
        <v>40633</v>
      </c>
      <c r="E640" s="12" t="s">
        <v>1</v>
      </c>
      <c r="F640" s="14">
        <v>8</v>
      </c>
      <c r="G640" s="19">
        <v>20</v>
      </c>
    </row>
    <row r="641" spans="1:7" x14ac:dyDescent="0.3">
      <c r="A641" s="18" t="s">
        <v>181</v>
      </c>
      <c r="B641" s="12" t="s">
        <v>109</v>
      </c>
      <c r="C641" s="12" t="s">
        <v>81</v>
      </c>
      <c r="D641" s="13">
        <v>40633</v>
      </c>
      <c r="E641" s="12" t="s">
        <v>46</v>
      </c>
      <c r="F641" s="14">
        <v>19.2</v>
      </c>
      <c r="G641" s="19">
        <v>30</v>
      </c>
    </row>
    <row r="642" spans="1:7" x14ac:dyDescent="0.3">
      <c r="A642" s="18" t="s">
        <v>181</v>
      </c>
      <c r="B642" s="12" t="s">
        <v>109</v>
      </c>
      <c r="C642" s="12" t="s">
        <v>81</v>
      </c>
      <c r="D642" s="13">
        <v>40633</v>
      </c>
      <c r="E642" s="12" t="s">
        <v>45</v>
      </c>
      <c r="F642" s="14">
        <v>12</v>
      </c>
      <c r="G642" s="19">
        <v>60</v>
      </c>
    </row>
    <row r="643" spans="1:7" x14ac:dyDescent="0.3">
      <c r="A643" s="18" t="s">
        <v>108</v>
      </c>
      <c r="B643" s="12" t="s">
        <v>109</v>
      </c>
      <c r="C643" s="12" t="s">
        <v>83</v>
      </c>
      <c r="D643" s="13">
        <v>40635</v>
      </c>
      <c r="E643" s="12" t="s">
        <v>49</v>
      </c>
      <c r="F643" s="14">
        <v>16.8</v>
      </c>
      <c r="G643" s="19">
        <v>5</v>
      </c>
    </row>
    <row r="644" spans="1:7" x14ac:dyDescent="0.3">
      <c r="A644" s="18" t="s">
        <v>108</v>
      </c>
      <c r="B644" s="12" t="s">
        <v>109</v>
      </c>
      <c r="C644" s="12" t="s">
        <v>83</v>
      </c>
      <c r="D644" s="13">
        <v>40635</v>
      </c>
      <c r="E644" s="12" t="s">
        <v>36</v>
      </c>
      <c r="F644" s="14">
        <v>42.4</v>
      </c>
      <c r="G644" s="19">
        <v>25</v>
      </c>
    </row>
    <row r="645" spans="1:7" x14ac:dyDescent="0.3">
      <c r="A645" s="18" t="s">
        <v>108</v>
      </c>
      <c r="B645" s="12" t="s">
        <v>109</v>
      </c>
      <c r="C645" s="12" t="s">
        <v>83</v>
      </c>
      <c r="D645" s="13">
        <v>40635</v>
      </c>
      <c r="E645" s="12" t="s">
        <v>33</v>
      </c>
      <c r="F645" s="14">
        <v>8</v>
      </c>
      <c r="G645" s="19">
        <v>16</v>
      </c>
    </row>
    <row r="646" spans="1:7" x14ac:dyDescent="0.3">
      <c r="A646" s="18" t="s">
        <v>174</v>
      </c>
      <c r="B646" s="12" t="s">
        <v>98</v>
      </c>
      <c r="C646" s="12" t="s">
        <v>77</v>
      </c>
      <c r="D646" s="13">
        <v>40630</v>
      </c>
      <c r="E646" s="12" t="s">
        <v>67</v>
      </c>
      <c r="F646" s="14">
        <v>7.3</v>
      </c>
      <c r="G646" s="19">
        <v>5</v>
      </c>
    </row>
    <row r="647" spans="1:7" x14ac:dyDescent="0.3">
      <c r="A647" s="18" t="s">
        <v>174</v>
      </c>
      <c r="B647" s="12" t="s">
        <v>98</v>
      </c>
      <c r="C647" s="12" t="s">
        <v>77</v>
      </c>
      <c r="D647" s="13">
        <v>40630</v>
      </c>
      <c r="E647" s="12" t="s">
        <v>24</v>
      </c>
      <c r="F647" s="14">
        <v>24.9</v>
      </c>
      <c r="G647" s="19">
        <v>30</v>
      </c>
    </row>
    <row r="648" spans="1:7" x14ac:dyDescent="0.3">
      <c r="A648" s="18" t="s">
        <v>174</v>
      </c>
      <c r="B648" s="12" t="s">
        <v>98</v>
      </c>
      <c r="C648" s="12" t="s">
        <v>77</v>
      </c>
      <c r="D648" s="13">
        <v>40630</v>
      </c>
      <c r="E648" s="12" t="s">
        <v>70</v>
      </c>
      <c r="F648" s="14">
        <v>5.9</v>
      </c>
      <c r="G648" s="19">
        <v>24</v>
      </c>
    </row>
    <row r="649" spans="1:7" x14ac:dyDescent="0.3">
      <c r="A649" s="18" t="s">
        <v>122</v>
      </c>
      <c r="B649" s="12" t="s">
        <v>123</v>
      </c>
      <c r="C649" s="12" t="s">
        <v>80</v>
      </c>
      <c r="D649" s="13">
        <v>40635</v>
      </c>
      <c r="E649" s="12" t="s">
        <v>51</v>
      </c>
      <c r="F649" s="14">
        <v>44</v>
      </c>
      <c r="G649" s="19">
        <v>30</v>
      </c>
    </row>
    <row r="650" spans="1:7" x14ac:dyDescent="0.3">
      <c r="A650" s="18" t="s">
        <v>122</v>
      </c>
      <c r="B650" s="12" t="s">
        <v>123</v>
      </c>
      <c r="C650" s="12" t="s">
        <v>80</v>
      </c>
      <c r="D650" s="13">
        <v>40635</v>
      </c>
      <c r="E650" s="12" t="s">
        <v>54</v>
      </c>
      <c r="F650" s="14">
        <v>12</v>
      </c>
      <c r="G650" s="19">
        <v>20</v>
      </c>
    </row>
    <row r="651" spans="1:7" x14ac:dyDescent="0.3">
      <c r="A651" s="18" t="s">
        <v>166</v>
      </c>
      <c r="B651" s="12" t="s">
        <v>111</v>
      </c>
      <c r="C651" s="12" t="s">
        <v>82</v>
      </c>
      <c r="D651" s="13">
        <v>40642</v>
      </c>
      <c r="E651" s="12" t="s">
        <v>49</v>
      </c>
      <c r="F651" s="14">
        <v>16.8</v>
      </c>
      <c r="G651" s="19">
        <v>15</v>
      </c>
    </row>
    <row r="652" spans="1:7" x14ac:dyDescent="0.3">
      <c r="A652" s="18" t="s">
        <v>166</v>
      </c>
      <c r="B652" s="12" t="s">
        <v>111</v>
      </c>
      <c r="C652" s="12" t="s">
        <v>82</v>
      </c>
      <c r="D652" s="13">
        <v>40642</v>
      </c>
      <c r="E652" s="12" t="s">
        <v>47</v>
      </c>
      <c r="F652" s="14">
        <v>13.9</v>
      </c>
      <c r="G652" s="19">
        <v>18</v>
      </c>
    </row>
    <row r="653" spans="1:7" x14ac:dyDescent="0.3">
      <c r="A653" s="18" t="s">
        <v>108</v>
      </c>
      <c r="B653" s="12" t="s">
        <v>109</v>
      </c>
      <c r="C653" s="12" t="s">
        <v>84</v>
      </c>
      <c r="D653" s="13">
        <v>40636</v>
      </c>
      <c r="E653" s="12" t="s">
        <v>51</v>
      </c>
      <c r="F653" s="14">
        <v>44</v>
      </c>
      <c r="G653" s="19">
        <v>60</v>
      </c>
    </row>
    <row r="654" spans="1:7" x14ac:dyDescent="0.3">
      <c r="A654" s="18" t="s">
        <v>108</v>
      </c>
      <c r="B654" s="12" t="s">
        <v>109</v>
      </c>
      <c r="C654" s="12" t="s">
        <v>84</v>
      </c>
      <c r="D654" s="13">
        <v>40636</v>
      </c>
      <c r="E654" s="12" t="s">
        <v>59</v>
      </c>
      <c r="F654" s="14">
        <v>10</v>
      </c>
      <c r="G654" s="19">
        <v>30</v>
      </c>
    </row>
    <row r="655" spans="1:7" x14ac:dyDescent="0.3">
      <c r="A655" s="18" t="s">
        <v>108</v>
      </c>
      <c r="B655" s="12" t="s">
        <v>109</v>
      </c>
      <c r="C655" s="12" t="s">
        <v>84</v>
      </c>
      <c r="D655" s="13">
        <v>40636</v>
      </c>
      <c r="E655" s="12" t="s">
        <v>53</v>
      </c>
      <c r="F655" s="14">
        <v>6.2</v>
      </c>
      <c r="G655" s="19">
        <v>36</v>
      </c>
    </row>
    <row r="656" spans="1:7" x14ac:dyDescent="0.3">
      <c r="A656" s="18" t="s">
        <v>156</v>
      </c>
      <c r="B656" s="12" t="s">
        <v>157</v>
      </c>
      <c r="C656" s="12" t="s">
        <v>80</v>
      </c>
      <c r="D656" s="13">
        <v>40641</v>
      </c>
      <c r="E656" s="12" t="s">
        <v>23</v>
      </c>
      <c r="F656" s="14">
        <v>15.5</v>
      </c>
      <c r="G656" s="19">
        <v>15</v>
      </c>
    </row>
    <row r="657" spans="1:7" x14ac:dyDescent="0.3">
      <c r="A657" s="18" t="s">
        <v>156</v>
      </c>
      <c r="B657" s="12" t="s">
        <v>157</v>
      </c>
      <c r="C657" s="12" t="s">
        <v>80</v>
      </c>
      <c r="D657" s="13">
        <v>40641</v>
      </c>
      <c r="E657" s="12" t="s">
        <v>44</v>
      </c>
      <c r="F657" s="14">
        <v>10.4</v>
      </c>
      <c r="G657" s="19">
        <v>7</v>
      </c>
    </row>
    <row r="658" spans="1:7" x14ac:dyDescent="0.3">
      <c r="A658" s="18" t="s">
        <v>180</v>
      </c>
      <c r="B658" s="12" t="s">
        <v>160</v>
      </c>
      <c r="C658" s="12" t="s">
        <v>79</v>
      </c>
      <c r="D658" s="13">
        <v>40644</v>
      </c>
      <c r="E658" s="12" t="s">
        <v>43</v>
      </c>
      <c r="F658" s="14">
        <v>11.2</v>
      </c>
      <c r="G658" s="19">
        <v>60</v>
      </c>
    </row>
    <row r="659" spans="1:7" x14ac:dyDescent="0.3">
      <c r="A659" s="18" t="s">
        <v>180</v>
      </c>
      <c r="B659" s="12" t="s">
        <v>160</v>
      </c>
      <c r="C659" s="12" t="s">
        <v>79</v>
      </c>
      <c r="D659" s="13">
        <v>40644</v>
      </c>
      <c r="E659" s="12" t="s">
        <v>60</v>
      </c>
      <c r="F659" s="14">
        <v>11.2</v>
      </c>
      <c r="G659" s="19">
        <v>20</v>
      </c>
    </row>
    <row r="660" spans="1:7" x14ac:dyDescent="0.3">
      <c r="A660" s="18" t="s">
        <v>165</v>
      </c>
      <c r="B660" s="12" t="s">
        <v>101</v>
      </c>
      <c r="C660" s="12" t="s">
        <v>81</v>
      </c>
      <c r="D660" s="13">
        <v>40643</v>
      </c>
      <c r="E660" s="12" t="s">
        <v>34</v>
      </c>
      <c r="F660" s="14">
        <v>16.8</v>
      </c>
      <c r="G660" s="19">
        <v>15</v>
      </c>
    </row>
    <row r="661" spans="1:7" x14ac:dyDescent="0.3">
      <c r="A661" s="18" t="s">
        <v>165</v>
      </c>
      <c r="B661" s="12" t="s">
        <v>101</v>
      </c>
      <c r="C661" s="12" t="s">
        <v>81</v>
      </c>
      <c r="D661" s="13">
        <v>40643</v>
      </c>
      <c r="E661" s="12" t="s">
        <v>35</v>
      </c>
      <c r="F661" s="14">
        <v>13.6</v>
      </c>
      <c r="G661" s="19">
        <v>10</v>
      </c>
    </row>
    <row r="662" spans="1:7" x14ac:dyDescent="0.3">
      <c r="A662" s="18" t="s">
        <v>165</v>
      </c>
      <c r="B662" s="12" t="s">
        <v>101</v>
      </c>
      <c r="C662" s="12" t="s">
        <v>81</v>
      </c>
      <c r="D662" s="13">
        <v>40643</v>
      </c>
      <c r="E662" s="12" t="s">
        <v>22</v>
      </c>
      <c r="F662" s="14">
        <v>28.8</v>
      </c>
      <c r="G662" s="19">
        <v>10</v>
      </c>
    </row>
    <row r="663" spans="1:7" x14ac:dyDescent="0.3">
      <c r="A663" s="18" t="s">
        <v>142</v>
      </c>
      <c r="B663" s="12" t="s">
        <v>98</v>
      </c>
      <c r="C663" s="12" t="s">
        <v>81</v>
      </c>
      <c r="D663" s="13">
        <v>40642</v>
      </c>
      <c r="E663" s="12" t="s">
        <v>17</v>
      </c>
      <c r="F663" s="14">
        <v>30.4</v>
      </c>
      <c r="G663" s="19">
        <v>30</v>
      </c>
    </row>
    <row r="664" spans="1:7" x14ac:dyDescent="0.3">
      <c r="A664" s="18" t="s">
        <v>192</v>
      </c>
      <c r="B664" s="12" t="s">
        <v>160</v>
      </c>
      <c r="C664" s="12" t="s">
        <v>79</v>
      </c>
      <c r="D664" s="13">
        <v>40644</v>
      </c>
      <c r="E664" s="12" t="s">
        <v>71</v>
      </c>
      <c r="F664" s="14">
        <v>7.2</v>
      </c>
      <c r="G664" s="19">
        <v>10</v>
      </c>
    </row>
    <row r="665" spans="1:7" x14ac:dyDescent="0.3">
      <c r="A665" s="18" t="s">
        <v>192</v>
      </c>
      <c r="B665" s="12" t="s">
        <v>160</v>
      </c>
      <c r="C665" s="12" t="s">
        <v>79</v>
      </c>
      <c r="D665" s="13">
        <v>40644</v>
      </c>
      <c r="E665" s="12" t="s">
        <v>29</v>
      </c>
      <c r="F665" s="14">
        <v>7.7</v>
      </c>
      <c r="G665" s="19">
        <v>20</v>
      </c>
    </row>
    <row r="666" spans="1:7" x14ac:dyDescent="0.3">
      <c r="A666" s="18" t="s">
        <v>192</v>
      </c>
      <c r="B666" s="12" t="s">
        <v>160</v>
      </c>
      <c r="C666" s="12" t="s">
        <v>79</v>
      </c>
      <c r="D666" s="13">
        <v>40644</v>
      </c>
      <c r="E666" s="12" t="s">
        <v>44</v>
      </c>
      <c r="F666" s="14">
        <v>10.4</v>
      </c>
      <c r="G666" s="19">
        <v>5</v>
      </c>
    </row>
    <row r="667" spans="1:7" x14ac:dyDescent="0.3">
      <c r="A667" s="18" t="s">
        <v>97</v>
      </c>
      <c r="B667" s="12" t="s">
        <v>98</v>
      </c>
      <c r="C667" s="12" t="s">
        <v>84</v>
      </c>
      <c r="D667" s="13">
        <v>40640</v>
      </c>
      <c r="E667" s="12" t="s">
        <v>18</v>
      </c>
      <c r="F667" s="14">
        <v>10</v>
      </c>
      <c r="G667" s="19">
        <v>20</v>
      </c>
    </row>
    <row r="668" spans="1:7" x14ac:dyDescent="0.3">
      <c r="A668" s="18" t="s">
        <v>134</v>
      </c>
      <c r="B668" s="12" t="s">
        <v>123</v>
      </c>
      <c r="C668" s="12" t="s">
        <v>84</v>
      </c>
      <c r="D668" s="13">
        <v>40640</v>
      </c>
      <c r="E668" s="12" t="s">
        <v>17</v>
      </c>
      <c r="F668" s="14">
        <v>30.4</v>
      </c>
      <c r="G668" s="19">
        <v>14</v>
      </c>
    </row>
    <row r="669" spans="1:7" x14ac:dyDescent="0.3">
      <c r="A669" s="18" t="s">
        <v>134</v>
      </c>
      <c r="B669" s="12" t="s">
        <v>123</v>
      </c>
      <c r="C669" s="12" t="s">
        <v>84</v>
      </c>
      <c r="D669" s="13">
        <v>40640</v>
      </c>
      <c r="E669" s="12" t="s">
        <v>40</v>
      </c>
      <c r="F669" s="14">
        <v>27.8</v>
      </c>
      <c r="G669" s="19">
        <v>25</v>
      </c>
    </row>
    <row r="670" spans="1:7" x14ac:dyDescent="0.3">
      <c r="A670" s="18" t="s">
        <v>134</v>
      </c>
      <c r="B670" s="12" t="s">
        <v>123</v>
      </c>
      <c r="C670" s="12" t="s">
        <v>84</v>
      </c>
      <c r="D670" s="13">
        <v>40640</v>
      </c>
      <c r="E670" s="12" t="s">
        <v>44</v>
      </c>
      <c r="F670" s="14">
        <v>10.4</v>
      </c>
      <c r="G670" s="19">
        <v>25</v>
      </c>
    </row>
    <row r="671" spans="1:7" x14ac:dyDescent="0.3">
      <c r="A671" s="18" t="s">
        <v>108</v>
      </c>
      <c r="B671" s="12" t="s">
        <v>109</v>
      </c>
      <c r="C671" s="12" t="s">
        <v>80</v>
      </c>
      <c r="D671" s="13">
        <v>40644</v>
      </c>
      <c r="E671" s="12" t="s">
        <v>21</v>
      </c>
      <c r="F671" s="14">
        <v>4.5</v>
      </c>
      <c r="G671" s="19">
        <v>14</v>
      </c>
    </row>
    <row r="672" spans="1:7" x14ac:dyDescent="0.3">
      <c r="A672" s="18" t="s">
        <v>108</v>
      </c>
      <c r="B672" s="12" t="s">
        <v>109</v>
      </c>
      <c r="C672" s="12" t="s">
        <v>80</v>
      </c>
      <c r="D672" s="13">
        <v>40644</v>
      </c>
      <c r="E672" s="12" t="s">
        <v>2</v>
      </c>
      <c r="F672" s="14">
        <v>18.399999999999999</v>
      </c>
      <c r="G672" s="19">
        <v>5</v>
      </c>
    </row>
    <row r="673" spans="1:7" x14ac:dyDescent="0.3">
      <c r="A673" s="18" t="s">
        <v>108</v>
      </c>
      <c r="B673" s="12" t="s">
        <v>109</v>
      </c>
      <c r="C673" s="12" t="s">
        <v>80</v>
      </c>
      <c r="D673" s="13">
        <v>40644</v>
      </c>
      <c r="E673" s="12" t="s">
        <v>60</v>
      </c>
      <c r="F673" s="14">
        <v>14</v>
      </c>
      <c r="G673" s="19">
        <v>30</v>
      </c>
    </row>
    <row r="674" spans="1:7" x14ac:dyDescent="0.3">
      <c r="A674" s="18" t="s">
        <v>137</v>
      </c>
      <c r="B674" s="12" t="s">
        <v>109</v>
      </c>
      <c r="C674" s="12" t="s">
        <v>81</v>
      </c>
      <c r="D674" s="13">
        <v>40649</v>
      </c>
      <c r="E674" s="12" t="s">
        <v>56</v>
      </c>
      <c r="F674" s="14">
        <v>45.6</v>
      </c>
      <c r="G674" s="19">
        <v>20</v>
      </c>
    </row>
    <row r="675" spans="1:7" x14ac:dyDescent="0.3">
      <c r="A675" s="18" t="s">
        <v>137</v>
      </c>
      <c r="B675" s="12" t="s">
        <v>109</v>
      </c>
      <c r="C675" s="12" t="s">
        <v>81</v>
      </c>
      <c r="D675" s="13">
        <v>40649</v>
      </c>
      <c r="E675" s="12" t="s">
        <v>38</v>
      </c>
      <c r="F675" s="14">
        <v>20</v>
      </c>
      <c r="G675" s="19">
        <v>25</v>
      </c>
    </row>
    <row r="676" spans="1:7" x14ac:dyDescent="0.3">
      <c r="A676" s="18" t="s">
        <v>165</v>
      </c>
      <c r="B676" s="12" t="s">
        <v>101</v>
      </c>
      <c r="C676" s="12" t="s">
        <v>82</v>
      </c>
      <c r="D676" s="13">
        <v>40650</v>
      </c>
      <c r="E676" s="12" t="s">
        <v>16</v>
      </c>
      <c r="F676" s="14">
        <v>15.5</v>
      </c>
      <c r="G676" s="19">
        <v>12</v>
      </c>
    </row>
    <row r="677" spans="1:7" x14ac:dyDescent="0.3">
      <c r="A677" s="18" t="s">
        <v>165</v>
      </c>
      <c r="B677" s="12" t="s">
        <v>101</v>
      </c>
      <c r="C677" s="12" t="s">
        <v>82</v>
      </c>
      <c r="D677" s="13">
        <v>40650</v>
      </c>
      <c r="E677" s="12" t="s">
        <v>56</v>
      </c>
      <c r="F677" s="14">
        <v>45.6</v>
      </c>
      <c r="G677" s="19">
        <v>8</v>
      </c>
    </row>
    <row r="678" spans="1:7" x14ac:dyDescent="0.3">
      <c r="A678" s="18" t="s">
        <v>193</v>
      </c>
      <c r="B678" s="12" t="s">
        <v>123</v>
      </c>
      <c r="C678" s="12" t="s">
        <v>78</v>
      </c>
      <c r="D678" s="13">
        <v>40649</v>
      </c>
      <c r="E678" s="12" t="s">
        <v>70</v>
      </c>
      <c r="F678" s="14">
        <v>7.45</v>
      </c>
      <c r="G678" s="19">
        <v>20</v>
      </c>
    </row>
    <row r="679" spans="1:7" x14ac:dyDescent="0.3">
      <c r="A679" s="18" t="s">
        <v>152</v>
      </c>
      <c r="B679" s="12" t="s">
        <v>113</v>
      </c>
      <c r="C679" s="12" t="s">
        <v>77</v>
      </c>
      <c r="D679" s="13">
        <v>40662</v>
      </c>
      <c r="E679" s="12" t="s">
        <v>55</v>
      </c>
      <c r="F679" s="14">
        <v>9.5</v>
      </c>
      <c r="G679" s="19">
        <v>21</v>
      </c>
    </row>
    <row r="680" spans="1:7" x14ac:dyDescent="0.3">
      <c r="A680" s="18" t="s">
        <v>152</v>
      </c>
      <c r="B680" s="12" t="s">
        <v>113</v>
      </c>
      <c r="C680" s="12" t="s">
        <v>77</v>
      </c>
      <c r="D680" s="13">
        <v>40662</v>
      </c>
      <c r="E680" s="12" t="s">
        <v>48</v>
      </c>
      <c r="F680" s="14">
        <v>32.799999999999997</v>
      </c>
      <c r="G680" s="19">
        <v>6</v>
      </c>
    </row>
    <row r="681" spans="1:7" x14ac:dyDescent="0.3">
      <c r="A681" s="18" t="s">
        <v>152</v>
      </c>
      <c r="B681" s="12" t="s">
        <v>113</v>
      </c>
      <c r="C681" s="12" t="s">
        <v>77</v>
      </c>
      <c r="D681" s="13">
        <v>40662</v>
      </c>
      <c r="E681" s="12" t="s">
        <v>32</v>
      </c>
      <c r="F681" s="14">
        <v>14</v>
      </c>
      <c r="G681" s="19">
        <v>30</v>
      </c>
    </row>
    <row r="682" spans="1:7" x14ac:dyDescent="0.3">
      <c r="A682" s="18" t="s">
        <v>143</v>
      </c>
      <c r="B682" s="12" t="s">
        <v>144</v>
      </c>
      <c r="C682" s="12" t="s">
        <v>82</v>
      </c>
      <c r="D682" s="13">
        <v>40649</v>
      </c>
      <c r="E682" s="12" t="s">
        <v>69</v>
      </c>
      <c r="F682" s="14">
        <v>23.25</v>
      </c>
      <c r="G682" s="19">
        <v>70</v>
      </c>
    </row>
    <row r="683" spans="1:7" x14ac:dyDescent="0.3">
      <c r="A683" s="18" t="s">
        <v>143</v>
      </c>
      <c r="B683" s="12" t="s">
        <v>144</v>
      </c>
      <c r="C683" s="12" t="s">
        <v>82</v>
      </c>
      <c r="D683" s="13">
        <v>40649</v>
      </c>
      <c r="E683" s="12" t="s">
        <v>34</v>
      </c>
      <c r="F683" s="14">
        <v>21.05</v>
      </c>
      <c r="G683" s="19">
        <v>20</v>
      </c>
    </row>
    <row r="684" spans="1:7" x14ac:dyDescent="0.3">
      <c r="A684" s="18" t="s">
        <v>125</v>
      </c>
      <c r="B684" s="12" t="s">
        <v>115</v>
      </c>
      <c r="C684" s="12" t="s">
        <v>81</v>
      </c>
      <c r="D684" s="13">
        <v>40651</v>
      </c>
      <c r="E684" s="12" t="s">
        <v>6</v>
      </c>
      <c r="F684" s="14">
        <v>19</v>
      </c>
      <c r="G684" s="19">
        <v>12</v>
      </c>
    </row>
    <row r="685" spans="1:7" x14ac:dyDescent="0.3">
      <c r="A685" s="18" t="s">
        <v>125</v>
      </c>
      <c r="B685" s="12" t="s">
        <v>115</v>
      </c>
      <c r="C685" s="12" t="s">
        <v>81</v>
      </c>
      <c r="D685" s="13">
        <v>40651</v>
      </c>
      <c r="E685" s="12" t="s">
        <v>62</v>
      </c>
      <c r="F685" s="14">
        <v>10</v>
      </c>
      <c r="G685" s="19">
        <v>12</v>
      </c>
    </row>
    <row r="686" spans="1:7" x14ac:dyDescent="0.3">
      <c r="A686" s="18" t="s">
        <v>125</v>
      </c>
      <c r="B686" s="12" t="s">
        <v>115</v>
      </c>
      <c r="C686" s="12" t="s">
        <v>81</v>
      </c>
      <c r="D686" s="13">
        <v>40651</v>
      </c>
      <c r="E686" s="12" t="s">
        <v>48</v>
      </c>
      <c r="F686" s="14">
        <v>32.799999999999997</v>
      </c>
      <c r="G686" s="19">
        <v>10</v>
      </c>
    </row>
    <row r="687" spans="1:7" x14ac:dyDescent="0.3">
      <c r="A687" s="18" t="s">
        <v>125</v>
      </c>
      <c r="B687" s="12" t="s">
        <v>115</v>
      </c>
      <c r="C687" s="12" t="s">
        <v>81</v>
      </c>
      <c r="D687" s="13">
        <v>40651</v>
      </c>
      <c r="E687" s="12" t="s">
        <v>63</v>
      </c>
      <c r="F687" s="14">
        <v>28.5</v>
      </c>
      <c r="G687" s="19">
        <v>25</v>
      </c>
    </row>
    <row r="688" spans="1:7" x14ac:dyDescent="0.3">
      <c r="A688" s="18" t="s">
        <v>159</v>
      </c>
      <c r="B688" s="12" t="s">
        <v>160</v>
      </c>
      <c r="C688" s="12" t="s">
        <v>79</v>
      </c>
      <c r="D688" s="13">
        <v>40654</v>
      </c>
      <c r="E688" s="12" t="s">
        <v>66</v>
      </c>
      <c r="F688" s="14">
        <v>49.3</v>
      </c>
      <c r="G688" s="19">
        <v>3</v>
      </c>
    </row>
    <row r="689" spans="1:7" x14ac:dyDescent="0.3">
      <c r="A689" s="18" t="s">
        <v>153</v>
      </c>
      <c r="B689" s="12" t="s">
        <v>123</v>
      </c>
      <c r="C689" s="12" t="s">
        <v>78</v>
      </c>
      <c r="D689" s="13">
        <v>40665</v>
      </c>
      <c r="E689" s="12" t="s">
        <v>43</v>
      </c>
      <c r="F689" s="14">
        <v>14</v>
      </c>
      <c r="G689" s="19">
        <v>18</v>
      </c>
    </row>
    <row r="690" spans="1:7" x14ac:dyDescent="0.3">
      <c r="A690" s="18" t="s">
        <v>153</v>
      </c>
      <c r="B690" s="12" t="s">
        <v>123</v>
      </c>
      <c r="C690" s="12" t="s">
        <v>78</v>
      </c>
      <c r="D690" s="13">
        <v>40665</v>
      </c>
      <c r="E690" s="12" t="s">
        <v>45</v>
      </c>
      <c r="F690" s="14">
        <v>15</v>
      </c>
      <c r="G690" s="19">
        <v>14</v>
      </c>
    </row>
    <row r="691" spans="1:7" x14ac:dyDescent="0.3">
      <c r="A691" s="18" t="s">
        <v>171</v>
      </c>
      <c r="B691" s="12" t="s">
        <v>113</v>
      </c>
      <c r="C691" s="12" t="s">
        <v>84</v>
      </c>
      <c r="D691" s="13">
        <v>40655</v>
      </c>
      <c r="E691" s="12" t="s">
        <v>28</v>
      </c>
      <c r="F691" s="14">
        <v>46</v>
      </c>
      <c r="G691" s="19">
        <v>15</v>
      </c>
    </row>
    <row r="692" spans="1:7" x14ac:dyDescent="0.3">
      <c r="A692" s="18" t="s">
        <v>171</v>
      </c>
      <c r="B692" s="12" t="s">
        <v>113</v>
      </c>
      <c r="C692" s="12" t="s">
        <v>84</v>
      </c>
      <c r="D692" s="13">
        <v>40655</v>
      </c>
      <c r="E692" s="12" t="s">
        <v>10</v>
      </c>
      <c r="F692" s="14">
        <v>12.75</v>
      </c>
      <c r="G692" s="19">
        <v>15</v>
      </c>
    </row>
    <row r="693" spans="1:7" x14ac:dyDescent="0.3">
      <c r="A693" s="18" t="s">
        <v>182</v>
      </c>
      <c r="B693" s="12" t="s">
        <v>123</v>
      </c>
      <c r="C693" s="12" t="s">
        <v>83</v>
      </c>
      <c r="D693" s="13">
        <v>40676</v>
      </c>
      <c r="E693" s="12" t="s">
        <v>30</v>
      </c>
      <c r="F693" s="14">
        <v>6</v>
      </c>
      <c r="G693" s="19">
        <v>10</v>
      </c>
    </row>
    <row r="694" spans="1:7" x14ac:dyDescent="0.3">
      <c r="A694" s="18" t="s">
        <v>182</v>
      </c>
      <c r="B694" s="12" t="s">
        <v>123</v>
      </c>
      <c r="C694" s="12" t="s">
        <v>83</v>
      </c>
      <c r="D694" s="13">
        <v>40676</v>
      </c>
      <c r="E694" s="12" t="s">
        <v>7</v>
      </c>
      <c r="F694" s="14">
        <v>18</v>
      </c>
      <c r="G694" s="19">
        <v>10</v>
      </c>
    </row>
    <row r="695" spans="1:7" x14ac:dyDescent="0.3">
      <c r="A695" s="18" t="s">
        <v>193</v>
      </c>
      <c r="B695" s="12" t="s">
        <v>123</v>
      </c>
      <c r="C695" s="12" t="s">
        <v>81</v>
      </c>
      <c r="D695" s="13">
        <v>40662</v>
      </c>
      <c r="E695" s="12" t="s">
        <v>56</v>
      </c>
      <c r="F695" s="14">
        <v>45.6</v>
      </c>
      <c r="G695" s="19">
        <v>3</v>
      </c>
    </row>
    <row r="696" spans="1:7" x14ac:dyDescent="0.3">
      <c r="A696" s="18" t="s">
        <v>154</v>
      </c>
      <c r="B696" s="12" t="s">
        <v>115</v>
      </c>
      <c r="C696" s="12" t="s">
        <v>82</v>
      </c>
      <c r="D696" s="13">
        <v>40661</v>
      </c>
      <c r="E696" s="12" t="s">
        <v>68</v>
      </c>
      <c r="F696" s="14">
        <v>123.79</v>
      </c>
      <c r="G696" s="19">
        <v>36</v>
      </c>
    </row>
    <row r="697" spans="1:7" x14ac:dyDescent="0.3">
      <c r="A697" s="18" t="s">
        <v>154</v>
      </c>
      <c r="B697" s="12" t="s">
        <v>115</v>
      </c>
      <c r="C697" s="12" t="s">
        <v>82</v>
      </c>
      <c r="D697" s="13">
        <v>40661</v>
      </c>
      <c r="E697" s="12" t="s">
        <v>53</v>
      </c>
      <c r="F697" s="14">
        <v>7.75</v>
      </c>
      <c r="G697" s="19">
        <v>36</v>
      </c>
    </row>
    <row r="698" spans="1:7" x14ac:dyDescent="0.3">
      <c r="A698" s="18" t="s">
        <v>158</v>
      </c>
      <c r="B698" s="12" t="s">
        <v>101</v>
      </c>
      <c r="C698" s="12" t="s">
        <v>81</v>
      </c>
      <c r="D698" s="13">
        <v>40654</v>
      </c>
      <c r="E698" s="12" t="s">
        <v>8</v>
      </c>
      <c r="F698" s="14">
        <v>22</v>
      </c>
      <c r="G698" s="19">
        <v>50</v>
      </c>
    </row>
    <row r="699" spans="1:7" x14ac:dyDescent="0.3">
      <c r="A699" s="18" t="s">
        <v>158</v>
      </c>
      <c r="B699" s="12" t="s">
        <v>101</v>
      </c>
      <c r="C699" s="12" t="s">
        <v>81</v>
      </c>
      <c r="D699" s="13">
        <v>40654</v>
      </c>
      <c r="E699" s="12" t="s">
        <v>72</v>
      </c>
      <c r="F699" s="14">
        <v>30</v>
      </c>
      <c r="G699" s="19">
        <v>50</v>
      </c>
    </row>
    <row r="700" spans="1:7" x14ac:dyDescent="0.3">
      <c r="A700" s="18" t="s">
        <v>158</v>
      </c>
      <c r="B700" s="12" t="s">
        <v>101</v>
      </c>
      <c r="C700" s="12" t="s">
        <v>81</v>
      </c>
      <c r="D700" s="13">
        <v>40654</v>
      </c>
      <c r="E700" s="12" t="s">
        <v>42</v>
      </c>
      <c r="F700" s="14">
        <v>40</v>
      </c>
      <c r="G700" s="19">
        <v>10</v>
      </c>
    </row>
    <row r="701" spans="1:7" x14ac:dyDescent="0.3">
      <c r="A701" s="18" t="s">
        <v>164</v>
      </c>
      <c r="B701" s="12" t="s">
        <v>98</v>
      </c>
      <c r="C701" s="12" t="s">
        <v>84</v>
      </c>
      <c r="D701" s="13">
        <v>40657</v>
      </c>
      <c r="E701" s="12" t="s">
        <v>21</v>
      </c>
      <c r="F701" s="14">
        <v>4.5</v>
      </c>
      <c r="G701" s="19">
        <v>10</v>
      </c>
    </row>
    <row r="702" spans="1:7" x14ac:dyDescent="0.3">
      <c r="A702" s="18" t="s">
        <v>164</v>
      </c>
      <c r="B702" s="12" t="s">
        <v>98</v>
      </c>
      <c r="C702" s="12" t="s">
        <v>84</v>
      </c>
      <c r="D702" s="13">
        <v>40657</v>
      </c>
      <c r="E702" s="12" t="s">
        <v>64</v>
      </c>
      <c r="F702" s="14">
        <v>12</v>
      </c>
      <c r="G702" s="19">
        <v>9</v>
      </c>
    </row>
    <row r="703" spans="1:7" x14ac:dyDescent="0.3">
      <c r="A703" s="18" t="s">
        <v>164</v>
      </c>
      <c r="B703" s="12" t="s">
        <v>98</v>
      </c>
      <c r="C703" s="12" t="s">
        <v>84</v>
      </c>
      <c r="D703" s="13">
        <v>40657</v>
      </c>
      <c r="E703" s="12" t="s">
        <v>76</v>
      </c>
      <c r="F703" s="14">
        <v>9.5</v>
      </c>
      <c r="G703" s="19">
        <v>6</v>
      </c>
    </row>
    <row r="704" spans="1:7" x14ac:dyDescent="0.3">
      <c r="A704" s="18" t="s">
        <v>164</v>
      </c>
      <c r="B704" s="12" t="s">
        <v>98</v>
      </c>
      <c r="C704" s="12" t="s">
        <v>84</v>
      </c>
      <c r="D704" s="13">
        <v>40657</v>
      </c>
      <c r="E704" s="12" t="s">
        <v>3</v>
      </c>
      <c r="F704" s="14">
        <v>34</v>
      </c>
      <c r="G704" s="19">
        <v>12</v>
      </c>
    </row>
    <row r="705" spans="1:7" x14ac:dyDescent="0.3">
      <c r="A705" s="18" t="s">
        <v>145</v>
      </c>
      <c r="B705" s="12" t="s">
        <v>123</v>
      </c>
      <c r="C705" s="12" t="s">
        <v>84</v>
      </c>
      <c r="D705" s="13">
        <v>40661</v>
      </c>
      <c r="E705" s="12" t="s">
        <v>62</v>
      </c>
      <c r="F705" s="14">
        <v>10</v>
      </c>
      <c r="G705" s="19">
        <v>40</v>
      </c>
    </row>
    <row r="706" spans="1:7" x14ac:dyDescent="0.3">
      <c r="A706" s="18" t="s">
        <v>145</v>
      </c>
      <c r="B706" s="12" t="s">
        <v>123</v>
      </c>
      <c r="C706" s="12" t="s">
        <v>84</v>
      </c>
      <c r="D706" s="13">
        <v>40661</v>
      </c>
      <c r="E706" s="12" t="s">
        <v>37</v>
      </c>
      <c r="F706" s="14">
        <v>32</v>
      </c>
      <c r="G706" s="19">
        <v>50</v>
      </c>
    </row>
    <row r="707" spans="1:7" x14ac:dyDescent="0.3">
      <c r="A707" s="18" t="s">
        <v>145</v>
      </c>
      <c r="B707" s="12" t="s">
        <v>123</v>
      </c>
      <c r="C707" s="12" t="s">
        <v>84</v>
      </c>
      <c r="D707" s="13">
        <v>40661</v>
      </c>
      <c r="E707" s="12" t="s">
        <v>63</v>
      </c>
      <c r="F707" s="14">
        <v>28.5</v>
      </c>
      <c r="G707" s="19">
        <v>15</v>
      </c>
    </row>
    <row r="708" spans="1:7" x14ac:dyDescent="0.3">
      <c r="A708" s="18" t="s">
        <v>110</v>
      </c>
      <c r="B708" s="12" t="s">
        <v>111</v>
      </c>
      <c r="C708" s="12" t="s">
        <v>79</v>
      </c>
      <c r="D708" s="13">
        <v>40679</v>
      </c>
      <c r="E708" s="12" t="s">
        <v>61</v>
      </c>
      <c r="F708" s="14">
        <v>81</v>
      </c>
      <c r="G708" s="19">
        <v>39</v>
      </c>
    </row>
    <row r="709" spans="1:7" x14ac:dyDescent="0.3">
      <c r="A709" s="18" t="s">
        <v>110</v>
      </c>
      <c r="B709" s="12" t="s">
        <v>111</v>
      </c>
      <c r="C709" s="12" t="s">
        <v>79</v>
      </c>
      <c r="D709" s="13">
        <v>40679</v>
      </c>
      <c r="E709" s="12" t="s">
        <v>56</v>
      </c>
      <c r="F709" s="14">
        <v>45.6</v>
      </c>
      <c r="G709" s="19">
        <v>35</v>
      </c>
    </row>
    <row r="710" spans="1:7" x14ac:dyDescent="0.3">
      <c r="A710" s="18" t="s">
        <v>110</v>
      </c>
      <c r="B710" s="12" t="s">
        <v>111</v>
      </c>
      <c r="C710" s="12" t="s">
        <v>79</v>
      </c>
      <c r="D710" s="13">
        <v>40679</v>
      </c>
      <c r="E710" s="12" t="s">
        <v>17</v>
      </c>
      <c r="F710" s="14">
        <v>38</v>
      </c>
      <c r="G710" s="19">
        <v>70</v>
      </c>
    </row>
    <row r="711" spans="1:7" x14ac:dyDescent="0.3">
      <c r="A711" s="18" t="s">
        <v>110</v>
      </c>
      <c r="B711" s="12" t="s">
        <v>111</v>
      </c>
      <c r="C711" s="12" t="s">
        <v>79</v>
      </c>
      <c r="D711" s="13">
        <v>40679</v>
      </c>
      <c r="E711" s="12" t="s">
        <v>34</v>
      </c>
      <c r="F711" s="14">
        <v>21.05</v>
      </c>
      <c r="G711" s="19">
        <v>39</v>
      </c>
    </row>
    <row r="712" spans="1:7" x14ac:dyDescent="0.3">
      <c r="A712" s="18" t="s">
        <v>110</v>
      </c>
      <c r="B712" s="12" t="s">
        <v>111</v>
      </c>
      <c r="C712" s="12" t="s">
        <v>79</v>
      </c>
      <c r="D712" s="13">
        <v>40679</v>
      </c>
      <c r="E712" s="12" t="s">
        <v>53</v>
      </c>
      <c r="F712" s="14">
        <v>7.75</v>
      </c>
      <c r="G712" s="19">
        <v>50</v>
      </c>
    </row>
    <row r="713" spans="1:7" x14ac:dyDescent="0.3">
      <c r="A713" s="18" t="s">
        <v>127</v>
      </c>
      <c r="B713" s="12" t="s">
        <v>123</v>
      </c>
      <c r="C713" s="12" t="s">
        <v>77</v>
      </c>
      <c r="D713" s="13">
        <v>40686</v>
      </c>
      <c r="E713" s="12" t="s">
        <v>39</v>
      </c>
      <c r="F713" s="14">
        <v>97</v>
      </c>
      <c r="G713" s="19">
        <v>16</v>
      </c>
    </row>
    <row r="714" spans="1:7" x14ac:dyDescent="0.3">
      <c r="A714" s="18" t="s">
        <v>127</v>
      </c>
      <c r="B714" s="12" t="s">
        <v>123</v>
      </c>
      <c r="C714" s="12" t="s">
        <v>77</v>
      </c>
      <c r="D714" s="13">
        <v>40686</v>
      </c>
      <c r="E714" s="12" t="s">
        <v>47</v>
      </c>
      <c r="F714" s="14">
        <v>17.45</v>
      </c>
      <c r="G714" s="19">
        <v>50</v>
      </c>
    </row>
    <row r="715" spans="1:7" x14ac:dyDescent="0.3">
      <c r="A715" s="18" t="s">
        <v>127</v>
      </c>
      <c r="B715" s="12" t="s">
        <v>123</v>
      </c>
      <c r="C715" s="12" t="s">
        <v>77</v>
      </c>
      <c r="D715" s="13">
        <v>40686</v>
      </c>
      <c r="E715" s="12" t="s">
        <v>58</v>
      </c>
      <c r="F715" s="14">
        <v>43.9</v>
      </c>
      <c r="G715" s="19">
        <v>120</v>
      </c>
    </row>
    <row r="716" spans="1:7" x14ac:dyDescent="0.3">
      <c r="A716" s="18" t="s">
        <v>127</v>
      </c>
      <c r="B716" s="12" t="s">
        <v>123</v>
      </c>
      <c r="C716" s="12" t="s">
        <v>77</v>
      </c>
      <c r="D716" s="13">
        <v>40686</v>
      </c>
      <c r="E716" s="12" t="s">
        <v>15</v>
      </c>
      <c r="F716" s="14">
        <v>2.5</v>
      </c>
      <c r="G716" s="19">
        <v>16</v>
      </c>
    </row>
    <row r="717" spans="1:7" x14ac:dyDescent="0.3">
      <c r="A717" s="18" t="s">
        <v>127</v>
      </c>
      <c r="B717" s="12" t="s">
        <v>123</v>
      </c>
      <c r="C717" s="12" t="s">
        <v>77</v>
      </c>
      <c r="D717" s="13">
        <v>40686</v>
      </c>
      <c r="E717" s="12" t="s">
        <v>3</v>
      </c>
      <c r="F717" s="14">
        <v>34</v>
      </c>
      <c r="G717" s="19">
        <v>84</v>
      </c>
    </row>
    <row r="718" spans="1:7" x14ac:dyDescent="0.3">
      <c r="A718" s="18" t="s">
        <v>143</v>
      </c>
      <c r="B718" s="12" t="s">
        <v>144</v>
      </c>
      <c r="C718" s="12" t="s">
        <v>77</v>
      </c>
      <c r="D718" s="13">
        <v>40664</v>
      </c>
      <c r="E718" s="12" t="s">
        <v>4</v>
      </c>
      <c r="F718" s="14">
        <v>62.5</v>
      </c>
      <c r="G718" s="19">
        <v>25</v>
      </c>
    </row>
    <row r="719" spans="1:7" x14ac:dyDescent="0.3">
      <c r="A719" s="18" t="s">
        <v>143</v>
      </c>
      <c r="B719" s="12" t="s">
        <v>144</v>
      </c>
      <c r="C719" s="12" t="s">
        <v>77</v>
      </c>
      <c r="D719" s="13">
        <v>40664</v>
      </c>
      <c r="E719" s="12" t="s">
        <v>29</v>
      </c>
      <c r="F719" s="14">
        <v>9.65</v>
      </c>
      <c r="G719" s="19">
        <v>80</v>
      </c>
    </row>
    <row r="720" spans="1:7" x14ac:dyDescent="0.3">
      <c r="A720" s="18" t="s">
        <v>143</v>
      </c>
      <c r="B720" s="12" t="s">
        <v>144</v>
      </c>
      <c r="C720" s="12" t="s">
        <v>77</v>
      </c>
      <c r="D720" s="13">
        <v>40664</v>
      </c>
      <c r="E720" s="12" t="s">
        <v>60</v>
      </c>
      <c r="F720" s="14">
        <v>14</v>
      </c>
      <c r="G720" s="19">
        <v>20</v>
      </c>
    </row>
    <row r="721" spans="1:7" x14ac:dyDescent="0.3">
      <c r="A721" s="18" t="s">
        <v>194</v>
      </c>
      <c r="B721" s="12" t="s">
        <v>141</v>
      </c>
      <c r="C721" s="12" t="s">
        <v>79</v>
      </c>
      <c r="D721" s="13">
        <v>40662</v>
      </c>
      <c r="E721" s="12" t="s">
        <v>13</v>
      </c>
      <c r="F721" s="14">
        <v>7</v>
      </c>
      <c r="G721" s="19">
        <v>6</v>
      </c>
    </row>
    <row r="722" spans="1:7" x14ac:dyDescent="0.3">
      <c r="A722" s="18" t="s">
        <v>194</v>
      </c>
      <c r="B722" s="12" t="s">
        <v>141</v>
      </c>
      <c r="C722" s="12" t="s">
        <v>79</v>
      </c>
      <c r="D722" s="13">
        <v>40662</v>
      </c>
      <c r="E722" s="12" t="s">
        <v>51</v>
      </c>
      <c r="F722" s="14">
        <v>55</v>
      </c>
      <c r="G722" s="19">
        <v>4</v>
      </c>
    </row>
    <row r="723" spans="1:7" x14ac:dyDescent="0.3">
      <c r="A723" s="18" t="s">
        <v>194</v>
      </c>
      <c r="B723" s="12" t="s">
        <v>141</v>
      </c>
      <c r="C723" s="12" t="s">
        <v>79</v>
      </c>
      <c r="D723" s="13">
        <v>40662</v>
      </c>
      <c r="E723" s="12" t="s">
        <v>45</v>
      </c>
      <c r="F723" s="14">
        <v>15</v>
      </c>
      <c r="G723" s="19">
        <v>6</v>
      </c>
    </row>
    <row r="724" spans="1:7" x14ac:dyDescent="0.3">
      <c r="A724" s="18" t="s">
        <v>131</v>
      </c>
      <c r="B724" s="12" t="s">
        <v>113</v>
      </c>
      <c r="C724" s="12" t="s">
        <v>81</v>
      </c>
      <c r="D724" s="13">
        <v>40668</v>
      </c>
      <c r="E724" s="12" t="s">
        <v>21</v>
      </c>
      <c r="F724" s="14">
        <v>4.5</v>
      </c>
      <c r="G724" s="19">
        <v>5</v>
      </c>
    </row>
    <row r="725" spans="1:7" x14ac:dyDescent="0.3">
      <c r="A725" s="18" t="s">
        <v>131</v>
      </c>
      <c r="B725" s="12" t="s">
        <v>113</v>
      </c>
      <c r="C725" s="12" t="s">
        <v>81</v>
      </c>
      <c r="D725" s="13">
        <v>40668</v>
      </c>
      <c r="E725" s="12" t="s">
        <v>11</v>
      </c>
      <c r="F725" s="14">
        <v>263.5</v>
      </c>
      <c r="G725" s="19">
        <v>15</v>
      </c>
    </row>
    <row r="726" spans="1:7" x14ac:dyDescent="0.3">
      <c r="A726" s="18" t="s">
        <v>131</v>
      </c>
      <c r="B726" s="12" t="s">
        <v>113</v>
      </c>
      <c r="C726" s="12" t="s">
        <v>81</v>
      </c>
      <c r="D726" s="13">
        <v>40668</v>
      </c>
      <c r="E726" s="12" t="s">
        <v>23</v>
      </c>
      <c r="F726" s="14">
        <v>19.45</v>
      </c>
      <c r="G726" s="19">
        <v>9</v>
      </c>
    </row>
    <row r="727" spans="1:7" x14ac:dyDescent="0.3">
      <c r="A727" s="18" t="s">
        <v>104</v>
      </c>
      <c r="B727" s="12" t="s">
        <v>105</v>
      </c>
      <c r="C727" s="12" t="s">
        <v>82</v>
      </c>
      <c r="D727" s="13">
        <v>40664</v>
      </c>
      <c r="E727" s="12" t="s">
        <v>26</v>
      </c>
      <c r="F727" s="14">
        <v>31</v>
      </c>
      <c r="G727" s="19">
        <v>16</v>
      </c>
    </row>
    <row r="728" spans="1:7" x14ac:dyDescent="0.3">
      <c r="A728" s="18" t="s">
        <v>104</v>
      </c>
      <c r="B728" s="12" t="s">
        <v>105</v>
      </c>
      <c r="C728" s="12" t="s">
        <v>82</v>
      </c>
      <c r="D728" s="13">
        <v>40664</v>
      </c>
      <c r="E728" s="12" t="s">
        <v>17</v>
      </c>
      <c r="F728" s="14">
        <v>38</v>
      </c>
      <c r="G728" s="19">
        <v>40</v>
      </c>
    </row>
    <row r="729" spans="1:7" x14ac:dyDescent="0.3">
      <c r="A729" s="18" t="s">
        <v>104</v>
      </c>
      <c r="B729" s="12" t="s">
        <v>105</v>
      </c>
      <c r="C729" s="12" t="s">
        <v>82</v>
      </c>
      <c r="D729" s="13">
        <v>40664</v>
      </c>
      <c r="E729" s="12" t="s">
        <v>3</v>
      </c>
      <c r="F729" s="14">
        <v>34</v>
      </c>
      <c r="G729" s="19">
        <v>10</v>
      </c>
    </row>
    <row r="730" spans="1:7" x14ac:dyDescent="0.3">
      <c r="A730" s="18" t="s">
        <v>178</v>
      </c>
      <c r="B730" s="12" t="s">
        <v>179</v>
      </c>
      <c r="C730" s="12" t="s">
        <v>84</v>
      </c>
      <c r="D730" s="13">
        <v>40664</v>
      </c>
      <c r="E730" s="12" t="s">
        <v>21</v>
      </c>
      <c r="F730" s="14">
        <v>4.5</v>
      </c>
      <c r="G730" s="19">
        <v>8</v>
      </c>
    </row>
    <row r="731" spans="1:7" x14ac:dyDescent="0.3">
      <c r="A731" s="18" t="s">
        <v>178</v>
      </c>
      <c r="B731" s="12" t="s">
        <v>179</v>
      </c>
      <c r="C731" s="12" t="s">
        <v>84</v>
      </c>
      <c r="D731" s="13">
        <v>40664</v>
      </c>
      <c r="E731" s="12" t="s">
        <v>48</v>
      </c>
      <c r="F731" s="14">
        <v>32.799999999999997</v>
      </c>
      <c r="G731" s="19">
        <v>5</v>
      </c>
    </row>
    <row r="732" spans="1:7" x14ac:dyDescent="0.3">
      <c r="A732" s="18" t="s">
        <v>195</v>
      </c>
      <c r="B732" s="12" t="s">
        <v>185</v>
      </c>
      <c r="C732" s="12" t="s">
        <v>80</v>
      </c>
      <c r="D732" s="13">
        <v>40665</v>
      </c>
      <c r="E732" s="12" t="s">
        <v>65</v>
      </c>
      <c r="F732" s="14">
        <v>18</v>
      </c>
      <c r="G732" s="19">
        <v>3</v>
      </c>
    </row>
    <row r="733" spans="1:7" x14ac:dyDescent="0.3">
      <c r="A733" s="18" t="s">
        <v>195</v>
      </c>
      <c r="B733" s="12" t="s">
        <v>185</v>
      </c>
      <c r="C733" s="12" t="s">
        <v>80</v>
      </c>
      <c r="D733" s="13">
        <v>40665</v>
      </c>
      <c r="E733" s="12" t="s">
        <v>29</v>
      </c>
      <c r="F733" s="14">
        <v>9.65</v>
      </c>
      <c r="G733" s="19">
        <v>10</v>
      </c>
    </row>
    <row r="734" spans="1:7" x14ac:dyDescent="0.3">
      <c r="A734" s="18" t="s">
        <v>195</v>
      </c>
      <c r="B734" s="12" t="s">
        <v>185</v>
      </c>
      <c r="C734" s="12" t="s">
        <v>80</v>
      </c>
      <c r="D734" s="13">
        <v>40665</v>
      </c>
      <c r="E734" s="12" t="s">
        <v>59</v>
      </c>
      <c r="F734" s="14">
        <v>12.5</v>
      </c>
      <c r="G734" s="19">
        <v>6</v>
      </c>
    </row>
    <row r="735" spans="1:7" x14ac:dyDescent="0.3">
      <c r="A735" s="18" t="s">
        <v>134</v>
      </c>
      <c r="B735" s="12" t="s">
        <v>123</v>
      </c>
      <c r="C735" s="12" t="s">
        <v>81</v>
      </c>
      <c r="D735" s="13">
        <v>40669</v>
      </c>
      <c r="E735" s="12" t="s">
        <v>5</v>
      </c>
      <c r="F735" s="14">
        <v>18</v>
      </c>
      <c r="G735" s="19">
        <v>40</v>
      </c>
    </row>
    <row r="736" spans="1:7" x14ac:dyDescent="0.3">
      <c r="A736" s="18" t="s">
        <v>134</v>
      </c>
      <c r="B736" s="12" t="s">
        <v>123</v>
      </c>
      <c r="C736" s="12" t="s">
        <v>81</v>
      </c>
      <c r="D736" s="13">
        <v>40669</v>
      </c>
      <c r="E736" s="12" t="s">
        <v>42</v>
      </c>
      <c r="F736" s="14">
        <v>40</v>
      </c>
      <c r="G736" s="19">
        <v>24</v>
      </c>
    </row>
    <row r="737" spans="1:7" x14ac:dyDescent="0.3">
      <c r="A737" s="18" t="s">
        <v>134</v>
      </c>
      <c r="B737" s="12" t="s">
        <v>123</v>
      </c>
      <c r="C737" s="12" t="s">
        <v>81</v>
      </c>
      <c r="D737" s="13">
        <v>40669</v>
      </c>
      <c r="E737" s="12" t="s">
        <v>41</v>
      </c>
      <c r="F737" s="14">
        <v>25.89</v>
      </c>
      <c r="G737" s="19">
        <v>20</v>
      </c>
    </row>
    <row r="738" spans="1:7" x14ac:dyDescent="0.3">
      <c r="A738" s="18" t="s">
        <v>134</v>
      </c>
      <c r="B738" s="12" t="s">
        <v>123</v>
      </c>
      <c r="C738" s="12" t="s">
        <v>81</v>
      </c>
      <c r="D738" s="13">
        <v>40669</v>
      </c>
      <c r="E738" s="12" t="s">
        <v>2</v>
      </c>
      <c r="F738" s="14">
        <v>18.399999999999999</v>
      </c>
      <c r="G738" s="19">
        <v>25</v>
      </c>
    </row>
    <row r="739" spans="1:7" x14ac:dyDescent="0.3">
      <c r="A739" s="18" t="s">
        <v>168</v>
      </c>
      <c r="B739" s="12" t="s">
        <v>141</v>
      </c>
      <c r="C739" s="12" t="s">
        <v>84</v>
      </c>
      <c r="D739" s="13">
        <v>40693</v>
      </c>
      <c r="E739" s="12" t="s">
        <v>0</v>
      </c>
      <c r="F739" s="14">
        <v>39</v>
      </c>
      <c r="G739" s="19">
        <v>25</v>
      </c>
    </row>
    <row r="740" spans="1:7" x14ac:dyDescent="0.3">
      <c r="A740" s="18" t="s">
        <v>168</v>
      </c>
      <c r="B740" s="12" t="s">
        <v>141</v>
      </c>
      <c r="C740" s="12" t="s">
        <v>84</v>
      </c>
      <c r="D740" s="13">
        <v>40693</v>
      </c>
      <c r="E740" s="12" t="s">
        <v>61</v>
      </c>
      <c r="F740" s="14">
        <v>81</v>
      </c>
      <c r="G740" s="19">
        <v>15</v>
      </c>
    </row>
    <row r="741" spans="1:7" x14ac:dyDescent="0.3">
      <c r="A741" s="18" t="s">
        <v>168</v>
      </c>
      <c r="B741" s="12" t="s">
        <v>141</v>
      </c>
      <c r="C741" s="12" t="s">
        <v>84</v>
      </c>
      <c r="D741" s="13">
        <v>40693</v>
      </c>
      <c r="E741" s="12" t="s">
        <v>20</v>
      </c>
      <c r="F741" s="14">
        <v>26</v>
      </c>
      <c r="G741" s="19">
        <v>18</v>
      </c>
    </row>
    <row r="742" spans="1:7" x14ac:dyDescent="0.3">
      <c r="A742" s="18" t="s">
        <v>168</v>
      </c>
      <c r="B742" s="12" t="s">
        <v>141</v>
      </c>
      <c r="C742" s="12" t="s">
        <v>84</v>
      </c>
      <c r="D742" s="13">
        <v>40693</v>
      </c>
      <c r="E742" s="12" t="s">
        <v>29</v>
      </c>
      <c r="F742" s="14">
        <v>9.65</v>
      </c>
      <c r="G742" s="19">
        <v>6</v>
      </c>
    </row>
    <row r="743" spans="1:7" x14ac:dyDescent="0.3">
      <c r="A743" s="18" t="s">
        <v>133</v>
      </c>
      <c r="B743" s="12" t="s">
        <v>119</v>
      </c>
      <c r="C743" s="12" t="s">
        <v>83</v>
      </c>
      <c r="D743" s="13">
        <v>40670</v>
      </c>
      <c r="E743" s="12" t="s">
        <v>26</v>
      </c>
      <c r="F743" s="14">
        <v>31</v>
      </c>
      <c r="G743" s="19">
        <v>2</v>
      </c>
    </row>
    <row r="744" spans="1:7" x14ac:dyDescent="0.3">
      <c r="A744" s="18" t="s">
        <v>133</v>
      </c>
      <c r="B744" s="12" t="s">
        <v>119</v>
      </c>
      <c r="C744" s="12" t="s">
        <v>83</v>
      </c>
      <c r="D744" s="13">
        <v>40670</v>
      </c>
      <c r="E744" s="12" t="s">
        <v>41</v>
      </c>
      <c r="F744" s="14">
        <v>25.89</v>
      </c>
      <c r="G744" s="19">
        <v>10</v>
      </c>
    </row>
    <row r="745" spans="1:7" x14ac:dyDescent="0.3">
      <c r="A745" s="18" t="s">
        <v>133</v>
      </c>
      <c r="B745" s="12" t="s">
        <v>119</v>
      </c>
      <c r="C745" s="12" t="s">
        <v>83</v>
      </c>
      <c r="D745" s="13">
        <v>40670</v>
      </c>
      <c r="E745" s="12" t="s">
        <v>28</v>
      </c>
      <c r="F745" s="14">
        <v>46</v>
      </c>
      <c r="G745" s="19">
        <v>60</v>
      </c>
    </row>
    <row r="746" spans="1:7" x14ac:dyDescent="0.3">
      <c r="A746" s="18" t="s">
        <v>133</v>
      </c>
      <c r="B746" s="12" t="s">
        <v>119</v>
      </c>
      <c r="C746" s="12" t="s">
        <v>83</v>
      </c>
      <c r="D746" s="13">
        <v>40670</v>
      </c>
      <c r="E746" s="12" t="s">
        <v>70</v>
      </c>
      <c r="F746" s="14">
        <v>7.45</v>
      </c>
      <c r="G746" s="19">
        <v>15</v>
      </c>
    </row>
    <row r="747" spans="1:7" x14ac:dyDescent="0.3">
      <c r="A747" s="18" t="s">
        <v>158</v>
      </c>
      <c r="B747" s="12" t="s">
        <v>101</v>
      </c>
      <c r="C747" s="12" t="s">
        <v>83</v>
      </c>
      <c r="D747" s="13">
        <v>40686</v>
      </c>
      <c r="E747" s="12" t="s">
        <v>27</v>
      </c>
      <c r="F747" s="14">
        <v>19</v>
      </c>
      <c r="G747" s="19">
        <v>30</v>
      </c>
    </row>
    <row r="748" spans="1:7" x14ac:dyDescent="0.3">
      <c r="A748" s="18" t="s">
        <v>158</v>
      </c>
      <c r="B748" s="12" t="s">
        <v>101</v>
      </c>
      <c r="C748" s="12" t="s">
        <v>83</v>
      </c>
      <c r="D748" s="13">
        <v>40686</v>
      </c>
      <c r="E748" s="12" t="s">
        <v>2</v>
      </c>
      <c r="F748" s="14">
        <v>18.399999999999999</v>
      </c>
      <c r="G748" s="19">
        <v>15</v>
      </c>
    </row>
    <row r="749" spans="1:7" x14ac:dyDescent="0.3">
      <c r="A749" s="18" t="s">
        <v>121</v>
      </c>
      <c r="B749" s="12" t="s">
        <v>96</v>
      </c>
      <c r="C749" s="12" t="s">
        <v>81</v>
      </c>
      <c r="D749" s="13">
        <v>40678</v>
      </c>
      <c r="E749" s="12" t="s">
        <v>5</v>
      </c>
      <c r="F749" s="14">
        <v>18</v>
      </c>
      <c r="G749" s="19">
        <v>8</v>
      </c>
    </row>
    <row r="750" spans="1:7" x14ac:dyDescent="0.3">
      <c r="A750" s="18" t="s">
        <v>121</v>
      </c>
      <c r="B750" s="12" t="s">
        <v>96</v>
      </c>
      <c r="C750" s="12" t="s">
        <v>81</v>
      </c>
      <c r="D750" s="13">
        <v>40678</v>
      </c>
      <c r="E750" s="12" t="s">
        <v>30</v>
      </c>
      <c r="F750" s="14">
        <v>6</v>
      </c>
      <c r="G750" s="19">
        <v>10</v>
      </c>
    </row>
    <row r="751" spans="1:7" x14ac:dyDescent="0.3">
      <c r="A751" s="18" t="s">
        <v>121</v>
      </c>
      <c r="B751" s="12" t="s">
        <v>96</v>
      </c>
      <c r="C751" s="12" t="s">
        <v>81</v>
      </c>
      <c r="D751" s="13">
        <v>40678</v>
      </c>
      <c r="E751" s="12" t="s">
        <v>17</v>
      </c>
      <c r="F751" s="14">
        <v>38</v>
      </c>
      <c r="G751" s="19">
        <v>30</v>
      </c>
    </row>
    <row r="752" spans="1:7" x14ac:dyDescent="0.3">
      <c r="A752" s="18" t="s">
        <v>127</v>
      </c>
      <c r="B752" s="12" t="s">
        <v>123</v>
      </c>
      <c r="C752" s="12" t="s">
        <v>84</v>
      </c>
      <c r="D752" s="13">
        <v>40670</v>
      </c>
      <c r="E752" s="12" t="s">
        <v>8</v>
      </c>
      <c r="F752" s="14">
        <v>22</v>
      </c>
      <c r="G752" s="19">
        <v>50</v>
      </c>
    </row>
    <row r="753" spans="1:7" x14ac:dyDescent="0.3">
      <c r="A753" s="18" t="s">
        <v>127</v>
      </c>
      <c r="B753" s="12" t="s">
        <v>123</v>
      </c>
      <c r="C753" s="12" t="s">
        <v>84</v>
      </c>
      <c r="D753" s="13">
        <v>40670</v>
      </c>
      <c r="E753" s="12" t="s">
        <v>27</v>
      </c>
      <c r="F753" s="14">
        <v>19</v>
      </c>
      <c r="G753" s="19">
        <v>30</v>
      </c>
    </row>
    <row r="754" spans="1:7" x14ac:dyDescent="0.3">
      <c r="A754" s="18" t="s">
        <v>196</v>
      </c>
      <c r="B754" s="12" t="s">
        <v>115</v>
      </c>
      <c r="C754" s="12" t="s">
        <v>82</v>
      </c>
      <c r="D754" s="13">
        <v>40672</v>
      </c>
      <c r="E754" s="12" t="s">
        <v>49</v>
      </c>
      <c r="F754" s="14">
        <v>21</v>
      </c>
      <c r="G754" s="19">
        <v>3</v>
      </c>
    </row>
    <row r="755" spans="1:7" x14ac:dyDescent="0.3">
      <c r="A755" s="18" t="s">
        <v>196</v>
      </c>
      <c r="B755" s="12" t="s">
        <v>115</v>
      </c>
      <c r="C755" s="12" t="s">
        <v>82</v>
      </c>
      <c r="D755" s="13">
        <v>40672</v>
      </c>
      <c r="E755" s="12" t="s">
        <v>15</v>
      </c>
      <c r="F755" s="14">
        <v>2.5</v>
      </c>
      <c r="G755" s="19">
        <v>8</v>
      </c>
    </row>
    <row r="756" spans="1:7" x14ac:dyDescent="0.3">
      <c r="A756" s="18" t="s">
        <v>196</v>
      </c>
      <c r="B756" s="12" t="s">
        <v>115</v>
      </c>
      <c r="C756" s="12" t="s">
        <v>82</v>
      </c>
      <c r="D756" s="13">
        <v>40672</v>
      </c>
      <c r="E756" s="12" t="s">
        <v>40</v>
      </c>
      <c r="F756" s="14">
        <v>34.799999999999997</v>
      </c>
      <c r="G756" s="19">
        <v>9</v>
      </c>
    </row>
    <row r="757" spans="1:7" x14ac:dyDescent="0.3">
      <c r="A757" s="18" t="s">
        <v>197</v>
      </c>
      <c r="B757" s="12" t="s">
        <v>103</v>
      </c>
      <c r="C757" s="12" t="s">
        <v>85</v>
      </c>
      <c r="D757" s="13">
        <v>40672</v>
      </c>
      <c r="E757" s="12" t="s">
        <v>46</v>
      </c>
      <c r="F757" s="14">
        <v>24</v>
      </c>
      <c r="G757" s="19">
        <v>14</v>
      </c>
    </row>
    <row r="758" spans="1:7" x14ac:dyDescent="0.3">
      <c r="A758" s="18" t="s">
        <v>197</v>
      </c>
      <c r="B758" s="12" t="s">
        <v>103</v>
      </c>
      <c r="C758" s="12" t="s">
        <v>85</v>
      </c>
      <c r="D758" s="13">
        <v>40672</v>
      </c>
      <c r="E758" s="12" t="s">
        <v>59</v>
      </c>
      <c r="F758" s="14">
        <v>12.5</v>
      </c>
      <c r="G758" s="19">
        <v>20</v>
      </c>
    </row>
    <row r="759" spans="1:7" x14ac:dyDescent="0.3">
      <c r="A759" s="18" t="s">
        <v>197</v>
      </c>
      <c r="B759" s="12" t="s">
        <v>103</v>
      </c>
      <c r="C759" s="12" t="s">
        <v>85</v>
      </c>
      <c r="D759" s="13">
        <v>40672</v>
      </c>
      <c r="E759" s="12" t="s">
        <v>22</v>
      </c>
      <c r="F759" s="14">
        <v>36</v>
      </c>
      <c r="G759" s="19">
        <v>10</v>
      </c>
    </row>
    <row r="760" spans="1:7" x14ac:dyDescent="0.3">
      <c r="A760" s="18" t="s">
        <v>166</v>
      </c>
      <c r="B760" s="12" t="s">
        <v>111</v>
      </c>
      <c r="C760" s="12" t="s">
        <v>79</v>
      </c>
      <c r="D760" s="13">
        <v>40675</v>
      </c>
      <c r="E760" s="12" t="s">
        <v>0</v>
      </c>
      <c r="F760" s="14">
        <v>39</v>
      </c>
      <c r="G760" s="19">
        <v>40</v>
      </c>
    </row>
    <row r="761" spans="1:7" x14ac:dyDescent="0.3">
      <c r="A761" s="18" t="s">
        <v>166</v>
      </c>
      <c r="B761" s="12" t="s">
        <v>111</v>
      </c>
      <c r="C761" s="12" t="s">
        <v>79</v>
      </c>
      <c r="D761" s="13">
        <v>40675</v>
      </c>
      <c r="E761" s="12" t="s">
        <v>28</v>
      </c>
      <c r="F761" s="14">
        <v>46</v>
      </c>
      <c r="G761" s="19">
        <v>25</v>
      </c>
    </row>
    <row r="762" spans="1:7" x14ac:dyDescent="0.3">
      <c r="A762" s="18" t="s">
        <v>166</v>
      </c>
      <c r="B762" s="12" t="s">
        <v>111</v>
      </c>
      <c r="C762" s="12" t="s">
        <v>79</v>
      </c>
      <c r="D762" s="13">
        <v>40675</v>
      </c>
      <c r="E762" s="12" t="s">
        <v>63</v>
      </c>
      <c r="F762" s="14">
        <v>28.5</v>
      </c>
      <c r="G762" s="19">
        <v>20</v>
      </c>
    </row>
    <row r="763" spans="1:7" x14ac:dyDescent="0.3">
      <c r="A763" s="18" t="s">
        <v>166</v>
      </c>
      <c r="B763" s="12" t="s">
        <v>111</v>
      </c>
      <c r="C763" s="12" t="s">
        <v>79</v>
      </c>
      <c r="D763" s="13">
        <v>40675</v>
      </c>
      <c r="E763" s="12" t="s">
        <v>31</v>
      </c>
      <c r="F763" s="14">
        <v>18</v>
      </c>
      <c r="G763" s="19">
        <v>50</v>
      </c>
    </row>
    <row r="764" spans="1:7" x14ac:dyDescent="0.3">
      <c r="A764" s="18" t="s">
        <v>184</v>
      </c>
      <c r="B764" s="12" t="s">
        <v>185</v>
      </c>
      <c r="C764" s="12" t="s">
        <v>84</v>
      </c>
      <c r="D764" s="13">
        <v>40682</v>
      </c>
      <c r="E764" s="12" t="s">
        <v>51</v>
      </c>
      <c r="F764" s="14">
        <v>55</v>
      </c>
      <c r="G764" s="19">
        <v>2</v>
      </c>
    </row>
    <row r="765" spans="1:7" x14ac:dyDescent="0.3">
      <c r="A765" s="18" t="s">
        <v>170</v>
      </c>
      <c r="B765" s="12" t="s">
        <v>141</v>
      </c>
      <c r="C765" s="12" t="s">
        <v>84</v>
      </c>
      <c r="D765" s="13">
        <v>40675</v>
      </c>
      <c r="E765" s="12" t="s">
        <v>41</v>
      </c>
      <c r="F765" s="14">
        <v>25.89</v>
      </c>
      <c r="G765" s="19">
        <v>15</v>
      </c>
    </row>
    <row r="766" spans="1:7" x14ac:dyDescent="0.3">
      <c r="A766" s="18" t="s">
        <v>170</v>
      </c>
      <c r="B766" s="12" t="s">
        <v>141</v>
      </c>
      <c r="C766" s="12" t="s">
        <v>84</v>
      </c>
      <c r="D766" s="13">
        <v>40675</v>
      </c>
      <c r="E766" s="12" t="s">
        <v>35</v>
      </c>
      <c r="F766" s="14">
        <v>17</v>
      </c>
      <c r="G766" s="19">
        <v>24</v>
      </c>
    </row>
    <row r="767" spans="1:7" x14ac:dyDescent="0.3">
      <c r="A767" s="18" t="s">
        <v>118</v>
      </c>
      <c r="B767" s="12" t="s">
        <v>119</v>
      </c>
      <c r="C767" s="12" t="s">
        <v>80</v>
      </c>
      <c r="D767" s="13">
        <v>40685</v>
      </c>
      <c r="E767" s="12" t="s">
        <v>8</v>
      </c>
      <c r="F767" s="14">
        <v>22</v>
      </c>
      <c r="G767" s="19">
        <v>50</v>
      </c>
    </row>
    <row r="768" spans="1:7" x14ac:dyDescent="0.3">
      <c r="A768" s="18" t="s">
        <v>118</v>
      </c>
      <c r="B768" s="12" t="s">
        <v>119</v>
      </c>
      <c r="C768" s="12" t="s">
        <v>80</v>
      </c>
      <c r="D768" s="13">
        <v>40685</v>
      </c>
      <c r="E768" s="12" t="s">
        <v>40</v>
      </c>
      <c r="F768" s="14">
        <v>34.799999999999997</v>
      </c>
      <c r="G768" s="19">
        <v>24</v>
      </c>
    </row>
    <row r="769" spans="1:7" x14ac:dyDescent="0.3">
      <c r="A769" s="18" t="s">
        <v>118</v>
      </c>
      <c r="B769" s="12" t="s">
        <v>119</v>
      </c>
      <c r="C769" s="12" t="s">
        <v>80</v>
      </c>
      <c r="D769" s="13">
        <v>40685</v>
      </c>
      <c r="E769" s="12" t="s">
        <v>54</v>
      </c>
      <c r="F769" s="14">
        <v>15</v>
      </c>
      <c r="G769" s="19">
        <v>24</v>
      </c>
    </row>
    <row r="770" spans="1:7" x14ac:dyDescent="0.3">
      <c r="A770" s="18" t="s">
        <v>134</v>
      </c>
      <c r="B770" s="12" t="s">
        <v>123</v>
      </c>
      <c r="C770" s="12" t="s">
        <v>80</v>
      </c>
      <c r="D770" s="13">
        <v>40677</v>
      </c>
      <c r="E770" s="12" t="s">
        <v>41</v>
      </c>
      <c r="F770" s="14">
        <v>25.89</v>
      </c>
      <c r="G770" s="19">
        <v>10</v>
      </c>
    </row>
    <row r="771" spans="1:7" x14ac:dyDescent="0.3">
      <c r="A771" s="18" t="s">
        <v>134</v>
      </c>
      <c r="B771" s="12" t="s">
        <v>123</v>
      </c>
      <c r="C771" s="12" t="s">
        <v>80</v>
      </c>
      <c r="D771" s="13">
        <v>40677</v>
      </c>
      <c r="E771" s="12" t="s">
        <v>2</v>
      </c>
      <c r="F771" s="14">
        <v>18.399999999999999</v>
      </c>
      <c r="G771" s="19">
        <v>10</v>
      </c>
    </row>
    <row r="772" spans="1:7" x14ac:dyDescent="0.3">
      <c r="A772" s="18" t="s">
        <v>134</v>
      </c>
      <c r="B772" s="12" t="s">
        <v>123</v>
      </c>
      <c r="C772" s="12" t="s">
        <v>80</v>
      </c>
      <c r="D772" s="13">
        <v>40677</v>
      </c>
      <c r="E772" s="12" t="s">
        <v>70</v>
      </c>
      <c r="F772" s="14">
        <v>7.45</v>
      </c>
      <c r="G772" s="19">
        <v>10</v>
      </c>
    </row>
    <row r="773" spans="1:7" x14ac:dyDescent="0.3">
      <c r="A773" s="18" t="s">
        <v>171</v>
      </c>
      <c r="B773" s="12" t="s">
        <v>113</v>
      </c>
      <c r="C773" s="12" t="s">
        <v>81</v>
      </c>
      <c r="D773" s="13">
        <v>40684</v>
      </c>
      <c r="E773" s="12" t="s">
        <v>49</v>
      </c>
      <c r="F773" s="14">
        <v>21</v>
      </c>
      <c r="G773" s="19">
        <v>50</v>
      </c>
    </row>
    <row r="774" spans="1:7" x14ac:dyDescent="0.3">
      <c r="A774" s="18" t="s">
        <v>171</v>
      </c>
      <c r="B774" s="12" t="s">
        <v>113</v>
      </c>
      <c r="C774" s="12" t="s">
        <v>81</v>
      </c>
      <c r="D774" s="13">
        <v>40684</v>
      </c>
      <c r="E774" s="12" t="s">
        <v>2</v>
      </c>
      <c r="F774" s="14">
        <v>18.399999999999999</v>
      </c>
      <c r="G774" s="19">
        <v>10</v>
      </c>
    </row>
    <row r="775" spans="1:7" x14ac:dyDescent="0.3">
      <c r="A775" s="18" t="s">
        <v>171</v>
      </c>
      <c r="B775" s="12" t="s">
        <v>113</v>
      </c>
      <c r="C775" s="12" t="s">
        <v>81</v>
      </c>
      <c r="D775" s="13">
        <v>40684</v>
      </c>
      <c r="E775" s="12" t="s">
        <v>52</v>
      </c>
      <c r="F775" s="14">
        <v>19.5</v>
      </c>
      <c r="G775" s="19">
        <v>5</v>
      </c>
    </row>
    <row r="776" spans="1:7" x14ac:dyDescent="0.3">
      <c r="A776" s="18" t="s">
        <v>171</v>
      </c>
      <c r="B776" s="12" t="s">
        <v>113</v>
      </c>
      <c r="C776" s="12" t="s">
        <v>81</v>
      </c>
      <c r="D776" s="13">
        <v>40684</v>
      </c>
      <c r="E776" s="12" t="s">
        <v>51</v>
      </c>
      <c r="F776" s="14">
        <v>55</v>
      </c>
      <c r="G776" s="19">
        <v>15</v>
      </c>
    </row>
    <row r="777" spans="1:7" x14ac:dyDescent="0.3">
      <c r="A777" s="18" t="s">
        <v>134</v>
      </c>
      <c r="B777" s="12" t="s">
        <v>123</v>
      </c>
      <c r="C777" s="12" t="s">
        <v>79</v>
      </c>
      <c r="D777" s="13">
        <v>40700</v>
      </c>
      <c r="E777" s="12" t="s">
        <v>50</v>
      </c>
      <c r="F777" s="14">
        <v>38</v>
      </c>
      <c r="G777" s="19">
        <v>15</v>
      </c>
    </row>
    <row r="778" spans="1:7" x14ac:dyDescent="0.3">
      <c r="A778" s="18" t="s">
        <v>134</v>
      </c>
      <c r="B778" s="12" t="s">
        <v>123</v>
      </c>
      <c r="C778" s="12" t="s">
        <v>79</v>
      </c>
      <c r="D778" s="13">
        <v>40700</v>
      </c>
      <c r="E778" s="12" t="s">
        <v>18</v>
      </c>
      <c r="F778" s="14">
        <v>12.5</v>
      </c>
      <c r="G778" s="19">
        <v>20</v>
      </c>
    </row>
    <row r="779" spans="1:7" x14ac:dyDescent="0.3">
      <c r="A779" s="18" t="s">
        <v>134</v>
      </c>
      <c r="B779" s="12" t="s">
        <v>123</v>
      </c>
      <c r="C779" s="12" t="s">
        <v>79</v>
      </c>
      <c r="D779" s="13">
        <v>40700</v>
      </c>
      <c r="E779" s="12" t="s">
        <v>15</v>
      </c>
      <c r="F779" s="14">
        <v>2.5</v>
      </c>
      <c r="G779" s="19">
        <v>30</v>
      </c>
    </row>
    <row r="780" spans="1:7" x14ac:dyDescent="0.3">
      <c r="A780" s="18" t="s">
        <v>134</v>
      </c>
      <c r="B780" s="12" t="s">
        <v>123</v>
      </c>
      <c r="C780" s="12" t="s">
        <v>79</v>
      </c>
      <c r="D780" s="13">
        <v>40700</v>
      </c>
      <c r="E780" s="12" t="s">
        <v>3</v>
      </c>
      <c r="F780" s="14">
        <v>34</v>
      </c>
      <c r="G780" s="19">
        <v>35</v>
      </c>
    </row>
    <row r="781" spans="1:7" x14ac:dyDescent="0.3">
      <c r="A781" s="18" t="s">
        <v>106</v>
      </c>
      <c r="B781" s="12" t="s">
        <v>105</v>
      </c>
      <c r="C781" s="12" t="s">
        <v>83</v>
      </c>
      <c r="D781" s="13">
        <v>40682</v>
      </c>
      <c r="E781" s="12" t="s">
        <v>18</v>
      </c>
      <c r="F781" s="14">
        <v>12.5</v>
      </c>
      <c r="G781" s="19">
        <v>30</v>
      </c>
    </row>
    <row r="782" spans="1:7" x14ac:dyDescent="0.3">
      <c r="A782" s="18" t="s">
        <v>106</v>
      </c>
      <c r="B782" s="12" t="s">
        <v>105</v>
      </c>
      <c r="C782" s="12" t="s">
        <v>83</v>
      </c>
      <c r="D782" s="13">
        <v>40682</v>
      </c>
      <c r="E782" s="12" t="s">
        <v>36</v>
      </c>
      <c r="F782" s="14">
        <v>53</v>
      </c>
      <c r="G782" s="19">
        <v>6</v>
      </c>
    </row>
    <row r="783" spans="1:7" x14ac:dyDescent="0.3">
      <c r="A783" s="18" t="s">
        <v>106</v>
      </c>
      <c r="B783" s="12" t="s">
        <v>105</v>
      </c>
      <c r="C783" s="12" t="s">
        <v>83</v>
      </c>
      <c r="D783" s="13">
        <v>40682</v>
      </c>
      <c r="E783" s="12" t="s">
        <v>12</v>
      </c>
      <c r="F783" s="14">
        <v>13.25</v>
      </c>
      <c r="G783" s="19">
        <v>20</v>
      </c>
    </row>
    <row r="784" spans="1:7" x14ac:dyDescent="0.3">
      <c r="A784" s="18" t="s">
        <v>106</v>
      </c>
      <c r="B784" s="12" t="s">
        <v>105</v>
      </c>
      <c r="C784" s="12" t="s">
        <v>83</v>
      </c>
      <c r="D784" s="13">
        <v>40682</v>
      </c>
      <c r="E784" s="12" t="s">
        <v>40</v>
      </c>
      <c r="F784" s="14">
        <v>34.799999999999997</v>
      </c>
      <c r="G784" s="19">
        <v>21</v>
      </c>
    </row>
    <row r="785" spans="1:7" x14ac:dyDescent="0.3">
      <c r="A785" s="18" t="s">
        <v>106</v>
      </c>
      <c r="B785" s="12" t="s">
        <v>105</v>
      </c>
      <c r="C785" s="12" t="s">
        <v>83</v>
      </c>
      <c r="D785" s="13">
        <v>40682</v>
      </c>
      <c r="E785" s="12" t="s">
        <v>54</v>
      </c>
      <c r="F785" s="14">
        <v>15</v>
      </c>
      <c r="G785" s="19">
        <v>9</v>
      </c>
    </row>
    <row r="786" spans="1:7" x14ac:dyDescent="0.3">
      <c r="A786" s="18" t="s">
        <v>140</v>
      </c>
      <c r="B786" s="12" t="s">
        <v>141</v>
      </c>
      <c r="C786" s="12" t="s">
        <v>78</v>
      </c>
      <c r="D786" s="13">
        <v>40679</v>
      </c>
      <c r="E786" s="12" t="s">
        <v>45</v>
      </c>
      <c r="F786" s="14">
        <v>15</v>
      </c>
      <c r="G786" s="19">
        <v>7</v>
      </c>
    </row>
    <row r="787" spans="1:7" x14ac:dyDescent="0.3">
      <c r="A787" s="18" t="s">
        <v>140</v>
      </c>
      <c r="B787" s="12" t="s">
        <v>141</v>
      </c>
      <c r="C787" s="12" t="s">
        <v>78</v>
      </c>
      <c r="D787" s="13">
        <v>40679</v>
      </c>
      <c r="E787" s="12" t="s">
        <v>40</v>
      </c>
      <c r="F787" s="14">
        <v>34.799999999999997</v>
      </c>
      <c r="G787" s="19">
        <v>1</v>
      </c>
    </row>
    <row r="788" spans="1:7" x14ac:dyDescent="0.3">
      <c r="A788" s="18" t="s">
        <v>140</v>
      </c>
      <c r="B788" s="12" t="s">
        <v>141</v>
      </c>
      <c r="C788" s="12" t="s">
        <v>82</v>
      </c>
      <c r="D788" s="13">
        <v>40686</v>
      </c>
      <c r="E788" s="12" t="s">
        <v>30</v>
      </c>
      <c r="F788" s="14">
        <v>6</v>
      </c>
      <c r="G788" s="19">
        <v>8</v>
      </c>
    </row>
    <row r="789" spans="1:7" x14ac:dyDescent="0.3">
      <c r="A789" s="18" t="s">
        <v>140</v>
      </c>
      <c r="B789" s="12" t="s">
        <v>141</v>
      </c>
      <c r="C789" s="12" t="s">
        <v>82</v>
      </c>
      <c r="D789" s="13">
        <v>40686</v>
      </c>
      <c r="E789" s="12" t="s">
        <v>62</v>
      </c>
      <c r="F789" s="14">
        <v>10</v>
      </c>
      <c r="G789" s="19">
        <v>15</v>
      </c>
    </row>
    <row r="790" spans="1:7" x14ac:dyDescent="0.3">
      <c r="A790" s="18" t="s">
        <v>140</v>
      </c>
      <c r="B790" s="12" t="s">
        <v>141</v>
      </c>
      <c r="C790" s="12" t="s">
        <v>82</v>
      </c>
      <c r="D790" s="13">
        <v>40686</v>
      </c>
      <c r="E790" s="12" t="s">
        <v>15</v>
      </c>
      <c r="F790" s="14">
        <v>2.5</v>
      </c>
      <c r="G790" s="19">
        <v>15</v>
      </c>
    </row>
    <row r="791" spans="1:7" x14ac:dyDescent="0.3">
      <c r="A791" s="18" t="s">
        <v>140</v>
      </c>
      <c r="B791" s="12" t="s">
        <v>141</v>
      </c>
      <c r="C791" s="12" t="s">
        <v>82</v>
      </c>
      <c r="D791" s="13">
        <v>40686</v>
      </c>
      <c r="E791" s="12" t="s">
        <v>38</v>
      </c>
      <c r="F791" s="14">
        <v>20</v>
      </c>
      <c r="G791" s="19">
        <v>6</v>
      </c>
    </row>
    <row r="792" spans="1:7" x14ac:dyDescent="0.3">
      <c r="A792" s="18" t="s">
        <v>127</v>
      </c>
      <c r="B792" s="12" t="s">
        <v>123</v>
      </c>
      <c r="C792" s="12" t="s">
        <v>79</v>
      </c>
      <c r="D792" s="13">
        <v>40707</v>
      </c>
      <c r="E792" s="12" t="s">
        <v>1</v>
      </c>
      <c r="F792" s="14">
        <v>10</v>
      </c>
      <c r="G792" s="19">
        <v>60</v>
      </c>
    </row>
    <row r="793" spans="1:7" x14ac:dyDescent="0.3">
      <c r="A793" s="18" t="s">
        <v>127</v>
      </c>
      <c r="B793" s="12" t="s">
        <v>123</v>
      </c>
      <c r="C793" s="12" t="s">
        <v>79</v>
      </c>
      <c r="D793" s="13">
        <v>40707</v>
      </c>
      <c r="E793" s="12" t="s">
        <v>24</v>
      </c>
      <c r="F793" s="14">
        <v>31.23</v>
      </c>
      <c r="G793" s="19">
        <v>40</v>
      </c>
    </row>
    <row r="794" spans="1:7" x14ac:dyDescent="0.3">
      <c r="A794" s="18" t="s">
        <v>127</v>
      </c>
      <c r="B794" s="12" t="s">
        <v>123</v>
      </c>
      <c r="C794" s="12" t="s">
        <v>79</v>
      </c>
      <c r="D794" s="13">
        <v>40707</v>
      </c>
      <c r="E794" s="12" t="s">
        <v>11</v>
      </c>
      <c r="F794" s="14">
        <v>263.5</v>
      </c>
      <c r="G794" s="19">
        <v>30</v>
      </c>
    </row>
    <row r="795" spans="1:7" x14ac:dyDescent="0.3">
      <c r="A795" s="18" t="s">
        <v>127</v>
      </c>
      <c r="B795" s="12" t="s">
        <v>123</v>
      </c>
      <c r="C795" s="12" t="s">
        <v>79</v>
      </c>
      <c r="D795" s="13">
        <v>40707</v>
      </c>
      <c r="E795" s="12" t="s">
        <v>59</v>
      </c>
      <c r="F795" s="14">
        <v>12.5</v>
      </c>
      <c r="G795" s="19">
        <v>35</v>
      </c>
    </row>
    <row r="796" spans="1:7" x14ac:dyDescent="0.3">
      <c r="A796" s="18" t="s">
        <v>99</v>
      </c>
      <c r="B796" s="12" t="s">
        <v>98</v>
      </c>
      <c r="C796" s="12" t="s">
        <v>77</v>
      </c>
      <c r="D796" s="13">
        <v>40692</v>
      </c>
      <c r="E796" s="12" t="s">
        <v>21</v>
      </c>
      <c r="F796" s="14">
        <v>4.5</v>
      </c>
      <c r="G796" s="19">
        <v>35</v>
      </c>
    </row>
    <row r="797" spans="1:7" x14ac:dyDescent="0.3">
      <c r="A797" s="18" t="s">
        <v>99</v>
      </c>
      <c r="B797" s="12" t="s">
        <v>98</v>
      </c>
      <c r="C797" s="12" t="s">
        <v>77</v>
      </c>
      <c r="D797" s="13">
        <v>40692</v>
      </c>
      <c r="E797" s="12" t="s">
        <v>11</v>
      </c>
      <c r="F797" s="14">
        <v>263.5</v>
      </c>
      <c r="G797" s="19">
        <v>4</v>
      </c>
    </row>
    <row r="798" spans="1:7" x14ac:dyDescent="0.3">
      <c r="A798" s="18" t="s">
        <v>99</v>
      </c>
      <c r="B798" s="12" t="s">
        <v>98</v>
      </c>
      <c r="C798" s="12" t="s">
        <v>77</v>
      </c>
      <c r="D798" s="13">
        <v>40692</v>
      </c>
      <c r="E798" s="12" t="s">
        <v>34</v>
      </c>
      <c r="F798" s="14">
        <v>21.05</v>
      </c>
      <c r="G798" s="19">
        <v>36</v>
      </c>
    </row>
    <row r="799" spans="1:7" x14ac:dyDescent="0.3">
      <c r="A799" s="18" t="s">
        <v>99</v>
      </c>
      <c r="B799" s="12" t="s">
        <v>98</v>
      </c>
      <c r="C799" s="12" t="s">
        <v>77</v>
      </c>
      <c r="D799" s="13">
        <v>40692</v>
      </c>
      <c r="E799" s="12" t="s">
        <v>14</v>
      </c>
      <c r="F799" s="14">
        <v>21.5</v>
      </c>
      <c r="G799" s="19">
        <v>9</v>
      </c>
    </row>
    <row r="800" spans="1:7" x14ac:dyDescent="0.3">
      <c r="A800" s="18" t="s">
        <v>153</v>
      </c>
      <c r="B800" s="12" t="s">
        <v>123</v>
      </c>
      <c r="C800" s="12" t="s">
        <v>83</v>
      </c>
      <c r="D800" s="13">
        <v>40689</v>
      </c>
      <c r="E800" s="12" t="s">
        <v>49</v>
      </c>
      <c r="F800" s="14">
        <v>21</v>
      </c>
      <c r="G800" s="19">
        <v>15</v>
      </c>
    </row>
    <row r="801" spans="1:7" x14ac:dyDescent="0.3">
      <c r="A801" s="18" t="s">
        <v>153</v>
      </c>
      <c r="B801" s="12" t="s">
        <v>123</v>
      </c>
      <c r="C801" s="12" t="s">
        <v>83</v>
      </c>
      <c r="D801" s="13">
        <v>40689</v>
      </c>
      <c r="E801" s="12" t="s">
        <v>70</v>
      </c>
      <c r="F801" s="14">
        <v>7.45</v>
      </c>
      <c r="G801" s="19">
        <v>24</v>
      </c>
    </row>
    <row r="802" spans="1:7" x14ac:dyDescent="0.3">
      <c r="A802" s="18" t="s">
        <v>137</v>
      </c>
      <c r="B802" s="12" t="s">
        <v>109</v>
      </c>
      <c r="C802" s="12" t="s">
        <v>80</v>
      </c>
      <c r="D802" s="13">
        <v>40686</v>
      </c>
      <c r="E802" s="12" t="s">
        <v>50</v>
      </c>
      <c r="F802" s="14">
        <v>38</v>
      </c>
      <c r="G802" s="19">
        <v>30</v>
      </c>
    </row>
    <row r="803" spans="1:7" x14ac:dyDescent="0.3">
      <c r="A803" s="18" t="s">
        <v>137</v>
      </c>
      <c r="B803" s="12" t="s">
        <v>109</v>
      </c>
      <c r="C803" s="12" t="s">
        <v>80</v>
      </c>
      <c r="D803" s="13">
        <v>40686</v>
      </c>
      <c r="E803" s="12" t="s">
        <v>71</v>
      </c>
      <c r="F803" s="14">
        <v>9</v>
      </c>
      <c r="G803" s="19">
        <v>70</v>
      </c>
    </row>
    <row r="804" spans="1:7" x14ac:dyDescent="0.3">
      <c r="A804" s="18" t="s">
        <v>147</v>
      </c>
      <c r="B804" s="12" t="s">
        <v>115</v>
      </c>
      <c r="C804" s="12" t="s">
        <v>81</v>
      </c>
      <c r="D804" s="13">
        <v>40693</v>
      </c>
      <c r="E804" s="12" t="s">
        <v>56</v>
      </c>
      <c r="F804" s="14">
        <v>45.6</v>
      </c>
      <c r="G804" s="19">
        <v>7</v>
      </c>
    </row>
    <row r="805" spans="1:7" x14ac:dyDescent="0.3">
      <c r="A805" s="18" t="s">
        <v>147</v>
      </c>
      <c r="B805" s="12" t="s">
        <v>115</v>
      </c>
      <c r="C805" s="12" t="s">
        <v>81</v>
      </c>
      <c r="D805" s="13">
        <v>40693</v>
      </c>
      <c r="E805" s="12" t="s">
        <v>32</v>
      </c>
      <c r="F805" s="14">
        <v>14</v>
      </c>
      <c r="G805" s="19">
        <v>7</v>
      </c>
    </row>
    <row r="806" spans="1:7" x14ac:dyDescent="0.3">
      <c r="A806" s="18" t="s">
        <v>191</v>
      </c>
      <c r="B806" s="12" t="s">
        <v>115</v>
      </c>
      <c r="C806" s="12" t="s">
        <v>80</v>
      </c>
      <c r="D806" s="13">
        <v>40720</v>
      </c>
      <c r="E806" s="12" t="s">
        <v>49</v>
      </c>
      <c r="F806" s="14">
        <v>21</v>
      </c>
      <c r="G806" s="19">
        <v>10</v>
      </c>
    </row>
    <row r="807" spans="1:7" x14ac:dyDescent="0.3">
      <c r="A807" s="18" t="s">
        <v>100</v>
      </c>
      <c r="B807" s="12" t="s">
        <v>101</v>
      </c>
      <c r="C807" s="12" t="s">
        <v>83</v>
      </c>
      <c r="D807" s="13">
        <v>40690</v>
      </c>
      <c r="E807" s="12" t="s">
        <v>72</v>
      </c>
      <c r="F807" s="14">
        <v>30</v>
      </c>
      <c r="G807" s="19">
        <v>10</v>
      </c>
    </row>
    <row r="808" spans="1:7" x14ac:dyDescent="0.3">
      <c r="A808" s="18" t="s">
        <v>100</v>
      </c>
      <c r="B808" s="12" t="s">
        <v>101</v>
      </c>
      <c r="C808" s="12" t="s">
        <v>83</v>
      </c>
      <c r="D808" s="13">
        <v>40690</v>
      </c>
      <c r="E808" s="12" t="s">
        <v>65</v>
      </c>
      <c r="F808" s="14">
        <v>18</v>
      </c>
      <c r="G808" s="19">
        <v>30</v>
      </c>
    </row>
    <row r="809" spans="1:7" x14ac:dyDescent="0.3">
      <c r="A809" s="18" t="s">
        <v>100</v>
      </c>
      <c r="B809" s="12" t="s">
        <v>101</v>
      </c>
      <c r="C809" s="12" t="s">
        <v>83</v>
      </c>
      <c r="D809" s="13">
        <v>40690</v>
      </c>
      <c r="E809" s="12" t="s">
        <v>66</v>
      </c>
      <c r="F809" s="14">
        <v>49.3</v>
      </c>
      <c r="G809" s="19">
        <v>40</v>
      </c>
    </row>
    <row r="810" spans="1:7" x14ac:dyDescent="0.3">
      <c r="A810" s="18" t="s">
        <v>168</v>
      </c>
      <c r="B810" s="12" t="s">
        <v>141</v>
      </c>
      <c r="C810" s="12" t="s">
        <v>79</v>
      </c>
      <c r="D810" s="13">
        <v>40696</v>
      </c>
      <c r="E810" s="12" t="s">
        <v>37</v>
      </c>
      <c r="F810" s="14">
        <v>32</v>
      </c>
      <c r="G810" s="19">
        <v>24</v>
      </c>
    </row>
    <row r="811" spans="1:7" x14ac:dyDescent="0.3">
      <c r="A811" s="18" t="s">
        <v>168</v>
      </c>
      <c r="B811" s="12" t="s">
        <v>141</v>
      </c>
      <c r="C811" s="12" t="s">
        <v>79</v>
      </c>
      <c r="D811" s="13">
        <v>40696</v>
      </c>
      <c r="E811" s="12" t="s">
        <v>27</v>
      </c>
      <c r="F811" s="14">
        <v>19</v>
      </c>
      <c r="G811" s="19">
        <v>60</v>
      </c>
    </row>
    <row r="812" spans="1:7" x14ac:dyDescent="0.3">
      <c r="A812" s="18" t="s">
        <v>189</v>
      </c>
      <c r="B812" s="12" t="s">
        <v>123</v>
      </c>
      <c r="C812" s="12" t="s">
        <v>79</v>
      </c>
      <c r="D812" s="13">
        <v>40696</v>
      </c>
      <c r="E812" s="12" t="s">
        <v>57</v>
      </c>
      <c r="F812" s="14">
        <v>14</v>
      </c>
      <c r="G812" s="19">
        <v>10</v>
      </c>
    </row>
    <row r="813" spans="1:7" x14ac:dyDescent="0.3">
      <c r="A813" s="18" t="s">
        <v>189</v>
      </c>
      <c r="B813" s="12" t="s">
        <v>123</v>
      </c>
      <c r="C813" s="12" t="s">
        <v>79</v>
      </c>
      <c r="D813" s="13">
        <v>40696</v>
      </c>
      <c r="E813" s="12" t="s">
        <v>29</v>
      </c>
      <c r="F813" s="14">
        <v>9.65</v>
      </c>
      <c r="G813" s="19">
        <v>14</v>
      </c>
    </row>
    <row r="814" spans="1:7" x14ac:dyDescent="0.3">
      <c r="A814" s="18" t="s">
        <v>127</v>
      </c>
      <c r="B814" s="12" t="s">
        <v>123</v>
      </c>
      <c r="C814" s="12" t="s">
        <v>85</v>
      </c>
      <c r="D814" s="13">
        <v>40693</v>
      </c>
      <c r="E814" s="12" t="s">
        <v>18</v>
      </c>
      <c r="F814" s="14">
        <v>12.5</v>
      </c>
      <c r="G814" s="19">
        <v>55</v>
      </c>
    </row>
    <row r="815" spans="1:7" x14ac:dyDescent="0.3">
      <c r="A815" s="18" t="s">
        <v>127</v>
      </c>
      <c r="B815" s="12" t="s">
        <v>123</v>
      </c>
      <c r="C815" s="12" t="s">
        <v>85</v>
      </c>
      <c r="D815" s="13">
        <v>40693</v>
      </c>
      <c r="E815" s="12" t="s">
        <v>55</v>
      </c>
      <c r="F815" s="14">
        <v>9.5</v>
      </c>
      <c r="G815" s="19">
        <v>100</v>
      </c>
    </row>
    <row r="816" spans="1:7" x14ac:dyDescent="0.3">
      <c r="A816" s="18" t="s">
        <v>127</v>
      </c>
      <c r="B816" s="12" t="s">
        <v>123</v>
      </c>
      <c r="C816" s="12" t="s">
        <v>85</v>
      </c>
      <c r="D816" s="13">
        <v>40693</v>
      </c>
      <c r="E816" s="12" t="s">
        <v>36</v>
      </c>
      <c r="F816" s="14">
        <v>53</v>
      </c>
      <c r="G816" s="19">
        <v>48</v>
      </c>
    </row>
    <row r="817" spans="1:7" x14ac:dyDescent="0.3">
      <c r="A817" s="18" t="s">
        <v>146</v>
      </c>
      <c r="B817" s="12" t="s">
        <v>136</v>
      </c>
      <c r="C817" s="12" t="s">
        <v>84</v>
      </c>
      <c r="D817" s="13">
        <v>40700</v>
      </c>
      <c r="E817" s="12" t="s">
        <v>0</v>
      </c>
      <c r="F817" s="14">
        <v>39</v>
      </c>
      <c r="G817" s="19">
        <v>8</v>
      </c>
    </row>
    <row r="818" spans="1:7" x14ac:dyDescent="0.3">
      <c r="A818" s="18" t="s">
        <v>146</v>
      </c>
      <c r="B818" s="12" t="s">
        <v>136</v>
      </c>
      <c r="C818" s="12" t="s">
        <v>84</v>
      </c>
      <c r="D818" s="13">
        <v>40700</v>
      </c>
      <c r="E818" s="12" t="s">
        <v>67</v>
      </c>
      <c r="F818" s="14">
        <v>9.1999999999999993</v>
      </c>
      <c r="G818" s="19">
        <v>10</v>
      </c>
    </row>
    <row r="819" spans="1:7" x14ac:dyDescent="0.3">
      <c r="A819" s="18" t="s">
        <v>146</v>
      </c>
      <c r="B819" s="12" t="s">
        <v>136</v>
      </c>
      <c r="C819" s="12" t="s">
        <v>84</v>
      </c>
      <c r="D819" s="13">
        <v>40700</v>
      </c>
      <c r="E819" s="12" t="s">
        <v>62</v>
      </c>
      <c r="F819" s="14">
        <v>10</v>
      </c>
      <c r="G819" s="19">
        <v>6</v>
      </c>
    </row>
    <row r="820" spans="1:7" x14ac:dyDescent="0.3">
      <c r="A820" s="18" t="s">
        <v>146</v>
      </c>
      <c r="B820" s="12" t="s">
        <v>136</v>
      </c>
      <c r="C820" s="12" t="s">
        <v>84</v>
      </c>
      <c r="D820" s="13">
        <v>40700</v>
      </c>
      <c r="E820" s="12" t="s">
        <v>63</v>
      </c>
      <c r="F820" s="14">
        <v>28.5</v>
      </c>
      <c r="G820" s="19">
        <v>10</v>
      </c>
    </row>
    <row r="821" spans="1:7" x14ac:dyDescent="0.3">
      <c r="A821" s="18" t="s">
        <v>156</v>
      </c>
      <c r="B821" s="12" t="s">
        <v>157</v>
      </c>
      <c r="C821" s="12" t="s">
        <v>81</v>
      </c>
      <c r="D821" s="13">
        <v>40700</v>
      </c>
      <c r="E821" s="12" t="s">
        <v>47</v>
      </c>
      <c r="F821" s="14">
        <v>17.45</v>
      </c>
      <c r="G821" s="19">
        <v>40</v>
      </c>
    </row>
    <row r="822" spans="1:7" x14ac:dyDescent="0.3">
      <c r="A822" s="18" t="s">
        <v>156</v>
      </c>
      <c r="B822" s="12" t="s">
        <v>157</v>
      </c>
      <c r="C822" s="12" t="s">
        <v>81</v>
      </c>
      <c r="D822" s="13">
        <v>40700</v>
      </c>
      <c r="E822" s="12" t="s">
        <v>65</v>
      </c>
      <c r="F822" s="14">
        <v>18</v>
      </c>
      <c r="G822" s="19">
        <v>20</v>
      </c>
    </row>
    <row r="823" spans="1:7" x14ac:dyDescent="0.3">
      <c r="A823" s="18" t="s">
        <v>156</v>
      </c>
      <c r="B823" s="12" t="s">
        <v>157</v>
      </c>
      <c r="C823" s="12" t="s">
        <v>81</v>
      </c>
      <c r="D823" s="13">
        <v>40700</v>
      </c>
      <c r="E823" s="12" t="s">
        <v>23</v>
      </c>
      <c r="F823" s="14">
        <v>19.45</v>
      </c>
      <c r="G823" s="19">
        <v>40</v>
      </c>
    </row>
    <row r="824" spans="1:7" x14ac:dyDescent="0.3">
      <c r="A824" s="18" t="s">
        <v>108</v>
      </c>
      <c r="B824" s="12" t="s">
        <v>109</v>
      </c>
      <c r="C824" s="12" t="s">
        <v>77</v>
      </c>
      <c r="D824" s="13">
        <v>40699</v>
      </c>
      <c r="E824" s="12" t="s">
        <v>22</v>
      </c>
      <c r="F824" s="14">
        <v>36</v>
      </c>
      <c r="G824" s="19">
        <v>18</v>
      </c>
    </row>
    <row r="825" spans="1:7" x14ac:dyDescent="0.3">
      <c r="A825" s="18" t="s">
        <v>108</v>
      </c>
      <c r="B825" s="12" t="s">
        <v>109</v>
      </c>
      <c r="C825" s="12" t="s">
        <v>77</v>
      </c>
      <c r="D825" s="13">
        <v>40699</v>
      </c>
      <c r="E825" s="12" t="s">
        <v>53</v>
      </c>
      <c r="F825" s="14">
        <v>7.75</v>
      </c>
      <c r="G825" s="19">
        <v>30</v>
      </c>
    </row>
    <row r="826" spans="1:7" x14ac:dyDescent="0.3">
      <c r="A826" s="18" t="s">
        <v>121</v>
      </c>
      <c r="B826" s="12" t="s">
        <v>96</v>
      </c>
      <c r="C826" s="12" t="s">
        <v>77</v>
      </c>
      <c r="D826" s="13">
        <v>40697</v>
      </c>
      <c r="E826" s="12" t="s">
        <v>49</v>
      </c>
      <c r="F826" s="14">
        <v>21</v>
      </c>
      <c r="G826" s="19">
        <v>15</v>
      </c>
    </row>
    <row r="827" spans="1:7" x14ac:dyDescent="0.3">
      <c r="A827" s="18" t="s">
        <v>121</v>
      </c>
      <c r="B827" s="12" t="s">
        <v>96</v>
      </c>
      <c r="C827" s="12" t="s">
        <v>77</v>
      </c>
      <c r="D827" s="13">
        <v>40697</v>
      </c>
      <c r="E827" s="12" t="s">
        <v>47</v>
      </c>
      <c r="F827" s="14">
        <v>17.45</v>
      </c>
      <c r="G827" s="19">
        <v>14</v>
      </c>
    </row>
    <row r="828" spans="1:7" x14ac:dyDescent="0.3">
      <c r="A828" s="18" t="s">
        <v>121</v>
      </c>
      <c r="B828" s="12" t="s">
        <v>96</v>
      </c>
      <c r="C828" s="12" t="s">
        <v>77</v>
      </c>
      <c r="D828" s="13">
        <v>40697</v>
      </c>
      <c r="E828" s="12" t="s">
        <v>25</v>
      </c>
      <c r="F828" s="14">
        <v>21</v>
      </c>
      <c r="G828" s="19">
        <v>24</v>
      </c>
    </row>
    <row r="829" spans="1:7" x14ac:dyDescent="0.3">
      <c r="A829" s="18" t="s">
        <v>121</v>
      </c>
      <c r="B829" s="12" t="s">
        <v>96</v>
      </c>
      <c r="C829" s="12" t="s">
        <v>77</v>
      </c>
      <c r="D829" s="13">
        <v>40697</v>
      </c>
      <c r="E829" s="12" t="s">
        <v>18</v>
      </c>
      <c r="F829" s="14">
        <v>12.5</v>
      </c>
      <c r="G829" s="19">
        <v>30</v>
      </c>
    </row>
    <row r="830" spans="1:7" x14ac:dyDescent="0.3">
      <c r="A830" s="18" t="s">
        <v>121</v>
      </c>
      <c r="B830" s="12" t="s">
        <v>96</v>
      </c>
      <c r="C830" s="12" t="s">
        <v>77</v>
      </c>
      <c r="D830" s="13">
        <v>40697</v>
      </c>
      <c r="E830" s="12" t="s">
        <v>65</v>
      </c>
      <c r="F830" s="14">
        <v>18</v>
      </c>
      <c r="G830" s="19">
        <v>6</v>
      </c>
    </row>
    <row r="831" spans="1:7" x14ac:dyDescent="0.3">
      <c r="A831" s="18" t="s">
        <v>182</v>
      </c>
      <c r="B831" s="12" t="s">
        <v>123</v>
      </c>
      <c r="C831" s="12" t="s">
        <v>81</v>
      </c>
      <c r="D831" s="13">
        <v>40699</v>
      </c>
      <c r="E831" s="12" t="s">
        <v>47</v>
      </c>
      <c r="F831" s="14">
        <v>17.45</v>
      </c>
      <c r="G831" s="19">
        <v>30</v>
      </c>
    </row>
    <row r="832" spans="1:7" x14ac:dyDescent="0.3">
      <c r="A832" s="18" t="s">
        <v>182</v>
      </c>
      <c r="B832" s="12" t="s">
        <v>123</v>
      </c>
      <c r="C832" s="12" t="s">
        <v>81</v>
      </c>
      <c r="D832" s="13">
        <v>40699</v>
      </c>
      <c r="E832" s="12" t="s">
        <v>71</v>
      </c>
      <c r="F832" s="14">
        <v>9</v>
      </c>
      <c r="G832" s="19">
        <v>20</v>
      </c>
    </row>
    <row r="833" spans="1:7" x14ac:dyDescent="0.3">
      <c r="A833" s="18" t="s">
        <v>182</v>
      </c>
      <c r="B833" s="12" t="s">
        <v>123</v>
      </c>
      <c r="C833" s="12" t="s">
        <v>81</v>
      </c>
      <c r="D833" s="13">
        <v>40699</v>
      </c>
      <c r="E833" s="12" t="s">
        <v>66</v>
      </c>
      <c r="F833" s="14">
        <v>49.3</v>
      </c>
      <c r="G833" s="19">
        <v>20</v>
      </c>
    </row>
    <row r="834" spans="1:7" x14ac:dyDescent="0.3">
      <c r="A834" s="18" t="s">
        <v>182</v>
      </c>
      <c r="B834" s="12" t="s">
        <v>123</v>
      </c>
      <c r="C834" s="12" t="s">
        <v>81</v>
      </c>
      <c r="D834" s="13">
        <v>40699</v>
      </c>
      <c r="E834" s="12" t="s">
        <v>44</v>
      </c>
      <c r="F834" s="14">
        <v>13</v>
      </c>
      <c r="G834" s="19">
        <v>10</v>
      </c>
    </row>
    <row r="835" spans="1:7" x14ac:dyDescent="0.3">
      <c r="A835" s="18" t="s">
        <v>154</v>
      </c>
      <c r="B835" s="12" t="s">
        <v>115</v>
      </c>
      <c r="C835" s="12" t="s">
        <v>82</v>
      </c>
      <c r="D835" s="13">
        <v>40698</v>
      </c>
      <c r="E835" s="12" t="s">
        <v>69</v>
      </c>
      <c r="F835" s="14">
        <v>23.25</v>
      </c>
      <c r="G835" s="19">
        <v>30</v>
      </c>
    </row>
    <row r="836" spans="1:7" x14ac:dyDescent="0.3">
      <c r="A836" s="18" t="s">
        <v>154</v>
      </c>
      <c r="B836" s="12" t="s">
        <v>115</v>
      </c>
      <c r="C836" s="12" t="s">
        <v>82</v>
      </c>
      <c r="D836" s="13">
        <v>40698</v>
      </c>
      <c r="E836" s="12" t="s">
        <v>67</v>
      </c>
      <c r="F836" s="14">
        <v>9.1999999999999993</v>
      </c>
      <c r="G836" s="19">
        <v>35</v>
      </c>
    </row>
    <row r="837" spans="1:7" x14ac:dyDescent="0.3">
      <c r="A837" s="18" t="s">
        <v>154</v>
      </c>
      <c r="B837" s="12" t="s">
        <v>115</v>
      </c>
      <c r="C837" s="12" t="s">
        <v>82</v>
      </c>
      <c r="D837" s="13">
        <v>40698</v>
      </c>
      <c r="E837" s="12" t="s">
        <v>21</v>
      </c>
      <c r="F837" s="14">
        <v>4.5</v>
      </c>
      <c r="G837" s="19">
        <v>18</v>
      </c>
    </row>
    <row r="838" spans="1:7" x14ac:dyDescent="0.3">
      <c r="A838" s="18" t="s">
        <v>154</v>
      </c>
      <c r="B838" s="12" t="s">
        <v>115</v>
      </c>
      <c r="C838" s="12" t="s">
        <v>82</v>
      </c>
      <c r="D838" s="13">
        <v>40698</v>
      </c>
      <c r="E838" s="12" t="s">
        <v>36</v>
      </c>
      <c r="F838" s="14">
        <v>53</v>
      </c>
      <c r="G838" s="19">
        <v>20</v>
      </c>
    </row>
    <row r="839" spans="1:7" x14ac:dyDescent="0.3">
      <c r="A839" s="18" t="s">
        <v>154</v>
      </c>
      <c r="B839" s="12" t="s">
        <v>115</v>
      </c>
      <c r="C839" s="12" t="s">
        <v>82</v>
      </c>
      <c r="D839" s="13">
        <v>40698</v>
      </c>
      <c r="E839" s="12" t="s">
        <v>17</v>
      </c>
      <c r="F839" s="14">
        <v>38</v>
      </c>
      <c r="G839" s="19">
        <v>40</v>
      </c>
    </row>
    <row r="840" spans="1:7" x14ac:dyDescent="0.3">
      <c r="A840" s="18" t="s">
        <v>162</v>
      </c>
      <c r="B840" s="12" t="s">
        <v>163</v>
      </c>
      <c r="C840" s="12" t="s">
        <v>77</v>
      </c>
      <c r="D840" s="13">
        <v>40707</v>
      </c>
      <c r="E840" s="12" t="s">
        <v>40</v>
      </c>
      <c r="F840" s="14">
        <v>34.799999999999997</v>
      </c>
      <c r="G840" s="19">
        <v>24</v>
      </c>
    </row>
    <row r="841" spans="1:7" x14ac:dyDescent="0.3">
      <c r="A841" s="18" t="s">
        <v>134</v>
      </c>
      <c r="B841" s="12" t="s">
        <v>123</v>
      </c>
      <c r="C841" s="12" t="s">
        <v>78</v>
      </c>
      <c r="D841" s="13">
        <v>40700</v>
      </c>
      <c r="E841" s="12" t="s">
        <v>75</v>
      </c>
      <c r="F841" s="14">
        <v>33.25</v>
      </c>
      <c r="G841" s="19">
        <v>30</v>
      </c>
    </row>
    <row r="842" spans="1:7" x14ac:dyDescent="0.3">
      <c r="A842" s="18" t="s">
        <v>134</v>
      </c>
      <c r="B842" s="12" t="s">
        <v>123</v>
      </c>
      <c r="C842" s="12" t="s">
        <v>78</v>
      </c>
      <c r="D842" s="13">
        <v>40700</v>
      </c>
      <c r="E842" s="12" t="s">
        <v>53</v>
      </c>
      <c r="F842" s="14">
        <v>7.75</v>
      </c>
      <c r="G842" s="19">
        <v>20</v>
      </c>
    </row>
    <row r="843" spans="1:7" x14ac:dyDescent="0.3">
      <c r="A843" s="18" t="s">
        <v>167</v>
      </c>
      <c r="B843" s="12" t="s">
        <v>141</v>
      </c>
      <c r="C843" s="12" t="s">
        <v>83</v>
      </c>
      <c r="D843" s="13">
        <v>40704</v>
      </c>
      <c r="E843" s="12" t="s">
        <v>76</v>
      </c>
      <c r="F843" s="14">
        <v>9.5</v>
      </c>
      <c r="G843" s="19">
        <v>25</v>
      </c>
    </row>
    <row r="844" spans="1:7" x14ac:dyDescent="0.3">
      <c r="A844" s="18" t="s">
        <v>167</v>
      </c>
      <c r="B844" s="12" t="s">
        <v>141</v>
      </c>
      <c r="C844" s="12" t="s">
        <v>83</v>
      </c>
      <c r="D844" s="13">
        <v>40704</v>
      </c>
      <c r="E844" s="12" t="s">
        <v>36</v>
      </c>
      <c r="F844" s="14">
        <v>53</v>
      </c>
      <c r="G844" s="19">
        <v>20</v>
      </c>
    </row>
    <row r="845" spans="1:7" x14ac:dyDescent="0.3">
      <c r="A845" s="18" t="s">
        <v>167</v>
      </c>
      <c r="B845" s="12" t="s">
        <v>141</v>
      </c>
      <c r="C845" s="12" t="s">
        <v>83</v>
      </c>
      <c r="D845" s="13">
        <v>40704</v>
      </c>
      <c r="E845" s="12" t="s">
        <v>13</v>
      </c>
      <c r="F845" s="14">
        <v>7</v>
      </c>
      <c r="G845" s="19">
        <v>30</v>
      </c>
    </row>
    <row r="846" spans="1:7" x14ac:dyDescent="0.3">
      <c r="A846" s="18" t="s">
        <v>167</v>
      </c>
      <c r="B846" s="12" t="s">
        <v>141</v>
      </c>
      <c r="C846" s="12" t="s">
        <v>83</v>
      </c>
      <c r="D846" s="13">
        <v>40704</v>
      </c>
      <c r="E846" s="12" t="s">
        <v>48</v>
      </c>
      <c r="F846" s="14">
        <v>32.799999999999997</v>
      </c>
      <c r="G846" s="19">
        <v>18</v>
      </c>
    </row>
    <row r="847" spans="1:7" x14ac:dyDescent="0.3">
      <c r="A847" s="18" t="s">
        <v>167</v>
      </c>
      <c r="B847" s="12" t="s">
        <v>141</v>
      </c>
      <c r="C847" s="12" t="s">
        <v>83</v>
      </c>
      <c r="D847" s="13">
        <v>40704</v>
      </c>
      <c r="E847" s="12" t="s">
        <v>54</v>
      </c>
      <c r="F847" s="14">
        <v>15</v>
      </c>
      <c r="G847" s="19">
        <v>3</v>
      </c>
    </row>
    <row r="848" spans="1:7" x14ac:dyDescent="0.3">
      <c r="A848" s="18" t="s">
        <v>120</v>
      </c>
      <c r="B848" s="12" t="s">
        <v>101</v>
      </c>
      <c r="C848" s="12" t="s">
        <v>82</v>
      </c>
      <c r="D848" s="13">
        <v>40707</v>
      </c>
      <c r="E848" s="12" t="s">
        <v>29</v>
      </c>
      <c r="F848" s="14">
        <v>9.65</v>
      </c>
      <c r="G848" s="19">
        <v>12</v>
      </c>
    </row>
    <row r="849" spans="1:7" x14ac:dyDescent="0.3">
      <c r="A849" s="18" t="s">
        <v>120</v>
      </c>
      <c r="B849" s="12" t="s">
        <v>101</v>
      </c>
      <c r="C849" s="12" t="s">
        <v>82</v>
      </c>
      <c r="D849" s="13">
        <v>40707</v>
      </c>
      <c r="E849" s="12" t="s">
        <v>46</v>
      </c>
      <c r="F849" s="14">
        <v>24</v>
      </c>
      <c r="G849" s="19">
        <v>18</v>
      </c>
    </row>
    <row r="850" spans="1:7" x14ac:dyDescent="0.3">
      <c r="A850" s="18" t="s">
        <v>122</v>
      </c>
      <c r="B850" s="12" t="s">
        <v>123</v>
      </c>
      <c r="C850" s="12" t="s">
        <v>80</v>
      </c>
      <c r="D850" s="13">
        <v>40703</v>
      </c>
      <c r="E850" s="12" t="s">
        <v>41</v>
      </c>
      <c r="F850" s="14">
        <v>25.89</v>
      </c>
      <c r="G850" s="19">
        <v>20</v>
      </c>
    </row>
    <row r="851" spans="1:7" x14ac:dyDescent="0.3">
      <c r="A851" s="18" t="s">
        <v>122</v>
      </c>
      <c r="B851" s="12" t="s">
        <v>123</v>
      </c>
      <c r="C851" s="12" t="s">
        <v>80</v>
      </c>
      <c r="D851" s="13">
        <v>40703</v>
      </c>
      <c r="E851" s="12" t="s">
        <v>66</v>
      </c>
      <c r="F851" s="14">
        <v>49.3</v>
      </c>
      <c r="G851" s="19">
        <v>15</v>
      </c>
    </row>
    <row r="852" spans="1:7" x14ac:dyDescent="0.3">
      <c r="A852" s="18" t="s">
        <v>118</v>
      </c>
      <c r="B852" s="12" t="s">
        <v>119</v>
      </c>
      <c r="C852" s="12" t="s">
        <v>77</v>
      </c>
      <c r="D852" s="13">
        <v>40703</v>
      </c>
      <c r="E852" s="12" t="s">
        <v>23</v>
      </c>
      <c r="F852" s="14">
        <v>19.45</v>
      </c>
      <c r="G852" s="19">
        <v>10</v>
      </c>
    </row>
    <row r="853" spans="1:7" x14ac:dyDescent="0.3">
      <c r="A853" s="18" t="s">
        <v>118</v>
      </c>
      <c r="B853" s="12" t="s">
        <v>119</v>
      </c>
      <c r="C853" s="12" t="s">
        <v>77</v>
      </c>
      <c r="D853" s="13">
        <v>40703</v>
      </c>
      <c r="E853" s="12" t="s">
        <v>36</v>
      </c>
      <c r="F853" s="14">
        <v>53</v>
      </c>
      <c r="G853" s="19">
        <v>50</v>
      </c>
    </row>
    <row r="854" spans="1:7" x14ac:dyDescent="0.3">
      <c r="A854" s="18" t="s">
        <v>139</v>
      </c>
      <c r="B854" s="12" t="s">
        <v>130</v>
      </c>
      <c r="C854" s="12" t="s">
        <v>83</v>
      </c>
      <c r="D854" s="13">
        <v>40706</v>
      </c>
      <c r="E854" s="12" t="s">
        <v>15</v>
      </c>
      <c r="F854" s="14">
        <v>2.5</v>
      </c>
      <c r="G854" s="19">
        <v>20</v>
      </c>
    </row>
    <row r="855" spans="1:7" x14ac:dyDescent="0.3">
      <c r="A855" s="18" t="s">
        <v>139</v>
      </c>
      <c r="B855" s="12" t="s">
        <v>130</v>
      </c>
      <c r="C855" s="12" t="s">
        <v>83</v>
      </c>
      <c r="D855" s="13">
        <v>40706</v>
      </c>
      <c r="E855" s="12" t="s">
        <v>66</v>
      </c>
      <c r="F855" s="14">
        <v>49.3</v>
      </c>
      <c r="G855" s="19">
        <v>10</v>
      </c>
    </row>
    <row r="856" spans="1:7" x14ac:dyDescent="0.3">
      <c r="A856" s="18" t="s">
        <v>138</v>
      </c>
      <c r="B856" s="12" t="s">
        <v>98</v>
      </c>
      <c r="C856" s="12" t="s">
        <v>77</v>
      </c>
      <c r="D856" s="13">
        <v>40718</v>
      </c>
      <c r="E856" s="12" t="s">
        <v>27</v>
      </c>
      <c r="F856" s="14">
        <v>19</v>
      </c>
      <c r="G856" s="19">
        <v>25</v>
      </c>
    </row>
    <row r="857" spans="1:7" x14ac:dyDescent="0.3">
      <c r="A857" s="18" t="s">
        <v>138</v>
      </c>
      <c r="B857" s="12" t="s">
        <v>98</v>
      </c>
      <c r="C857" s="12" t="s">
        <v>77</v>
      </c>
      <c r="D857" s="13">
        <v>40718</v>
      </c>
      <c r="E857" s="12" t="s">
        <v>13</v>
      </c>
      <c r="F857" s="14">
        <v>7</v>
      </c>
      <c r="G857" s="19">
        <v>70</v>
      </c>
    </row>
    <row r="858" spans="1:7" x14ac:dyDescent="0.3">
      <c r="A858" s="18" t="s">
        <v>117</v>
      </c>
      <c r="B858" s="12" t="s">
        <v>115</v>
      </c>
      <c r="C858" s="12" t="s">
        <v>81</v>
      </c>
      <c r="D858" s="13">
        <v>40710</v>
      </c>
      <c r="E858" s="12" t="s">
        <v>0</v>
      </c>
      <c r="F858" s="14">
        <v>39</v>
      </c>
      <c r="G858" s="19">
        <v>16</v>
      </c>
    </row>
    <row r="859" spans="1:7" x14ac:dyDescent="0.3">
      <c r="A859" s="18" t="s">
        <v>117</v>
      </c>
      <c r="B859" s="12" t="s">
        <v>115</v>
      </c>
      <c r="C859" s="12" t="s">
        <v>81</v>
      </c>
      <c r="D859" s="13">
        <v>40710</v>
      </c>
      <c r="E859" s="12" t="s">
        <v>18</v>
      </c>
      <c r="F859" s="14">
        <v>12.5</v>
      </c>
      <c r="G859" s="19">
        <v>6</v>
      </c>
    </row>
    <row r="860" spans="1:7" x14ac:dyDescent="0.3">
      <c r="A860" s="18" t="s">
        <v>117</v>
      </c>
      <c r="B860" s="12" t="s">
        <v>115</v>
      </c>
      <c r="C860" s="12" t="s">
        <v>81</v>
      </c>
      <c r="D860" s="13">
        <v>40710</v>
      </c>
      <c r="E860" s="12" t="s">
        <v>46</v>
      </c>
      <c r="F860" s="14">
        <v>24</v>
      </c>
      <c r="G860" s="19">
        <v>25</v>
      </c>
    </row>
    <row r="861" spans="1:7" x14ac:dyDescent="0.3">
      <c r="A861" s="18" t="s">
        <v>159</v>
      </c>
      <c r="B861" s="12" t="s">
        <v>160</v>
      </c>
      <c r="C861" s="12" t="s">
        <v>80</v>
      </c>
      <c r="D861" s="13">
        <v>40712</v>
      </c>
      <c r="E861" s="12" t="s">
        <v>21</v>
      </c>
      <c r="F861" s="14">
        <v>4.5</v>
      </c>
      <c r="G861" s="19">
        <v>25</v>
      </c>
    </row>
    <row r="862" spans="1:7" x14ac:dyDescent="0.3">
      <c r="A862" s="18" t="s">
        <v>159</v>
      </c>
      <c r="B862" s="12" t="s">
        <v>160</v>
      </c>
      <c r="C862" s="12" t="s">
        <v>80</v>
      </c>
      <c r="D862" s="13">
        <v>40712</v>
      </c>
      <c r="E862" s="12" t="s">
        <v>75</v>
      </c>
      <c r="F862" s="14">
        <v>33.25</v>
      </c>
      <c r="G862" s="19">
        <v>18</v>
      </c>
    </row>
    <row r="863" spans="1:7" x14ac:dyDescent="0.3">
      <c r="A863" s="18" t="s">
        <v>120</v>
      </c>
      <c r="B863" s="12" t="s">
        <v>101</v>
      </c>
      <c r="C863" s="12" t="s">
        <v>78</v>
      </c>
      <c r="D863" s="13">
        <v>40712</v>
      </c>
      <c r="E863" s="12" t="s">
        <v>49</v>
      </c>
      <c r="F863" s="14">
        <v>21</v>
      </c>
      <c r="G863" s="19">
        <v>35</v>
      </c>
    </row>
    <row r="864" spans="1:7" x14ac:dyDescent="0.3">
      <c r="A864" s="18" t="s">
        <v>120</v>
      </c>
      <c r="B864" s="12" t="s">
        <v>101</v>
      </c>
      <c r="C864" s="12" t="s">
        <v>78</v>
      </c>
      <c r="D864" s="13">
        <v>40712</v>
      </c>
      <c r="E864" s="12" t="s">
        <v>4</v>
      </c>
      <c r="F864" s="14">
        <v>62.5</v>
      </c>
      <c r="G864" s="19">
        <v>18</v>
      </c>
    </row>
    <row r="865" spans="1:7" x14ac:dyDescent="0.3">
      <c r="A865" s="18" t="s">
        <v>120</v>
      </c>
      <c r="B865" s="12" t="s">
        <v>101</v>
      </c>
      <c r="C865" s="12" t="s">
        <v>78</v>
      </c>
      <c r="D865" s="13">
        <v>40712</v>
      </c>
      <c r="E865" s="12" t="s">
        <v>31</v>
      </c>
      <c r="F865" s="14">
        <v>18</v>
      </c>
      <c r="G865" s="19">
        <v>10</v>
      </c>
    </row>
    <row r="866" spans="1:7" x14ac:dyDescent="0.3">
      <c r="A866" s="18" t="s">
        <v>143</v>
      </c>
      <c r="B866" s="12" t="s">
        <v>144</v>
      </c>
      <c r="C866" s="12" t="s">
        <v>83</v>
      </c>
      <c r="D866" s="13">
        <v>40711</v>
      </c>
      <c r="E866" s="12" t="s">
        <v>18</v>
      </c>
      <c r="F866" s="14">
        <v>12.5</v>
      </c>
      <c r="G866" s="19">
        <v>60</v>
      </c>
    </row>
    <row r="867" spans="1:7" x14ac:dyDescent="0.3">
      <c r="A867" s="18" t="s">
        <v>143</v>
      </c>
      <c r="B867" s="12" t="s">
        <v>144</v>
      </c>
      <c r="C867" s="12" t="s">
        <v>83</v>
      </c>
      <c r="D867" s="13">
        <v>40711</v>
      </c>
      <c r="E867" s="12" t="s">
        <v>36</v>
      </c>
      <c r="F867" s="14">
        <v>53</v>
      </c>
      <c r="G867" s="19">
        <v>3</v>
      </c>
    </row>
    <row r="868" spans="1:7" x14ac:dyDescent="0.3">
      <c r="A868" s="18" t="s">
        <v>143</v>
      </c>
      <c r="B868" s="12" t="s">
        <v>144</v>
      </c>
      <c r="C868" s="12" t="s">
        <v>83</v>
      </c>
      <c r="D868" s="13">
        <v>40711</v>
      </c>
      <c r="E868" s="12" t="s">
        <v>51</v>
      </c>
      <c r="F868" s="14">
        <v>55</v>
      </c>
      <c r="G868" s="19">
        <v>40</v>
      </c>
    </row>
    <row r="869" spans="1:7" x14ac:dyDescent="0.3">
      <c r="A869" s="18" t="s">
        <v>172</v>
      </c>
      <c r="B869" s="12" t="s">
        <v>136</v>
      </c>
      <c r="C869" s="12" t="s">
        <v>79</v>
      </c>
      <c r="D869" s="13">
        <v>40733</v>
      </c>
      <c r="E869" s="12" t="s">
        <v>26</v>
      </c>
      <c r="F869" s="14">
        <v>31</v>
      </c>
      <c r="G869" s="19">
        <v>5</v>
      </c>
    </row>
    <row r="870" spans="1:7" x14ac:dyDescent="0.3">
      <c r="A870" s="18" t="s">
        <v>117</v>
      </c>
      <c r="B870" s="12" t="s">
        <v>115</v>
      </c>
      <c r="C870" s="12" t="s">
        <v>85</v>
      </c>
      <c r="D870" s="13">
        <v>40735</v>
      </c>
      <c r="E870" s="12" t="s">
        <v>18</v>
      </c>
      <c r="F870" s="14">
        <v>12.5</v>
      </c>
      <c r="G870" s="19">
        <v>35</v>
      </c>
    </row>
    <row r="871" spans="1:7" x14ac:dyDescent="0.3">
      <c r="A871" s="18" t="s">
        <v>117</v>
      </c>
      <c r="B871" s="12" t="s">
        <v>115</v>
      </c>
      <c r="C871" s="12" t="s">
        <v>85</v>
      </c>
      <c r="D871" s="13">
        <v>40735</v>
      </c>
      <c r="E871" s="12" t="s">
        <v>31</v>
      </c>
      <c r="F871" s="14">
        <v>18</v>
      </c>
      <c r="G871" s="19">
        <v>30</v>
      </c>
    </row>
    <row r="872" spans="1:7" x14ac:dyDescent="0.3">
      <c r="A872" s="18" t="s">
        <v>159</v>
      </c>
      <c r="B872" s="12" t="s">
        <v>160</v>
      </c>
      <c r="C872" s="12" t="s">
        <v>79</v>
      </c>
      <c r="D872" s="13">
        <v>40713</v>
      </c>
      <c r="E872" s="12" t="s">
        <v>49</v>
      </c>
      <c r="F872" s="14">
        <v>21</v>
      </c>
      <c r="G872" s="19">
        <v>15</v>
      </c>
    </row>
    <row r="873" spans="1:7" x14ac:dyDescent="0.3">
      <c r="A873" s="18" t="s">
        <v>159</v>
      </c>
      <c r="B873" s="12" t="s">
        <v>160</v>
      </c>
      <c r="C873" s="12" t="s">
        <v>79</v>
      </c>
      <c r="D873" s="13">
        <v>40713</v>
      </c>
      <c r="E873" s="12" t="s">
        <v>17</v>
      </c>
      <c r="F873" s="14">
        <v>38</v>
      </c>
      <c r="G873" s="19">
        <v>60</v>
      </c>
    </row>
    <row r="874" spans="1:7" x14ac:dyDescent="0.3">
      <c r="A874" s="18" t="s">
        <v>110</v>
      </c>
      <c r="B874" s="12" t="s">
        <v>111</v>
      </c>
      <c r="C874" s="12" t="s">
        <v>80</v>
      </c>
      <c r="D874" s="13">
        <v>40728</v>
      </c>
      <c r="E874" s="12" t="s">
        <v>69</v>
      </c>
      <c r="F874" s="14">
        <v>23.25</v>
      </c>
      <c r="G874" s="19">
        <v>11</v>
      </c>
    </row>
    <row r="875" spans="1:7" x14ac:dyDescent="0.3">
      <c r="A875" s="18" t="s">
        <v>110</v>
      </c>
      <c r="B875" s="12" t="s">
        <v>111</v>
      </c>
      <c r="C875" s="12" t="s">
        <v>80</v>
      </c>
      <c r="D875" s="13">
        <v>40728</v>
      </c>
      <c r="E875" s="12" t="s">
        <v>60</v>
      </c>
      <c r="F875" s="14">
        <v>14</v>
      </c>
      <c r="G875" s="19">
        <v>28</v>
      </c>
    </row>
    <row r="876" spans="1:7" x14ac:dyDescent="0.3">
      <c r="A876" s="18" t="s">
        <v>133</v>
      </c>
      <c r="B876" s="12" t="s">
        <v>119</v>
      </c>
      <c r="C876" s="12" t="s">
        <v>79</v>
      </c>
      <c r="D876" s="13">
        <v>40719</v>
      </c>
      <c r="E876" s="12" t="s">
        <v>47</v>
      </c>
      <c r="F876" s="14">
        <v>17.45</v>
      </c>
      <c r="G876" s="19">
        <v>12</v>
      </c>
    </row>
    <row r="877" spans="1:7" x14ac:dyDescent="0.3">
      <c r="A877" s="18" t="s">
        <v>133</v>
      </c>
      <c r="B877" s="12" t="s">
        <v>119</v>
      </c>
      <c r="C877" s="12" t="s">
        <v>79</v>
      </c>
      <c r="D877" s="13">
        <v>40719</v>
      </c>
      <c r="E877" s="12" t="s">
        <v>37</v>
      </c>
      <c r="F877" s="14">
        <v>32</v>
      </c>
      <c r="G877" s="19">
        <v>10</v>
      </c>
    </row>
    <row r="878" spans="1:7" x14ac:dyDescent="0.3">
      <c r="A878" s="18" t="s">
        <v>133</v>
      </c>
      <c r="B878" s="12" t="s">
        <v>119</v>
      </c>
      <c r="C878" s="12" t="s">
        <v>79</v>
      </c>
      <c r="D878" s="13">
        <v>40719</v>
      </c>
      <c r="E878" s="12" t="s">
        <v>2</v>
      </c>
      <c r="F878" s="14">
        <v>18.399999999999999</v>
      </c>
      <c r="G878" s="19">
        <v>50</v>
      </c>
    </row>
    <row r="879" spans="1:7" x14ac:dyDescent="0.3">
      <c r="A879" s="18" t="s">
        <v>133</v>
      </c>
      <c r="B879" s="12" t="s">
        <v>119</v>
      </c>
      <c r="C879" s="12" t="s">
        <v>79</v>
      </c>
      <c r="D879" s="13">
        <v>40719</v>
      </c>
      <c r="E879" s="12" t="s">
        <v>53</v>
      </c>
      <c r="F879" s="14">
        <v>7.75</v>
      </c>
      <c r="G879" s="19">
        <v>15</v>
      </c>
    </row>
    <row r="880" spans="1:7" x14ac:dyDescent="0.3">
      <c r="A880" s="18" t="s">
        <v>171</v>
      </c>
      <c r="B880" s="12" t="s">
        <v>113</v>
      </c>
      <c r="C880" s="12" t="s">
        <v>84</v>
      </c>
      <c r="D880" s="13">
        <v>40714</v>
      </c>
      <c r="E880" s="12" t="s">
        <v>0</v>
      </c>
      <c r="F880" s="14">
        <v>39</v>
      </c>
      <c r="G880" s="19">
        <v>18</v>
      </c>
    </row>
    <row r="881" spans="1:7" x14ac:dyDescent="0.3">
      <c r="A881" s="18" t="s">
        <v>171</v>
      </c>
      <c r="B881" s="12" t="s">
        <v>113</v>
      </c>
      <c r="C881" s="12" t="s">
        <v>84</v>
      </c>
      <c r="D881" s="13">
        <v>40714</v>
      </c>
      <c r="E881" s="12" t="s">
        <v>57</v>
      </c>
      <c r="F881" s="14">
        <v>14</v>
      </c>
      <c r="G881" s="19">
        <v>40</v>
      </c>
    </row>
    <row r="882" spans="1:7" x14ac:dyDescent="0.3">
      <c r="A882" s="18" t="s">
        <v>171</v>
      </c>
      <c r="B882" s="12" t="s">
        <v>113</v>
      </c>
      <c r="C882" s="12" t="s">
        <v>84</v>
      </c>
      <c r="D882" s="13">
        <v>40714</v>
      </c>
      <c r="E882" s="12" t="s">
        <v>48</v>
      </c>
      <c r="F882" s="14">
        <v>32.799999999999997</v>
      </c>
      <c r="G882" s="19">
        <v>25</v>
      </c>
    </row>
    <row r="883" spans="1:7" x14ac:dyDescent="0.3">
      <c r="A883" s="18" t="s">
        <v>198</v>
      </c>
      <c r="B883" s="12" t="s">
        <v>115</v>
      </c>
      <c r="C883" s="12" t="s">
        <v>81</v>
      </c>
      <c r="D883" s="13">
        <v>40724</v>
      </c>
      <c r="E883" s="12" t="s">
        <v>15</v>
      </c>
      <c r="F883" s="14">
        <v>2.5</v>
      </c>
      <c r="G883" s="19">
        <v>14</v>
      </c>
    </row>
    <row r="884" spans="1:7" x14ac:dyDescent="0.3">
      <c r="A884" s="18" t="s">
        <v>198</v>
      </c>
      <c r="B884" s="12" t="s">
        <v>115</v>
      </c>
      <c r="C884" s="12" t="s">
        <v>81</v>
      </c>
      <c r="D884" s="13">
        <v>40724</v>
      </c>
      <c r="E884" s="12" t="s">
        <v>2</v>
      </c>
      <c r="F884" s="14">
        <v>18.399999999999999</v>
      </c>
      <c r="G884" s="19">
        <v>2</v>
      </c>
    </row>
    <row r="885" spans="1:7" x14ac:dyDescent="0.3">
      <c r="A885" s="18" t="s">
        <v>198</v>
      </c>
      <c r="B885" s="12" t="s">
        <v>115</v>
      </c>
      <c r="C885" s="12" t="s">
        <v>81</v>
      </c>
      <c r="D885" s="13">
        <v>40724</v>
      </c>
      <c r="E885" s="12" t="s">
        <v>66</v>
      </c>
      <c r="F885" s="14">
        <v>49.3</v>
      </c>
      <c r="G885" s="19">
        <v>10</v>
      </c>
    </row>
    <row r="886" spans="1:7" x14ac:dyDescent="0.3">
      <c r="A886" s="18" t="s">
        <v>198</v>
      </c>
      <c r="B886" s="12" t="s">
        <v>115</v>
      </c>
      <c r="C886" s="12" t="s">
        <v>81</v>
      </c>
      <c r="D886" s="13">
        <v>40724</v>
      </c>
      <c r="E886" s="12" t="s">
        <v>75</v>
      </c>
      <c r="F886" s="14">
        <v>33.25</v>
      </c>
      <c r="G886" s="19">
        <v>6</v>
      </c>
    </row>
    <row r="887" spans="1:7" x14ac:dyDescent="0.3">
      <c r="A887" s="18" t="s">
        <v>132</v>
      </c>
      <c r="B887" s="12" t="s">
        <v>123</v>
      </c>
      <c r="C887" s="12" t="s">
        <v>85</v>
      </c>
      <c r="D887" s="13">
        <v>40724</v>
      </c>
      <c r="E887" s="12" t="s">
        <v>51</v>
      </c>
      <c r="F887" s="14">
        <v>55</v>
      </c>
      <c r="G887" s="19">
        <v>12</v>
      </c>
    </row>
    <row r="888" spans="1:7" x14ac:dyDescent="0.3">
      <c r="A888" s="18" t="s">
        <v>132</v>
      </c>
      <c r="B888" s="12" t="s">
        <v>123</v>
      </c>
      <c r="C888" s="12" t="s">
        <v>85</v>
      </c>
      <c r="D888" s="13">
        <v>40724</v>
      </c>
      <c r="E888" s="12" t="s">
        <v>74</v>
      </c>
      <c r="F888" s="14">
        <v>43.9</v>
      </c>
      <c r="G888" s="19">
        <v>6</v>
      </c>
    </row>
    <row r="889" spans="1:7" x14ac:dyDescent="0.3">
      <c r="A889" s="18" t="s">
        <v>132</v>
      </c>
      <c r="B889" s="12" t="s">
        <v>123</v>
      </c>
      <c r="C889" s="12" t="s">
        <v>85</v>
      </c>
      <c r="D889" s="13">
        <v>40724</v>
      </c>
      <c r="E889" s="12" t="s">
        <v>40</v>
      </c>
      <c r="F889" s="14">
        <v>34.799999999999997</v>
      </c>
      <c r="G889" s="19">
        <v>30</v>
      </c>
    </row>
    <row r="890" spans="1:7" x14ac:dyDescent="0.3">
      <c r="A890" s="18" t="s">
        <v>132</v>
      </c>
      <c r="B890" s="12" t="s">
        <v>123</v>
      </c>
      <c r="C890" s="12" t="s">
        <v>85</v>
      </c>
      <c r="D890" s="13">
        <v>40724</v>
      </c>
      <c r="E890" s="12" t="s">
        <v>31</v>
      </c>
      <c r="F890" s="14">
        <v>18</v>
      </c>
      <c r="G890" s="19">
        <v>10</v>
      </c>
    </row>
    <row r="891" spans="1:7" x14ac:dyDescent="0.3">
      <c r="A891" s="18" t="s">
        <v>131</v>
      </c>
      <c r="B891" s="12" t="s">
        <v>113</v>
      </c>
      <c r="C891" s="12" t="s">
        <v>79</v>
      </c>
      <c r="D891" s="13">
        <v>40724</v>
      </c>
      <c r="E891" s="12" t="s">
        <v>5</v>
      </c>
      <c r="F891" s="14">
        <v>18</v>
      </c>
      <c r="G891" s="19">
        <v>10</v>
      </c>
    </row>
    <row r="892" spans="1:7" x14ac:dyDescent="0.3">
      <c r="A892" s="18" t="s">
        <v>131</v>
      </c>
      <c r="B892" s="12" t="s">
        <v>113</v>
      </c>
      <c r="C892" s="12" t="s">
        <v>79</v>
      </c>
      <c r="D892" s="13">
        <v>40724</v>
      </c>
      <c r="E892" s="12" t="s">
        <v>18</v>
      </c>
      <c r="F892" s="14">
        <v>12.5</v>
      </c>
      <c r="G892" s="19">
        <v>20</v>
      </c>
    </row>
    <row r="893" spans="1:7" x14ac:dyDescent="0.3">
      <c r="A893" s="18" t="s">
        <v>131</v>
      </c>
      <c r="B893" s="12" t="s">
        <v>113</v>
      </c>
      <c r="C893" s="12" t="s">
        <v>79</v>
      </c>
      <c r="D893" s="13">
        <v>40724</v>
      </c>
      <c r="E893" s="12" t="s">
        <v>23</v>
      </c>
      <c r="F893" s="14">
        <v>19.45</v>
      </c>
      <c r="G893" s="19">
        <v>21</v>
      </c>
    </row>
    <row r="894" spans="1:7" x14ac:dyDescent="0.3">
      <c r="A894" s="18" t="s">
        <v>198</v>
      </c>
      <c r="B894" s="12" t="s">
        <v>115</v>
      </c>
      <c r="C894" s="12" t="s">
        <v>78</v>
      </c>
      <c r="D894" s="13">
        <v>40724</v>
      </c>
      <c r="E894" s="12" t="s">
        <v>7</v>
      </c>
      <c r="F894" s="14">
        <v>18</v>
      </c>
      <c r="G894" s="19">
        <v>10</v>
      </c>
    </row>
    <row r="895" spans="1:7" x14ac:dyDescent="0.3">
      <c r="A895" s="18" t="s">
        <v>198</v>
      </c>
      <c r="B895" s="12" t="s">
        <v>115</v>
      </c>
      <c r="C895" s="12" t="s">
        <v>78</v>
      </c>
      <c r="D895" s="13">
        <v>40724</v>
      </c>
      <c r="E895" s="12" t="s">
        <v>53</v>
      </c>
      <c r="F895" s="14">
        <v>7.75</v>
      </c>
      <c r="G895" s="19">
        <v>20</v>
      </c>
    </row>
    <row r="896" spans="1:7" x14ac:dyDescent="0.3">
      <c r="A896" s="18" t="s">
        <v>198</v>
      </c>
      <c r="B896" s="12" t="s">
        <v>115</v>
      </c>
      <c r="C896" s="12" t="s">
        <v>78</v>
      </c>
      <c r="D896" s="13">
        <v>40724</v>
      </c>
      <c r="E896" s="12" t="s">
        <v>44</v>
      </c>
      <c r="F896" s="14">
        <v>13</v>
      </c>
      <c r="G896" s="19">
        <v>18</v>
      </c>
    </row>
    <row r="897" spans="1:7" x14ac:dyDescent="0.3">
      <c r="A897" s="18" t="s">
        <v>140</v>
      </c>
      <c r="B897" s="12" t="s">
        <v>141</v>
      </c>
      <c r="C897" s="12" t="s">
        <v>81</v>
      </c>
      <c r="D897" s="13">
        <v>40749</v>
      </c>
      <c r="E897" s="12" t="s">
        <v>65</v>
      </c>
      <c r="F897" s="14">
        <v>18</v>
      </c>
      <c r="G897" s="19">
        <v>20</v>
      </c>
    </row>
    <row r="898" spans="1:7" x14ac:dyDescent="0.3">
      <c r="A898" s="18" t="s">
        <v>140</v>
      </c>
      <c r="B898" s="12" t="s">
        <v>141</v>
      </c>
      <c r="C898" s="12" t="s">
        <v>81</v>
      </c>
      <c r="D898" s="13">
        <v>40749</v>
      </c>
      <c r="E898" s="12" t="s">
        <v>52</v>
      </c>
      <c r="F898" s="14">
        <v>19.5</v>
      </c>
      <c r="G898" s="19">
        <v>6</v>
      </c>
    </row>
    <row r="899" spans="1:7" x14ac:dyDescent="0.3">
      <c r="A899" s="18" t="s">
        <v>199</v>
      </c>
      <c r="B899" s="12" t="s">
        <v>115</v>
      </c>
      <c r="C899" s="12" t="s">
        <v>83</v>
      </c>
      <c r="D899" s="13">
        <v>40728</v>
      </c>
      <c r="E899" s="12" t="s">
        <v>16</v>
      </c>
      <c r="F899" s="14">
        <v>15.5</v>
      </c>
      <c r="G899" s="19">
        <v>10</v>
      </c>
    </row>
    <row r="900" spans="1:7" x14ac:dyDescent="0.3">
      <c r="A900" s="18" t="s">
        <v>199</v>
      </c>
      <c r="B900" s="12" t="s">
        <v>115</v>
      </c>
      <c r="C900" s="12" t="s">
        <v>83</v>
      </c>
      <c r="D900" s="13">
        <v>40728</v>
      </c>
      <c r="E900" s="12" t="s">
        <v>53</v>
      </c>
      <c r="F900" s="14">
        <v>7.75</v>
      </c>
      <c r="G900" s="19">
        <v>21</v>
      </c>
    </row>
    <row r="901" spans="1:7" x14ac:dyDescent="0.3">
      <c r="A901" s="18" t="s">
        <v>182</v>
      </c>
      <c r="B901" s="12" t="s">
        <v>123</v>
      </c>
      <c r="C901" s="12" t="s">
        <v>81</v>
      </c>
      <c r="D901" s="13">
        <v>40725</v>
      </c>
      <c r="E901" s="12" t="s">
        <v>69</v>
      </c>
      <c r="F901" s="14">
        <v>23.25</v>
      </c>
      <c r="G901" s="19">
        <v>15</v>
      </c>
    </row>
    <row r="902" spans="1:7" x14ac:dyDescent="0.3">
      <c r="A902" s="18" t="s">
        <v>182</v>
      </c>
      <c r="B902" s="12" t="s">
        <v>123</v>
      </c>
      <c r="C902" s="12" t="s">
        <v>81</v>
      </c>
      <c r="D902" s="13">
        <v>40725</v>
      </c>
      <c r="E902" s="12" t="s">
        <v>29</v>
      </c>
      <c r="F902" s="14">
        <v>9.65</v>
      </c>
      <c r="G902" s="19">
        <v>9</v>
      </c>
    </row>
    <row r="903" spans="1:7" x14ac:dyDescent="0.3">
      <c r="A903" s="18" t="s">
        <v>182</v>
      </c>
      <c r="B903" s="12" t="s">
        <v>123</v>
      </c>
      <c r="C903" s="12" t="s">
        <v>81</v>
      </c>
      <c r="D903" s="13">
        <v>40725</v>
      </c>
      <c r="E903" s="12" t="s">
        <v>34</v>
      </c>
      <c r="F903" s="14">
        <v>21.05</v>
      </c>
      <c r="G903" s="19">
        <v>30</v>
      </c>
    </row>
    <row r="904" spans="1:7" x14ac:dyDescent="0.3">
      <c r="A904" s="18" t="s">
        <v>164</v>
      </c>
      <c r="B904" s="12" t="s">
        <v>98</v>
      </c>
      <c r="C904" s="12" t="s">
        <v>79</v>
      </c>
      <c r="D904" s="13">
        <v>40726</v>
      </c>
      <c r="E904" s="12" t="s">
        <v>53</v>
      </c>
      <c r="F904" s="14">
        <v>7.75</v>
      </c>
      <c r="G904" s="19">
        <v>50</v>
      </c>
    </row>
    <row r="905" spans="1:7" x14ac:dyDescent="0.3">
      <c r="A905" s="18" t="s">
        <v>193</v>
      </c>
      <c r="B905" s="12" t="s">
        <v>123</v>
      </c>
      <c r="C905" s="12" t="s">
        <v>79</v>
      </c>
      <c r="D905" s="13">
        <v>40738</v>
      </c>
      <c r="E905" s="12" t="s">
        <v>52</v>
      </c>
      <c r="F905" s="14">
        <v>19.5</v>
      </c>
      <c r="G905" s="19">
        <v>4</v>
      </c>
    </row>
    <row r="906" spans="1:7" x14ac:dyDescent="0.3">
      <c r="A906" s="18" t="s">
        <v>193</v>
      </c>
      <c r="B906" s="12" t="s">
        <v>123</v>
      </c>
      <c r="C906" s="12" t="s">
        <v>79</v>
      </c>
      <c r="D906" s="13">
        <v>40738</v>
      </c>
      <c r="E906" s="12" t="s">
        <v>31</v>
      </c>
      <c r="F906" s="14">
        <v>18</v>
      </c>
      <c r="G906" s="19">
        <v>14</v>
      </c>
    </row>
    <row r="907" spans="1:7" x14ac:dyDescent="0.3">
      <c r="A907" s="18" t="s">
        <v>121</v>
      </c>
      <c r="B907" s="12" t="s">
        <v>96</v>
      </c>
      <c r="C907" s="12" t="s">
        <v>77</v>
      </c>
      <c r="D907" s="13">
        <v>40728</v>
      </c>
      <c r="E907" s="12" t="s">
        <v>68</v>
      </c>
      <c r="F907" s="14">
        <v>123.79</v>
      </c>
      <c r="G907" s="19">
        <v>10</v>
      </c>
    </row>
    <row r="908" spans="1:7" x14ac:dyDescent="0.3">
      <c r="A908" s="18" t="s">
        <v>121</v>
      </c>
      <c r="B908" s="12" t="s">
        <v>96</v>
      </c>
      <c r="C908" s="12" t="s">
        <v>77</v>
      </c>
      <c r="D908" s="13">
        <v>40728</v>
      </c>
      <c r="E908" s="12" t="s">
        <v>3</v>
      </c>
      <c r="F908" s="14">
        <v>34</v>
      </c>
      <c r="G908" s="19">
        <v>24</v>
      </c>
    </row>
    <row r="909" spans="1:7" x14ac:dyDescent="0.3">
      <c r="A909" s="18" t="s">
        <v>121</v>
      </c>
      <c r="B909" s="12" t="s">
        <v>96</v>
      </c>
      <c r="C909" s="12" t="s">
        <v>77</v>
      </c>
      <c r="D909" s="13">
        <v>40728</v>
      </c>
      <c r="E909" s="12" t="s">
        <v>22</v>
      </c>
      <c r="F909" s="14">
        <v>36</v>
      </c>
      <c r="G909" s="19">
        <v>10</v>
      </c>
    </row>
    <row r="910" spans="1:7" x14ac:dyDescent="0.3">
      <c r="A910" s="18" t="s">
        <v>120</v>
      </c>
      <c r="B910" s="12" t="s">
        <v>101</v>
      </c>
      <c r="C910" s="12" t="s">
        <v>81</v>
      </c>
      <c r="D910" s="13">
        <v>40728</v>
      </c>
      <c r="E910" s="12" t="s">
        <v>18</v>
      </c>
      <c r="F910" s="14">
        <v>12.5</v>
      </c>
      <c r="G910" s="19">
        <v>50</v>
      </c>
    </row>
    <row r="911" spans="1:7" x14ac:dyDescent="0.3">
      <c r="A911" s="18" t="s">
        <v>107</v>
      </c>
      <c r="B911" s="12" t="s">
        <v>98</v>
      </c>
      <c r="C911" s="12" t="s">
        <v>84</v>
      </c>
      <c r="D911" s="13">
        <v>40734</v>
      </c>
      <c r="E911" s="12" t="s">
        <v>76</v>
      </c>
      <c r="F911" s="14">
        <v>9.5</v>
      </c>
      <c r="G911" s="19">
        <v>15</v>
      </c>
    </row>
    <row r="912" spans="1:7" x14ac:dyDescent="0.3">
      <c r="A912" s="18" t="s">
        <v>139</v>
      </c>
      <c r="B912" s="12" t="s">
        <v>130</v>
      </c>
      <c r="C912" s="12" t="s">
        <v>78</v>
      </c>
      <c r="D912" s="13">
        <v>40733</v>
      </c>
      <c r="E912" s="12" t="s">
        <v>13</v>
      </c>
      <c r="F912" s="14">
        <v>7</v>
      </c>
      <c r="G912" s="19">
        <v>4</v>
      </c>
    </row>
    <row r="913" spans="1:7" x14ac:dyDescent="0.3">
      <c r="A913" s="18" t="s">
        <v>116</v>
      </c>
      <c r="B913" s="12" t="s">
        <v>98</v>
      </c>
      <c r="C913" s="12" t="s">
        <v>83</v>
      </c>
      <c r="D913" s="13">
        <v>40733</v>
      </c>
      <c r="E913" s="12" t="s">
        <v>24</v>
      </c>
      <c r="F913" s="14">
        <v>31.23</v>
      </c>
      <c r="G913" s="19">
        <v>6</v>
      </c>
    </row>
    <row r="914" spans="1:7" x14ac:dyDescent="0.3">
      <c r="A914" s="18" t="s">
        <v>116</v>
      </c>
      <c r="B914" s="12" t="s">
        <v>98</v>
      </c>
      <c r="C914" s="12" t="s">
        <v>83</v>
      </c>
      <c r="D914" s="13">
        <v>40733</v>
      </c>
      <c r="E914" s="12" t="s">
        <v>65</v>
      </c>
      <c r="F914" s="14">
        <v>18</v>
      </c>
      <c r="G914" s="19">
        <v>20</v>
      </c>
    </row>
    <row r="915" spans="1:7" x14ac:dyDescent="0.3">
      <c r="A915" s="18" t="s">
        <v>116</v>
      </c>
      <c r="B915" s="12" t="s">
        <v>98</v>
      </c>
      <c r="C915" s="12" t="s">
        <v>83</v>
      </c>
      <c r="D915" s="13">
        <v>40733</v>
      </c>
      <c r="E915" s="12" t="s">
        <v>44</v>
      </c>
      <c r="F915" s="14">
        <v>13</v>
      </c>
      <c r="G915" s="19">
        <v>20</v>
      </c>
    </row>
    <row r="916" spans="1:7" x14ac:dyDescent="0.3">
      <c r="A916" s="18" t="s">
        <v>127</v>
      </c>
      <c r="B916" s="12" t="s">
        <v>123</v>
      </c>
      <c r="C916" s="12" t="s">
        <v>77</v>
      </c>
      <c r="D916" s="13">
        <v>40734</v>
      </c>
      <c r="E916" s="12" t="s">
        <v>4</v>
      </c>
      <c r="F916" s="14">
        <v>62.5</v>
      </c>
      <c r="G916" s="19">
        <v>40</v>
      </c>
    </row>
    <row r="917" spans="1:7" x14ac:dyDescent="0.3">
      <c r="A917" s="18" t="s">
        <v>127</v>
      </c>
      <c r="B917" s="12" t="s">
        <v>123</v>
      </c>
      <c r="C917" s="12" t="s">
        <v>77</v>
      </c>
      <c r="D917" s="13">
        <v>40734</v>
      </c>
      <c r="E917" s="12" t="s">
        <v>60</v>
      </c>
      <c r="F917" s="14">
        <v>14</v>
      </c>
      <c r="G917" s="19">
        <v>100</v>
      </c>
    </row>
    <row r="918" spans="1:7" x14ac:dyDescent="0.3">
      <c r="A918" s="18" t="s">
        <v>196</v>
      </c>
      <c r="B918" s="12" t="s">
        <v>115</v>
      </c>
      <c r="C918" s="12" t="s">
        <v>80</v>
      </c>
      <c r="D918" s="13">
        <v>40738</v>
      </c>
      <c r="E918" s="12" t="s">
        <v>65</v>
      </c>
      <c r="F918" s="14">
        <v>18</v>
      </c>
      <c r="G918" s="19">
        <v>4</v>
      </c>
    </row>
    <row r="919" spans="1:7" x14ac:dyDescent="0.3">
      <c r="A919" s="18" t="s">
        <v>159</v>
      </c>
      <c r="B919" s="12" t="s">
        <v>160</v>
      </c>
      <c r="C919" s="12" t="s">
        <v>81</v>
      </c>
      <c r="D919" s="13">
        <v>40738</v>
      </c>
      <c r="E919" s="12" t="s">
        <v>5</v>
      </c>
      <c r="F919" s="14">
        <v>18</v>
      </c>
      <c r="G919" s="19">
        <v>20</v>
      </c>
    </row>
    <row r="920" spans="1:7" x14ac:dyDescent="0.3">
      <c r="A920" s="18" t="s">
        <v>159</v>
      </c>
      <c r="B920" s="12" t="s">
        <v>160</v>
      </c>
      <c r="C920" s="12" t="s">
        <v>81</v>
      </c>
      <c r="D920" s="13">
        <v>40738</v>
      </c>
      <c r="E920" s="12" t="s">
        <v>44</v>
      </c>
      <c r="F920" s="14">
        <v>13</v>
      </c>
      <c r="G920" s="19">
        <v>60</v>
      </c>
    </row>
    <row r="921" spans="1:7" x14ac:dyDescent="0.3">
      <c r="A921" s="18" t="s">
        <v>173</v>
      </c>
      <c r="B921" s="12" t="s">
        <v>163</v>
      </c>
      <c r="C921" s="12" t="s">
        <v>83</v>
      </c>
      <c r="D921" s="13">
        <v>40740</v>
      </c>
      <c r="E921" s="12" t="s">
        <v>1</v>
      </c>
      <c r="F921" s="14">
        <v>10</v>
      </c>
      <c r="G921" s="19">
        <v>14</v>
      </c>
    </row>
    <row r="922" spans="1:7" x14ac:dyDescent="0.3">
      <c r="A922" s="18" t="s">
        <v>173</v>
      </c>
      <c r="B922" s="12" t="s">
        <v>163</v>
      </c>
      <c r="C922" s="12" t="s">
        <v>83</v>
      </c>
      <c r="D922" s="13">
        <v>40740</v>
      </c>
      <c r="E922" s="12" t="s">
        <v>72</v>
      </c>
      <c r="F922" s="14">
        <v>30</v>
      </c>
      <c r="G922" s="19">
        <v>10</v>
      </c>
    </row>
    <row r="923" spans="1:7" x14ac:dyDescent="0.3">
      <c r="A923" s="18" t="s">
        <v>173</v>
      </c>
      <c r="B923" s="12" t="s">
        <v>163</v>
      </c>
      <c r="C923" s="12" t="s">
        <v>83</v>
      </c>
      <c r="D923" s="13">
        <v>40740</v>
      </c>
      <c r="E923" s="12" t="s">
        <v>70</v>
      </c>
      <c r="F923" s="14">
        <v>7.45</v>
      </c>
      <c r="G923" s="19">
        <v>50</v>
      </c>
    </row>
    <row r="924" spans="1:7" x14ac:dyDescent="0.3">
      <c r="A924" s="18" t="s">
        <v>134</v>
      </c>
      <c r="B924" s="12" t="s">
        <v>123</v>
      </c>
      <c r="C924" s="12" t="s">
        <v>79</v>
      </c>
      <c r="D924" s="13">
        <v>40740</v>
      </c>
      <c r="E924" s="12" t="s">
        <v>16</v>
      </c>
      <c r="F924" s="14">
        <v>15.5</v>
      </c>
      <c r="G924" s="19">
        <v>25</v>
      </c>
    </row>
    <row r="925" spans="1:7" x14ac:dyDescent="0.3">
      <c r="A925" s="18" t="s">
        <v>134</v>
      </c>
      <c r="B925" s="12" t="s">
        <v>123</v>
      </c>
      <c r="C925" s="12" t="s">
        <v>79</v>
      </c>
      <c r="D925" s="13">
        <v>40740</v>
      </c>
      <c r="E925" s="12" t="s">
        <v>24</v>
      </c>
      <c r="F925" s="14">
        <v>31.23</v>
      </c>
      <c r="G925" s="19">
        <v>5</v>
      </c>
    </row>
    <row r="926" spans="1:7" x14ac:dyDescent="0.3">
      <c r="A926" s="18" t="s">
        <v>134</v>
      </c>
      <c r="B926" s="12" t="s">
        <v>123</v>
      </c>
      <c r="C926" s="12" t="s">
        <v>84</v>
      </c>
      <c r="D926" s="13">
        <v>40768</v>
      </c>
      <c r="E926" s="12" t="s">
        <v>61</v>
      </c>
      <c r="F926" s="14">
        <v>81</v>
      </c>
      <c r="G926" s="19">
        <v>21</v>
      </c>
    </row>
    <row r="927" spans="1:7" x14ac:dyDescent="0.3">
      <c r="A927" s="18" t="s">
        <v>134</v>
      </c>
      <c r="B927" s="12" t="s">
        <v>123</v>
      </c>
      <c r="C927" s="12" t="s">
        <v>84</v>
      </c>
      <c r="D927" s="13">
        <v>40768</v>
      </c>
      <c r="E927" s="12" t="s">
        <v>22</v>
      </c>
      <c r="F927" s="14">
        <v>36</v>
      </c>
      <c r="G927" s="19">
        <v>20</v>
      </c>
    </row>
    <row r="928" spans="1:7" x14ac:dyDescent="0.3">
      <c r="A928" s="18" t="s">
        <v>134</v>
      </c>
      <c r="B928" s="12" t="s">
        <v>123</v>
      </c>
      <c r="C928" s="12" t="s">
        <v>84</v>
      </c>
      <c r="D928" s="13">
        <v>40768</v>
      </c>
      <c r="E928" s="12" t="s">
        <v>31</v>
      </c>
      <c r="F928" s="14">
        <v>18</v>
      </c>
      <c r="G928" s="19">
        <v>4</v>
      </c>
    </row>
    <row r="929" spans="1:7" x14ac:dyDescent="0.3">
      <c r="A929" s="18" t="s">
        <v>114</v>
      </c>
      <c r="B929" s="12" t="s">
        <v>115</v>
      </c>
      <c r="C929" s="12" t="s">
        <v>79</v>
      </c>
      <c r="D929" s="13">
        <v>40740</v>
      </c>
      <c r="E929" s="12" t="s">
        <v>13</v>
      </c>
      <c r="F929" s="14">
        <v>7</v>
      </c>
      <c r="G929" s="19">
        <v>24</v>
      </c>
    </row>
    <row r="930" spans="1:7" x14ac:dyDescent="0.3">
      <c r="A930" s="18" t="s">
        <v>114</v>
      </c>
      <c r="B930" s="12" t="s">
        <v>115</v>
      </c>
      <c r="C930" s="12" t="s">
        <v>79</v>
      </c>
      <c r="D930" s="13">
        <v>40740</v>
      </c>
      <c r="E930" s="12" t="s">
        <v>12</v>
      </c>
      <c r="F930" s="14">
        <v>13.25</v>
      </c>
      <c r="G930" s="19">
        <v>30</v>
      </c>
    </row>
    <row r="931" spans="1:7" x14ac:dyDescent="0.3">
      <c r="A931" s="18" t="s">
        <v>110</v>
      </c>
      <c r="B931" s="12" t="s">
        <v>111</v>
      </c>
      <c r="C931" s="12" t="s">
        <v>77</v>
      </c>
      <c r="D931" s="13">
        <v>40738</v>
      </c>
      <c r="E931" s="12" t="s">
        <v>65</v>
      </c>
      <c r="F931" s="14">
        <v>18</v>
      </c>
      <c r="G931" s="19">
        <v>30</v>
      </c>
    </row>
    <row r="932" spans="1:7" x14ac:dyDescent="0.3">
      <c r="A932" s="18" t="s">
        <v>110</v>
      </c>
      <c r="B932" s="12" t="s">
        <v>111</v>
      </c>
      <c r="C932" s="12" t="s">
        <v>77</v>
      </c>
      <c r="D932" s="13">
        <v>40738</v>
      </c>
      <c r="E932" s="12" t="s">
        <v>63</v>
      </c>
      <c r="F932" s="14">
        <v>28.5</v>
      </c>
      <c r="G932" s="19">
        <v>120</v>
      </c>
    </row>
    <row r="933" spans="1:7" x14ac:dyDescent="0.3">
      <c r="A933" s="18" t="s">
        <v>110</v>
      </c>
      <c r="B933" s="12" t="s">
        <v>111</v>
      </c>
      <c r="C933" s="12" t="s">
        <v>77</v>
      </c>
      <c r="D933" s="13">
        <v>40738</v>
      </c>
      <c r="E933" s="12" t="s">
        <v>22</v>
      </c>
      <c r="F933" s="14">
        <v>36</v>
      </c>
      <c r="G933" s="19">
        <v>65</v>
      </c>
    </row>
    <row r="934" spans="1:7" x14ac:dyDescent="0.3">
      <c r="A934" s="18" t="s">
        <v>125</v>
      </c>
      <c r="B934" s="12" t="s">
        <v>115</v>
      </c>
      <c r="C934" s="12" t="s">
        <v>80</v>
      </c>
      <c r="D934" s="13">
        <v>40767</v>
      </c>
      <c r="E934" s="12" t="s">
        <v>17</v>
      </c>
      <c r="F934" s="14">
        <v>38</v>
      </c>
      <c r="G934" s="19">
        <v>5</v>
      </c>
    </row>
    <row r="935" spans="1:7" x14ac:dyDescent="0.3">
      <c r="A935" s="18" t="s">
        <v>125</v>
      </c>
      <c r="B935" s="12" t="s">
        <v>115</v>
      </c>
      <c r="C935" s="12" t="s">
        <v>80</v>
      </c>
      <c r="D935" s="13">
        <v>40767</v>
      </c>
      <c r="E935" s="12" t="s">
        <v>74</v>
      </c>
      <c r="F935" s="14">
        <v>43.9</v>
      </c>
      <c r="G935" s="19">
        <v>24</v>
      </c>
    </row>
    <row r="936" spans="1:7" x14ac:dyDescent="0.3">
      <c r="A936" s="18" t="s">
        <v>125</v>
      </c>
      <c r="B936" s="12" t="s">
        <v>115</v>
      </c>
      <c r="C936" s="12" t="s">
        <v>80</v>
      </c>
      <c r="D936" s="13">
        <v>40767</v>
      </c>
      <c r="E936" s="12" t="s">
        <v>53</v>
      </c>
      <c r="F936" s="14">
        <v>7.75</v>
      </c>
      <c r="G936" s="19">
        <v>30</v>
      </c>
    </row>
    <row r="937" spans="1:7" x14ac:dyDescent="0.3">
      <c r="A937" s="18" t="s">
        <v>166</v>
      </c>
      <c r="B937" s="12" t="s">
        <v>111</v>
      </c>
      <c r="C937" s="12" t="s">
        <v>84</v>
      </c>
      <c r="D937" s="13">
        <v>40742</v>
      </c>
      <c r="E937" s="12" t="s">
        <v>21</v>
      </c>
      <c r="F937" s="14">
        <v>4.5</v>
      </c>
      <c r="G937" s="19">
        <v>35</v>
      </c>
    </row>
    <row r="938" spans="1:7" x14ac:dyDescent="0.3">
      <c r="A938" s="18" t="s">
        <v>166</v>
      </c>
      <c r="B938" s="12" t="s">
        <v>111</v>
      </c>
      <c r="C938" s="12" t="s">
        <v>84</v>
      </c>
      <c r="D938" s="13">
        <v>40742</v>
      </c>
      <c r="E938" s="12" t="s">
        <v>52</v>
      </c>
      <c r="F938" s="14">
        <v>19.5</v>
      </c>
      <c r="G938" s="19">
        <v>20</v>
      </c>
    </row>
    <row r="939" spans="1:7" x14ac:dyDescent="0.3">
      <c r="A939" s="18" t="s">
        <v>166</v>
      </c>
      <c r="B939" s="12" t="s">
        <v>111</v>
      </c>
      <c r="C939" s="12" t="s">
        <v>84</v>
      </c>
      <c r="D939" s="13">
        <v>40742</v>
      </c>
      <c r="E939" s="12" t="s">
        <v>34</v>
      </c>
      <c r="F939" s="14">
        <v>21.05</v>
      </c>
      <c r="G939" s="19">
        <v>12</v>
      </c>
    </row>
    <row r="940" spans="1:7" x14ac:dyDescent="0.3">
      <c r="A940" s="18" t="s">
        <v>117</v>
      </c>
      <c r="B940" s="12" t="s">
        <v>115</v>
      </c>
      <c r="C940" s="12" t="s">
        <v>83</v>
      </c>
      <c r="D940" s="13">
        <v>40742</v>
      </c>
      <c r="E940" s="12" t="s">
        <v>58</v>
      </c>
      <c r="F940" s="14">
        <v>43.9</v>
      </c>
      <c r="G940" s="19">
        <v>50</v>
      </c>
    </row>
    <row r="941" spans="1:7" x14ac:dyDescent="0.3">
      <c r="A941" s="18" t="s">
        <v>117</v>
      </c>
      <c r="B941" s="12" t="s">
        <v>115</v>
      </c>
      <c r="C941" s="12" t="s">
        <v>83</v>
      </c>
      <c r="D941" s="13">
        <v>40742</v>
      </c>
      <c r="E941" s="12" t="s">
        <v>14</v>
      </c>
      <c r="F941" s="14">
        <v>21.5</v>
      </c>
      <c r="G941" s="19">
        <v>9</v>
      </c>
    </row>
    <row r="942" spans="1:7" x14ac:dyDescent="0.3">
      <c r="A942" s="18" t="s">
        <v>140</v>
      </c>
      <c r="B942" s="12" t="s">
        <v>141</v>
      </c>
      <c r="C942" s="12" t="s">
        <v>82</v>
      </c>
      <c r="D942" s="13">
        <v>40745</v>
      </c>
      <c r="E942" s="12" t="s">
        <v>66</v>
      </c>
      <c r="F942" s="14">
        <v>49.3</v>
      </c>
      <c r="G942" s="19">
        <v>10</v>
      </c>
    </row>
    <row r="943" spans="1:7" x14ac:dyDescent="0.3">
      <c r="A943" s="18" t="s">
        <v>177</v>
      </c>
      <c r="B943" s="12" t="s">
        <v>115</v>
      </c>
      <c r="C943" s="12" t="s">
        <v>81</v>
      </c>
      <c r="D943" s="13">
        <v>40745</v>
      </c>
      <c r="E943" s="12" t="s">
        <v>70</v>
      </c>
      <c r="F943" s="14">
        <v>7.45</v>
      </c>
      <c r="G943" s="19">
        <v>4</v>
      </c>
    </row>
    <row r="944" spans="1:7" x14ac:dyDescent="0.3">
      <c r="A944" s="18" t="s">
        <v>177</v>
      </c>
      <c r="B944" s="12" t="s">
        <v>115</v>
      </c>
      <c r="C944" s="12" t="s">
        <v>81</v>
      </c>
      <c r="D944" s="13">
        <v>40745</v>
      </c>
      <c r="E944" s="12" t="s">
        <v>54</v>
      </c>
      <c r="F944" s="14">
        <v>15</v>
      </c>
      <c r="G944" s="19">
        <v>30</v>
      </c>
    </row>
    <row r="945" spans="1:7" x14ac:dyDescent="0.3">
      <c r="A945" s="18" t="s">
        <v>108</v>
      </c>
      <c r="B945" s="12" t="s">
        <v>109</v>
      </c>
      <c r="C945" s="12" t="s">
        <v>84</v>
      </c>
      <c r="D945" s="13">
        <v>40746</v>
      </c>
      <c r="E945" s="12" t="s">
        <v>30</v>
      </c>
      <c r="F945" s="14">
        <v>6</v>
      </c>
      <c r="G945" s="19">
        <v>60</v>
      </c>
    </row>
    <row r="946" spans="1:7" x14ac:dyDescent="0.3">
      <c r="A946" s="18" t="s">
        <v>108</v>
      </c>
      <c r="B946" s="12" t="s">
        <v>109</v>
      </c>
      <c r="C946" s="12" t="s">
        <v>84</v>
      </c>
      <c r="D946" s="13">
        <v>40746</v>
      </c>
      <c r="E946" s="12" t="s">
        <v>51</v>
      </c>
      <c r="F946" s="14">
        <v>55</v>
      </c>
      <c r="G946" s="19">
        <v>35</v>
      </c>
    </row>
    <row r="947" spans="1:7" x14ac:dyDescent="0.3">
      <c r="A947" s="18" t="s">
        <v>173</v>
      </c>
      <c r="B947" s="12" t="s">
        <v>163</v>
      </c>
      <c r="C947" s="12" t="s">
        <v>80</v>
      </c>
      <c r="D947" s="13">
        <v>40746</v>
      </c>
      <c r="E947" s="12" t="s">
        <v>44</v>
      </c>
      <c r="F947" s="14">
        <v>13</v>
      </c>
      <c r="G947" s="19">
        <v>5</v>
      </c>
    </row>
    <row r="948" spans="1:7" x14ac:dyDescent="0.3">
      <c r="A948" s="18" t="s">
        <v>154</v>
      </c>
      <c r="B948" s="12" t="s">
        <v>115</v>
      </c>
      <c r="C948" s="12" t="s">
        <v>80</v>
      </c>
      <c r="D948" s="13">
        <v>40763</v>
      </c>
      <c r="E948" s="12" t="s">
        <v>25</v>
      </c>
      <c r="F948" s="14">
        <v>21</v>
      </c>
      <c r="G948" s="19">
        <v>48</v>
      </c>
    </row>
    <row r="949" spans="1:7" x14ac:dyDescent="0.3">
      <c r="A949" s="18" t="s">
        <v>154</v>
      </c>
      <c r="B949" s="12" t="s">
        <v>115</v>
      </c>
      <c r="C949" s="12" t="s">
        <v>80</v>
      </c>
      <c r="D949" s="13">
        <v>40763</v>
      </c>
      <c r="E949" s="12" t="s">
        <v>38</v>
      </c>
      <c r="F949" s="14">
        <v>20</v>
      </c>
      <c r="G949" s="19">
        <v>25</v>
      </c>
    </row>
    <row r="950" spans="1:7" x14ac:dyDescent="0.3">
      <c r="A950" s="18" t="s">
        <v>156</v>
      </c>
      <c r="B950" s="12" t="s">
        <v>157</v>
      </c>
      <c r="C950" s="12" t="s">
        <v>83</v>
      </c>
      <c r="D950" s="13">
        <v>40753</v>
      </c>
      <c r="E950" s="12" t="s">
        <v>10</v>
      </c>
      <c r="F950" s="14">
        <v>12.75</v>
      </c>
      <c r="G950" s="19">
        <v>6</v>
      </c>
    </row>
    <row r="951" spans="1:7" x14ac:dyDescent="0.3">
      <c r="A951" s="18" t="s">
        <v>156</v>
      </c>
      <c r="B951" s="12" t="s">
        <v>157</v>
      </c>
      <c r="C951" s="12" t="s">
        <v>83</v>
      </c>
      <c r="D951" s="13">
        <v>40753</v>
      </c>
      <c r="E951" s="12" t="s">
        <v>31</v>
      </c>
      <c r="F951" s="14">
        <v>18</v>
      </c>
      <c r="G951" s="19">
        <v>10</v>
      </c>
    </row>
    <row r="952" spans="1:7" x14ac:dyDescent="0.3">
      <c r="A952" s="18" t="s">
        <v>159</v>
      </c>
      <c r="B952" s="12" t="s">
        <v>160</v>
      </c>
      <c r="C952" s="12" t="s">
        <v>83</v>
      </c>
      <c r="D952" s="13">
        <v>40753</v>
      </c>
      <c r="E952" s="12" t="s">
        <v>47</v>
      </c>
      <c r="F952" s="14">
        <v>17.45</v>
      </c>
      <c r="G952" s="19">
        <v>30</v>
      </c>
    </row>
    <row r="953" spans="1:7" x14ac:dyDescent="0.3">
      <c r="A953" s="18" t="s">
        <v>159</v>
      </c>
      <c r="B953" s="12" t="s">
        <v>160</v>
      </c>
      <c r="C953" s="12" t="s">
        <v>83</v>
      </c>
      <c r="D953" s="13">
        <v>40753</v>
      </c>
      <c r="E953" s="12" t="s">
        <v>51</v>
      </c>
      <c r="F953" s="14">
        <v>55</v>
      </c>
      <c r="G953" s="19">
        <v>20</v>
      </c>
    </row>
    <row r="954" spans="1:7" x14ac:dyDescent="0.3">
      <c r="A954" s="18" t="s">
        <v>159</v>
      </c>
      <c r="B954" s="12" t="s">
        <v>160</v>
      </c>
      <c r="C954" s="12" t="s">
        <v>83</v>
      </c>
      <c r="D954" s="13">
        <v>40753</v>
      </c>
      <c r="E954" s="12" t="s">
        <v>3</v>
      </c>
      <c r="F954" s="14">
        <v>34</v>
      </c>
      <c r="G954" s="19">
        <v>70</v>
      </c>
    </row>
    <row r="955" spans="1:7" x14ac:dyDescent="0.3">
      <c r="A955" s="18" t="s">
        <v>159</v>
      </c>
      <c r="B955" s="12" t="s">
        <v>160</v>
      </c>
      <c r="C955" s="12" t="s">
        <v>83</v>
      </c>
      <c r="D955" s="13">
        <v>40753</v>
      </c>
      <c r="E955" s="12" t="s">
        <v>14</v>
      </c>
      <c r="F955" s="14">
        <v>21.5</v>
      </c>
      <c r="G955" s="19">
        <v>15</v>
      </c>
    </row>
    <row r="956" spans="1:7" x14ac:dyDescent="0.3">
      <c r="A956" s="18" t="s">
        <v>97</v>
      </c>
      <c r="B956" s="12" t="s">
        <v>98</v>
      </c>
      <c r="C956" s="12" t="s">
        <v>81</v>
      </c>
      <c r="D956" s="13">
        <v>40755</v>
      </c>
      <c r="E956" s="12" t="s">
        <v>8</v>
      </c>
      <c r="F956" s="14">
        <v>22</v>
      </c>
      <c r="G956" s="19">
        <v>20</v>
      </c>
    </row>
    <row r="957" spans="1:7" x14ac:dyDescent="0.3">
      <c r="A957" s="18" t="s">
        <v>97</v>
      </c>
      <c r="B957" s="12" t="s">
        <v>98</v>
      </c>
      <c r="C957" s="12" t="s">
        <v>81</v>
      </c>
      <c r="D957" s="13">
        <v>40755</v>
      </c>
      <c r="E957" s="12" t="s">
        <v>46</v>
      </c>
      <c r="F957" s="14">
        <v>24</v>
      </c>
      <c r="G957" s="19">
        <v>20</v>
      </c>
    </row>
    <row r="958" spans="1:7" x14ac:dyDescent="0.3">
      <c r="A958" s="18" t="s">
        <v>97</v>
      </c>
      <c r="B958" s="12" t="s">
        <v>98</v>
      </c>
      <c r="C958" s="12" t="s">
        <v>81</v>
      </c>
      <c r="D958" s="13">
        <v>40755</v>
      </c>
      <c r="E958" s="12" t="s">
        <v>66</v>
      </c>
      <c r="F958" s="14">
        <v>49.3</v>
      </c>
      <c r="G958" s="19">
        <v>10</v>
      </c>
    </row>
    <row r="959" spans="1:7" x14ac:dyDescent="0.3">
      <c r="A959" s="18" t="s">
        <v>154</v>
      </c>
      <c r="B959" s="12" t="s">
        <v>115</v>
      </c>
      <c r="C959" s="12" t="s">
        <v>85</v>
      </c>
      <c r="D959" s="13">
        <v>40749</v>
      </c>
      <c r="E959" s="12" t="s">
        <v>72</v>
      </c>
      <c r="F959" s="14">
        <v>30</v>
      </c>
      <c r="G959" s="19">
        <v>45</v>
      </c>
    </row>
    <row r="960" spans="1:7" x14ac:dyDescent="0.3">
      <c r="A960" s="18" t="s">
        <v>154</v>
      </c>
      <c r="B960" s="12" t="s">
        <v>115</v>
      </c>
      <c r="C960" s="12" t="s">
        <v>85</v>
      </c>
      <c r="D960" s="13">
        <v>40749</v>
      </c>
      <c r="E960" s="12" t="s">
        <v>0</v>
      </c>
      <c r="F960" s="14">
        <v>39</v>
      </c>
      <c r="G960" s="19">
        <v>100</v>
      </c>
    </row>
    <row r="961" spans="1:7" x14ac:dyDescent="0.3">
      <c r="A961" s="18" t="s">
        <v>154</v>
      </c>
      <c r="B961" s="12" t="s">
        <v>115</v>
      </c>
      <c r="C961" s="12" t="s">
        <v>85</v>
      </c>
      <c r="D961" s="13">
        <v>40749</v>
      </c>
      <c r="E961" s="12" t="s">
        <v>15</v>
      </c>
      <c r="F961" s="14">
        <v>2.5</v>
      </c>
      <c r="G961" s="19">
        <v>14</v>
      </c>
    </row>
    <row r="962" spans="1:7" x14ac:dyDescent="0.3">
      <c r="A962" s="18" t="s">
        <v>154</v>
      </c>
      <c r="B962" s="12" t="s">
        <v>115</v>
      </c>
      <c r="C962" s="12" t="s">
        <v>85</v>
      </c>
      <c r="D962" s="13">
        <v>40749</v>
      </c>
      <c r="E962" s="12" t="s">
        <v>2</v>
      </c>
      <c r="F962" s="14">
        <v>18.399999999999999</v>
      </c>
      <c r="G962" s="19">
        <v>42</v>
      </c>
    </row>
    <row r="963" spans="1:7" x14ac:dyDescent="0.3">
      <c r="A963" s="18" t="s">
        <v>154</v>
      </c>
      <c r="B963" s="12" t="s">
        <v>115</v>
      </c>
      <c r="C963" s="12" t="s">
        <v>85</v>
      </c>
      <c r="D963" s="13">
        <v>40749</v>
      </c>
      <c r="E963" s="12" t="s">
        <v>40</v>
      </c>
      <c r="F963" s="14">
        <v>34.799999999999997</v>
      </c>
      <c r="G963" s="19">
        <v>12</v>
      </c>
    </row>
    <row r="964" spans="1:7" x14ac:dyDescent="0.3">
      <c r="A964" s="18" t="s">
        <v>189</v>
      </c>
      <c r="B964" s="12" t="s">
        <v>123</v>
      </c>
      <c r="C964" s="12" t="s">
        <v>81</v>
      </c>
      <c r="D964" s="13">
        <v>40756</v>
      </c>
      <c r="E964" s="12" t="s">
        <v>17</v>
      </c>
      <c r="F964" s="14">
        <v>38</v>
      </c>
      <c r="G964" s="19">
        <v>28</v>
      </c>
    </row>
    <row r="965" spans="1:7" x14ac:dyDescent="0.3">
      <c r="A965" s="18" t="s">
        <v>150</v>
      </c>
      <c r="B965" s="12" t="s">
        <v>101</v>
      </c>
      <c r="C965" s="12" t="s">
        <v>84</v>
      </c>
      <c r="D965" s="13">
        <v>40754</v>
      </c>
      <c r="E965" s="12" t="s">
        <v>5</v>
      </c>
      <c r="F965" s="14">
        <v>18</v>
      </c>
      <c r="G965" s="19">
        <v>3</v>
      </c>
    </row>
    <row r="966" spans="1:7" x14ac:dyDescent="0.3">
      <c r="A966" s="18" t="s">
        <v>150</v>
      </c>
      <c r="B966" s="12" t="s">
        <v>101</v>
      </c>
      <c r="C966" s="12" t="s">
        <v>84</v>
      </c>
      <c r="D966" s="13">
        <v>40754</v>
      </c>
      <c r="E966" s="12" t="s">
        <v>26</v>
      </c>
      <c r="F966" s="14">
        <v>31</v>
      </c>
      <c r="G966" s="19">
        <v>10</v>
      </c>
    </row>
    <row r="967" spans="1:7" x14ac:dyDescent="0.3">
      <c r="A967" s="18" t="s">
        <v>150</v>
      </c>
      <c r="B967" s="12" t="s">
        <v>101</v>
      </c>
      <c r="C967" s="12" t="s">
        <v>84</v>
      </c>
      <c r="D967" s="13">
        <v>40754</v>
      </c>
      <c r="E967" s="12" t="s">
        <v>62</v>
      </c>
      <c r="F967" s="14">
        <v>10</v>
      </c>
      <c r="G967" s="19">
        <v>6</v>
      </c>
    </row>
    <row r="968" spans="1:7" x14ac:dyDescent="0.3">
      <c r="A968" s="18" t="s">
        <v>165</v>
      </c>
      <c r="B968" s="12" t="s">
        <v>101</v>
      </c>
      <c r="C968" s="12" t="s">
        <v>80</v>
      </c>
      <c r="D968" s="13">
        <v>40761</v>
      </c>
      <c r="E968" s="12" t="s">
        <v>27</v>
      </c>
      <c r="F968" s="14">
        <v>19</v>
      </c>
      <c r="G968" s="19">
        <v>21</v>
      </c>
    </row>
    <row r="969" spans="1:7" x14ac:dyDescent="0.3">
      <c r="A969" s="18" t="s">
        <v>175</v>
      </c>
      <c r="B969" s="12" t="s">
        <v>176</v>
      </c>
      <c r="C969" s="12" t="s">
        <v>82</v>
      </c>
      <c r="D969" s="13">
        <v>40756</v>
      </c>
      <c r="E969" s="12" t="s">
        <v>5</v>
      </c>
      <c r="F969" s="14">
        <v>18</v>
      </c>
      <c r="G969" s="19">
        <v>6</v>
      </c>
    </row>
    <row r="970" spans="1:7" x14ac:dyDescent="0.3">
      <c r="A970" s="18" t="s">
        <v>175</v>
      </c>
      <c r="B970" s="12" t="s">
        <v>176</v>
      </c>
      <c r="C970" s="12" t="s">
        <v>82</v>
      </c>
      <c r="D970" s="13">
        <v>40756</v>
      </c>
      <c r="E970" s="12" t="s">
        <v>6</v>
      </c>
      <c r="F970" s="14">
        <v>19</v>
      </c>
      <c r="G970" s="19">
        <v>10</v>
      </c>
    </row>
    <row r="971" spans="1:7" x14ac:dyDescent="0.3">
      <c r="A971" s="18" t="s">
        <v>175</v>
      </c>
      <c r="B971" s="12" t="s">
        <v>176</v>
      </c>
      <c r="C971" s="12" t="s">
        <v>82</v>
      </c>
      <c r="D971" s="13">
        <v>40756</v>
      </c>
      <c r="E971" s="12" t="s">
        <v>3</v>
      </c>
      <c r="F971" s="14">
        <v>34</v>
      </c>
      <c r="G971" s="19">
        <v>15</v>
      </c>
    </row>
    <row r="972" spans="1:7" x14ac:dyDescent="0.3">
      <c r="A972" s="18" t="s">
        <v>154</v>
      </c>
      <c r="B972" s="12" t="s">
        <v>115</v>
      </c>
      <c r="C972" s="12" t="s">
        <v>83</v>
      </c>
      <c r="D972" s="13">
        <v>40756</v>
      </c>
      <c r="E972" s="12" t="s">
        <v>26</v>
      </c>
      <c r="F972" s="14">
        <v>31</v>
      </c>
      <c r="G972" s="19">
        <v>70</v>
      </c>
    </row>
    <row r="973" spans="1:7" x14ac:dyDescent="0.3">
      <c r="A973" s="18" t="s">
        <v>154</v>
      </c>
      <c r="B973" s="12" t="s">
        <v>115</v>
      </c>
      <c r="C973" s="12" t="s">
        <v>83</v>
      </c>
      <c r="D973" s="13">
        <v>40756</v>
      </c>
      <c r="E973" s="12" t="s">
        <v>27</v>
      </c>
      <c r="F973" s="14">
        <v>19</v>
      </c>
      <c r="G973" s="19">
        <v>55</v>
      </c>
    </row>
    <row r="974" spans="1:7" x14ac:dyDescent="0.3">
      <c r="A974" s="18" t="s">
        <v>154</v>
      </c>
      <c r="B974" s="12" t="s">
        <v>115</v>
      </c>
      <c r="C974" s="12" t="s">
        <v>83</v>
      </c>
      <c r="D974" s="13">
        <v>40756</v>
      </c>
      <c r="E974" s="12" t="s">
        <v>38</v>
      </c>
      <c r="F974" s="14">
        <v>20</v>
      </c>
      <c r="G974" s="19">
        <v>18</v>
      </c>
    </row>
    <row r="975" spans="1:7" x14ac:dyDescent="0.3">
      <c r="A975" s="18" t="s">
        <v>154</v>
      </c>
      <c r="B975" s="12" t="s">
        <v>115</v>
      </c>
      <c r="C975" s="12" t="s">
        <v>83</v>
      </c>
      <c r="D975" s="13">
        <v>40756</v>
      </c>
      <c r="E975" s="12" t="s">
        <v>3</v>
      </c>
      <c r="F975" s="14">
        <v>34</v>
      </c>
      <c r="G975" s="19">
        <v>40</v>
      </c>
    </row>
    <row r="976" spans="1:7" x14ac:dyDescent="0.3">
      <c r="A976" s="18" t="s">
        <v>154</v>
      </c>
      <c r="B976" s="12" t="s">
        <v>115</v>
      </c>
      <c r="C976" s="12" t="s">
        <v>83</v>
      </c>
      <c r="D976" s="13">
        <v>40756</v>
      </c>
      <c r="E976" s="12" t="s">
        <v>31</v>
      </c>
      <c r="F976" s="14">
        <v>18</v>
      </c>
      <c r="G976" s="19">
        <v>80</v>
      </c>
    </row>
    <row r="977" spans="1:7" x14ac:dyDescent="0.3">
      <c r="A977" s="18" t="s">
        <v>108</v>
      </c>
      <c r="B977" s="12" t="s">
        <v>109</v>
      </c>
      <c r="C977" s="12" t="s">
        <v>81</v>
      </c>
      <c r="D977" s="13">
        <v>40756</v>
      </c>
      <c r="E977" s="12" t="s">
        <v>30</v>
      </c>
      <c r="F977" s="14">
        <v>6</v>
      </c>
      <c r="G977" s="19">
        <v>8</v>
      </c>
    </row>
    <row r="978" spans="1:7" x14ac:dyDescent="0.3">
      <c r="A978" s="18" t="s">
        <v>108</v>
      </c>
      <c r="B978" s="12" t="s">
        <v>109</v>
      </c>
      <c r="C978" s="12" t="s">
        <v>81</v>
      </c>
      <c r="D978" s="13">
        <v>40756</v>
      </c>
      <c r="E978" s="12" t="s">
        <v>53</v>
      </c>
      <c r="F978" s="14">
        <v>7.75</v>
      </c>
      <c r="G978" s="19">
        <v>40</v>
      </c>
    </row>
    <row r="979" spans="1:7" x14ac:dyDescent="0.3">
      <c r="A979" s="18" t="s">
        <v>193</v>
      </c>
      <c r="B979" s="12" t="s">
        <v>123</v>
      </c>
      <c r="C979" s="12" t="s">
        <v>80</v>
      </c>
      <c r="D979" s="13">
        <v>40756</v>
      </c>
      <c r="E979" s="12" t="s">
        <v>49</v>
      </c>
      <c r="F979" s="14">
        <v>21</v>
      </c>
      <c r="G979" s="19">
        <v>14</v>
      </c>
    </row>
    <row r="980" spans="1:7" x14ac:dyDescent="0.3">
      <c r="A980" s="18" t="s">
        <v>193</v>
      </c>
      <c r="B980" s="12" t="s">
        <v>123</v>
      </c>
      <c r="C980" s="12" t="s">
        <v>80</v>
      </c>
      <c r="D980" s="13">
        <v>40756</v>
      </c>
      <c r="E980" s="12" t="s">
        <v>62</v>
      </c>
      <c r="F980" s="14">
        <v>10</v>
      </c>
      <c r="G980" s="19">
        <v>8</v>
      </c>
    </row>
    <row r="981" spans="1:7" x14ac:dyDescent="0.3">
      <c r="A981" s="18" t="s">
        <v>193</v>
      </c>
      <c r="B981" s="12" t="s">
        <v>123</v>
      </c>
      <c r="C981" s="12" t="s">
        <v>80</v>
      </c>
      <c r="D981" s="13">
        <v>40756</v>
      </c>
      <c r="E981" s="12" t="s">
        <v>7</v>
      </c>
      <c r="F981" s="14">
        <v>18</v>
      </c>
      <c r="G981" s="19">
        <v>5</v>
      </c>
    </row>
    <row r="982" spans="1:7" x14ac:dyDescent="0.3">
      <c r="A982" s="18" t="s">
        <v>95</v>
      </c>
      <c r="B982" s="12" t="s">
        <v>96</v>
      </c>
      <c r="C982" s="12" t="s">
        <v>77</v>
      </c>
      <c r="D982" s="13">
        <v>40761</v>
      </c>
      <c r="E982" s="12" t="s">
        <v>46</v>
      </c>
      <c r="F982" s="14">
        <v>24</v>
      </c>
      <c r="G982" s="19">
        <v>5</v>
      </c>
    </row>
    <row r="983" spans="1:7" x14ac:dyDescent="0.3">
      <c r="A983" s="18" t="s">
        <v>196</v>
      </c>
      <c r="B983" s="12" t="s">
        <v>115</v>
      </c>
      <c r="C983" s="12" t="s">
        <v>83</v>
      </c>
      <c r="D983" s="13">
        <v>40760</v>
      </c>
      <c r="E983" s="12" t="s">
        <v>11</v>
      </c>
      <c r="F983" s="14">
        <v>263.5</v>
      </c>
      <c r="G983" s="19">
        <v>15</v>
      </c>
    </row>
    <row r="984" spans="1:7" x14ac:dyDescent="0.3">
      <c r="A984" s="18" t="s">
        <v>196</v>
      </c>
      <c r="B984" s="12" t="s">
        <v>115</v>
      </c>
      <c r="C984" s="12" t="s">
        <v>83</v>
      </c>
      <c r="D984" s="13">
        <v>40760</v>
      </c>
      <c r="E984" s="12" t="s">
        <v>17</v>
      </c>
      <c r="F984" s="14">
        <v>38</v>
      </c>
      <c r="G984" s="19">
        <v>14</v>
      </c>
    </row>
    <row r="985" spans="1:7" x14ac:dyDescent="0.3">
      <c r="A985" s="18" t="s">
        <v>196</v>
      </c>
      <c r="B985" s="12" t="s">
        <v>115</v>
      </c>
      <c r="C985" s="12" t="s">
        <v>83</v>
      </c>
      <c r="D985" s="13">
        <v>40760</v>
      </c>
      <c r="E985" s="12" t="s">
        <v>45</v>
      </c>
      <c r="F985" s="14">
        <v>15</v>
      </c>
      <c r="G985" s="19">
        <v>15</v>
      </c>
    </row>
    <row r="986" spans="1:7" x14ac:dyDescent="0.3">
      <c r="A986" s="18" t="s">
        <v>196</v>
      </c>
      <c r="B986" s="12" t="s">
        <v>115</v>
      </c>
      <c r="C986" s="12" t="s">
        <v>83</v>
      </c>
      <c r="D986" s="13">
        <v>40760</v>
      </c>
      <c r="E986" s="12" t="s">
        <v>14</v>
      </c>
      <c r="F986" s="14">
        <v>21.5</v>
      </c>
      <c r="G986" s="19">
        <v>15</v>
      </c>
    </row>
    <row r="987" spans="1:7" x14ac:dyDescent="0.3">
      <c r="A987" s="18" t="s">
        <v>196</v>
      </c>
      <c r="B987" s="12" t="s">
        <v>115</v>
      </c>
      <c r="C987" s="12" t="s">
        <v>81</v>
      </c>
      <c r="D987" s="13">
        <v>40759</v>
      </c>
      <c r="E987" s="12" t="s">
        <v>51</v>
      </c>
      <c r="F987" s="14">
        <v>55</v>
      </c>
      <c r="G987" s="19">
        <v>30</v>
      </c>
    </row>
    <row r="988" spans="1:7" x14ac:dyDescent="0.3">
      <c r="A988" s="18" t="s">
        <v>159</v>
      </c>
      <c r="B988" s="12" t="s">
        <v>160</v>
      </c>
      <c r="C988" s="12" t="s">
        <v>83</v>
      </c>
      <c r="D988" s="13">
        <v>40763</v>
      </c>
      <c r="E988" s="12" t="s">
        <v>19</v>
      </c>
      <c r="F988" s="14">
        <v>25</v>
      </c>
      <c r="G988" s="19">
        <v>70</v>
      </c>
    </row>
    <row r="989" spans="1:7" x14ac:dyDescent="0.3">
      <c r="A989" s="18" t="s">
        <v>159</v>
      </c>
      <c r="B989" s="12" t="s">
        <v>160</v>
      </c>
      <c r="C989" s="12" t="s">
        <v>83</v>
      </c>
      <c r="D989" s="13">
        <v>40763</v>
      </c>
      <c r="E989" s="12" t="s">
        <v>17</v>
      </c>
      <c r="F989" s="14">
        <v>38</v>
      </c>
      <c r="G989" s="19">
        <v>20</v>
      </c>
    </row>
    <row r="990" spans="1:7" x14ac:dyDescent="0.3">
      <c r="A990" s="18" t="s">
        <v>159</v>
      </c>
      <c r="B990" s="12" t="s">
        <v>160</v>
      </c>
      <c r="C990" s="12" t="s">
        <v>83</v>
      </c>
      <c r="D990" s="13">
        <v>40763</v>
      </c>
      <c r="E990" s="12" t="s">
        <v>59</v>
      </c>
      <c r="F990" s="14">
        <v>12.5</v>
      </c>
      <c r="G990" s="19">
        <v>15</v>
      </c>
    </row>
    <row r="991" spans="1:7" x14ac:dyDescent="0.3">
      <c r="A991" s="18" t="s">
        <v>159</v>
      </c>
      <c r="B991" s="12" t="s">
        <v>160</v>
      </c>
      <c r="C991" s="12" t="s">
        <v>79</v>
      </c>
      <c r="D991" s="13">
        <v>40762</v>
      </c>
      <c r="E991" s="12" t="s">
        <v>62</v>
      </c>
      <c r="F991" s="14">
        <v>10</v>
      </c>
      <c r="G991" s="19">
        <v>42</v>
      </c>
    </row>
    <row r="992" spans="1:7" x14ac:dyDescent="0.3">
      <c r="A992" s="18" t="s">
        <v>159</v>
      </c>
      <c r="B992" s="12" t="s">
        <v>160</v>
      </c>
      <c r="C992" s="12" t="s">
        <v>79</v>
      </c>
      <c r="D992" s="13">
        <v>40762</v>
      </c>
      <c r="E992" s="12" t="s">
        <v>25</v>
      </c>
      <c r="F992" s="14">
        <v>21</v>
      </c>
      <c r="G992" s="19">
        <v>40</v>
      </c>
    </row>
    <row r="993" spans="1:7" x14ac:dyDescent="0.3">
      <c r="A993" s="18" t="s">
        <v>192</v>
      </c>
      <c r="B993" s="12" t="s">
        <v>160</v>
      </c>
      <c r="C993" s="12" t="s">
        <v>77</v>
      </c>
      <c r="D993" s="13">
        <v>40769</v>
      </c>
      <c r="E993" s="12" t="s">
        <v>21</v>
      </c>
      <c r="F993" s="14">
        <v>4.5</v>
      </c>
      <c r="G993" s="19">
        <v>5</v>
      </c>
    </row>
    <row r="994" spans="1:7" x14ac:dyDescent="0.3">
      <c r="A994" s="18" t="s">
        <v>192</v>
      </c>
      <c r="B994" s="12" t="s">
        <v>160</v>
      </c>
      <c r="C994" s="12" t="s">
        <v>77</v>
      </c>
      <c r="D994" s="13">
        <v>40769</v>
      </c>
      <c r="E994" s="12" t="s">
        <v>13</v>
      </c>
      <c r="F994" s="14">
        <v>7</v>
      </c>
      <c r="G994" s="19">
        <v>5</v>
      </c>
    </row>
    <row r="995" spans="1:7" x14ac:dyDescent="0.3">
      <c r="A995" s="18" t="s">
        <v>151</v>
      </c>
      <c r="B995" s="12" t="s">
        <v>141</v>
      </c>
      <c r="C995" s="12" t="s">
        <v>81</v>
      </c>
      <c r="D995" s="13">
        <v>40766</v>
      </c>
      <c r="E995" s="12" t="s">
        <v>67</v>
      </c>
      <c r="F995" s="14">
        <v>9.1999999999999993</v>
      </c>
      <c r="G995" s="19">
        <v>5</v>
      </c>
    </row>
    <row r="996" spans="1:7" x14ac:dyDescent="0.3">
      <c r="A996" s="18" t="s">
        <v>151</v>
      </c>
      <c r="B996" s="12" t="s">
        <v>141</v>
      </c>
      <c r="C996" s="12" t="s">
        <v>81</v>
      </c>
      <c r="D996" s="13">
        <v>40766</v>
      </c>
      <c r="E996" s="12" t="s">
        <v>71</v>
      </c>
      <c r="F996" s="14">
        <v>9</v>
      </c>
      <c r="G996" s="19">
        <v>10</v>
      </c>
    </row>
    <row r="997" spans="1:7" x14ac:dyDescent="0.3">
      <c r="A997" s="18" t="s">
        <v>151</v>
      </c>
      <c r="B997" s="12" t="s">
        <v>141</v>
      </c>
      <c r="C997" s="12" t="s">
        <v>81</v>
      </c>
      <c r="D997" s="13">
        <v>40766</v>
      </c>
      <c r="E997" s="12" t="s">
        <v>45</v>
      </c>
      <c r="F997" s="14">
        <v>15</v>
      </c>
      <c r="G997" s="19">
        <v>20</v>
      </c>
    </row>
    <row r="998" spans="1:7" x14ac:dyDescent="0.3">
      <c r="A998" s="18" t="s">
        <v>151</v>
      </c>
      <c r="B998" s="12" t="s">
        <v>141</v>
      </c>
      <c r="C998" s="12" t="s">
        <v>81</v>
      </c>
      <c r="D998" s="13">
        <v>40766</v>
      </c>
      <c r="E998" s="12" t="s">
        <v>14</v>
      </c>
      <c r="F998" s="14">
        <v>21.5</v>
      </c>
      <c r="G998" s="19">
        <v>15</v>
      </c>
    </row>
    <row r="999" spans="1:7" x14ac:dyDescent="0.3">
      <c r="A999" s="18" t="s">
        <v>138</v>
      </c>
      <c r="B999" s="12" t="s">
        <v>98</v>
      </c>
      <c r="C999" s="12" t="s">
        <v>81</v>
      </c>
      <c r="D999" s="13">
        <v>40766</v>
      </c>
      <c r="E999" s="12" t="s">
        <v>6</v>
      </c>
      <c r="F999" s="14">
        <v>19</v>
      </c>
      <c r="G999" s="19">
        <v>20</v>
      </c>
    </row>
    <row r="1000" spans="1:7" x14ac:dyDescent="0.3">
      <c r="A1000" s="18" t="s">
        <v>138</v>
      </c>
      <c r="B1000" s="12" t="s">
        <v>98</v>
      </c>
      <c r="C1000" s="12" t="s">
        <v>81</v>
      </c>
      <c r="D1000" s="13">
        <v>40766</v>
      </c>
      <c r="E1000" s="12" t="s">
        <v>59</v>
      </c>
      <c r="F1000" s="14">
        <v>12.5</v>
      </c>
      <c r="G1000" s="19">
        <v>18</v>
      </c>
    </row>
    <row r="1001" spans="1:7" x14ac:dyDescent="0.3">
      <c r="A1001" s="18" t="s">
        <v>122</v>
      </c>
      <c r="B1001" s="12" t="s">
        <v>123</v>
      </c>
      <c r="C1001" s="12" t="s">
        <v>80</v>
      </c>
      <c r="D1001" s="13">
        <v>40767</v>
      </c>
      <c r="E1001" s="12" t="s">
        <v>69</v>
      </c>
      <c r="F1001" s="14">
        <v>23.25</v>
      </c>
      <c r="G1001" s="19">
        <v>21</v>
      </c>
    </row>
    <row r="1002" spans="1:7" x14ac:dyDescent="0.3">
      <c r="A1002" s="18" t="s">
        <v>122</v>
      </c>
      <c r="B1002" s="12" t="s">
        <v>123</v>
      </c>
      <c r="C1002" s="12" t="s">
        <v>80</v>
      </c>
      <c r="D1002" s="13">
        <v>40767</v>
      </c>
      <c r="E1002" s="12" t="s">
        <v>67</v>
      </c>
      <c r="F1002" s="14">
        <v>9.1999999999999993</v>
      </c>
      <c r="G1002" s="19">
        <v>15</v>
      </c>
    </row>
    <row r="1003" spans="1:7" x14ac:dyDescent="0.3">
      <c r="A1003" s="18" t="s">
        <v>122</v>
      </c>
      <c r="B1003" s="12" t="s">
        <v>123</v>
      </c>
      <c r="C1003" s="12" t="s">
        <v>80</v>
      </c>
      <c r="D1003" s="13">
        <v>40767</v>
      </c>
      <c r="E1003" s="12" t="s">
        <v>62</v>
      </c>
      <c r="F1003" s="14">
        <v>10</v>
      </c>
      <c r="G1003" s="19">
        <v>25</v>
      </c>
    </row>
    <row r="1004" spans="1:7" x14ac:dyDescent="0.3">
      <c r="A1004" s="18" t="s">
        <v>122</v>
      </c>
      <c r="B1004" s="12" t="s">
        <v>123</v>
      </c>
      <c r="C1004" s="12" t="s">
        <v>80</v>
      </c>
      <c r="D1004" s="13">
        <v>40767</v>
      </c>
      <c r="E1004" s="12" t="s">
        <v>21</v>
      </c>
      <c r="F1004" s="14">
        <v>4.5</v>
      </c>
      <c r="G1004" s="19">
        <v>3</v>
      </c>
    </row>
    <row r="1005" spans="1:7" x14ac:dyDescent="0.3">
      <c r="A1005" s="18" t="s">
        <v>122</v>
      </c>
      <c r="B1005" s="12" t="s">
        <v>123</v>
      </c>
      <c r="C1005" s="12" t="s">
        <v>80</v>
      </c>
      <c r="D1005" s="13">
        <v>40767</v>
      </c>
      <c r="E1005" s="12" t="s">
        <v>65</v>
      </c>
      <c r="F1005" s="14">
        <v>18</v>
      </c>
      <c r="G1005" s="19">
        <v>30</v>
      </c>
    </row>
    <row r="1006" spans="1:7" x14ac:dyDescent="0.3">
      <c r="A1006" s="18" t="s">
        <v>200</v>
      </c>
      <c r="B1006" s="12" t="s">
        <v>115</v>
      </c>
      <c r="C1006" s="12" t="s">
        <v>81</v>
      </c>
      <c r="D1006" s="13">
        <v>40774</v>
      </c>
      <c r="E1006" s="12" t="s">
        <v>56</v>
      </c>
      <c r="F1006" s="14">
        <v>45.6</v>
      </c>
      <c r="G1006" s="19">
        <v>10</v>
      </c>
    </row>
    <row r="1007" spans="1:7" x14ac:dyDescent="0.3">
      <c r="A1007" s="18" t="s">
        <v>200</v>
      </c>
      <c r="B1007" s="12" t="s">
        <v>115</v>
      </c>
      <c r="C1007" s="12" t="s">
        <v>81</v>
      </c>
      <c r="D1007" s="13">
        <v>40774</v>
      </c>
      <c r="E1007" s="12" t="s">
        <v>68</v>
      </c>
      <c r="F1007" s="14">
        <v>123.79</v>
      </c>
      <c r="G1007" s="19">
        <v>6</v>
      </c>
    </row>
    <row r="1008" spans="1:7" x14ac:dyDescent="0.3">
      <c r="A1008" s="18" t="s">
        <v>200</v>
      </c>
      <c r="B1008" s="12" t="s">
        <v>115</v>
      </c>
      <c r="C1008" s="12" t="s">
        <v>81</v>
      </c>
      <c r="D1008" s="13">
        <v>40774</v>
      </c>
      <c r="E1008" s="12" t="s">
        <v>23</v>
      </c>
      <c r="F1008" s="14">
        <v>19.45</v>
      </c>
      <c r="G1008" s="19">
        <v>10</v>
      </c>
    </row>
    <row r="1009" spans="1:7" x14ac:dyDescent="0.3">
      <c r="A1009" s="18" t="s">
        <v>148</v>
      </c>
      <c r="B1009" s="12" t="s">
        <v>113</v>
      </c>
      <c r="C1009" s="12" t="s">
        <v>79</v>
      </c>
      <c r="D1009" s="13">
        <v>40769</v>
      </c>
      <c r="E1009" s="12" t="s">
        <v>69</v>
      </c>
      <c r="F1009" s="14">
        <v>23.25</v>
      </c>
      <c r="G1009" s="19">
        <v>3</v>
      </c>
    </row>
    <row r="1010" spans="1:7" x14ac:dyDescent="0.3">
      <c r="A1010" s="18" t="s">
        <v>148</v>
      </c>
      <c r="B1010" s="12" t="s">
        <v>113</v>
      </c>
      <c r="C1010" s="12" t="s">
        <v>79</v>
      </c>
      <c r="D1010" s="13">
        <v>40769</v>
      </c>
      <c r="E1010" s="12" t="s">
        <v>60</v>
      </c>
      <c r="F1010" s="14">
        <v>14</v>
      </c>
      <c r="G1010" s="19">
        <v>5</v>
      </c>
    </row>
    <row r="1011" spans="1:7" x14ac:dyDescent="0.3">
      <c r="A1011" s="18" t="s">
        <v>148</v>
      </c>
      <c r="B1011" s="12" t="s">
        <v>113</v>
      </c>
      <c r="C1011" s="12" t="s">
        <v>79</v>
      </c>
      <c r="D1011" s="13">
        <v>40769</v>
      </c>
      <c r="E1011" s="12" t="s">
        <v>3</v>
      </c>
      <c r="F1011" s="14">
        <v>34</v>
      </c>
      <c r="G1011" s="19">
        <v>10</v>
      </c>
    </row>
    <row r="1012" spans="1:7" x14ac:dyDescent="0.3">
      <c r="A1012" s="18" t="s">
        <v>133</v>
      </c>
      <c r="B1012" s="12" t="s">
        <v>119</v>
      </c>
      <c r="C1012" s="12" t="s">
        <v>83</v>
      </c>
      <c r="D1012" s="13">
        <v>40775</v>
      </c>
      <c r="E1012" s="12" t="s">
        <v>48</v>
      </c>
      <c r="F1012" s="14">
        <v>32.799999999999997</v>
      </c>
      <c r="G1012" s="19">
        <v>12</v>
      </c>
    </row>
    <row r="1013" spans="1:7" x14ac:dyDescent="0.3">
      <c r="A1013" s="18" t="s">
        <v>133</v>
      </c>
      <c r="B1013" s="12" t="s">
        <v>119</v>
      </c>
      <c r="C1013" s="12" t="s">
        <v>83</v>
      </c>
      <c r="D1013" s="13">
        <v>40775</v>
      </c>
      <c r="E1013" s="12" t="s">
        <v>3</v>
      </c>
      <c r="F1013" s="14">
        <v>34</v>
      </c>
      <c r="G1013" s="19">
        <v>20</v>
      </c>
    </row>
    <row r="1014" spans="1:7" x14ac:dyDescent="0.3">
      <c r="A1014" s="18" t="s">
        <v>133</v>
      </c>
      <c r="B1014" s="12" t="s">
        <v>119</v>
      </c>
      <c r="C1014" s="12" t="s">
        <v>83</v>
      </c>
      <c r="D1014" s="13">
        <v>40775</v>
      </c>
      <c r="E1014" s="12" t="s">
        <v>14</v>
      </c>
      <c r="F1014" s="14">
        <v>21.5</v>
      </c>
      <c r="G1014" s="19">
        <v>20</v>
      </c>
    </row>
    <row r="1015" spans="1:7" x14ac:dyDescent="0.3">
      <c r="A1015" s="18" t="s">
        <v>154</v>
      </c>
      <c r="B1015" s="12" t="s">
        <v>115</v>
      </c>
      <c r="C1015" s="12" t="s">
        <v>80</v>
      </c>
      <c r="D1015" s="13">
        <v>40776</v>
      </c>
      <c r="E1015" s="12" t="s">
        <v>66</v>
      </c>
      <c r="F1015" s="14">
        <v>49.3</v>
      </c>
      <c r="G1015" s="19">
        <v>15</v>
      </c>
    </row>
    <row r="1016" spans="1:7" x14ac:dyDescent="0.3">
      <c r="A1016" s="18" t="s">
        <v>154</v>
      </c>
      <c r="B1016" s="12" t="s">
        <v>115</v>
      </c>
      <c r="C1016" s="12" t="s">
        <v>80</v>
      </c>
      <c r="D1016" s="13">
        <v>40776</v>
      </c>
      <c r="E1016" s="12" t="s">
        <v>54</v>
      </c>
      <c r="F1016" s="14">
        <v>15</v>
      </c>
      <c r="G1016" s="19">
        <v>35</v>
      </c>
    </row>
    <row r="1017" spans="1:7" x14ac:dyDescent="0.3">
      <c r="A1017" s="18" t="s">
        <v>120</v>
      </c>
      <c r="B1017" s="12" t="s">
        <v>101</v>
      </c>
      <c r="C1017" s="12" t="s">
        <v>81</v>
      </c>
      <c r="D1017" s="13">
        <v>40775</v>
      </c>
      <c r="E1017" s="12" t="s">
        <v>5</v>
      </c>
      <c r="F1017" s="14">
        <v>18</v>
      </c>
      <c r="G1017" s="19">
        <v>25</v>
      </c>
    </row>
    <row r="1018" spans="1:7" x14ac:dyDescent="0.3">
      <c r="A1018" s="18" t="s">
        <v>146</v>
      </c>
      <c r="B1018" s="12" t="s">
        <v>136</v>
      </c>
      <c r="C1018" s="12" t="s">
        <v>81</v>
      </c>
      <c r="D1018" s="13">
        <v>40775</v>
      </c>
      <c r="E1018" s="12" t="s">
        <v>68</v>
      </c>
      <c r="F1018" s="14">
        <v>123.79</v>
      </c>
      <c r="G1018" s="19">
        <v>20</v>
      </c>
    </row>
    <row r="1019" spans="1:7" x14ac:dyDescent="0.3">
      <c r="A1019" s="18" t="s">
        <v>146</v>
      </c>
      <c r="B1019" s="12" t="s">
        <v>136</v>
      </c>
      <c r="C1019" s="12" t="s">
        <v>81</v>
      </c>
      <c r="D1019" s="13">
        <v>40775</v>
      </c>
      <c r="E1019" s="12" t="s">
        <v>75</v>
      </c>
      <c r="F1019" s="14">
        <v>33.25</v>
      </c>
      <c r="G1019" s="19">
        <v>9</v>
      </c>
    </row>
    <row r="1020" spans="1:7" x14ac:dyDescent="0.3">
      <c r="A1020" s="18" t="s">
        <v>153</v>
      </c>
      <c r="B1020" s="12" t="s">
        <v>123</v>
      </c>
      <c r="C1020" s="12" t="s">
        <v>83</v>
      </c>
      <c r="D1020" s="13">
        <v>40774</v>
      </c>
      <c r="E1020" s="12" t="s">
        <v>46</v>
      </c>
      <c r="F1020" s="14">
        <v>24</v>
      </c>
      <c r="G1020" s="19">
        <v>12</v>
      </c>
    </row>
    <row r="1021" spans="1:7" x14ac:dyDescent="0.3">
      <c r="A1021" s="18" t="s">
        <v>153</v>
      </c>
      <c r="B1021" s="12" t="s">
        <v>123</v>
      </c>
      <c r="C1021" s="12" t="s">
        <v>83</v>
      </c>
      <c r="D1021" s="13">
        <v>40774</v>
      </c>
      <c r="E1021" s="12" t="s">
        <v>31</v>
      </c>
      <c r="F1021" s="14">
        <v>18</v>
      </c>
      <c r="G1021" s="19">
        <v>35</v>
      </c>
    </row>
    <row r="1022" spans="1:7" x14ac:dyDescent="0.3">
      <c r="A1022" s="18" t="s">
        <v>165</v>
      </c>
      <c r="B1022" s="12" t="s">
        <v>101</v>
      </c>
      <c r="C1022" s="12" t="s">
        <v>80</v>
      </c>
      <c r="D1022" s="13">
        <v>40770</v>
      </c>
      <c r="E1022" s="12" t="s">
        <v>53</v>
      </c>
      <c r="F1022" s="14">
        <v>7.75</v>
      </c>
      <c r="G1022" s="19">
        <v>8</v>
      </c>
    </row>
    <row r="1023" spans="1:7" x14ac:dyDescent="0.3">
      <c r="A1023" s="18" t="s">
        <v>145</v>
      </c>
      <c r="B1023" s="12" t="s">
        <v>123</v>
      </c>
      <c r="C1023" s="12" t="s">
        <v>80</v>
      </c>
      <c r="D1023" s="13">
        <v>40774</v>
      </c>
      <c r="E1023" s="12" t="s">
        <v>6</v>
      </c>
      <c r="F1023" s="14">
        <v>19</v>
      </c>
      <c r="G1023" s="19">
        <v>30</v>
      </c>
    </row>
    <row r="1024" spans="1:7" x14ac:dyDescent="0.3">
      <c r="A1024" s="18" t="s">
        <v>145</v>
      </c>
      <c r="B1024" s="12" t="s">
        <v>123</v>
      </c>
      <c r="C1024" s="12" t="s">
        <v>80</v>
      </c>
      <c r="D1024" s="13">
        <v>40774</v>
      </c>
      <c r="E1024" s="12" t="s">
        <v>15</v>
      </c>
      <c r="F1024" s="14">
        <v>2.5</v>
      </c>
      <c r="G1024" s="19">
        <v>20</v>
      </c>
    </row>
    <row r="1025" spans="1:7" x14ac:dyDescent="0.3">
      <c r="A1025" s="18" t="s">
        <v>110</v>
      </c>
      <c r="B1025" s="12" t="s">
        <v>111</v>
      </c>
      <c r="C1025" s="12" t="s">
        <v>84</v>
      </c>
      <c r="D1025" s="13">
        <v>40773</v>
      </c>
      <c r="E1025" s="12" t="s">
        <v>50</v>
      </c>
      <c r="F1025" s="14">
        <v>38</v>
      </c>
      <c r="G1025" s="19">
        <v>36</v>
      </c>
    </row>
    <row r="1026" spans="1:7" x14ac:dyDescent="0.3">
      <c r="A1026" s="18" t="s">
        <v>110</v>
      </c>
      <c r="B1026" s="12" t="s">
        <v>111</v>
      </c>
      <c r="C1026" s="12" t="s">
        <v>84</v>
      </c>
      <c r="D1026" s="13">
        <v>40773</v>
      </c>
      <c r="E1026" s="12" t="s">
        <v>30</v>
      </c>
      <c r="F1026" s="14">
        <v>6</v>
      </c>
      <c r="G1026" s="19">
        <v>13</v>
      </c>
    </row>
    <row r="1027" spans="1:7" x14ac:dyDescent="0.3">
      <c r="A1027" s="18" t="s">
        <v>110</v>
      </c>
      <c r="B1027" s="12" t="s">
        <v>111</v>
      </c>
      <c r="C1027" s="12" t="s">
        <v>84</v>
      </c>
      <c r="D1027" s="13">
        <v>40773</v>
      </c>
      <c r="E1027" s="12" t="s">
        <v>24</v>
      </c>
      <c r="F1027" s="14">
        <v>31.23</v>
      </c>
      <c r="G1027" s="19">
        <v>35</v>
      </c>
    </row>
    <row r="1028" spans="1:7" x14ac:dyDescent="0.3">
      <c r="A1028" s="18" t="s">
        <v>110</v>
      </c>
      <c r="B1028" s="12" t="s">
        <v>111</v>
      </c>
      <c r="C1028" s="12" t="s">
        <v>84</v>
      </c>
      <c r="D1028" s="13">
        <v>40773</v>
      </c>
      <c r="E1028" s="12" t="s">
        <v>66</v>
      </c>
      <c r="F1028" s="14">
        <v>49.3</v>
      </c>
      <c r="G1028" s="19">
        <v>80</v>
      </c>
    </row>
    <row r="1029" spans="1:7" x14ac:dyDescent="0.3">
      <c r="A1029" s="18" t="s">
        <v>183</v>
      </c>
      <c r="B1029" s="12" t="s">
        <v>101</v>
      </c>
      <c r="C1029" s="12" t="s">
        <v>81</v>
      </c>
      <c r="D1029" s="13">
        <v>40776</v>
      </c>
      <c r="E1029" s="12" t="s">
        <v>72</v>
      </c>
      <c r="F1029" s="14">
        <v>30</v>
      </c>
      <c r="G1029" s="19">
        <v>35</v>
      </c>
    </row>
    <row r="1030" spans="1:7" x14ac:dyDescent="0.3">
      <c r="A1030" s="18" t="s">
        <v>183</v>
      </c>
      <c r="B1030" s="12" t="s">
        <v>101</v>
      </c>
      <c r="C1030" s="12" t="s">
        <v>81</v>
      </c>
      <c r="D1030" s="13">
        <v>40776</v>
      </c>
      <c r="E1030" s="12" t="s">
        <v>4</v>
      </c>
      <c r="F1030" s="14">
        <v>62.5</v>
      </c>
      <c r="G1030" s="19">
        <v>50</v>
      </c>
    </row>
    <row r="1031" spans="1:7" x14ac:dyDescent="0.3">
      <c r="A1031" s="18" t="s">
        <v>183</v>
      </c>
      <c r="B1031" s="12" t="s">
        <v>101</v>
      </c>
      <c r="C1031" s="12" t="s">
        <v>81</v>
      </c>
      <c r="D1031" s="13">
        <v>40776</v>
      </c>
      <c r="E1031" s="12" t="s">
        <v>36</v>
      </c>
      <c r="F1031" s="14">
        <v>53</v>
      </c>
      <c r="G1031" s="19">
        <v>15</v>
      </c>
    </row>
    <row r="1032" spans="1:7" x14ac:dyDescent="0.3">
      <c r="A1032" s="18" t="s">
        <v>183</v>
      </c>
      <c r="B1032" s="12" t="s">
        <v>101</v>
      </c>
      <c r="C1032" s="12" t="s">
        <v>81</v>
      </c>
      <c r="D1032" s="13">
        <v>40776</v>
      </c>
      <c r="E1032" s="12" t="s">
        <v>53</v>
      </c>
      <c r="F1032" s="14">
        <v>7.75</v>
      </c>
      <c r="G1032" s="19">
        <v>2</v>
      </c>
    </row>
    <row r="1033" spans="1:7" x14ac:dyDescent="0.3">
      <c r="A1033" s="18" t="s">
        <v>129</v>
      </c>
      <c r="B1033" s="12" t="s">
        <v>130</v>
      </c>
      <c r="C1033" s="12" t="s">
        <v>80</v>
      </c>
      <c r="D1033" s="13">
        <v>40776</v>
      </c>
      <c r="E1033" s="12" t="s">
        <v>8</v>
      </c>
      <c r="F1033" s="14">
        <v>22</v>
      </c>
      <c r="G1033" s="19">
        <v>10</v>
      </c>
    </row>
    <row r="1034" spans="1:7" x14ac:dyDescent="0.3">
      <c r="A1034" s="18" t="s">
        <v>129</v>
      </c>
      <c r="B1034" s="12" t="s">
        <v>130</v>
      </c>
      <c r="C1034" s="12" t="s">
        <v>80</v>
      </c>
      <c r="D1034" s="13">
        <v>40776</v>
      </c>
      <c r="E1034" s="12" t="s">
        <v>9</v>
      </c>
      <c r="F1034" s="14">
        <v>21.35</v>
      </c>
      <c r="G1034" s="19">
        <v>15</v>
      </c>
    </row>
    <row r="1035" spans="1:7" x14ac:dyDescent="0.3">
      <c r="A1035" s="18" t="s">
        <v>129</v>
      </c>
      <c r="B1035" s="12" t="s">
        <v>130</v>
      </c>
      <c r="C1035" s="12" t="s">
        <v>80</v>
      </c>
      <c r="D1035" s="13">
        <v>40776</v>
      </c>
      <c r="E1035" s="12" t="s">
        <v>25</v>
      </c>
      <c r="F1035" s="14">
        <v>21</v>
      </c>
      <c r="G1035" s="19">
        <v>40</v>
      </c>
    </row>
    <row r="1036" spans="1:7" x14ac:dyDescent="0.3">
      <c r="A1036" s="18" t="s">
        <v>121</v>
      </c>
      <c r="B1036" s="12" t="s">
        <v>96</v>
      </c>
      <c r="C1036" s="12" t="s">
        <v>81</v>
      </c>
      <c r="D1036" s="13">
        <v>40781</v>
      </c>
      <c r="E1036" s="12" t="s">
        <v>8</v>
      </c>
      <c r="F1036" s="14">
        <v>22</v>
      </c>
      <c r="G1036" s="19">
        <v>25</v>
      </c>
    </row>
    <row r="1037" spans="1:7" x14ac:dyDescent="0.3">
      <c r="A1037" s="18" t="s">
        <v>121</v>
      </c>
      <c r="B1037" s="12" t="s">
        <v>96</v>
      </c>
      <c r="C1037" s="12" t="s">
        <v>81</v>
      </c>
      <c r="D1037" s="13">
        <v>40781</v>
      </c>
      <c r="E1037" s="12" t="s">
        <v>12</v>
      </c>
      <c r="F1037" s="14">
        <v>13.25</v>
      </c>
      <c r="G1037" s="19">
        <v>6</v>
      </c>
    </row>
    <row r="1038" spans="1:7" x14ac:dyDescent="0.3">
      <c r="A1038" s="18" t="s">
        <v>174</v>
      </c>
      <c r="B1038" s="12" t="s">
        <v>98</v>
      </c>
      <c r="C1038" s="12" t="s">
        <v>82</v>
      </c>
      <c r="D1038" s="13">
        <v>40781</v>
      </c>
      <c r="E1038" s="12" t="s">
        <v>49</v>
      </c>
      <c r="F1038" s="14">
        <v>21</v>
      </c>
      <c r="G1038" s="19">
        <v>10</v>
      </c>
    </row>
    <row r="1039" spans="1:7" x14ac:dyDescent="0.3">
      <c r="A1039" s="18" t="s">
        <v>174</v>
      </c>
      <c r="B1039" s="12" t="s">
        <v>98</v>
      </c>
      <c r="C1039" s="12" t="s">
        <v>82</v>
      </c>
      <c r="D1039" s="13">
        <v>40781</v>
      </c>
      <c r="E1039" s="12" t="s">
        <v>73</v>
      </c>
      <c r="F1039" s="14">
        <v>16.25</v>
      </c>
      <c r="G1039" s="19">
        <v>25</v>
      </c>
    </row>
    <row r="1040" spans="1:7" x14ac:dyDescent="0.3">
      <c r="A1040" s="18" t="s">
        <v>174</v>
      </c>
      <c r="B1040" s="12" t="s">
        <v>98</v>
      </c>
      <c r="C1040" s="12" t="s">
        <v>82</v>
      </c>
      <c r="D1040" s="13">
        <v>40781</v>
      </c>
      <c r="E1040" s="12" t="s">
        <v>17</v>
      </c>
      <c r="F1040" s="14">
        <v>38</v>
      </c>
      <c r="G1040" s="19">
        <v>60</v>
      </c>
    </row>
    <row r="1041" spans="1:7" x14ac:dyDescent="0.3">
      <c r="A1041" s="18" t="s">
        <v>181</v>
      </c>
      <c r="B1041" s="12" t="s">
        <v>109</v>
      </c>
      <c r="C1041" s="12" t="s">
        <v>79</v>
      </c>
      <c r="D1041" s="13">
        <v>40787</v>
      </c>
      <c r="E1041" s="12" t="s">
        <v>55</v>
      </c>
      <c r="F1041" s="14">
        <v>9.5</v>
      </c>
      <c r="G1041" s="19">
        <v>20</v>
      </c>
    </row>
    <row r="1042" spans="1:7" x14ac:dyDescent="0.3">
      <c r="A1042" s="18" t="s">
        <v>181</v>
      </c>
      <c r="B1042" s="12" t="s">
        <v>109</v>
      </c>
      <c r="C1042" s="12" t="s">
        <v>79</v>
      </c>
      <c r="D1042" s="13">
        <v>40787</v>
      </c>
      <c r="E1042" s="12" t="s">
        <v>34</v>
      </c>
      <c r="F1042" s="14">
        <v>21.05</v>
      </c>
      <c r="G1042" s="19">
        <v>21</v>
      </c>
    </row>
    <row r="1043" spans="1:7" x14ac:dyDescent="0.3">
      <c r="A1043" s="18" t="s">
        <v>181</v>
      </c>
      <c r="B1043" s="12" t="s">
        <v>109</v>
      </c>
      <c r="C1043" s="12" t="s">
        <v>79</v>
      </c>
      <c r="D1043" s="13">
        <v>40787</v>
      </c>
      <c r="E1043" s="12" t="s">
        <v>40</v>
      </c>
      <c r="F1043" s="14">
        <v>34.799999999999997</v>
      </c>
      <c r="G1043" s="19">
        <v>60</v>
      </c>
    </row>
    <row r="1044" spans="1:7" x14ac:dyDescent="0.3">
      <c r="A1044" s="18" t="s">
        <v>178</v>
      </c>
      <c r="B1044" s="12" t="s">
        <v>179</v>
      </c>
      <c r="C1044" s="12" t="s">
        <v>84</v>
      </c>
      <c r="D1044" s="13">
        <v>40782</v>
      </c>
      <c r="E1044" s="12" t="s">
        <v>4</v>
      </c>
      <c r="F1044" s="14">
        <v>62.5</v>
      </c>
      <c r="G1044" s="19">
        <v>8</v>
      </c>
    </row>
    <row r="1045" spans="1:7" x14ac:dyDescent="0.3">
      <c r="A1045" s="18" t="s">
        <v>145</v>
      </c>
      <c r="B1045" s="12" t="s">
        <v>123</v>
      </c>
      <c r="C1045" s="12" t="s">
        <v>81</v>
      </c>
      <c r="D1045" s="13">
        <v>40783</v>
      </c>
      <c r="E1045" s="12" t="s">
        <v>22</v>
      </c>
      <c r="F1045" s="14">
        <v>36</v>
      </c>
      <c r="G1045" s="19">
        <v>20</v>
      </c>
    </row>
    <row r="1046" spans="1:7" x14ac:dyDescent="0.3">
      <c r="A1046" s="18" t="s">
        <v>145</v>
      </c>
      <c r="B1046" s="12" t="s">
        <v>123</v>
      </c>
      <c r="C1046" s="12" t="s">
        <v>81</v>
      </c>
      <c r="D1046" s="13">
        <v>40783</v>
      </c>
      <c r="E1046" s="12" t="s">
        <v>45</v>
      </c>
      <c r="F1046" s="14">
        <v>15</v>
      </c>
      <c r="G1046" s="19">
        <v>15</v>
      </c>
    </row>
    <row r="1047" spans="1:7" x14ac:dyDescent="0.3">
      <c r="A1047" s="18" t="s">
        <v>108</v>
      </c>
      <c r="B1047" s="12" t="s">
        <v>109</v>
      </c>
      <c r="C1047" s="12" t="s">
        <v>81</v>
      </c>
      <c r="D1047" s="13">
        <v>40781</v>
      </c>
      <c r="E1047" s="12" t="s">
        <v>6</v>
      </c>
      <c r="F1047" s="14">
        <v>19</v>
      </c>
      <c r="G1047" s="19">
        <v>50</v>
      </c>
    </row>
    <row r="1048" spans="1:7" x14ac:dyDescent="0.3">
      <c r="A1048" s="18" t="s">
        <v>108</v>
      </c>
      <c r="B1048" s="12" t="s">
        <v>109</v>
      </c>
      <c r="C1048" s="12" t="s">
        <v>81</v>
      </c>
      <c r="D1048" s="13">
        <v>40781</v>
      </c>
      <c r="E1048" s="12" t="s">
        <v>2</v>
      </c>
      <c r="F1048" s="14">
        <v>18.399999999999999</v>
      </c>
      <c r="G1048" s="19">
        <v>60</v>
      </c>
    </row>
    <row r="1049" spans="1:7" x14ac:dyDescent="0.3">
      <c r="A1049" s="18" t="s">
        <v>162</v>
      </c>
      <c r="B1049" s="12" t="s">
        <v>163</v>
      </c>
      <c r="C1049" s="12" t="s">
        <v>84</v>
      </c>
      <c r="D1049" s="13">
        <v>40791</v>
      </c>
      <c r="E1049" s="12" t="s">
        <v>62</v>
      </c>
      <c r="F1049" s="14">
        <v>10</v>
      </c>
      <c r="G1049" s="19">
        <v>30</v>
      </c>
    </row>
    <row r="1050" spans="1:7" x14ac:dyDescent="0.3">
      <c r="A1050" s="18" t="s">
        <v>162</v>
      </c>
      <c r="B1050" s="12" t="s">
        <v>163</v>
      </c>
      <c r="C1050" s="12" t="s">
        <v>84</v>
      </c>
      <c r="D1050" s="13">
        <v>40791</v>
      </c>
      <c r="E1050" s="12" t="s">
        <v>63</v>
      </c>
      <c r="F1050" s="14">
        <v>28.5</v>
      </c>
      <c r="G1050" s="19">
        <v>20</v>
      </c>
    </row>
    <row r="1051" spans="1:7" x14ac:dyDescent="0.3">
      <c r="A1051" s="18" t="s">
        <v>201</v>
      </c>
      <c r="B1051" s="12" t="s">
        <v>123</v>
      </c>
      <c r="C1051" s="12" t="s">
        <v>82</v>
      </c>
      <c r="D1051" s="13">
        <v>40788</v>
      </c>
      <c r="E1051" s="12" t="s">
        <v>56</v>
      </c>
      <c r="F1051" s="14">
        <v>45.6</v>
      </c>
      <c r="G1051" s="19">
        <v>15</v>
      </c>
    </row>
    <row r="1052" spans="1:7" x14ac:dyDescent="0.3">
      <c r="A1052" s="18" t="s">
        <v>201</v>
      </c>
      <c r="B1052" s="12" t="s">
        <v>123</v>
      </c>
      <c r="C1052" s="12" t="s">
        <v>82</v>
      </c>
      <c r="D1052" s="13">
        <v>40788</v>
      </c>
      <c r="E1052" s="12" t="s">
        <v>7</v>
      </c>
      <c r="F1052" s="14">
        <v>18</v>
      </c>
      <c r="G1052" s="19">
        <v>21</v>
      </c>
    </row>
    <row r="1053" spans="1:7" x14ac:dyDescent="0.3">
      <c r="A1053" s="18" t="s">
        <v>201</v>
      </c>
      <c r="B1053" s="12" t="s">
        <v>123</v>
      </c>
      <c r="C1053" s="12" t="s">
        <v>82</v>
      </c>
      <c r="D1053" s="13">
        <v>40788</v>
      </c>
      <c r="E1053" s="12" t="s">
        <v>64</v>
      </c>
      <c r="F1053" s="14">
        <v>12</v>
      </c>
      <c r="G1053" s="19">
        <v>2</v>
      </c>
    </row>
    <row r="1054" spans="1:7" x14ac:dyDescent="0.3">
      <c r="A1054" s="18" t="s">
        <v>107</v>
      </c>
      <c r="B1054" s="12" t="s">
        <v>98</v>
      </c>
      <c r="C1054" s="12" t="s">
        <v>79</v>
      </c>
      <c r="D1054" s="13">
        <v>40787</v>
      </c>
      <c r="E1054" s="12" t="s">
        <v>4</v>
      </c>
      <c r="F1054" s="14">
        <v>62.5</v>
      </c>
      <c r="G1054" s="19">
        <v>4</v>
      </c>
    </row>
    <row r="1055" spans="1:7" x14ac:dyDescent="0.3">
      <c r="A1055" s="18" t="s">
        <v>107</v>
      </c>
      <c r="B1055" s="12" t="s">
        <v>98</v>
      </c>
      <c r="C1055" s="12" t="s">
        <v>79</v>
      </c>
      <c r="D1055" s="13">
        <v>40787</v>
      </c>
      <c r="E1055" s="12" t="s">
        <v>28</v>
      </c>
      <c r="F1055" s="14">
        <v>46</v>
      </c>
      <c r="G1055" s="19">
        <v>20</v>
      </c>
    </row>
    <row r="1056" spans="1:7" x14ac:dyDescent="0.3">
      <c r="A1056" s="18" t="s">
        <v>107</v>
      </c>
      <c r="B1056" s="12" t="s">
        <v>98</v>
      </c>
      <c r="C1056" s="12" t="s">
        <v>79</v>
      </c>
      <c r="D1056" s="13">
        <v>40787</v>
      </c>
      <c r="E1056" s="12" t="s">
        <v>64</v>
      </c>
      <c r="F1056" s="14">
        <v>12</v>
      </c>
      <c r="G1056" s="19">
        <v>21</v>
      </c>
    </row>
    <row r="1057" spans="1:7" x14ac:dyDescent="0.3">
      <c r="A1057" s="18" t="s">
        <v>99</v>
      </c>
      <c r="B1057" s="12" t="s">
        <v>98</v>
      </c>
      <c r="C1057" s="12" t="s">
        <v>81</v>
      </c>
      <c r="D1057" s="13">
        <v>40788</v>
      </c>
      <c r="E1057" s="12" t="s">
        <v>4</v>
      </c>
      <c r="F1057" s="14">
        <v>62.5</v>
      </c>
      <c r="G1057" s="19">
        <v>20</v>
      </c>
    </row>
    <row r="1058" spans="1:7" x14ac:dyDescent="0.3">
      <c r="A1058" s="18" t="s">
        <v>99</v>
      </c>
      <c r="B1058" s="12" t="s">
        <v>98</v>
      </c>
      <c r="C1058" s="12" t="s">
        <v>81</v>
      </c>
      <c r="D1058" s="13">
        <v>40788</v>
      </c>
      <c r="E1058" s="12" t="s">
        <v>27</v>
      </c>
      <c r="F1058" s="14">
        <v>19</v>
      </c>
      <c r="G1058" s="19">
        <v>15</v>
      </c>
    </row>
    <row r="1059" spans="1:7" x14ac:dyDescent="0.3">
      <c r="A1059" s="18" t="s">
        <v>143</v>
      </c>
      <c r="B1059" s="12" t="s">
        <v>144</v>
      </c>
      <c r="C1059" s="12" t="s">
        <v>78</v>
      </c>
      <c r="D1059" s="13">
        <v>40789</v>
      </c>
      <c r="E1059" s="12" t="s">
        <v>5</v>
      </c>
      <c r="F1059" s="14">
        <v>18</v>
      </c>
      <c r="G1059" s="19">
        <v>15</v>
      </c>
    </row>
    <row r="1060" spans="1:7" x14ac:dyDescent="0.3">
      <c r="A1060" s="18" t="s">
        <v>143</v>
      </c>
      <c r="B1060" s="12" t="s">
        <v>144</v>
      </c>
      <c r="C1060" s="12" t="s">
        <v>78</v>
      </c>
      <c r="D1060" s="13">
        <v>40789</v>
      </c>
      <c r="E1060" s="12" t="s">
        <v>26</v>
      </c>
      <c r="F1060" s="14">
        <v>31</v>
      </c>
      <c r="G1060" s="19">
        <v>18</v>
      </c>
    </row>
    <row r="1061" spans="1:7" x14ac:dyDescent="0.3">
      <c r="A1061" s="18" t="s">
        <v>143</v>
      </c>
      <c r="B1061" s="12" t="s">
        <v>144</v>
      </c>
      <c r="C1061" s="12" t="s">
        <v>78</v>
      </c>
      <c r="D1061" s="13">
        <v>40789</v>
      </c>
      <c r="E1061" s="12" t="s">
        <v>14</v>
      </c>
      <c r="F1061" s="14">
        <v>21.5</v>
      </c>
      <c r="G1061" s="19">
        <v>30</v>
      </c>
    </row>
    <row r="1062" spans="1:7" x14ac:dyDescent="0.3">
      <c r="A1062" s="18" t="s">
        <v>143</v>
      </c>
      <c r="B1062" s="12" t="s">
        <v>144</v>
      </c>
      <c r="C1062" s="12" t="s">
        <v>78</v>
      </c>
      <c r="D1062" s="13">
        <v>40789</v>
      </c>
      <c r="E1062" s="12" t="s">
        <v>44</v>
      </c>
      <c r="F1062" s="14">
        <v>13</v>
      </c>
      <c r="G1062" s="19">
        <v>35</v>
      </c>
    </row>
    <row r="1063" spans="1:7" x14ac:dyDescent="0.3">
      <c r="A1063" s="18" t="s">
        <v>116</v>
      </c>
      <c r="B1063" s="12" t="s">
        <v>98</v>
      </c>
      <c r="C1063" s="12" t="s">
        <v>81</v>
      </c>
      <c r="D1063" s="13">
        <v>40789</v>
      </c>
      <c r="E1063" s="12" t="s">
        <v>67</v>
      </c>
      <c r="F1063" s="14">
        <v>9.1999999999999993</v>
      </c>
      <c r="G1063" s="19">
        <v>30</v>
      </c>
    </row>
    <row r="1064" spans="1:7" x14ac:dyDescent="0.3">
      <c r="A1064" s="18" t="s">
        <v>116</v>
      </c>
      <c r="B1064" s="12" t="s">
        <v>98</v>
      </c>
      <c r="C1064" s="12" t="s">
        <v>81</v>
      </c>
      <c r="D1064" s="13">
        <v>40789</v>
      </c>
      <c r="E1064" s="12" t="s">
        <v>7</v>
      </c>
      <c r="F1064" s="14">
        <v>18</v>
      </c>
      <c r="G1064" s="19">
        <v>20</v>
      </c>
    </row>
    <row r="1065" spans="1:7" x14ac:dyDescent="0.3">
      <c r="A1065" s="18" t="s">
        <v>138</v>
      </c>
      <c r="B1065" s="12" t="s">
        <v>98</v>
      </c>
      <c r="C1065" s="12" t="s">
        <v>85</v>
      </c>
      <c r="D1065" s="13">
        <v>40795</v>
      </c>
      <c r="E1065" s="12" t="s">
        <v>25</v>
      </c>
      <c r="F1065" s="14">
        <v>21</v>
      </c>
      <c r="G1065" s="19">
        <v>15</v>
      </c>
    </row>
    <row r="1066" spans="1:7" x14ac:dyDescent="0.3">
      <c r="A1066" s="18" t="s">
        <v>138</v>
      </c>
      <c r="B1066" s="12" t="s">
        <v>98</v>
      </c>
      <c r="C1066" s="12" t="s">
        <v>85</v>
      </c>
      <c r="D1066" s="13">
        <v>40795</v>
      </c>
      <c r="E1066" s="12" t="s">
        <v>21</v>
      </c>
      <c r="F1066" s="14">
        <v>4.5</v>
      </c>
      <c r="G1066" s="19">
        <v>15</v>
      </c>
    </row>
    <row r="1067" spans="1:7" x14ac:dyDescent="0.3">
      <c r="A1067" s="18" t="s">
        <v>197</v>
      </c>
      <c r="B1067" s="12" t="s">
        <v>103</v>
      </c>
      <c r="C1067" s="12" t="s">
        <v>85</v>
      </c>
      <c r="D1067" s="13">
        <v>40784</v>
      </c>
      <c r="E1067" s="12" t="s">
        <v>56</v>
      </c>
      <c r="F1067" s="14">
        <v>45.6</v>
      </c>
      <c r="G1067" s="19">
        <v>20</v>
      </c>
    </row>
    <row r="1068" spans="1:7" x14ac:dyDescent="0.3">
      <c r="A1068" s="18" t="s">
        <v>197</v>
      </c>
      <c r="B1068" s="12" t="s">
        <v>103</v>
      </c>
      <c r="C1068" s="12" t="s">
        <v>85</v>
      </c>
      <c r="D1068" s="13">
        <v>40784</v>
      </c>
      <c r="E1068" s="12" t="s">
        <v>40</v>
      </c>
      <c r="F1068" s="14">
        <v>34.799999999999997</v>
      </c>
      <c r="G1068" s="19">
        <v>15</v>
      </c>
    </row>
    <row r="1069" spans="1:7" x14ac:dyDescent="0.3">
      <c r="A1069" s="18" t="s">
        <v>164</v>
      </c>
      <c r="B1069" s="12" t="s">
        <v>98</v>
      </c>
      <c r="C1069" s="12" t="s">
        <v>85</v>
      </c>
      <c r="D1069" s="13">
        <v>40789</v>
      </c>
      <c r="E1069" s="12" t="s">
        <v>41</v>
      </c>
      <c r="F1069" s="14">
        <v>25.89</v>
      </c>
      <c r="G1069" s="19">
        <v>30</v>
      </c>
    </row>
    <row r="1070" spans="1:7" x14ac:dyDescent="0.3">
      <c r="A1070" s="18" t="s">
        <v>164</v>
      </c>
      <c r="B1070" s="12" t="s">
        <v>98</v>
      </c>
      <c r="C1070" s="12" t="s">
        <v>85</v>
      </c>
      <c r="D1070" s="13">
        <v>40789</v>
      </c>
      <c r="E1070" s="12" t="s">
        <v>48</v>
      </c>
      <c r="F1070" s="14">
        <v>32.799999999999997</v>
      </c>
      <c r="G1070" s="19">
        <v>25</v>
      </c>
    </row>
    <row r="1071" spans="1:7" x14ac:dyDescent="0.3">
      <c r="A1071" s="18" t="s">
        <v>164</v>
      </c>
      <c r="B1071" s="12" t="s">
        <v>98</v>
      </c>
      <c r="C1071" s="12" t="s">
        <v>85</v>
      </c>
      <c r="D1071" s="13">
        <v>40789</v>
      </c>
      <c r="E1071" s="12" t="s">
        <v>70</v>
      </c>
      <c r="F1071" s="14">
        <v>7.45</v>
      </c>
      <c r="G1071" s="19">
        <v>30</v>
      </c>
    </row>
    <row r="1072" spans="1:7" x14ac:dyDescent="0.3">
      <c r="A1072" s="18" t="s">
        <v>145</v>
      </c>
      <c r="B1072" s="12" t="s">
        <v>123</v>
      </c>
      <c r="C1072" s="12" t="s">
        <v>80</v>
      </c>
      <c r="D1072" s="13">
        <v>40797</v>
      </c>
      <c r="E1072" s="12" t="s">
        <v>67</v>
      </c>
      <c r="F1072" s="14">
        <v>9.1999999999999993</v>
      </c>
      <c r="G1072" s="19">
        <v>12</v>
      </c>
    </row>
    <row r="1073" spans="1:7" x14ac:dyDescent="0.3">
      <c r="A1073" s="18" t="s">
        <v>145</v>
      </c>
      <c r="B1073" s="12" t="s">
        <v>123</v>
      </c>
      <c r="C1073" s="12" t="s">
        <v>80</v>
      </c>
      <c r="D1073" s="13">
        <v>40797</v>
      </c>
      <c r="E1073" s="12" t="s">
        <v>25</v>
      </c>
      <c r="F1073" s="14">
        <v>21</v>
      </c>
      <c r="G1073" s="19">
        <v>20</v>
      </c>
    </row>
    <row r="1074" spans="1:7" x14ac:dyDescent="0.3">
      <c r="A1074" s="18" t="s">
        <v>187</v>
      </c>
      <c r="B1074" s="12" t="s">
        <v>98</v>
      </c>
      <c r="C1074" s="12" t="s">
        <v>81</v>
      </c>
      <c r="D1074" s="13">
        <v>40794</v>
      </c>
      <c r="E1074" s="12" t="s">
        <v>41</v>
      </c>
      <c r="F1074" s="14">
        <v>25.89</v>
      </c>
      <c r="G1074" s="19">
        <v>2</v>
      </c>
    </row>
    <row r="1075" spans="1:7" x14ac:dyDescent="0.3">
      <c r="A1075" s="18" t="s">
        <v>187</v>
      </c>
      <c r="B1075" s="12" t="s">
        <v>98</v>
      </c>
      <c r="C1075" s="12" t="s">
        <v>81</v>
      </c>
      <c r="D1075" s="13">
        <v>40794</v>
      </c>
      <c r="E1075" s="12" t="s">
        <v>60</v>
      </c>
      <c r="F1075" s="14">
        <v>14</v>
      </c>
      <c r="G1075" s="19">
        <v>20</v>
      </c>
    </row>
    <row r="1076" spans="1:7" x14ac:dyDescent="0.3">
      <c r="A1076" s="18" t="s">
        <v>122</v>
      </c>
      <c r="B1076" s="12" t="s">
        <v>123</v>
      </c>
      <c r="C1076" s="12" t="s">
        <v>83</v>
      </c>
      <c r="D1076" s="13">
        <v>40805</v>
      </c>
      <c r="E1076" s="12" t="s">
        <v>47</v>
      </c>
      <c r="F1076" s="14">
        <v>17.45</v>
      </c>
      <c r="G1076" s="19">
        <v>30</v>
      </c>
    </row>
    <row r="1077" spans="1:7" x14ac:dyDescent="0.3">
      <c r="A1077" s="18" t="s">
        <v>122</v>
      </c>
      <c r="B1077" s="12" t="s">
        <v>123</v>
      </c>
      <c r="C1077" s="12" t="s">
        <v>83</v>
      </c>
      <c r="D1077" s="13">
        <v>40805</v>
      </c>
      <c r="E1077" s="12" t="s">
        <v>3</v>
      </c>
      <c r="F1077" s="14">
        <v>34</v>
      </c>
      <c r="G1077" s="19">
        <v>20</v>
      </c>
    </row>
    <row r="1078" spans="1:7" x14ac:dyDescent="0.3">
      <c r="A1078" s="18" t="s">
        <v>133</v>
      </c>
      <c r="B1078" s="12" t="s">
        <v>119</v>
      </c>
      <c r="C1078" s="12" t="s">
        <v>85</v>
      </c>
      <c r="D1078" s="13">
        <v>40797</v>
      </c>
      <c r="E1078" s="12" t="s">
        <v>8</v>
      </c>
      <c r="F1078" s="14">
        <v>22</v>
      </c>
      <c r="G1078" s="19">
        <v>12</v>
      </c>
    </row>
    <row r="1079" spans="1:7" x14ac:dyDescent="0.3">
      <c r="A1079" s="18" t="s">
        <v>133</v>
      </c>
      <c r="B1079" s="12" t="s">
        <v>119</v>
      </c>
      <c r="C1079" s="12" t="s">
        <v>85</v>
      </c>
      <c r="D1079" s="13">
        <v>40797</v>
      </c>
      <c r="E1079" s="12" t="s">
        <v>7</v>
      </c>
      <c r="F1079" s="14">
        <v>18</v>
      </c>
      <c r="G1079" s="19">
        <v>20</v>
      </c>
    </row>
    <row r="1080" spans="1:7" x14ac:dyDescent="0.3">
      <c r="A1080" s="18" t="s">
        <v>133</v>
      </c>
      <c r="B1080" s="12" t="s">
        <v>119</v>
      </c>
      <c r="C1080" s="12" t="s">
        <v>85</v>
      </c>
      <c r="D1080" s="13">
        <v>40797</v>
      </c>
      <c r="E1080" s="12" t="s">
        <v>70</v>
      </c>
      <c r="F1080" s="14">
        <v>7.45</v>
      </c>
      <c r="G1080" s="19">
        <v>6</v>
      </c>
    </row>
    <row r="1081" spans="1:7" x14ac:dyDescent="0.3">
      <c r="A1081" s="18" t="s">
        <v>139</v>
      </c>
      <c r="B1081" s="12" t="s">
        <v>130</v>
      </c>
      <c r="C1081" s="12" t="s">
        <v>83</v>
      </c>
      <c r="D1081" s="13">
        <v>40797</v>
      </c>
      <c r="E1081" s="12" t="s">
        <v>29</v>
      </c>
      <c r="F1081" s="14">
        <v>9.65</v>
      </c>
      <c r="G1081" s="19">
        <v>20</v>
      </c>
    </row>
    <row r="1082" spans="1:7" x14ac:dyDescent="0.3">
      <c r="A1082" s="18" t="s">
        <v>196</v>
      </c>
      <c r="B1082" s="12" t="s">
        <v>115</v>
      </c>
      <c r="C1082" s="12" t="s">
        <v>82</v>
      </c>
      <c r="D1082" s="13">
        <v>40796</v>
      </c>
      <c r="E1082" s="12" t="s">
        <v>69</v>
      </c>
      <c r="F1082" s="14">
        <v>23.25</v>
      </c>
      <c r="G1082" s="19">
        <v>3</v>
      </c>
    </row>
    <row r="1083" spans="1:7" x14ac:dyDescent="0.3">
      <c r="A1083" s="18" t="s">
        <v>196</v>
      </c>
      <c r="B1083" s="12" t="s">
        <v>115</v>
      </c>
      <c r="C1083" s="12" t="s">
        <v>82</v>
      </c>
      <c r="D1083" s="13">
        <v>40796</v>
      </c>
      <c r="E1083" s="12" t="s">
        <v>23</v>
      </c>
      <c r="F1083" s="14">
        <v>19.45</v>
      </c>
      <c r="G1083" s="19">
        <v>28</v>
      </c>
    </row>
    <row r="1084" spans="1:7" x14ac:dyDescent="0.3">
      <c r="A1084" s="18" t="s">
        <v>196</v>
      </c>
      <c r="B1084" s="12" t="s">
        <v>115</v>
      </c>
      <c r="C1084" s="12" t="s">
        <v>82</v>
      </c>
      <c r="D1084" s="13">
        <v>40796</v>
      </c>
      <c r="E1084" s="12" t="s">
        <v>76</v>
      </c>
      <c r="F1084" s="14">
        <v>9.5</v>
      </c>
      <c r="G1084" s="19">
        <v>6</v>
      </c>
    </row>
    <row r="1085" spans="1:7" x14ac:dyDescent="0.3">
      <c r="A1085" s="18" t="s">
        <v>154</v>
      </c>
      <c r="B1085" s="12" t="s">
        <v>115</v>
      </c>
      <c r="C1085" s="12" t="s">
        <v>77</v>
      </c>
      <c r="D1085" s="13">
        <v>40801</v>
      </c>
      <c r="E1085" s="12" t="s">
        <v>16</v>
      </c>
      <c r="F1085" s="14">
        <v>15.5</v>
      </c>
      <c r="G1085" s="19">
        <v>50</v>
      </c>
    </row>
    <row r="1086" spans="1:7" x14ac:dyDescent="0.3">
      <c r="A1086" s="18" t="s">
        <v>154</v>
      </c>
      <c r="B1086" s="12" t="s">
        <v>115</v>
      </c>
      <c r="C1086" s="12" t="s">
        <v>77</v>
      </c>
      <c r="D1086" s="13">
        <v>40801</v>
      </c>
      <c r="E1086" s="12" t="s">
        <v>29</v>
      </c>
      <c r="F1086" s="14">
        <v>9.65</v>
      </c>
      <c r="G1086" s="19">
        <v>24</v>
      </c>
    </row>
    <row r="1087" spans="1:7" x14ac:dyDescent="0.3">
      <c r="A1087" s="18" t="s">
        <v>154</v>
      </c>
      <c r="B1087" s="12" t="s">
        <v>115</v>
      </c>
      <c r="C1087" s="12" t="s">
        <v>77</v>
      </c>
      <c r="D1087" s="13">
        <v>40801</v>
      </c>
      <c r="E1087" s="12" t="s">
        <v>64</v>
      </c>
      <c r="F1087" s="14">
        <v>12</v>
      </c>
      <c r="G1087" s="19">
        <v>45</v>
      </c>
    </row>
    <row r="1088" spans="1:7" x14ac:dyDescent="0.3">
      <c r="A1088" s="18" t="s">
        <v>154</v>
      </c>
      <c r="B1088" s="12" t="s">
        <v>115</v>
      </c>
      <c r="C1088" s="12" t="s">
        <v>77</v>
      </c>
      <c r="D1088" s="13">
        <v>40801</v>
      </c>
      <c r="E1088" s="12" t="s">
        <v>76</v>
      </c>
      <c r="F1088" s="14">
        <v>9.5</v>
      </c>
      <c r="G1088" s="19">
        <v>10</v>
      </c>
    </row>
    <row r="1089" spans="1:7" x14ac:dyDescent="0.3">
      <c r="A1089" s="18" t="s">
        <v>154</v>
      </c>
      <c r="B1089" s="12" t="s">
        <v>115</v>
      </c>
      <c r="C1089" s="12" t="s">
        <v>77</v>
      </c>
      <c r="D1089" s="13">
        <v>40801</v>
      </c>
      <c r="E1089" s="12" t="s">
        <v>17</v>
      </c>
      <c r="F1089" s="14">
        <v>38</v>
      </c>
      <c r="G1089" s="19">
        <v>45</v>
      </c>
    </row>
    <row r="1090" spans="1:7" x14ac:dyDescent="0.3">
      <c r="A1090" s="18" t="s">
        <v>154</v>
      </c>
      <c r="B1090" s="12" t="s">
        <v>115</v>
      </c>
      <c r="C1090" s="12" t="s">
        <v>77</v>
      </c>
      <c r="D1090" s="13">
        <v>40801</v>
      </c>
      <c r="E1090" s="12" t="s">
        <v>3</v>
      </c>
      <c r="F1090" s="14">
        <v>34</v>
      </c>
      <c r="G1090" s="19">
        <v>30</v>
      </c>
    </row>
    <row r="1091" spans="1:7" x14ac:dyDescent="0.3">
      <c r="A1091" s="18" t="s">
        <v>127</v>
      </c>
      <c r="B1091" s="12" t="s">
        <v>123</v>
      </c>
      <c r="C1091" s="12" t="s">
        <v>81</v>
      </c>
      <c r="D1091" s="13">
        <v>40794</v>
      </c>
      <c r="E1091" s="12" t="s">
        <v>62</v>
      </c>
      <c r="F1091" s="14">
        <v>10</v>
      </c>
      <c r="G1091" s="19">
        <v>60</v>
      </c>
    </row>
    <row r="1092" spans="1:7" x14ac:dyDescent="0.3">
      <c r="A1092" s="18" t="s">
        <v>127</v>
      </c>
      <c r="B1092" s="12" t="s">
        <v>123</v>
      </c>
      <c r="C1092" s="12" t="s">
        <v>81</v>
      </c>
      <c r="D1092" s="13">
        <v>40794</v>
      </c>
      <c r="E1092" s="12" t="s">
        <v>2</v>
      </c>
      <c r="F1092" s="14">
        <v>18.399999999999999</v>
      </c>
      <c r="G1092" s="19">
        <v>70</v>
      </c>
    </row>
    <row r="1093" spans="1:7" x14ac:dyDescent="0.3">
      <c r="A1093" s="18" t="s">
        <v>127</v>
      </c>
      <c r="B1093" s="12" t="s">
        <v>123</v>
      </c>
      <c r="C1093" s="12" t="s">
        <v>81</v>
      </c>
      <c r="D1093" s="13">
        <v>40794</v>
      </c>
      <c r="E1093" s="12" t="s">
        <v>3</v>
      </c>
      <c r="F1093" s="14">
        <v>34</v>
      </c>
      <c r="G1093" s="19">
        <v>55</v>
      </c>
    </row>
    <row r="1094" spans="1:7" x14ac:dyDescent="0.3">
      <c r="A1094" s="18" t="s">
        <v>127</v>
      </c>
      <c r="B1094" s="12" t="s">
        <v>123</v>
      </c>
      <c r="C1094" s="12" t="s">
        <v>81</v>
      </c>
      <c r="D1094" s="13">
        <v>40794</v>
      </c>
      <c r="E1094" s="12" t="s">
        <v>44</v>
      </c>
      <c r="F1094" s="14">
        <v>13</v>
      </c>
      <c r="G1094" s="19">
        <v>70</v>
      </c>
    </row>
    <row r="1095" spans="1:7" x14ac:dyDescent="0.3">
      <c r="A1095" s="18" t="s">
        <v>174</v>
      </c>
      <c r="B1095" s="12" t="s">
        <v>98</v>
      </c>
      <c r="C1095" s="12" t="s">
        <v>84</v>
      </c>
      <c r="D1095" s="13">
        <v>40796</v>
      </c>
      <c r="E1095" s="12" t="s">
        <v>18</v>
      </c>
      <c r="F1095" s="14">
        <v>12.5</v>
      </c>
      <c r="G1095" s="19">
        <v>20</v>
      </c>
    </row>
    <row r="1096" spans="1:7" x14ac:dyDescent="0.3">
      <c r="A1096" s="18" t="s">
        <v>174</v>
      </c>
      <c r="B1096" s="12" t="s">
        <v>98</v>
      </c>
      <c r="C1096" s="12" t="s">
        <v>84</v>
      </c>
      <c r="D1096" s="13">
        <v>40796</v>
      </c>
      <c r="E1096" s="12" t="s">
        <v>2</v>
      </c>
      <c r="F1096" s="14">
        <v>18.399999999999999</v>
      </c>
      <c r="G1096" s="19">
        <v>24</v>
      </c>
    </row>
    <row r="1097" spans="1:7" x14ac:dyDescent="0.3">
      <c r="A1097" s="18" t="s">
        <v>174</v>
      </c>
      <c r="B1097" s="12" t="s">
        <v>98</v>
      </c>
      <c r="C1097" s="12" t="s">
        <v>84</v>
      </c>
      <c r="D1097" s="13">
        <v>40796</v>
      </c>
      <c r="E1097" s="12" t="s">
        <v>45</v>
      </c>
      <c r="F1097" s="14">
        <v>15</v>
      </c>
      <c r="G1097" s="19">
        <v>40</v>
      </c>
    </row>
    <row r="1098" spans="1:7" x14ac:dyDescent="0.3">
      <c r="A1098" s="18" t="s">
        <v>177</v>
      </c>
      <c r="B1098" s="12" t="s">
        <v>115</v>
      </c>
      <c r="C1098" s="12" t="s">
        <v>80</v>
      </c>
      <c r="D1098" s="13">
        <v>40831</v>
      </c>
      <c r="E1098" s="12" t="s">
        <v>61</v>
      </c>
      <c r="F1098" s="14">
        <v>81</v>
      </c>
      <c r="G1098" s="19">
        <v>21</v>
      </c>
    </row>
    <row r="1099" spans="1:7" x14ac:dyDescent="0.3">
      <c r="A1099" s="18" t="s">
        <v>143</v>
      </c>
      <c r="B1099" s="12" t="s">
        <v>144</v>
      </c>
      <c r="C1099" s="12" t="s">
        <v>84</v>
      </c>
      <c r="D1099" s="13">
        <v>40801</v>
      </c>
      <c r="E1099" s="12" t="s">
        <v>7</v>
      </c>
      <c r="F1099" s="14">
        <v>18</v>
      </c>
      <c r="G1099" s="19">
        <v>3</v>
      </c>
    </row>
    <row r="1100" spans="1:7" x14ac:dyDescent="0.3">
      <c r="A1100" s="18" t="s">
        <v>143</v>
      </c>
      <c r="B1100" s="12" t="s">
        <v>144</v>
      </c>
      <c r="C1100" s="12" t="s">
        <v>84</v>
      </c>
      <c r="D1100" s="13">
        <v>40801</v>
      </c>
      <c r="E1100" s="12" t="s">
        <v>12</v>
      </c>
      <c r="F1100" s="14">
        <v>13.25</v>
      </c>
      <c r="G1100" s="19">
        <v>49</v>
      </c>
    </row>
    <row r="1101" spans="1:7" x14ac:dyDescent="0.3">
      <c r="A1101" s="18" t="s">
        <v>147</v>
      </c>
      <c r="B1101" s="12" t="s">
        <v>115</v>
      </c>
      <c r="C1101" s="12" t="s">
        <v>79</v>
      </c>
      <c r="D1101" s="13">
        <v>40804</v>
      </c>
      <c r="E1101" s="12" t="s">
        <v>59</v>
      </c>
      <c r="F1101" s="14">
        <v>12.5</v>
      </c>
      <c r="G1101" s="19">
        <v>10</v>
      </c>
    </row>
    <row r="1102" spans="1:7" x14ac:dyDescent="0.3">
      <c r="A1102" s="18" t="s">
        <v>158</v>
      </c>
      <c r="B1102" s="12" t="s">
        <v>101</v>
      </c>
      <c r="C1102" s="12" t="s">
        <v>77</v>
      </c>
      <c r="D1102" s="13">
        <v>40819</v>
      </c>
      <c r="E1102" s="12" t="s">
        <v>2</v>
      </c>
      <c r="F1102" s="14">
        <v>18.399999999999999</v>
      </c>
      <c r="G1102" s="19">
        <v>30</v>
      </c>
    </row>
    <row r="1103" spans="1:7" x14ac:dyDescent="0.3">
      <c r="A1103" s="18" t="s">
        <v>158</v>
      </c>
      <c r="B1103" s="12" t="s">
        <v>101</v>
      </c>
      <c r="C1103" s="12" t="s">
        <v>77</v>
      </c>
      <c r="D1103" s="13">
        <v>40819</v>
      </c>
      <c r="E1103" s="12" t="s">
        <v>60</v>
      </c>
      <c r="F1103" s="14">
        <v>14</v>
      </c>
      <c r="G1103" s="19">
        <v>30</v>
      </c>
    </row>
    <row r="1104" spans="1:7" x14ac:dyDescent="0.3">
      <c r="A1104" s="18" t="s">
        <v>158</v>
      </c>
      <c r="B1104" s="12" t="s">
        <v>101</v>
      </c>
      <c r="C1104" s="12" t="s">
        <v>77</v>
      </c>
      <c r="D1104" s="13">
        <v>40819</v>
      </c>
      <c r="E1104" s="12" t="s">
        <v>36</v>
      </c>
      <c r="F1104" s="14">
        <v>53</v>
      </c>
      <c r="G1104" s="19">
        <v>20</v>
      </c>
    </row>
    <row r="1105" spans="1:7" x14ac:dyDescent="0.3">
      <c r="A1105" s="18" t="s">
        <v>156</v>
      </c>
      <c r="B1105" s="12" t="s">
        <v>157</v>
      </c>
      <c r="C1105" s="12" t="s">
        <v>83</v>
      </c>
      <c r="D1105" s="13">
        <v>40805</v>
      </c>
      <c r="E1105" s="12" t="s">
        <v>26</v>
      </c>
      <c r="F1105" s="14">
        <v>31</v>
      </c>
      <c r="G1105" s="19">
        <v>24</v>
      </c>
    </row>
    <row r="1106" spans="1:7" x14ac:dyDescent="0.3">
      <c r="A1106" s="18" t="s">
        <v>156</v>
      </c>
      <c r="B1106" s="12" t="s">
        <v>157</v>
      </c>
      <c r="C1106" s="12" t="s">
        <v>83</v>
      </c>
      <c r="D1106" s="13">
        <v>40805</v>
      </c>
      <c r="E1106" s="12" t="s">
        <v>17</v>
      </c>
      <c r="F1106" s="14">
        <v>38</v>
      </c>
      <c r="G1106" s="19">
        <v>12</v>
      </c>
    </row>
    <row r="1107" spans="1:7" x14ac:dyDescent="0.3">
      <c r="A1107" s="18" t="s">
        <v>156</v>
      </c>
      <c r="B1107" s="12" t="s">
        <v>157</v>
      </c>
      <c r="C1107" s="12" t="s">
        <v>83</v>
      </c>
      <c r="D1107" s="13">
        <v>40805</v>
      </c>
      <c r="E1107" s="12" t="s">
        <v>34</v>
      </c>
      <c r="F1107" s="14">
        <v>21.05</v>
      </c>
      <c r="G1107" s="19">
        <v>15</v>
      </c>
    </row>
    <row r="1108" spans="1:7" x14ac:dyDescent="0.3">
      <c r="A1108" s="18" t="s">
        <v>147</v>
      </c>
      <c r="B1108" s="12" t="s">
        <v>115</v>
      </c>
      <c r="C1108" s="12" t="s">
        <v>83</v>
      </c>
      <c r="D1108" s="13">
        <v>40803</v>
      </c>
      <c r="E1108" s="12" t="s">
        <v>36</v>
      </c>
      <c r="F1108" s="14">
        <v>53</v>
      </c>
      <c r="G1108" s="19">
        <v>20</v>
      </c>
    </row>
    <row r="1109" spans="1:7" x14ac:dyDescent="0.3">
      <c r="A1109" s="18" t="s">
        <v>147</v>
      </c>
      <c r="B1109" s="12" t="s">
        <v>115</v>
      </c>
      <c r="C1109" s="12" t="s">
        <v>83</v>
      </c>
      <c r="D1109" s="13">
        <v>40803</v>
      </c>
      <c r="E1109" s="12" t="s">
        <v>51</v>
      </c>
      <c r="F1109" s="14">
        <v>55</v>
      </c>
      <c r="G1109" s="19">
        <v>1</v>
      </c>
    </row>
    <row r="1110" spans="1:7" x14ac:dyDescent="0.3">
      <c r="A1110" s="18" t="s">
        <v>147</v>
      </c>
      <c r="B1110" s="12" t="s">
        <v>115</v>
      </c>
      <c r="C1110" s="12" t="s">
        <v>83</v>
      </c>
      <c r="D1110" s="13">
        <v>40803</v>
      </c>
      <c r="E1110" s="12" t="s">
        <v>31</v>
      </c>
      <c r="F1110" s="14">
        <v>18</v>
      </c>
      <c r="G1110" s="19">
        <v>10</v>
      </c>
    </row>
    <row r="1111" spans="1:7" x14ac:dyDescent="0.3">
      <c r="A1111" s="18" t="s">
        <v>106</v>
      </c>
      <c r="B1111" s="12" t="s">
        <v>105</v>
      </c>
      <c r="C1111" s="12" t="s">
        <v>84</v>
      </c>
      <c r="D1111" s="13">
        <v>40808</v>
      </c>
      <c r="E1111" s="12" t="s">
        <v>68</v>
      </c>
      <c r="F1111" s="14">
        <v>123.79</v>
      </c>
      <c r="G1111" s="19">
        <v>36</v>
      </c>
    </row>
    <row r="1112" spans="1:7" x14ac:dyDescent="0.3">
      <c r="A1112" s="18" t="s">
        <v>106</v>
      </c>
      <c r="B1112" s="12" t="s">
        <v>105</v>
      </c>
      <c r="C1112" s="12" t="s">
        <v>84</v>
      </c>
      <c r="D1112" s="13">
        <v>40808</v>
      </c>
      <c r="E1112" s="12" t="s">
        <v>34</v>
      </c>
      <c r="F1112" s="14">
        <v>21.05</v>
      </c>
      <c r="G1112" s="19">
        <v>10</v>
      </c>
    </row>
    <row r="1113" spans="1:7" x14ac:dyDescent="0.3">
      <c r="A1113" s="18" t="s">
        <v>110</v>
      </c>
      <c r="B1113" s="12" t="s">
        <v>111</v>
      </c>
      <c r="C1113" s="12" t="s">
        <v>84</v>
      </c>
      <c r="D1113" s="13">
        <v>40805</v>
      </c>
      <c r="E1113" s="12" t="s">
        <v>22</v>
      </c>
      <c r="F1113" s="14">
        <v>36</v>
      </c>
      <c r="G1113" s="19">
        <v>45</v>
      </c>
    </row>
    <row r="1114" spans="1:7" x14ac:dyDescent="0.3">
      <c r="A1114" s="18" t="s">
        <v>110</v>
      </c>
      <c r="B1114" s="12" t="s">
        <v>111</v>
      </c>
      <c r="C1114" s="12" t="s">
        <v>84</v>
      </c>
      <c r="D1114" s="13">
        <v>40805</v>
      </c>
      <c r="E1114" s="12" t="s">
        <v>14</v>
      </c>
      <c r="F1114" s="14">
        <v>21.5</v>
      </c>
      <c r="G1114" s="19">
        <v>14</v>
      </c>
    </row>
    <row r="1115" spans="1:7" x14ac:dyDescent="0.3">
      <c r="A1115" s="18" t="s">
        <v>145</v>
      </c>
      <c r="B1115" s="12" t="s">
        <v>123</v>
      </c>
      <c r="C1115" s="12" t="s">
        <v>83</v>
      </c>
      <c r="D1115" s="13">
        <v>40809</v>
      </c>
      <c r="E1115" s="12" t="s">
        <v>18</v>
      </c>
      <c r="F1115" s="14">
        <v>12.5</v>
      </c>
      <c r="G1115" s="19">
        <v>8</v>
      </c>
    </row>
    <row r="1116" spans="1:7" x14ac:dyDescent="0.3">
      <c r="A1116" s="18" t="s">
        <v>145</v>
      </c>
      <c r="B1116" s="12" t="s">
        <v>123</v>
      </c>
      <c r="C1116" s="12" t="s">
        <v>83</v>
      </c>
      <c r="D1116" s="13">
        <v>40809</v>
      </c>
      <c r="E1116" s="12" t="s">
        <v>46</v>
      </c>
      <c r="F1116" s="14">
        <v>24</v>
      </c>
      <c r="G1116" s="19">
        <v>4</v>
      </c>
    </row>
    <row r="1117" spans="1:7" x14ac:dyDescent="0.3">
      <c r="A1117" s="18" t="s">
        <v>145</v>
      </c>
      <c r="B1117" s="12" t="s">
        <v>123</v>
      </c>
      <c r="C1117" s="12" t="s">
        <v>83</v>
      </c>
      <c r="D1117" s="13">
        <v>40809</v>
      </c>
      <c r="E1117" s="12" t="s">
        <v>75</v>
      </c>
      <c r="F1117" s="14">
        <v>33.25</v>
      </c>
      <c r="G1117" s="19">
        <v>15</v>
      </c>
    </row>
    <row r="1118" spans="1:7" x14ac:dyDescent="0.3">
      <c r="A1118" s="18" t="s">
        <v>162</v>
      </c>
      <c r="B1118" s="12" t="s">
        <v>163</v>
      </c>
      <c r="C1118" s="12" t="s">
        <v>77</v>
      </c>
      <c r="D1118" s="13">
        <v>40808</v>
      </c>
      <c r="E1118" s="12" t="s">
        <v>27</v>
      </c>
      <c r="F1118" s="14">
        <v>19</v>
      </c>
      <c r="G1118" s="19">
        <v>30</v>
      </c>
    </row>
    <row r="1119" spans="1:7" x14ac:dyDescent="0.3">
      <c r="A1119" s="18" t="s">
        <v>122</v>
      </c>
      <c r="B1119" s="12" t="s">
        <v>123</v>
      </c>
      <c r="C1119" s="12" t="s">
        <v>81</v>
      </c>
      <c r="D1119" s="13">
        <v>40804</v>
      </c>
      <c r="E1119" s="12" t="s">
        <v>71</v>
      </c>
      <c r="F1119" s="14">
        <v>9</v>
      </c>
      <c r="G1119" s="19">
        <v>32</v>
      </c>
    </row>
    <row r="1120" spans="1:7" x14ac:dyDescent="0.3">
      <c r="A1120" s="18" t="s">
        <v>122</v>
      </c>
      <c r="B1120" s="12" t="s">
        <v>123</v>
      </c>
      <c r="C1120" s="12" t="s">
        <v>81</v>
      </c>
      <c r="D1120" s="13">
        <v>40804</v>
      </c>
      <c r="E1120" s="12" t="s">
        <v>64</v>
      </c>
      <c r="F1120" s="14">
        <v>12</v>
      </c>
      <c r="G1120" s="19">
        <v>60</v>
      </c>
    </row>
    <row r="1121" spans="1:7" x14ac:dyDescent="0.3">
      <c r="A1121" s="18" t="s">
        <v>122</v>
      </c>
      <c r="B1121" s="12" t="s">
        <v>123</v>
      </c>
      <c r="C1121" s="12" t="s">
        <v>81</v>
      </c>
      <c r="D1121" s="13">
        <v>40804</v>
      </c>
      <c r="E1121" s="12" t="s">
        <v>32</v>
      </c>
      <c r="F1121" s="14">
        <v>14</v>
      </c>
      <c r="G1121" s="19">
        <v>25</v>
      </c>
    </row>
    <row r="1122" spans="1:7" x14ac:dyDescent="0.3">
      <c r="A1122" s="18" t="s">
        <v>122</v>
      </c>
      <c r="B1122" s="12" t="s">
        <v>123</v>
      </c>
      <c r="C1122" s="12" t="s">
        <v>81</v>
      </c>
      <c r="D1122" s="13">
        <v>40804</v>
      </c>
      <c r="E1122" s="12" t="s">
        <v>54</v>
      </c>
      <c r="F1122" s="14">
        <v>15</v>
      </c>
      <c r="G1122" s="19">
        <v>50</v>
      </c>
    </row>
    <row r="1123" spans="1:7" x14ac:dyDescent="0.3">
      <c r="A1123" s="18" t="s">
        <v>122</v>
      </c>
      <c r="B1123" s="12" t="s">
        <v>123</v>
      </c>
      <c r="C1123" s="12" t="s">
        <v>81</v>
      </c>
      <c r="D1123" s="13">
        <v>40804</v>
      </c>
      <c r="E1123" s="12" t="s">
        <v>53</v>
      </c>
      <c r="F1123" s="14">
        <v>7.75</v>
      </c>
      <c r="G1123" s="19">
        <v>25</v>
      </c>
    </row>
    <row r="1124" spans="1:7" x14ac:dyDescent="0.3">
      <c r="A1124" s="18" t="s">
        <v>202</v>
      </c>
      <c r="B1124" s="12" t="s">
        <v>101</v>
      </c>
      <c r="C1124" s="12" t="s">
        <v>83</v>
      </c>
      <c r="D1124" s="13">
        <v>40810</v>
      </c>
      <c r="E1124" s="12" t="s">
        <v>47</v>
      </c>
      <c r="F1124" s="14">
        <v>17.45</v>
      </c>
      <c r="G1124" s="19">
        <v>10</v>
      </c>
    </row>
    <row r="1125" spans="1:7" x14ac:dyDescent="0.3">
      <c r="A1125" s="18" t="s">
        <v>202</v>
      </c>
      <c r="B1125" s="12" t="s">
        <v>101</v>
      </c>
      <c r="C1125" s="12" t="s">
        <v>83</v>
      </c>
      <c r="D1125" s="13">
        <v>40810</v>
      </c>
      <c r="E1125" s="12" t="s">
        <v>66</v>
      </c>
      <c r="F1125" s="14">
        <v>49.3</v>
      </c>
      <c r="G1125" s="19">
        <v>10</v>
      </c>
    </row>
    <row r="1126" spans="1:7" x14ac:dyDescent="0.3">
      <c r="A1126" s="18" t="s">
        <v>202</v>
      </c>
      <c r="B1126" s="12" t="s">
        <v>101</v>
      </c>
      <c r="C1126" s="12" t="s">
        <v>83</v>
      </c>
      <c r="D1126" s="13">
        <v>40810</v>
      </c>
      <c r="E1126" s="12" t="s">
        <v>34</v>
      </c>
      <c r="F1126" s="14">
        <v>21.05</v>
      </c>
      <c r="G1126" s="19">
        <v>12</v>
      </c>
    </row>
    <row r="1127" spans="1:7" x14ac:dyDescent="0.3">
      <c r="A1127" s="18" t="s">
        <v>133</v>
      </c>
      <c r="B1127" s="12" t="s">
        <v>119</v>
      </c>
      <c r="C1127" s="12" t="s">
        <v>78</v>
      </c>
      <c r="D1127" s="13">
        <v>40812</v>
      </c>
      <c r="E1127" s="12" t="s">
        <v>11</v>
      </c>
      <c r="F1127" s="14">
        <v>263.5</v>
      </c>
      <c r="G1127" s="19">
        <v>15</v>
      </c>
    </row>
    <row r="1128" spans="1:7" x14ac:dyDescent="0.3">
      <c r="A1128" s="18" t="s">
        <v>133</v>
      </c>
      <c r="B1128" s="12" t="s">
        <v>119</v>
      </c>
      <c r="C1128" s="12" t="s">
        <v>78</v>
      </c>
      <c r="D1128" s="13">
        <v>40812</v>
      </c>
      <c r="E1128" s="12" t="s">
        <v>14</v>
      </c>
      <c r="F1128" s="14">
        <v>21.5</v>
      </c>
      <c r="G1128" s="19">
        <v>12</v>
      </c>
    </row>
    <row r="1129" spans="1:7" x14ac:dyDescent="0.3">
      <c r="A1129" s="18" t="s">
        <v>95</v>
      </c>
      <c r="B1129" s="12" t="s">
        <v>96</v>
      </c>
      <c r="C1129" s="12" t="s">
        <v>77</v>
      </c>
      <c r="D1129" s="13">
        <v>40805</v>
      </c>
      <c r="E1129" s="12" t="s">
        <v>47</v>
      </c>
      <c r="F1129" s="14">
        <v>17.45</v>
      </c>
      <c r="G1129" s="19">
        <v>3</v>
      </c>
    </row>
    <row r="1130" spans="1:7" x14ac:dyDescent="0.3">
      <c r="A1130" s="18" t="s">
        <v>95</v>
      </c>
      <c r="B1130" s="12" t="s">
        <v>96</v>
      </c>
      <c r="C1130" s="12" t="s">
        <v>77</v>
      </c>
      <c r="D1130" s="13">
        <v>40805</v>
      </c>
      <c r="E1130" s="12" t="s">
        <v>60</v>
      </c>
      <c r="F1130" s="14">
        <v>14</v>
      </c>
      <c r="G1130" s="19">
        <v>6</v>
      </c>
    </row>
    <row r="1131" spans="1:7" x14ac:dyDescent="0.3">
      <c r="A1131" s="18" t="s">
        <v>95</v>
      </c>
      <c r="B1131" s="12" t="s">
        <v>96</v>
      </c>
      <c r="C1131" s="12" t="s">
        <v>77</v>
      </c>
      <c r="D1131" s="13">
        <v>40805</v>
      </c>
      <c r="E1131" s="12" t="s">
        <v>28</v>
      </c>
      <c r="F1131" s="14">
        <v>46</v>
      </c>
      <c r="G1131" s="19">
        <v>6</v>
      </c>
    </row>
    <row r="1132" spans="1:7" x14ac:dyDescent="0.3">
      <c r="A1132" s="18" t="s">
        <v>151</v>
      </c>
      <c r="B1132" s="12" t="s">
        <v>141</v>
      </c>
      <c r="C1132" s="12" t="s">
        <v>81</v>
      </c>
      <c r="D1132" s="13">
        <v>40816</v>
      </c>
      <c r="E1132" s="12" t="s">
        <v>71</v>
      </c>
      <c r="F1132" s="14">
        <v>9</v>
      </c>
      <c r="G1132" s="19">
        <v>5</v>
      </c>
    </row>
    <row r="1133" spans="1:7" x14ac:dyDescent="0.3">
      <c r="A1133" s="18" t="s">
        <v>122</v>
      </c>
      <c r="B1133" s="12" t="s">
        <v>123</v>
      </c>
      <c r="C1133" s="12" t="s">
        <v>85</v>
      </c>
      <c r="D1133" s="13">
        <v>40809</v>
      </c>
      <c r="E1133" s="12" t="s">
        <v>69</v>
      </c>
      <c r="F1133" s="14">
        <v>23.25</v>
      </c>
      <c r="G1133" s="19">
        <v>30</v>
      </c>
    </row>
    <row r="1134" spans="1:7" x14ac:dyDescent="0.3">
      <c r="A1134" s="18" t="s">
        <v>122</v>
      </c>
      <c r="B1134" s="12" t="s">
        <v>123</v>
      </c>
      <c r="C1134" s="12" t="s">
        <v>85</v>
      </c>
      <c r="D1134" s="13">
        <v>40809</v>
      </c>
      <c r="E1134" s="12" t="s">
        <v>48</v>
      </c>
      <c r="F1134" s="14">
        <v>32.799999999999997</v>
      </c>
      <c r="G1134" s="19">
        <v>10</v>
      </c>
    </row>
    <row r="1135" spans="1:7" x14ac:dyDescent="0.3">
      <c r="A1135" s="18" t="s">
        <v>122</v>
      </c>
      <c r="B1135" s="12" t="s">
        <v>123</v>
      </c>
      <c r="C1135" s="12" t="s">
        <v>85</v>
      </c>
      <c r="D1135" s="13">
        <v>40809</v>
      </c>
      <c r="E1135" s="12" t="s">
        <v>12</v>
      </c>
      <c r="F1135" s="14">
        <v>13.25</v>
      </c>
      <c r="G1135" s="19">
        <v>30</v>
      </c>
    </row>
    <row r="1136" spans="1:7" x14ac:dyDescent="0.3">
      <c r="A1136" s="18" t="s">
        <v>131</v>
      </c>
      <c r="B1136" s="12" t="s">
        <v>113</v>
      </c>
      <c r="C1136" s="12" t="s">
        <v>77</v>
      </c>
      <c r="D1136" s="13">
        <v>40815</v>
      </c>
      <c r="E1136" s="12" t="s">
        <v>26</v>
      </c>
      <c r="F1136" s="14">
        <v>31</v>
      </c>
      <c r="G1136" s="19">
        <v>2</v>
      </c>
    </row>
    <row r="1137" spans="1:7" x14ac:dyDescent="0.3">
      <c r="A1137" s="18" t="s">
        <v>131</v>
      </c>
      <c r="B1137" s="12" t="s">
        <v>113</v>
      </c>
      <c r="C1137" s="12" t="s">
        <v>77</v>
      </c>
      <c r="D1137" s="13">
        <v>40815</v>
      </c>
      <c r="E1137" s="12" t="s">
        <v>67</v>
      </c>
      <c r="F1137" s="14">
        <v>9.1999999999999993</v>
      </c>
      <c r="G1137" s="19">
        <v>7</v>
      </c>
    </row>
    <row r="1138" spans="1:7" x14ac:dyDescent="0.3">
      <c r="A1138" s="18" t="s">
        <v>131</v>
      </c>
      <c r="B1138" s="12" t="s">
        <v>113</v>
      </c>
      <c r="C1138" s="12" t="s">
        <v>77</v>
      </c>
      <c r="D1138" s="13">
        <v>40815</v>
      </c>
      <c r="E1138" s="12" t="s">
        <v>23</v>
      </c>
      <c r="F1138" s="14">
        <v>19.45</v>
      </c>
      <c r="G1138" s="19">
        <v>21</v>
      </c>
    </row>
    <row r="1139" spans="1:7" x14ac:dyDescent="0.3">
      <c r="A1139" s="18" t="s">
        <v>171</v>
      </c>
      <c r="B1139" s="12" t="s">
        <v>113</v>
      </c>
      <c r="C1139" s="12" t="s">
        <v>83</v>
      </c>
      <c r="D1139" s="13">
        <v>40812</v>
      </c>
      <c r="E1139" s="12" t="s">
        <v>24</v>
      </c>
      <c r="F1139" s="14">
        <v>31.23</v>
      </c>
      <c r="G1139" s="19">
        <v>30</v>
      </c>
    </row>
    <row r="1140" spans="1:7" x14ac:dyDescent="0.3">
      <c r="A1140" s="18" t="s">
        <v>171</v>
      </c>
      <c r="B1140" s="12" t="s">
        <v>113</v>
      </c>
      <c r="C1140" s="12" t="s">
        <v>83</v>
      </c>
      <c r="D1140" s="13">
        <v>40812</v>
      </c>
      <c r="E1140" s="12" t="s">
        <v>15</v>
      </c>
      <c r="F1140" s="14">
        <v>2.5</v>
      </c>
      <c r="G1140" s="19">
        <v>8</v>
      </c>
    </row>
    <row r="1141" spans="1:7" x14ac:dyDescent="0.3">
      <c r="A1141" s="18" t="s">
        <v>154</v>
      </c>
      <c r="B1141" s="12" t="s">
        <v>115</v>
      </c>
      <c r="C1141" s="12" t="s">
        <v>84</v>
      </c>
      <c r="D1141" s="13">
        <v>40832</v>
      </c>
      <c r="E1141" s="12" t="s">
        <v>50</v>
      </c>
      <c r="F1141" s="14">
        <v>38</v>
      </c>
      <c r="G1141" s="19">
        <v>100</v>
      </c>
    </row>
    <row r="1142" spans="1:7" x14ac:dyDescent="0.3">
      <c r="A1142" s="18" t="s">
        <v>154</v>
      </c>
      <c r="B1142" s="12" t="s">
        <v>115</v>
      </c>
      <c r="C1142" s="12" t="s">
        <v>84</v>
      </c>
      <c r="D1142" s="13">
        <v>40832</v>
      </c>
      <c r="E1142" s="12" t="s">
        <v>15</v>
      </c>
      <c r="F1142" s="14">
        <v>2.5</v>
      </c>
      <c r="G1142" s="19">
        <v>30</v>
      </c>
    </row>
    <row r="1143" spans="1:7" x14ac:dyDescent="0.3">
      <c r="A1143" s="18" t="s">
        <v>154</v>
      </c>
      <c r="B1143" s="12" t="s">
        <v>115</v>
      </c>
      <c r="C1143" s="12" t="s">
        <v>84</v>
      </c>
      <c r="D1143" s="13">
        <v>40832</v>
      </c>
      <c r="E1143" s="12" t="s">
        <v>29</v>
      </c>
      <c r="F1143" s="14">
        <v>9.65</v>
      </c>
      <c r="G1143" s="19">
        <v>120</v>
      </c>
    </row>
    <row r="1144" spans="1:7" x14ac:dyDescent="0.3">
      <c r="A1144" s="18" t="s">
        <v>154</v>
      </c>
      <c r="B1144" s="12" t="s">
        <v>115</v>
      </c>
      <c r="C1144" s="12" t="s">
        <v>84</v>
      </c>
      <c r="D1144" s="13">
        <v>40832</v>
      </c>
      <c r="E1144" s="12" t="s">
        <v>70</v>
      </c>
      <c r="F1144" s="14">
        <v>7.45</v>
      </c>
      <c r="G1144" s="19">
        <v>30</v>
      </c>
    </row>
    <row r="1145" spans="1:7" x14ac:dyDescent="0.3">
      <c r="A1145" s="18" t="s">
        <v>120</v>
      </c>
      <c r="B1145" s="12" t="s">
        <v>101</v>
      </c>
      <c r="C1145" s="12" t="s">
        <v>80</v>
      </c>
      <c r="D1145" s="13">
        <v>40816</v>
      </c>
      <c r="E1145" s="12" t="s">
        <v>51</v>
      </c>
      <c r="F1145" s="14">
        <v>55</v>
      </c>
      <c r="G1145" s="19">
        <v>12</v>
      </c>
    </row>
    <row r="1146" spans="1:7" x14ac:dyDescent="0.3">
      <c r="A1146" s="18" t="s">
        <v>114</v>
      </c>
      <c r="B1146" s="12" t="s">
        <v>115</v>
      </c>
      <c r="C1146" s="12" t="s">
        <v>83</v>
      </c>
      <c r="D1146" s="13">
        <v>40812</v>
      </c>
      <c r="E1146" s="12" t="s">
        <v>47</v>
      </c>
      <c r="F1146" s="14">
        <v>17.45</v>
      </c>
      <c r="G1146" s="19">
        <v>50</v>
      </c>
    </row>
    <row r="1147" spans="1:7" x14ac:dyDescent="0.3">
      <c r="A1147" s="18" t="s">
        <v>114</v>
      </c>
      <c r="B1147" s="12" t="s">
        <v>115</v>
      </c>
      <c r="C1147" s="12" t="s">
        <v>83</v>
      </c>
      <c r="D1147" s="13">
        <v>40812</v>
      </c>
      <c r="E1147" s="12" t="s">
        <v>18</v>
      </c>
      <c r="F1147" s="14">
        <v>12.5</v>
      </c>
      <c r="G1147" s="19">
        <v>20</v>
      </c>
    </row>
    <row r="1148" spans="1:7" x14ac:dyDescent="0.3">
      <c r="A1148" s="18" t="s">
        <v>114</v>
      </c>
      <c r="B1148" s="12" t="s">
        <v>115</v>
      </c>
      <c r="C1148" s="12" t="s">
        <v>83</v>
      </c>
      <c r="D1148" s="13">
        <v>40812</v>
      </c>
      <c r="E1148" s="12" t="s">
        <v>60</v>
      </c>
      <c r="F1148" s="14">
        <v>14</v>
      </c>
      <c r="G1148" s="19">
        <v>40</v>
      </c>
    </row>
    <row r="1149" spans="1:7" x14ac:dyDescent="0.3">
      <c r="A1149" s="18" t="s">
        <v>196</v>
      </c>
      <c r="B1149" s="12" t="s">
        <v>115</v>
      </c>
      <c r="C1149" s="12" t="s">
        <v>79</v>
      </c>
      <c r="D1149" s="13">
        <v>40816</v>
      </c>
      <c r="E1149" s="12" t="s">
        <v>67</v>
      </c>
      <c r="F1149" s="14">
        <v>9.1999999999999993</v>
      </c>
      <c r="G1149" s="19">
        <v>30</v>
      </c>
    </row>
    <row r="1150" spans="1:7" x14ac:dyDescent="0.3">
      <c r="A1150" s="18" t="s">
        <v>196</v>
      </c>
      <c r="B1150" s="12" t="s">
        <v>115</v>
      </c>
      <c r="C1150" s="12" t="s">
        <v>79</v>
      </c>
      <c r="D1150" s="13">
        <v>40816</v>
      </c>
      <c r="E1150" s="12" t="s">
        <v>62</v>
      </c>
      <c r="F1150" s="14">
        <v>10</v>
      </c>
      <c r="G1150" s="19">
        <v>12</v>
      </c>
    </row>
    <row r="1151" spans="1:7" x14ac:dyDescent="0.3">
      <c r="A1151" s="18" t="s">
        <v>196</v>
      </c>
      <c r="B1151" s="12" t="s">
        <v>115</v>
      </c>
      <c r="C1151" s="12" t="s">
        <v>79</v>
      </c>
      <c r="D1151" s="13">
        <v>40816</v>
      </c>
      <c r="E1151" s="12" t="s">
        <v>75</v>
      </c>
      <c r="F1151" s="14">
        <v>33.25</v>
      </c>
      <c r="G1151" s="19">
        <v>28</v>
      </c>
    </row>
    <row r="1152" spans="1:7" x14ac:dyDescent="0.3">
      <c r="A1152" s="18" t="s">
        <v>171</v>
      </c>
      <c r="B1152" s="12" t="s">
        <v>113</v>
      </c>
      <c r="C1152" s="12" t="s">
        <v>79</v>
      </c>
      <c r="D1152" s="13">
        <v>40817</v>
      </c>
      <c r="E1152" s="12" t="s">
        <v>15</v>
      </c>
      <c r="F1152" s="14">
        <v>2.5</v>
      </c>
      <c r="G1152" s="19">
        <v>30</v>
      </c>
    </row>
    <row r="1153" spans="1:7" x14ac:dyDescent="0.3">
      <c r="A1153" s="18" t="s">
        <v>171</v>
      </c>
      <c r="B1153" s="12" t="s">
        <v>113</v>
      </c>
      <c r="C1153" s="12" t="s">
        <v>79</v>
      </c>
      <c r="D1153" s="13">
        <v>40817</v>
      </c>
      <c r="E1153" s="12" t="s">
        <v>35</v>
      </c>
      <c r="F1153" s="14">
        <v>17</v>
      </c>
      <c r="G1153" s="19">
        <v>4</v>
      </c>
    </row>
    <row r="1154" spans="1:7" x14ac:dyDescent="0.3">
      <c r="A1154" s="18" t="s">
        <v>171</v>
      </c>
      <c r="B1154" s="12" t="s">
        <v>113</v>
      </c>
      <c r="C1154" s="12" t="s">
        <v>79</v>
      </c>
      <c r="D1154" s="13">
        <v>40817</v>
      </c>
      <c r="E1154" s="12" t="s">
        <v>53</v>
      </c>
      <c r="F1154" s="14">
        <v>7.75</v>
      </c>
      <c r="G1154" s="19">
        <v>30</v>
      </c>
    </row>
    <row r="1155" spans="1:7" x14ac:dyDescent="0.3">
      <c r="A1155" s="18" t="s">
        <v>150</v>
      </c>
      <c r="B1155" s="12" t="s">
        <v>101</v>
      </c>
      <c r="C1155" s="12" t="s">
        <v>77</v>
      </c>
      <c r="D1155" s="13">
        <v>40817</v>
      </c>
      <c r="E1155" s="12" t="s">
        <v>13</v>
      </c>
      <c r="F1155" s="14">
        <v>7</v>
      </c>
      <c r="G1155" s="19">
        <v>9</v>
      </c>
    </row>
    <row r="1156" spans="1:7" x14ac:dyDescent="0.3">
      <c r="A1156" s="18" t="s">
        <v>182</v>
      </c>
      <c r="B1156" s="12" t="s">
        <v>123</v>
      </c>
      <c r="C1156" s="12" t="s">
        <v>79</v>
      </c>
      <c r="D1156" s="13">
        <v>40816</v>
      </c>
      <c r="E1156" s="12" t="s">
        <v>2</v>
      </c>
      <c r="F1156" s="14">
        <v>18.399999999999999</v>
      </c>
      <c r="G1156" s="19">
        <v>20</v>
      </c>
    </row>
    <row r="1157" spans="1:7" x14ac:dyDescent="0.3">
      <c r="A1157" s="18" t="s">
        <v>182</v>
      </c>
      <c r="B1157" s="12" t="s">
        <v>123</v>
      </c>
      <c r="C1157" s="12" t="s">
        <v>79</v>
      </c>
      <c r="D1157" s="13">
        <v>40816</v>
      </c>
      <c r="E1157" s="12" t="s">
        <v>76</v>
      </c>
      <c r="F1157" s="14">
        <v>9.5</v>
      </c>
      <c r="G1157" s="19">
        <v>40</v>
      </c>
    </row>
    <row r="1158" spans="1:7" x14ac:dyDescent="0.3">
      <c r="A1158" s="18" t="s">
        <v>182</v>
      </c>
      <c r="B1158" s="12" t="s">
        <v>123</v>
      </c>
      <c r="C1158" s="12" t="s">
        <v>79</v>
      </c>
      <c r="D1158" s="13">
        <v>40816</v>
      </c>
      <c r="E1158" s="12" t="s">
        <v>3</v>
      </c>
      <c r="F1158" s="14">
        <v>34</v>
      </c>
      <c r="G1158" s="19">
        <v>30</v>
      </c>
    </row>
    <row r="1159" spans="1:7" x14ac:dyDescent="0.3">
      <c r="A1159" s="18" t="s">
        <v>187</v>
      </c>
      <c r="B1159" s="12" t="s">
        <v>98</v>
      </c>
      <c r="C1159" s="12" t="s">
        <v>81</v>
      </c>
      <c r="D1159" s="13">
        <v>40819</v>
      </c>
      <c r="E1159" s="12" t="s">
        <v>26</v>
      </c>
      <c r="F1159" s="14">
        <v>31</v>
      </c>
      <c r="G1159" s="19">
        <v>20</v>
      </c>
    </row>
    <row r="1160" spans="1:7" x14ac:dyDescent="0.3">
      <c r="A1160" s="18" t="s">
        <v>187</v>
      </c>
      <c r="B1160" s="12" t="s">
        <v>98</v>
      </c>
      <c r="C1160" s="12" t="s">
        <v>81</v>
      </c>
      <c r="D1160" s="13">
        <v>40819</v>
      </c>
      <c r="E1160" s="12" t="s">
        <v>29</v>
      </c>
      <c r="F1160" s="14">
        <v>9.65</v>
      </c>
      <c r="G1160" s="19">
        <v>4</v>
      </c>
    </row>
    <row r="1161" spans="1:7" x14ac:dyDescent="0.3">
      <c r="A1161" s="18" t="s">
        <v>187</v>
      </c>
      <c r="B1161" s="12" t="s">
        <v>98</v>
      </c>
      <c r="C1161" s="12" t="s">
        <v>81</v>
      </c>
      <c r="D1161" s="13">
        <v>40819</v>
      </c>
      <c r="E1161" s="12" t="s">
        <v>76</v>
      </c>
      <c r="F1161" s="14">
        <v>9.5</v>
      </c>
      <c r="G1161" s="19">
        <v>15</v>
      </c>
    </row>
    <row r="1162" spans="1:7" x14ac:dyDescent="0.3">
      <c r="A1162" s="18" t="s">
        <v>166</v>
      </c>
      <c r="B1162" s="12" t="s">
        <v>111</v>
      </c>
      <c r="C1162" s="12" t="s">
        <v>77</v>
      </c>
      <c r="D1162" s="13">
        <v>40824</v>
      </c>
      <c r="E1162" s="12" t="s">
        <v>0</v>
      </c>
      <c r="F1162" s="14">
        <v>39</v>
      </c>
      <c r="G1162" s="19">
        <v>30</v>
      </c>
    </row>
    <row r="1163" spans="1:7" x14ac:dyDescent="0.3">
      <c r="A1163" s="18" t="s">
        <v>166</v>
      </c>
      <c r="B1163" s="12" t="s">
        <v>111</v>
      </c>
      <c r="C1163" s="12" t="s">
        <v>77</v>
      </c>
      <c r="D1163" s="13">
        <v>40824</v>
      </c>
      <c r="E1163" s="12" t="s">
        <v>24</v>
      </c>
      <c r="F1163" s="14">
        <v>31.23</v>
      </c>
      <c r="G1163" s="19">
        <v>15</v>
      </c>
    </row>
    <row r="1164" spans="1:7" x14ac:dyDescent="0.3">
      <c r="A1164" s="18" t="s">
        <v>143</v>
      </c>
      <c r="B1164" s="12" t="s">
        <v>144</v>
      </c>
      <c r="C1164" s="12" t="s">
        <v>78</v>
      </c>
      <c r="D1164" s="13">
        <v>40846</v>
      </c>
      <c r="E1164" s="12" t="s">
        <v>39</v>
      </c>
      <c r="F1164" s="14">
        <v>97</v>
      </c>
      <c r="G1164" s="19">
        <v>50</v>
      </c>
    </row>
    <row r="1165" spans="1:7" x14ac:dyDescent="0.3">
      <c r="A1165" s="18" t="s">
        <v>143</v>
      </c>
      <c r="B1165" s="12" t="s">
        <v>144</v>
      </c>
      <c r="C1165" s="12" t="s">
        <v>78</v>
      </c>
      <c r="D1165" s="13">
        <v>40846</v>
      </c>
      <c r="E1165" s="12" t="s">
        <v>68</v>
      </c>
      <c r="F1165" s="14">
        <v>123.79</v>
      </c>
      <c r="G1165" s="19">
        <v>10</v>
      </c>
    </row>
    <row r="1166" spans="1:7" x14ac:dyDescent="0.3">
      <c r="A1166" s="18" t="s">
        <v>143</v>
      </c>
      <c r="B1166" s="12" t="s">
        <v>144</v>
      </c>
      <c r="C1166" s="12" t="s">
        <v>78</v>
      </c>
      <c r="D1166" s="13">
        <v>40846</v>
      </c>
      <c r="E1166" s="12" t="s">
        <v>27</v>
      </c>
      <c r="F1166" s="14">
        <v>19</v>
      </c>
      <c r="G1166" s="19">
        <v>6</v>
      </c>
    </row>
    <row r="1167" spans="1:7" x14ac:dyDescent="0.3">
      <c r="A1167" s="18" t="s">
        <v>173</v>
      </c>
      <c r="B1167" s="12" t="s">
        <v>163</v>
      </c>
      <c r="C1167" s="12" t="s">
        <v>81</v>
      </c>
      <c r="D1167" s="13">
        <v>40823</v>
      </c>
      <c r="E1167" s="12" t="s">
        <v>26</v>
      </c>
      <c r="F1167" s="14">
        <v>31</v>
      </c>
      <c r="G1167" s="19">
        <v>18</v>
      </c>
    </row>
    <row r="1168" spans="1:7" x14ac:dyDescent="0.3">
      <c r="A1168" s="18" t="s">
        <v>173</v>
      </c>
      <c r="B1168" s="12" t="s">
        <v>163</v>
      </c>
      <c r="C1168" s="12" t="s">
        <v>81</v>
      </c>
      <c r="D1168" s="13">
        <v>40823</v>
      </c>
      <c r="E1168" s="12" t="s">
        <v>56</v>
      </c>
      <c r="F1168" s="14">
        <v>45.6</v>
      </c>
      <c r="G1168" s="19">
        <v>60</v>
      </c>
    </row>
    <row r="1169" spans="1:7" x14ac:dyDescent="0.3">
      <c r="A1169" s="18" t="s">
        <v>173</v>
      </c>
      <c r="B1169" s="12" t="s">
        <v>163</v>
      </c>
      <c r="C1169" s="12" t="s">
        <v>81</v>
      </c>
      <c r="D1169" s="13">
        <v>40823</v>
      </c>
      <c r="E1169" s="12" t="s">
        <v>57</v>
      </c>
      <c r="F1169" s="14">
        <v>14</v>
      </c>
      <c r="G1169" s="19">
        <v>14</v>
      </c>
    </row>
    <row r="1170" spans="1:7" x14ac:dyDescent="0.3">
      <c r="A1170" s="18" t="s">
        <v>133</v>
      </c>
      <c r="B1170" s="12" t="s">
        <v>119</v>
      </c>
      <c r="C1170" s="12" t="s">
        <v>83</v>
      </c>
      <c r="D1170" s="13">
        <v>40823</v>
      </c>
      <c r="E1170" s="12" t="s">
        <v>5</v>
      </c>
      <c r="F1170" s="14">
        <v>18</v>
      </c>
      <c r="G1170" s="19">
        <v>35</v>
      </c>
    </row>
    <row r="1171" spans="1:7" x14ac:dyDescent="0.3">
      <c r="A1171" s="18" t="s">
        <v>99</v>
      </c>
      <c r="B1171" s="12" t="s">
        <v>98</v>
      </c>
      <c r="C1171" s="12" t="s">
        <v>83</v>
      </c>
      <c r="D1171" s="13">
        <v>40819</v>
      </c>
      <c r="E1171" s="12" t="s">
        <v>17</v>
      </c>
      <c r="F1171" s="14">
        <v>38</v>
      </c>
      <c r="G1171" s="19">
        <v>20</v>
      </c>
    </row>
    <row r="1172" spans="1:7" x14ac:dyDescent="0.3">
      <c r="A1172" s="18" t="s">
        <v>99</v>
      </c>
      <c r="B1172" s="12" t="s">
        <v>98</v>
      </c>
      <c r="C1172" s="12" t="s">
        <v>83</v>
      </c>
      <c r="D1172" s="13">
        <v>40819</v>
      </c>
      <c r="E1172" s="12" t="s">
        <v>44</v>
      </c>
      <c r="F1172" s="14">
        <v>13</v>
      </c>
      <c r="G1172" s="19">
        <v>30</v>
      </c>
    </row>
    <row r="1173" spans="1:7" x14ac:dyDescent="0.3">
      <c r="A1173" s="18" t="s">
        <v>127</v>
      </c>
      <c r="B1173" s="12" t="s">
        <v>123</v>
      </c>
      <c r="C1173" s="12" t="s">
        <v>77</v>
      </c>
      <c r="D1173" s="13">
        <v>40838</v>
      </c>
      <c r="E1173" s="12" t="s">
        <v>5</v>
      </c>
      <c r="F1173" s="14">
        <v>18</v>
      </c>
      <c r="G1173" s="19">
        <v>30</v>
      </c>
    </row>
    <row r="1174" spans="1:7" x14ac:dyDescent="0.3">
      <c r="A1174" s="18" t="s">
        <v>127</v>
      </c>
      <c r="B1174" s="12" t="s">
        <v>123</v>
      </c>
      <c r="C1174" s="12" t="s">
        <v>77</v>
      </c>
      <c r="D1174" s="13">
        <v>40838</v>
      </c>
      <c r="E1174" s="12" t="s">
        <v>68</v>
      </c>
      <c r="F1174" s="14">
        <v>123.79</v>
      </c>
      <c r="G1174" s="19">
        <v>40</v>
      </c>
    </row>
    <row r="1175" spans="1:7" x14ac:dyDescent="0.3">
      <c r="A1175" s="18" t="s">
        <v>127</v>
      </c>
      <c r="B1175" s="12" t="s">
        <v>123</v>
      </c>
      <c r="C1175" s="12" t="s">
        <v>77</v>
      </c>
      <c r="D1175" s="13">
        <v>40838</v>
      </c>
      <c r="E1175" s="12" t="s">
        <v>28</v>
      </c>
      <c r="F1175" s="14">
        <v>46</v>
      </c>
      <c r="G1175" s="19">
        <v>40</v>
      </c>
    </row>
    <row r="1176" spans="1:7" x14ac:dyDescent="0.3">
      <c r="A1176" s="18" t="s">
        <v>127</v>
      </c>
      <c r="B1176" s="12" t="s">
        <v>123</v>
      </c>
      <c r="C1176" s="12" t="s">
        <v>77</v>
      </c>
      <c r="D1176" s="13">
        <v>40838</v>
      </c>
      <c r="E1176" s="12" t="s">
        <v>23</v>
      </c>
      <c r="F1176" s="14">
        <v>19.45</v>
      </c>
      <c r="G1176" s="19">
        <v>24</v>
      </c>
    </row>
    <row r="1177" spans="1:7" x14ac:dyDescent="0.3">
      <c r="A1177" s="18" t="s">
        <v>127</v>
      </c>
      <c r="B1177" s="12" t="s">
        <v>123</v>
      </c>
      <c r="C1177" s="12" t="s">
        <v>77</v>
      </c>
      <c r="D1177" s="13">
        <v>40838</v>
      </c>
      <c r="E1177" s="12" t="s">
        <v>66</v>
      </c>
      <c r="F1177" s="14">
        <v>49.3</v>
      </c>
      <c r="G1177" s="19">
        <v>48</v>
      </c>
    </row>
    <row r="1178" spans="1:7" x14ac:dyDescent="0.3">
      <c r="A1178" s="18" t="s">
        <v>201</v>
      </c>
      <c r="B1178" s="12" t="s">
        <v>123</v>
      </c>
      <c r="C1178" s="12" t="s">
        <v>81</v>
      </c>
      <c r="D1178" s="13">
        <v>40829</v>
      </c>
      <c r="E1178" s="12" t="s">
        <v>74</v>
      </c>
      <c r="F1178" s="14">
        <v>43.9</v>
      </c>
      <c r="G1178" s="19">
        <v>20</v>
      </c>
    </row>
    <row r="1179" spans="1:7" x14ac:dyDescent="0.3">
      <c r="A1179" s="18" t="s">
        <v>125</v>
      </c>
      <c r="B1179" s="12" t="s">
        <v>115</v>
      </c>
      <c r="C1179" s="12" t="s">
        <v>79</v>
      </c>
      <c r="D1179" s="13">
        <v>40826</v>
      </c>
      <c r="E1179" s="12" t="s">
        <v>39</v>
      </c>
      <c r="F1179" s="14">
        <v>97</v>
      </c>
      <c r="G1179" s="19">
        <v>6</v>
      </c>
    </row>
    <row r="1180" spans="1:7" x14ac:dyDescent="0.3">
      <c r="A1180" s="18" t="s">
        <v>125</v>
      </c>
      <c r="B1180" s="12" t="s">
        <v>115</v>
      </c>
      <c r="C1180" s="12" t="s">
        <v>79</v>
      </c>
      <c r="D1180" s="13">
        <v>40826</v>
      </c>
      <c r="E1180" s="12" t="s">
        <v>70</v>
      </c>
      <c r="F1180" s="14">
        <v>7.45</v>
      </c>
      <c r="G1180" s="19">
        <v>60</v>
      </c>
    </row>
    <row r="1181" spans="1:7" x14ac:dyDescent="0.3">
      <c r="A1181" s="18" t="s">
        <v>125</v>
      </c>
      <c r="B1181" s="12" t="s">
        <v>115</v>
      </c>
      <c r="C1181" s="12" t="s">
        <v>79</v>
      </c>
      <c r="D1181" s="13">
        <v>40826</v>
      </c>
      <c r="E1181" s="12" t="s">
        <v>22</v>
      </c>
      <c r="F1181" s="14">
        <v>36</v>
      </c>
      <c r="G1181" s="19">
        <v>30</v>
      </c>
    </row>
    <row r="1182" spans="1:7" x14ac:dyDescent="0.3">
      <c r="A1182" s="18" t="s">
        <v>125</v>
      </c>
      <c r="B1182" s="12" t="s">
        <v>115</v>
      </c>
      <c r="C1182" s="12" t="s">
        <v>79</v>
      </c>
      <c r="D1182" s="13">
        <v>40826</v>
      </c>
      <c r="E1182" s="12" t="s">
        <v>54</v>
      </c>
      <c r="F1182" s="14">
        <v>15</v>
      </c>
      <c r="G1182" s="19">
        <v>15</v>
      </c>
    </row>
    <row r="1183" spans="1:7" x14ac:dyDescent="0.3">
      <c r="A1183" s="18" t="s">
        <v>127</v>
      </c>
      <c r="B1183" s="12" t="s">
        <v>123</v>
      </c>
      <c r="C1183" s="12" t="s">
        <v>80</v>
      </c>
      <c r="D1183" s="13">
        <v>40825</v>
      </c>
      <c r="E1183" s="12" t="s">
        <v>72</v>
      </c>
      <c r="F1183" s="14">
        <v>30</v>
      </c>
      <c r="G1183" s="19">
        <v>90</v>
      </c>
    </row>
    <row r="1184" spans="1:7" x14ac:dyDescent="0.3">
      <c r="A1184" s="18" t="s">
        <v>127</v>
      </c>
      <c r="B1184" s="12" t="s">
        <v>123</v>
      </c>
      <c r="C1184" s="12" t="s">
        <v>80</v>
      </c>
      <c r="D1184" s="13">
        <v>40825</v>
      </c>
      <c r="E1184" s="12" t="s">
        <v>51</v>
      </c>
      <c r="F1184" s="14">
        <v>55</v>
      </c>
      <c r="G1184" s="19">
        <v>25</v>
      </c>
    </row>
    <row r="1185" spans="1:7" x14ac:dyDescent="0.3">
      <c r="A1185" s="18" t="s">
        <v>127</v>
      </c>
      <c r="B1185" s="12" t="s">
        <v>123</v>
      </c>
      <c r="C1185" s="12" t="s">
        <v>80</v>
      </c>
      <c r="D1185" s="13">
        <v>40825</v>
      </c>
      <c r="E1185" s="12" t="s">
        <v>45</v>
      </c>
      <c r="F1185" s="14">
        <v>15</v>
      </c>
      <c r="G1185" s="19">
        <v>50</v>
      </c>
    </row>
    <row r="1186" spans="1:7" x14ac:dyDescent="0.3">
      <c r="A1186" s="18" t="s">
        <v>95</v>
      </c>
      <c r="B1186" s="12" t="s">
        <v>96</v>
      </c>
      <c r="C1186" s="12" t="s">
        <v>84</v>
      </c>
      <c r="D1186" s="13">
        <v>40830</v>
      </c>
      <c r="E1186" s="12" t="s">
        <v>42</v>
      </c>
      <c r="F1186" s="14">
        <v>40</v>
      </c>
      <c r="G1186" s="19">
        <v>10</v>
      </c>
    </row>
    <row r="1187" spans="1:7" x14ac:dyDescent="0.3">
      <c r="A1187" s="18" t="s">
        <v>95</v>
      </c>
      <c r="B1187" s="12" t="s">
        <v>96</v>
      </c>
      <c r="C1187" s="12" t="s">
        <v>84</v>
      </c>
      <c r="D1187" s="13">
        <v>40830</v>
      </c>
      <c r="E1187" s="12" t="s">
        <v>50</v>
      </c>
      <c r="F1187" s="14">
        <v>38</v>
      </c>
      <c r="G1187" s="19">
        <v>4</v>
      </c>
    </row>
    <row r="1188" spans="1:7" x14ac:dyDescent="0.3">
      <c r="A1188" s="18" t="s">
        <v>95</v>
      </c>
      <c r="B1188" s="12" t="s">
        <v>96</v>
      </c>
      <c r="C1188" s="12" t="s">
        <v>84</v>
      </c>
      <c r="D1188" s="13">
        <v>40830</v>
      </c>
      <c r="E1188" s="12" t="s">
        <v>21</v>
      </c>
      <c r="F1188" s="14">
        <v>4.5</v>
      </c>
      <c r="G1188" s="19">
        <v>20</v>
      </c>
    </row>
    <row r="1189" spans="1:7" x14ac:dyDescent="0.3">
      <c r="A1189" s="18" t="s">
        <v>125</v>
      </c>
      <c r="B1189" s="12" t="s">
        <v>115</v>
      </c>
      <c r="C1189" s="12" t="s">
        <v>80</v>
      </c>
      <c r="D1189" s="13">
        <v>40830</v>
      </c>
      <c r="E1189" s="12" t="s">
        <v>0</v>
      </c>
      <c r="F1189" s="14">
        <v>39</v>
      </c>
      <c r="G1189" s="19">
        <v>20</v>
      </c>
    </row>
    <row r="1190" spans="1:7" x14ac:dyDescent="0.3">
      <c r="A1190" s="18" t="s">
        <v>125</v>
      </c>
      <c r="B1190" s="12" t="s">
        <v>115</v>
      </c>
      <c r="C1190" s="12" t="s">
        <v>80</v>
      </c>
      <c r="D1190" s="13">
        <v>40830</v>
      </c>
      <c r="E1190" s="12" t="s">
        <v>64</v>
      </c>
      <c r="F1190" s="14">
        <v>12</v>
      </c>
      <c r="G1190" s="19">
        <v>18</v>
      </c>
    </row>
    <row r="1191" spans="1:7" x14ac:dyDescent="0.3">
      <c r="A1191" s="18" t="s">
        <v>181</v>
      </c>
      <c r="B1191" s="12" t="s">
        <v>109</v>
      </c>
      <c r="C1191" s="12" t="s">
        <v>79</v>
      </c>
      <c r="D1191" s="13">
        <v>40830</v>
      </c>
      <c r="E1191" s="12" t="s">
        <v>67</v>
      </c>
      <c r="F1191" s="14">
        <v>9.1999999999999993</v>
      </c>
      <c r="G1191" s="19">
        <v>7</v>
      </c>
    </row>
    <row r="1192" spans="1:7" x14ac:dyDescent="0.3">
      <c r="A1192" s="18" t="s">
        <v>181</v>
      </c>
      <c r="B1192" s="12" t="s">
        <v>109</v>
      </c>
      <c r="C1192" s="12" t="s">
        <v>79</v>
      </c>
      <c r="D1192" s="13">
        <v>40830</v>
      </c>
      <c r="E1192" s="12" t="s">
        <v>65</v>
      </c>
      <c r="F1192" s="14">
        <v>18</v>
      </c>
      <c r="G1192" s="19">
        <v>9</v>
      </c>
    </row>
    <row r="1193" spans="1:7" x14ac:dyDescent="0.3">
      <c r="A1193" s="18" t="s">
        <v>181</v>
      </c>
      <c r="B1193" s="12" t="s">
        <v>109</v>
      </c>
      <c r="C1193" s="12" t="s">
        <v>79</v>
      </c>
      <c r="D1193" s="13">
        <v>40830</v>
      </c>
      <c r="E1193" s="12" t="s">
        <v>12</v>
      </c>
      <c r="F1193" s="14">
        <v>13.25</v>
      </c>
      <c r="G1193" s="19">
        <v>30</v>
      </c>
    </row>
    <row r="1194" spans="1:7" x14ac:dyDescent="0.3">
      <c r="A1194" s="18" t="s">
        <v>181</v>
      </c>
      <c r="B1194" s="12" t="s">
        <v>109</v>
      </c>
      <c r="C1194" s="12" t="s">
        <v>79</v>
      </c>
      <c r="D1194" s="13">
        <v>40830</v>
      </c>
      <c r="E1194" s="12" t="s">
        <v>45</v>
      </c>
      <c r="F1194" s="14">
        <v>15</v>
      </c>
      <c r="G1194" s="19">
        <v>30</v>
      </c>
    </row>
    <row r="1195" spans="1:7" x14ac:dyDescent="0.3">
      <c r="A1195" s="18" t="s">
        <v>110</v>
      </c>
      <c r="B1195" s="12" t="s">
        <v>111</v>
      </c>
      <c r="C1195" s="12" t="s">
        <v>81</v>
      </c>
      <c r="D1195" s="13">
        <v>40833</v>
      </c>
      <c r="E1195" s="12" t="s">
        <v>49</v>
      </c>
      <c r="F1195" s="14">
        <v>21</v>
      </c>
      <c r="G1195" s="19">
        <v>15</v>
      </c>
    </row>
    <row r="1196" spans="1:7" x14ac:dyDescent="0.3">
      <c r="A1196" s="18" t="s">
        <v>110</v>
      </c>
      <c r="B1196" s="12" t="s">
        <v>111</v>
      </c>
      <c r="C1196" s="12" t="s">
        <v>81</v>
      </c>
      <c r="D1196" s="13">
        <v>40833</v>
      </c>
      <c r="E1196" s="12" t="s">
        <v>0</v>
      </c>
      <c r="F1196" s="14">
        <v>39</v>
      </c>
      <c r="G1196" s="19">
        <v>8</v>
      </c>
    </row>
    <row r="1197" spans="1:7" x14ac:dyDescent="0.3">
      <c r="A1197" s="18" t="s">
        <v>110</v>
      </c>
      <c r="B1197" s="12" t="s">
        <v>111</v>
      </c>
      <c r="C1197" s="12" t="s">
        <v>81</v>
      </c>
      <c r="D1197" s="13">
        <v>40833</v>
      </c>
      <c r="E1197" s="12" t="s">
        <v>68</v>
      </c>
      <c r="F1197" s="14">
        <v>123.79</v>
      </c>
      <c r="G1197" s="19">
        <v>12</v>
      </c>
    </row>
    <row r="1198" spans="1:7" x14ac:dyDescent="0.3">
      <c r="A1198" s="18" t="s">
        <v>110</v>
      </c>
      <c r="B1198" s="12" t="s">
        <v>111</v>
      </c>
      <c r="C1198" s="12" t="s">
        <v>81</v>
      </c>
      <c r="D1198" s="13">
        <v>40833</v>
      </c>
      <c r="E1198" s="12" t="s">
        <v>34</v>
      </c>
      <c r="F1198" s="14">
        <v>21.05</v>
      </c>
      <c r="G1198" s="19">
        <v>65</v>
      </c>
    </row>
    <row r="1199" spans="1:7" x14ac:dyDescent="0.3">
      <c r="A1199" s="18" t="s">
        <v>110</v>
      </c>
      <c r="B1199" s="12" t="s">
        <v>111</v>
      </c>
      <c r="C1199" s="12" t="s">
        <v>81</v>
      </c>
      <c r="D1199" s="13">
        <v>40833</v>
      </c>
      <c r="E1199" s="12" t="s">
        <v>45</v>
      </c>
      <c r="F1199" s="14">
        <v>15</v>
      </c>
      <c r="G1199" s="19">
        <v>8</v>
      </c>
    </row>
    <row r="1200" spans="1:7" x14ac:dyDescent="0.3">
      <c r="A1200" s="18" t="s">
        <v>132</v>
      </c>
      <c r="B1200" s="12" t="s">
        <v>123</v>
      </c>
      <c r="C1200" s="12" t="s">
        <v>79</v>
      </c>
      <c r="D1200" s="13">
        <v>40829</v>
      </c>
      <c r="E1200" s="12" t="s">
        <v>76</v>
      </c>
      <c r="F1200" s="14">
        <v>9.5</v>
      </c>
      <c r="G1200" s="19">
        <v>12</v>
      </c>
    </row>
    <row r="1201" spans="1:7" x14ac:dyDescent="0.3">
      <c r="A1201" s="18" t="s">
        <v>154</v>
      </c>
      <c r="B1201" s="12" t="s">
        <v>115</v>
      </c>
      <c r="C1201" s="12" t="s">
        <v>79</v>
      </c>
      <c r="D1201" s="13">
        <v>40832</v>
      </c>
      <c r="E1201" s="12" t="s">
        <v>5</v>
      </c>
      <c r="F1201" s="14">
        <v>18</v>
      </c>
      <c r="G1201" s="19">
        <v>5</v>
      </c>
    </row>
    <row r="1202" spans="1:7" x14ac:dyDescent="0.3">
      <c r="A1202" s="18" t="s">
        <v>154</v>
      </c>
      <c r="B1202" s="12" t="s">
        <v>115</v>
      </c>
      <c r="C1202" s="12" t="s">
        <v>79</v>
      </c>
      <c r="D1202" s="13">
        <v>40832</v>
      </c>
      <c r="E1202" s="12" t="s">
        <v>57</v>
      </c>
      <c r="F1202" s="14">
        <v>14</v>
      </c>
      <c r="G1202" s="19">
        <v>12</v>
      </c>
    </row>
    <row r="1203" spans="1:7" x14ac:dyDescent="0.3">
      <c r="A1203" s="18" t="s">
        <v>154</v>
      </c>
      <c r="B1203" s="12" t="s">
        <v>115</v>
      </c>
      <c r="C1203" s="12" t="s">
        <v>79</v>
      </c>
      <c r="D1203" s="13">
        <v>40832</v>
      </c>
      <c r="E1203" s="12" t="s">
        <v>59</v>
      </c>
      <c r="F1203" s="14">
        <v>12.5</v>
      </c>
      <c r="G1203" s="19">
        <v>40</v>
      </c>
    </row>
    <row r="1204" spans="1:7" x14ac:dyDescent="0.3">
      <c r="A1204" s="18" t="s">
        <v>154</v>
      </c>
      <c r="B1204" s="12" t="s">
        <v>115</v>
      </c>
      <c r="C1204" s="12" t="s">
        <v>79</v>
      </c>
      <c r="D1204" s="13">
        <v>40832</v>
      </c>
      <c r="E1204" s="12" t="s">
        <v>14</v>
      </c>
      <c r="F1204" s="14">
        <v>21.5</v>
      </c>
      <c r="G1204" s="19">
        <v>60</v>
      </c>
    </row>
    <row r="1205" spans="1:7" x14ac:dyDescent="0.3">
      <c r="A1205" s="18" t="s">
        <v>143</v>
      </c>
      <c r="B1205" s="12" t="s">
        <v>144</v>
      </c>
      <c r="C1205" s="12" t="s">
        <v>82</v>
      </c>
      <c r="D1205" s="13">
        <v>40831</v>
      </c>
      <c r="E1205" s="12" t="s">
        <v>51</v>
      </c>
      <c r="F1205" s="14">
        <v>55</v>
      </c>
      <c r="G1205" s="19">
        <v>42</v>
      </c>
    </row>
    <row r="1206" spans="1:7" x14ac:dyDescent="0.3">
      <c r="A1206" s="18" t="s">
        <v>143</v>
      </c>
      <c r="B1206" s="12" t="s">
        <v>144</v>
      </c>
      <c r="C1206" s="12" t="s">
        <v>82</v>
      </c>
      <c r="D1206" s="13">
        <v>40831</v>
      </c>
      <c r="E1206" s="12" t="s">
        <v>14</v>
      </c>
      <c r="F1206" s="14">
        <v>21.5</v>
      </c>
      <c r="G1206" s="19">
        <v>20</v>
      </c>
    </row>
    <row r="1207" spans="1:7" x14ac:dyDescent="0.3">
      <c r="A1207" s="18" t="s">
        <v>143</v>
      </c>
      <c r="B1207" s="12" t="s">
        <v>144</v>
      </c>
      <c r="C1207" s="12" t="s">
        <v>82</v>
      </c>
      <c r="D1207" s="13">
        <v>40831</v>
      </c>
      <c r="E1207" s="12" t="s">
        <v>31</v>
      </c>
      <c r="F1207" s="14">
        <v>18</v>
      </c>
      <c r="G1207" s="19">
        <v>35</v>
      </c>
    </row>
    <row r="1208" spans="1:7" x14ac:dyDescent="0.3">
      <c r="A1208" s="18" t="s">
        <v>201</v>
      </c>
      <c r="B1208" s="12" t="s">
        <v>123</v>
      </c>
      <c r="C1208" s="12" t="s">
        <v>81</v>
      </c>
      <c r="D1208" s="13">
        <v>40837</v>
      </c>
      <c r="E1208" s="12" t="s">
        <v>1</v>
      </c>
      <c r="F1208" s="14">
        <v>10</v>
      </c>
      <c r="G1208" s="19">
        <v>6</v>
      </c>
    </row>
    <row r="1209" spans="1:7" x14ac:dyDescent="0.3">
      <c r="A1209" s="18" t="s">
        <v>201</v>
      </c>
      <c r="B1209" s="12" t="s">
        <v>123</v>
      </c>
      <c r="C1209" s="12" t="s">
        <v>81</v>
      </c>
      <c r="D1209" s="13">
        <v>40837</v>
      </c>
      <c r="E1209" s="12" t="s">
        <v>31</v>
      </c>
      <c r="F1209" s="14">
        <v>18</v>
      </c>
      <c r="G1209" s="19">
        <v>15</v>
      </c>
    </row>
    <row r="1210" spans="1:7" x14ac:dyDescent="0.3">
      <c r="A1210" s="18" t="s">
        <v>118</v>
      </c>
      <c r="B1210" s="12" t="s">
        <v>119</v>
      </c>
      <c r="C1210" s="12" t="s">
        <v>82</v>
      </c>
      <c r="D1210" s="13">
        <v>40836</v>
      </c>
      <c r="E1210" s="12" t="s">
        <v>6</v>
      </c>
      <c r="F1210" s="14">
        <v>19</v>
      </c>
      <c r="G1210" s="19">
        <v>5</v>
      </c>
    </row>
    <row r="1211" spans="1:7" x14ac:dyDescent="0.3">
      <c r="A1211" s="18" t="s">
        <v>118</v>
      </c>
      <c r="B1211" s="12" t="s">
        <v>119</v>
      </c>
      <c r="C1211" s="12" t="s">
        <v>82</v>
      </c>
      <c r="D1211" s="13">
        <v>40836</v>
      </c>
      <c r="E1211" s="12" t="s">
        <v>51</v>
      </c>
      <c r="F1211" s="14">
        <v>55</v>
      </c>
      <c r="G1211" s="19">
        <v>35</v>
      </c>
    </row>
    <row r="1212" spans="1:7" x14ac:dyDescent="0.3">
      <c r="A1212" s="18" t="s">
        <v>118</v>
      </c>
      <c r="B1212" s="12" t="s">
        <v>119</v>
      </c>
      <c r="C1212" s="12" t="s">
        <v>82</v>
      </c>
      <c r="D1212" s="13">
        <v>40836</v>
      </c>
      <c r="E1212" s="12" t="s">
        <v>54</v>
      </c>
      <c r="F1212" s="14">
        <v>15</v>
      </c>
      <c r="G1212" s="19">
        <v>35</v>
      </c>
    </row>
    <row r="1213" spans="1:7" x14ac:dyDescent="0.3">
      <c r="A1213" s="18" t="s">
        <v>174</v>
      </c>
      <c r="B1213" s="12" t="s">
        <v>98</v>
      </c>
      <c r="C1213" s="12" t="s">
        <v>82</v>
      </c>
      <c r="D1213" s="13">
        <v>40854</v>
      </c>
      <c r="E1213" s="12" t="s">
        <v>8</v>
      </c>
      <c r="F1213" s="14">
        <v>22</v>
      </c>
      <c r="G1213" s="19">
        <v>6</v>
      </c>
    </row>
    <row r="1214" spans="1:7" x14ac:dyDescent="0.3">
      <c r="A1214" s="18" t="s">
        <v>174</v>
      </c>
      <c r="B1214" s="12" t="s">
        <v>98</v>
      </c>
      <c r="C1214" s="12" t="s">
        <v>82</v>
      </c>
      <c r="D1214" s="13">
        <v>40854</v>
      </c>
      <c r="E1214" s="12" t="s">
        <v>21</v>
      </c>
      <c r="F1214" s="14">
        <v>4.5</v>
      </c>
      <c r="G1214" s="19">
        <v>35</v>
      </c>
    </row>
    <row r="1215" spans="1:7" x14ac:dyDescent="0.3">
      <c r="A1215" s="18" t="s">
        <v>174</v>
      </c>
      <c r="B1215" s="12" t="s">
        <v>98</v>
      </c>
      <c r="C1215" s="12" t="s">
        <v>82</v>
      </c>
      <c r="D1215" s="13">
        <v>40854</v>
      </c>
      <c r="E1215" s="12" t="s">
        <v>10</v>
      </c>
      <c r="F1215" s="14">
        <v>12.75</v>
      </c>
      <c r="G1215" s="19">
        <v>24</v>
      </c>
    </row>
    <row r="1216" spans="1:7" x14ac:dyDescent="0.3">
      <c r="A1216" s="18" t="s">
        <v>108</v>
      </c>
      <c r="B1216" s="12" t="s">
        <v>109</v>
      </c>
      <c r="C1216" s="12" t="s">
        <v>78</v>
      </c>
      <c r="D1216" s="13">
        <v>40865</v>
      </c>
      <c r="E1216" s="12" t="s">
        <v>18</v>
      </c>
      <c r="F1216" s="14">
        <v>12.5</v>
      </c>
      <c r="G1216" s="19">
        <v>20</v>
      </c>
    </row>
    <row r="1217" spans="1:7" x14ac:dyDescent="0.3">
      <c r="A1217" s="18" t="s">
        <v>108</v>
      </c>
      <c r="B1217" s="12" t="s">
        <v>109</v>
      </c>
      <c r="C1217" s="12" t="s">
        <v>78</v>
      </c>
      <c r="D1217" s="13">
        <v>40865</v>
      </c>
      <c r="E1217" s="12" t="s">
        <v>37</v>
      </c>
      <c r="F1217" s="14">
        <v>32</v>
      </c>
      <c r="G1217" s="19">
        <v>4</v>
      </c>
    </row>
    <row r="1218" spans="1:7" x14ac:dyDescent="0.3">
      <c r="A1218" s="18" t="s">
        <v>114</v>
      </c>
      <c r="B1218" s="12" t="s">
        <v>115</v>
      </c>
      <c r="C1218" s="12" t="s">
        <v>80</v>
      </c>
      <c r="D1218" s="13">
        <v>40837</v>
      </c>
      <c r="E1218" s="12" t="s">
        <v>47</v>
      </c>
      <c r="F1218" s="14">
        <v>17.45</v>
      </c>
      <c r="G1218" s="19">
        <v>20</v>
      </c>
    </row>
    <row r="1219" spans="1:7" x14ac:dyDescent="0.3">
      <c r="A1219" s="18" t="s">
        <v>114</v>
      </c>
      <c r="B1219" s="12" t="s">
        <v>115</v>
      </c>
      <c r="C1219" s="12" t="s">
        <v>80</v>
      </c>
      <c r="D1219" s="13">
        <v>40837</v>
      </c>
      <c r="E1219" s="12" t="s">
        <v>28</v>
      </c>
      <c r="F1219" s="14">
        <v>46</v>
      </c>
      <c r="G1219" s="19">
        <v>24</v>
      </c>
    </row>
    <row r="1220" spans="1:7" x14ac:dyDescent="0.3">
      <c r="A1220" s="18" t="s">
        <v>114</v>
      </c>
      <c r="B1220" s="12" t="s">
        <v>115</v>
      </c>
      <c r="C1220" s="12" t="s">
        <v>80</v>
      </c>
      <c r="D1220" s="13">
        <v>40837</v>
      </c>
      <c r="E1220" s="12" t="s">
        <v>51</v>
      </c>
      <c r="F1220" s="14">
        <v>55</v>
      </c>
      <c r="G1220" s="19">
        <v>8</v>
      </c>
    </row>
    <row r="1221" spans="1:7" x14ac:dyDescent="0.3">
      <c r="A1221" s="18" t="s">
        <v>167</v>
      </c>
      <c r="B1221" s="12" t="s">
        <v>141</v>
      </c>
      <c r="C1221" s="12" t="s">
        <v>81</v>
      </c>
      <c r="D1221" s="13">
        <v>40839</v>
      </c>
      <c r="E1221" s="12" t="s">
        <v>46</v>
      </c>
      <c r="F1221" s="14">
        <v>24</v>
      </c>
      <c r="G1221" s="19">
        <v>21</v>
      </c>
    </row>
    <row r="1222" spans="1:7" x14ac:dyDescent="0.3">
      <c r="A1222" s="18" t="s">
        <v>167</v>
      </c>
      <c r="B1222" s="12" t="s">
        <v>141</v>
      </c>
      <c r="C1222" s="12" t="s">
        <v>81</v>
      </c>
      <c r="D1222" s="13">
        <v>40839</v>
      </c>
      <c r="E1222" s="12" t="s">
        <v>52</v>
      </c>
      <c r="F1222" s="14">
        <v>19.5</v>
      </c>
      <c r="G1222" s="19">
        <v>40</v>
      </c>
    </row>
    <row r="1223" spans="1:7" x14ac:dyDescent="0.3">
      <c r="A1223" s="18" t="s">
        <v>167</v>
      </c>
      <c r="B1223" s="12" t="s">
        <v>141</v>
      </c>
      <c r="C1223" s="12" t="s">
        <v>81</v>
      </c>
      <c r="D1223" s="13">
        <v>40839</v>
      </c>
      <c r="E1223" s="12" t="s">
        <v>45</v>
      </c>
      <c r="F1223" s="14">
        <v>15</v>
      </c>
      <c r="G1223" s="19">
        <v>28</v>
      </c>
    </row>
    <row r="1224" spans="1:7" x14ac:dyDescent="0.3">
      <c r="A1224" s="18" t="s">
        <v>149</v>
      </c>
      <c r="B1224" s="12" t="s">
        <v>115</v>
      </c>
      <c r="C1224" s="12" t="s">
        <v>82</v>
      </c>
      <c r="D1224" s="13">
        <v>40852</v>
      </c>
      <c r="E1224" s="12" t="s">
        <v>9</v>
      </c>
      <c r="F1224" s="14">
        <v>21.35</v>
      </c>
      <c r="G1224" s="19">
        <v>4</v>
      </c>
    </row>
    <row r="1225" spans="1:7" x14ac:dyDescent="0.3">
      <c r="A1225" s="18" t="s">
        <v>149</v>
      </c>
      <c r="B1225" s="12" t="s">
        <v>115</v>
      </c>
      <c r="C1225" s="12" t="s">
        <v>82</v>
      </c>
      <c r="D1225" s="13">
        <v>40852</v>
      </c>
      <c r="E1225" s="12" t="s">
        <v>27</v>
      </c>
      <c r="F1225" s="14">
        <v>19</v>
      </c>
      <c r="G1225" s="19">
        <v>5</v>
      </c>
    </row>
    <row r="1226" spans="1:7" x14ac:dyDescent="0.3">
      <c r="A1226" s="18" t="s">
        <v>187</v>
      </c>
      <c r="B1226" s="12" t="s">
        <v>98</v>
      </c>
      <c r="C1226" s="12" t="s">
        <v>83</v>
      </c>
      <c r="D1226" s="13">
        <v>40867</v>
      </c>
      <c r="E1226" s="12" t="s">
        <v>42</v>
      </c>
      <c r="F1226" s="14">
        <v>40</v>
      </c>
      <c r="G1226" s="19">
        <v>40</v>
      </c>
    </row>
    <row r="1227" spans="1:7" x14ac:dyDescent="0.3">
      <c r="A1227" s="18" t="s">
        <v>187</v>
      </c>
      <c r="B1227" s="12" t="s">
        <v>98</v>
      </c>
      <c r="C1227" s="12" t="s">
        <v>83</v>
      </c>
      <c r="D1227" s="13">
        <v>40867</v>
      </c>
      <c r="E1227" s="12" t="s">
        <v>36</v>
      </c>
      <c r="F1227" s="14">
        <v>53</v>
      </c>
      <c r="G1227" s="19">
        <v>28</v>
      </c>
    </row>
    <row r="1228" spans="1:7" x14ac:dyDescent="0.3">
      <c r="A1228" s="18" t="s">
        <v>187</v>
      </c>
      <c r="B1228" s="12" t="s">
        <v>98</v>
      </c>
      <c r="C1228" s="12" t="s">
        <v>83</v>
      </c>
      <c r="D1228" s="13">
        <v>40867</v>
      </c>
      <c r="E1228" s="12" t="s">
        <v>3</v>
      </c>
      <c r="F1228" s="14">
        <v>34</v>
      </c>
      <c r="G1228" s="19">
        <v>10</v>
      </c>
    </row>
    <row r="1229" spans="1:7" x14ac:dyDescent="0.3">
      <c r="A1229" s="18" t="s">
        <v>186</v>
      </c>
      <c r="B1229" s="12" t="s">
        <v>130</v>
      </c>
      <c r="C1229" s="12" t="s">
        <v>83</v>
      </c>
      <c r="D1229" s="13">
        <v>40839</v>
      </c>
      <c r="E1229" s="12" t="s">
        <v>67</v>
      </c>
      <c r="F1229" s="14">
        <v>9.1999999999999993</v>
      </c>
      <c r="G1229" s="19">
        <v>5</v>
      </c>
    </row>
    <row r="1230" spans="1:7" x14ac:dyDescent="0.3">
      <c r="A1230" s="18" t="s">
        <v>186</v>
      </c>
      <c r="B1230" s="12" t="s">
        <v>130</v>
      </c>
      <c r="C1230" s="12" t="s">
        <v>83</v>
      </c>
      <c r="D1230" s="13">
        <v>40839</v>
      </c>
      <c r="E1230" s="12" t="s">
        <v>76</v>
      </c>
      <c r="F1230" s="14">
        <v>9.5</v>
      </c>
      <c r="G1230" s="19">
        <v>5</v>
      </c>
    </row>
    <row r="1231" spans="1:7" x14ac:dyDescent="0.3">
      <c r="A1231" s="18" t="s">
        <v>154</v>
      </c>
      <c r="B1231" s="12" t="s">
        <v>115</v>
      </c>
      <c r="C1231" s="12" t="s">
        <v>85</v>
      </c>
      <c r="D1231" s="13">
        <v>40845</v>
      </c>
      <c r="E1231" s="12" t="s">
        <v>67</v>
      </c>
      <c r="F1231" s="14">
        <v>9.1999999999999993</v>
      </c>
      <c r="G1231" s="19">
        <v>12</v>
      </c>
    </row>
    <row r="1232" spans="1:7" x14ac:dyDescent="0.3">
      <c r="A1232" s="18" t="s">
        <v>154</v>
      </c>
      <c r="B1232" s="12" t="s">
        <v>115</v>
      </c>
      <c r="C1232" s="12" t="s">
        <v>85</v>
      </c>
      <c r="D1232" s="13">
        <v>40845</v>
      </c>
      <c r="E1232" s="12" t="s">
        <v>29</v>
      </c>
      <c r="F1232" s="14">
        <v>9.65</v>
      </c>
      <c r="G1232" s="19">
        <v>42</v>
      </c>
    </row>
    <row r="1233" spans="1:7" x14ac:dyDescent="0.3">
      <c r="A1233" s="18" t="s">
        <v>154</v>
      </c>
      <c r="B1233" s="12" t="s">
        <v>115</v>
      </c>
      <c r="C1233" s="12" t="s">
        <v>85</v>
      </c>
      <c r="D1233" s="13">
        <v>40845</v>
      </c>
      <c r="E1233" s="12" t="s">
        <v>48</v>
      </c>
      <c r="F1233" s="14">
        <v>32.799999999999997</v>
      </c>
      <c r="G1233" s="19">
        <v>120</v>
      </c>
    </row>
    <row r="1234" spans="1:7" x14ac:dyDescent="0.3">
      <c r="A1234" s="18" t="s">
        <v>143</v>
      </c>
      <c r="B1234" s="12" t="s">
        <v>144</v>
      </c>
      <c r="C1234" s="12" t="s">
        <v>79</v>
      </c>
      <c r="D1234" s="13">
        <v>40847</v>
      </c>
      <c r="E1234" s="12" t="s">
        <v>48</v>
      </c>
      <c r="F1234" s="14">
        <v>32.799999999999997</v>
      </c>
      <c r="G1234" s="19">
        <v>3</v>
      </c>
    </row>
    <row r="1235" spans="1:7" x14ac:dyDescent="0.3">
      <c r="A1235" s="18" t="s">
        <v>143</v>
      </c>
      <c r="B1235" s="12" t="s">
        <v>144</v>
      </c>
      <c r="C1235" s="12" t="s">
        <v>79</v>
      </c>
      <c r="D1235" s="13">
        <v>40847</v>
      </c>
      <c r="E1235" s="12" t="s">
        <v>17</v>
      </c>
      <c r="F1235" s="14">
        <v>38</v>
      </c>
      <c r="G1235" s="19">
        <v>30</v>
      </c>
    </row>
    <row r="1236" spans="1:7" x14ac:dyDescent="0.3">
      <c r="A1236" s="18" t="s">
        <v>154</v>
      </c>
      <c r="B1236" s="12" t="s">
        <v>115</v>
      </c>
      <c r="C1236" s="12" t="s">
        <v>83</v>
      </c>
      <c r="D1236" s="13">
        <v>40840</v>
      </c>
      <c r="E1236" s="12" t="s">
        <v>26</v>
      </c>
      <c r="F1236" s="14">
        <v>31</v>
      </c>
      <c r="G1236" s="19">
        <v>18</v>
      </c>
    </row>
    <row r="1237" spans="1:7" x14ac:dyDescent="0.3">
      <c r="A1237" s="18" t="s">
        <v>154</v>
      </c>
      <c r="B1237" s="12" t="s">
        <v>115</v>
      </c>
      <c r="C1237" s="12" t="s">
        <v>83</v>
      </c>
      <c r="D1237" s="13">
        <v>40840</v>
      </c>
      <c r="E1237" s="12" t="s">
        <v>24</v>
      </c>
      <c r="F1237" s="14">
        <v>31.23</v>
      </c>
      <c r="G1237" s="19">
        <v>30</v>
      </c>
    </row>
    <row r="1238" spans="1:7" x14ac:dyDescent="0.3">
      <c r="A1238" s="18" t="s">
        <v>154</v>
      </c>
      <c r="B1238" s="12" t="s">
        <v>115</v>
      </c>
      <c r="C1238" s="12" t="s">
        <v>83</v>
      </c>
      <c r="D1238" s="13">
        <v>40840</v>
      </c>
      <c r="E1238" s="12" t="s">
        <v>55</v>
      </c>
      <c r="F1238" s="14">
        <v>9.5</v>
      </c>
      <c r="G1238" s="19">
        <v>110</v>
      </c>
    </row>
    <row r="1239" spans="1:7" x14ac:dyDescent="0.3">
      <c r="A1239" s="18" t="s">
        <v>154</v>
      </c>
      <c r="B1239" s="12" t="s">
        <v>115</v>
      </c>
      <c r="C1239" s="12" t="s">
        <v>83</v>
      </c>
      <c r="D1239" s="13">
        <v>40840</v>
      </c>
      <c r="E1239" s="12" t="s">
        <v>64</v>
      </c>
      <c r="F1239" s="14">
        <v>12</v>
      </c>
      <c r="G1239" s="19">
        <v>24</v>
      </c>
    </row>
    <row r="1240" spans="1:7" x14ac:dyDescent="0.3">
      <c r="A1240" s="18" t="s">
        <v>154</v>
      </c>
      <c r="B1240" s="12" t="s">
        <v>115</v>
      </c>
      <c r="C1240" s="12" t="s">
        <v>85</v>
      </c>
      <c r="D1240" s="13">
        <v>40843</v>
      </c>
      <c r="E1240" s="12" t="s">
        <v>6</v>
      </c>
      <c r="F1240" s="14">
        <v>19</v>
      </c>
      <c r="G1240" s="19">
        <v>30</v>
      </c>
    </row>
    <row r="1241" spans="1:7" x14ac:dyDescent="0.3">
      <c r="A1241" s="18" t="s">
        <v>154</v>
      </c>
      <c r="B1241" s="12" t="s">
        <v>115</v>
      </c>
      <c r="C1241" s="12" t="s">
        <v>85</v>
      </c>
      <c r="D1241" s="13">
        <v>40843</v>
      </c>
      <c r="E1241" s="12" t="s">
        <v>0</v>
      </c>
      <c r="F1241" s="14">
        <v>39</v>
      </c>
      <c r="G1241" s="19">
        <v>27</v>
      </c>
    </row>
    <row r="1242" spans="1:7" x14ac:dyDescent="0.3">
      <c r="A1242" s="18" t="s">
        <v>154</v>
      </c>
      <c r="B1242" s="12" t="s">
        <v>115</v>
      </c>
      <c r="C1242" s="12" t="s">
        <v>85</v>
      </c>
      <c r="D1242" s="13">
        <v>40843</v>
      </c>
      <c r="E1242" s="12" t="s">
        <v>76</v>
      </c>
      <c r="F1242" s="14">
        <v>9.5</v>
      </c>
      <c r="G1242" s="19">
        <v>50</v>
      </c>
    </row>
    <row r="1243" spans="1:7" x14ac:dyDescent="0.3">
      <c r="A1243" s="18" t="s">
        <v>154</v>
      </c>
      <c r="B1243" s="12" t="s">
        <v>115</v>
      </c>
      <c r="C1243" s="12" t="s">
        <v>85</v>
      </c>
      <c r="D1243" s="13">
        <v>40843</v>
      </c>
      <c r="E1243" s="12" t="s">
        <v>17</v>
      </c>
      <c r="F1243" s="14">
        <v>38</v>
      </c>
      <c r="G1243" s="19">
        <v>18</v>
      </c>
    </row>
    <row r="1244" spans="1:7" x14ac:dyDescent="0.3">
      <c r="A1244" s="18" t="s">
        <v>154</v>
      </c>
      <c r="B1244" s="12" t="s">
        <v>115</v>
      </c>
      <c r="C1244" s="12" t="s">
        <v>85</v>
      </c>
      <c r="D1244" s="13">
        <v>40843</v>
      </c>
      <c r="E1244" s="12" t="s">
        <v>12</v>
      </c>
      <c r="F1244" s="14">
        <v>13.25</v>
      </c>
      <c r="G1244" s="19">
        <v>12</v>
      </c>
    </row>
    <row r="1245" spans="1:7" x14ac:dyDescent="0.3">
      <c r="A1245" s="18" t="s">
        <v>158</v>
      </c>
      <c r="B1245" s="12" t="s">
        <v>101</v>
      </c>
      <c r="C1245" s="12" t="s">
        <v>79</v>
      </c>
      <c r="D1245" s="13">
        <v>40845</v>
      </c>
      <c r="E1245" s="12" t="s">
        <v>26</v>
      </c>
      <c r="F1245" s="14">
        <v>31</v>
      </c>
      <c r="G1245" s="19">
        <v>21</v>
      </c>
    </row>
    <row r="1246" spans="1:7" x14ac:dyDescent="0.3">
      <c r="A1246" s="18" t="s">
        <v>158</v>
      </c>
      <c r="B1246" s="12" t="s">
        <v>101</v>
      </c>
      <c r="C1246" s="12" t="s">
        <v>79</v>
      </c>
      <c r="D1246" s="13">
        <v>40845</v>
      </c>
      <c r="E1246" s="12" t="s">
        <v>14</v>
      </c>
      <c r="F1246" s="14">
        <v>21.5</v>
      </c>
      <c r="G1246" s="19">
        <v>30</v>
      </c>
    </row>
    <row r="1247" spans="1:7" x14ac:dyDescent="0.3">
      <c r="A1247" s="18" t="s">
        <v>190</v>
      </c>
      <c r="B1247" s="12" t="s">
        <v>185</v>
      </c>
      <c r="C1247" s="12" t="s">
        <v>81</v>
      </c>
      <c r="D1247" s="13">
        <v>40843</v>
      </c>
      <c r="E1247" s="12" t="s">
        <v>62</v>
      </c>
      <c r="F1247" s="14">
        <v>10</v>
      </c>
      <c r="G1247" s="19">
        <v>5</v>
      </c>
    </row>
    <row r="1248" spans="1:7" x14ac:dyDescent="0.3">
      <c r="A1248" s="18" t="s">
        <v>190</v>
      </c>
      <c r="B1248" s="12" t="s">
        <v>185</v>
      </c>
      <c r="C1248" s="12" t="s">
        <v>81</v>
      </c>
      <c r="D1248" s="13">
        <v>40843</v>
      </c>
      <c r="E1248" s="12" t="s">
        <v>36</v>
      </c>
      <c r="F1248" s="14">
        <v>53</v>
      </c>
      <c r="G1248" s="19">
        <v>7</v>
      </c>
    </row>
    <row r="1249" spans="1:7" x14ac:dyDescent="0.3">
      <c r="A1249" s="18" t="s">
        <v>190</v>
      </c>
      <c r="B1249" s="12" t="s">
        <v>185</v>
      </c>
      <c r="C1249" s="12" t="s">
        <v>81</v>
      </c>
      <c r="D1249" s="13">
        <v>40843</v>
      </c>
      <c r="E1249" s="12" t="s">
        <v>63</v>
      </c>
      <c r="F1249" s="14">
        <v>28.5</v>
      </c>
      <c r="G1249" s="19">
        <v>10</v>
      </c>
    </row>
    <row r="1250" spans="1:7" x14ac:dyDescent="0.3">
      <c r="A1250" s="18" t="s">
        <v>122</v>
      </c>
      <c r="B1250" s="12" t="s">
        <v>123</v>
      </c>
      <c r="C1250" s="12" t="s">
        <v>83</v>
      </c>
      <c r="D1250" s="13">
        <v>40845</v>
      </c>
      <c r="E1250" s="12" t="s">
        <v>62</v>
      </c>
      <c r="F1250" s="14">
        <v>10</v>
      </c>
      <c r="G1250" s="19">
        <v>32</v>
      </c>
    </row>
    <row r="1251" spans="1:7" x14ac:dyDescent="0.3">
      <c r="A1251" s="18" t="s">
        <v>122</v>
      </c>
      <c r="B1251" s="12" t="s">
        <v>123</v>
      </c>
      <c r="C1251" s="12" t="s">
        <v>83</v>
      </c>
      <c r="D1251" s="13">
        <v>40845</v>
      </c>
      <c r="E1251" s="12" t="s">
        <v>70</v>
      </c>
      <c r="F1251" s="14">
        <v>7.45</v>
      </c>
      <c r="G1251" s="19">
        <v>15</v>
      </c>
    </row>
    <row r="1252" spans="1:7" x14ac:dyDescent="0.3">
      <c r="A1252" s="18" t="s">
        <v>122</v>
      </c>
      <c r="B1252" s="12" t="s">
        <v>123</v>
      </c>
      <c r="C1252" s="12" t="s">
        <v>83</v>
      </c>
      <c r="D1252" s="13">
        <v>40845</v>
      </c>
      <c r="E1252" s="12" t="s">
        <v>22</v>
      </c>
      <c r="F1252" s="14">
        <v>36</v>
      </c>
      <c r="G1252" s="19">
        <v>25</v>
      </c>
    </row>
    <row r="1253" spans="1:7" x14ac:dyDescent="0.3">
      <c r="A1253" s="18" t="s">
        <v>153</v>
      </c>
      <c r="B1253" s="12" t="s">
        <v>123</v>
      </c>
      <c r="C1253" s="12" t="s">
        <v>83</v>
      </c>
      <c r="D1253" s="13">
        <v>40845</v>
      </c>
      <c r="E1253" s="12" t="s">
        <v>50</v>
      </c>
      <c r="F1253" s="14">
        <v>38</v>
      </c>
      <c r="G1253" s="19">
        <v>36</v>
      </c>
    </row>
    <row r="1254" spans="1:7" x14ac:dyDescent="0.3">
      <c r="A1254" s="18" t="s">
        <v>153</v>
      </c>
      <c r="B1254" s="12" t="s">
        <v>123</v>
      </c>
      <c r="C1254" s="12" t="s">
        <v>83</v>
      </c>
      <c r="D1254" s="13">
        <v>40845</v>
      </c>
      <c r="E1254" s="12" t="s">
        <v>47</v>
      </c>
      <c r="F1254" s="14">
        <v>17.45</v>
      </c>
      <c r="G1254" s="19">
        <v>20</v>
      </c>
    </row>
    <row r="1255" spans="1:7" x14ac:dyDescent="0.3">
      <c r="A1255" s="18" t="s">
        <v>153</v>
      </c>
      <c r="B1255" s="12" t="s">
        <v>123</v>
      </c>
      <c r="C1255" s="12" t="s">
        <v>83</v>
      </c>
      <c r="D1255" s="13">
        <v>40845</v>
      </c>
      <c r="E1255" s="12" t="s">
        <v>27</v>
      </c>
      <c r="F1255" s="14">
        <v>19</v>
      </c>
      <c r="G1255" s="19">
        <v>40</v>
      </c>
    </row>
    <row r="1256" spans="1:7" x14ac:dyDescent="0.3">
      <c r="A1256" s="18" t="s">
        <v>153</v>
      </c>
      <c r="B1256" s="12" t="s">
        <v>123</v>
      </c>
      <c r="C1256" s="12" t="s">
        <v>83</v>
      </c>
      <c r="D1256" s="13">
        <v>40845</v>
      </c>
      <c r="E1256" s="12" t="s">
        <v>66</v>
      </c>
      <c r="F1256" s="14">
        <v>49.3</v>
      </c>
      <c r="G1256" s="19">
        <v>20</v>
      </c>
    </row>
    <row r="1257" spans="1:7" x14ac:dyDescent="0.3">
      <c r="A1257" s="18" t="s">
        <v>199</v>
      </c>
      <c r="B1257" s="12" t="s">
        <v>115</v>
      </c>
      <c r="C1257" s="12" t="s">
        <v>80</v>
      </c>
      <c r="D1257" s="13">
        <v>40852</v>
      </c>
      <c r="E1257" s="12" t="s">
        <v>4</v>
      </c>
      <c r="F1257" s="14">
        <v>62.5</v>
      </c>
      <c r="G1257" s="19">
        <v>12</v>
      </c>
    </row>
    <row r="1258" spans="1:7" x14ac:dyDescent="0.3">
      <c r="A1258" s="18" t="s">
        <v>199</v>
      </c>
      <c r="B1258" s="12" t="s">
        <v>115</v>
      </c>
      <c r="C1258" s="12" t="s">
        <v>80</v>
      </c>
      <c r="D1258" s="13">
        <v>40852</v>
      </c>
      <c r="E1258" s="12" t="s">
        <v>41</v>
      </c>
      <c r="F1258" s="14">
        <v>25.89</v>
      </c>
      <c r="G1258" s="19">
        <v>3</v>
      </c>
    </row>
    <row r="1259" spans="1:7" x14ac:dyDescent="0.3">
      <c r="A1259" s="18" t="s">
        <v>199</v>
      </c>
      <c r="B1259" s="12" t="s">
        <v>115</v>
      </c>
      <c r="C1259" s="12" t="s">
        <v>80</v>
      </c>
      <c r="D1259" s="13">
        <v>40852</v>
      </c>
      <c r="E1259" s="12" t="s">
        <v>70</v>
      </c>
      <c r="F1259" s="14">
        <v>7.45</v>
      </c>
      <c r="G1259" s="19">
        <v>40</v>
      </c>
    </row>
    <row r="1260" spans="1:7" x14ac:dyDescent="0.3">
      <c r="A1260" s="18" t="s">
        <v>116</v>
      </c>
      <c r="B1260" s="12" t="s">
        <v>98</v>
      </c>
      <c r="C1260" s="12" t="s">
        <v>80</v>
      </c>
      <c r="D1260" s="13">
        <v>40852</v>
      </c>
      <c r="E1260" s="12" t="s">
        <v>65</v>
      </c>
      <c r="F1260" s="14">
        <v>18</v>
      </c>
      <c r="G1260" s="19">
        <v>21</v>
      </c>
    </row>
    <row r="1261" spans="1:7" x14ac:dyDescent="0.3">
      <c r="A1261" s="18" t="s">
        <v>116</v>
      </c>
      <c r="B1261" s="12" t="s">
        <v>98</v>
      </c>
      <c r="C1261" s="12" t="s">
        <v>80</v>
      </c>
      <c r="D1261" s="13">
        <v>40852</v>
      </c>
      <c r="E1261" s="12" t="s">
        <v>14</v>
      </c>
      <c r="F1261" s="14">
        <v>21.5</v>
      </c>
      <c r="G1261" s="19">
        <v>8</v>
      </c>
    </row>
    <row r="1262" spans="1:7" x14ac:dyDescent="0.3">
      <c r="A1262" s="18" t="s">
        <v>127</v>
      </c>
      <c r="B1262" s="12" t="s">
        <v>123</v>
      </c>
      <c r="C1262" s="12" t="s">
        <v>85</v>
      </c>
      <c r="D1262" s="13">
        <v>40847</v>
      </c>
      <c r="E1262" s="12" t="s">
        <v>23</v>
      </c>
      <c r="F1262" s="14">
        <v>19.45</v>
      </c>
      <c r="G1262" s="19">
        <v>50</v>
      </c>
    </row>
    <row r="1263" spans="1:7" x14ac:dyDescent="0.3">
      <c r="A1263" s="18" t="s">
        <v>154</v>
      </c>
      <c r="B1263" s="12" t="s">
        <v>115</v>
      </c>
      <c r="C1263" s="12" t="s">
        <v>80</v>
      </c>
      <c r="D1263" s="13">
        <v>40851</v>
      </c>
      <c r="E1263" s="12" t="s">
        <v>6</v>
      </c>
      <c r="F1263" s="14">
        <v>19</v>
      </c>
      <c r="G1263" s="19">
        <v>3</v>
      </c>
    </row>
    <row r="1264" spans="1:7" x14ac:dyDescent="0.3">
      <c r="A1264" s="18" t="s">
        <v>154</v>
      </c>
      <c r="B1264" s="12" t="s">
        <v>115</v>
      </c>
      <c r="C1264" s="12" t="s">
        <v>80</v>
      </c>
      <c r="D1264" s="13">
        <v>40851</v>
      </c>
      <c r="E1264" s="12" t="s">
        <v>18</v>
      </c>
      <c r="F1264" s="14">
        <v>12.5</v>
      </c>
      <c r="G1264" s="19">
        <v>50</v>
      </c>
    </row>
    <row r="1265" spans="1:7" x14ac:dyDescent="0.3">
      <c r="A1265" s="18" t="s">
        <v>154</v>
      </c>
      <c r="B1265" s="12" t="s">
        <v>115</v>
      </c>
      <c r="C1265" s="12" t="s">
        <v>80</v>
      </c>
      <c r="D1265" s="13">
        <v>40851</v>
      </c>
      <c r="E1265" s="12" t="s">
        <v>59</v>
      </c>
      <c r="F1265" s="14">
        <v>12.5</v>
      </c>
      <c r="G1265" s="19">
        <v>45</v>
      </c>
    </row>
    <row r="1266" spans="1:7" x14ac:dyDescent="0.3">
      <c r="A1266" s="18" t="s">
        <v>154</v>
      </c>
      <c r="B1266" s="12" t="s">
        <v>115</v>
      </c>
      <c r="C1266" s="12" t="s">
        <v>80</v>
      </c>
      <c r="D1266" s="13">
        <v>40851</v>
      </c>
      <c r="E1266" s="12" t="s">
        <v>53</v>
      </c>
      <c r="F1266" s="14">
        <v>7.75</v>
      </c>
      <c r="G1266" s="19">
        <v>42</v>
      </c>
    </row>
    <row r="1267" spans="1:7" x14ac:dyDescent="0.3">
      <c r="A1267" s="18" t="s">
        <v>125</v>
      </c>
      <c r="B1267" s="12" t="s">
        <v>115</v>
      </c>
      <c r="C1267" s="12" t="s">
        <v>79</v>
      </c>
      <c r="D1267" s="13">
        <v>40872</v>
      </c>
      <c r="E1267" s="12" t="s">
        <v>24</v>
      </c>
      <c r="F1267" s="14">
        <v>31.23</v>
      </c>
      <c r="G1267" s="19">
        <v>15</v>
      </c>
    </row>
    <row r="1268" spans="1:7" x14ac:dyDescent="0.3">
      <c r="A1268" s="18" t="s">
        <v>159</v>
      </c>
      <c r="B1268" s="12" t="s">
        <v>160</v>
      </c>
      <c r="C1268" s="12" t="s">
        <v>80</v>
      </c>
      <c r="D1268" s="13">
        <v>40852</v>
      </c>
      <c r="E1268" s="12" t="s">
        <v>26</v>
      </c>
      <c r="F1268" s="14">
        <v>31</v>
      </c>
      <c r="G1268" s="19">
        <v>16</v>
      </c>
    </row>
    <row r="1269" spans="1:7" x14ac:dyDescent="0.3">
      <c r="A1269" s="18" t="s">
        <v>159</v>
      </c>
      <c r="B1269" s="12" t="s">
        <v>160</v>
      </c>
      <c r="C1269" s="12" t="s">
        <v>80</v>
      </c>
      <c r="D1269" s="13">
        <v>40852</v>
      </c>
      <c r="E1269" s="12" t="s">
        <v>63</v>
      </c>
      <c r="F1269" s="14">
        <v>28.5</v>
      </c>
      <c r="G1269" s="19">
        <v>5</v>
      </c>
    </row>
    <row r="1270" spans="1:7" x14ac:dyDescent="0.3">
      <c r="A1270" s="18" t="s">
        <v>164</v>
      </c>
      <c r="B1270" s="12" t="s">
        <v>98</v>
      </c>
      <c r="C1270" s="12" t="s">
        <v>81</v>
      </c>
      <c r="D1270" s="13">
        <v>40852</v>
      </c>
      <c r="E1270" s="12" t="s">
        <v>29</v>
      </c>
      <c r="F1270" s="14">
        <v>9.65</v>
      </c>
      <c r="G1270" s="19">
        <v>12</v>
      </c>
    </row>
    <row r="1271" spans="1:7" x14ac:dyDescent="0.3">
      <c r="A1271" s="18" t="s">
        <v>164</v>
      </c>
      <c r="B1271" s="12" t="s">
        <v>98</v>
      </c>
      <c r="C1271" s="12" t="s">
        <v>81</v>
      </c>
      <c r="D1271" s="13">
        <v>40852</v>
      </c>
      <c r="E1271" s="12" t="s">
        <v>13</v>
      </c>
      <c r="F1271" s="14">
        <v>7</v>
      </c>
      <c r="G1271" s="19">
        <v>4</v>
      </c>
    </row>
    <row r="1272" spans="1:7" x14ac:dyDescent="0.3">
      <c r="A1272" s="18" t="s">
        <v>164</v>
      </c>
      <c r="B1272" s="12" t="s">
        <v>98</v>
      </c>
      <c r="C1272" s="12" t="s">
        <v>81</v>
      </c>
      <c r="D1272" s="13">
        <v>40852</v>
      </c>
      <c r="E1272" s="12" t="s">
        <v>46</v>
      </c>
      <c r="F1272" s="14">
        <v>24</v>
      </c>
      <c r="G1272" s="19">
        <v>6</v>
      </c>
    </row>
    <row r="1273" spans="1:7" x14ac:dyDescent="0.3">
      <c r="A1273" s="18" t="s">
        <v>170</v>
      </c>
      <c r="B1273" s="12" t="s">
        <v>141</v>
      </c>
      <c r="C1273" s="12" t="s">
        <v>81</v>
      </c>
      <c r="D1273" s="13">
        <v>40882</v>
      </c>
      <c r="E1273" s="12" t="s">
        <v>8</v>
      </c>
      <c r="F1273" s="14">
        <v>22</v>
      </c>
      <c r="G1273" s="19">
        <v>25</v>
      </c>
    </row>
    <row r="1274" spans="1:7" x14ac:dyDescent="0.3">
      <c r="A1274" s="18" t="s">
        <v>170</v>
      </c>
      <c r="B1274" s="12" t="s">
        <v>141</v>
      </c>
      <c r="C1274" s="12" t="s">
        <v>81</v>
      </c>
      <c r="D1274" s="13">
        <v>40882</v>
      </c>
      <c r="E1274" s="12" t="s">
        <v>49</v>
      </c>
      <c r="F1274" s="14">
        <v>21</v>
      </c>
      <c r="G1274" s="19">
        <v>5</v>
      </c>
    </row>
    <row r="1275" spans="1:7" x14ac:dyDescent="0.3">
      <c r="A1275" s="18" t="s">
        <v>139</v>
      </c>
      <c r="B1275" s="12" t="s">
        <v>130</v>
      </c>
      <c r="C1275" s="12" t="s">
        <v>77</v>
      </c>
      <c r="D1275" s="13">
        <v>40882</v>
      </c>
      <c r="E1275" s="12" t="s">
        <v>0</v>
      </c>
      <c r="F1275" s="14">
        <v>39</v>
      </c>
      <c r="G1275" s="19">
        <v>20</v>
      </c>
    </row>
    <row r="1276" spans="1:7" x14ac:dyDescent="0.3">
      <c r="A1276" s="18" t="s">
        <v>139</v>
      </c>
      <c r="B1276" s="12" t="s">
        <v>130</v>
      </c>
      <c r="C1276" s="12" t="s">
        <v>77</v>
      </c>
      <c r="D1276" s="13">
        <v>40882</v>
      </c>
      <c r="E1276" s="12" t="s">
        <v>17</v>
      </c>
      <c r="F1276" s="14">
        <v>38</v>
      </c>
      <c r="G1276" s="19">
        <v>10</v>
      </c>
    </row>
    <row r="1277" spans="1:7" x14ac:dyDescent="0.3">
      <c r="A1277" s="18" t="s">
        <v>139</v>
      </c>
      <c r="B1277" s="12" t="s">
        <v>130</v>
      </c>
      <c r="C1277" s="12" t="s">
        <v>77</v>
      </c>
      <c r="D1277" s="13">
        <v>40882</v>
      </c>
      <c r="E1277" s="12" t="s">
        <v>51</v>
      </c>
      <c r="F1277" s="14">
        <v>55</v>
      </c>
      <c r="G1277" s="19">
        <v>10</v>
      </c>
    </row>
    <row r="1278" spans="1:7" x14ac:dyDescent="0.3">
      <c r="A1278" s="18" t="s">
        <v>174</v>
      </c>
      <c r="B1278" s="12" t="s">
        <v>98</v>
      </c>
      <c r="C1278" s="12" t="s">
        <v>81</v>
      </c>
      <c r="D1278" s="13">
        <v>40858</v>
      </c>
      <c r="E1278" s="12" t="s">
        <v>41</v>
      </c>
      <c r="F1278" s="14">
        <v>25.89</v>
      </c>
      <c r="G1278" s="19">
        <v>15</v>
      </c>
    </row>
    <row r="1279" spans="1:7" x14ac:dyDescent="0.3">
      <c r="A1279" s="18" t="s">
        <v>174</v>
      </c>
      <c r="B1279" s="12" t="s">
        <v>98</v>
      </c>
      <c r="C1279" s="12" t="s">
        <v>81</v>
      </c>
      <c r="D1279" s="13">
        <v>40858</v>
      </c>
      <c r="E1279" s="12" t="s">
        <v>2</v>
      </c>
      <c r="F1279" s="14">
        <v>18.399999999999999</v>
      </c>
      <c r="G1279" s="19">
        <v>6</v>
      </c>
    </row>
    <row r="1280" spans="1:7" x14ac:dyDescent="0.3">
      <c r="A1280" s="18" t="s">
        <v>174</v>
      </c>
      <c r="B1280" s="12" t="s">
        <v>98</v>
      </c>
      <c r="C1280" s="12" t="s">
        <v>81</v>
      </c>
      <c r="D1280" s="13">
        <v>40858</v>
      </c>
      <c r="E1280" s="12" t="s">
        <v>46</v>
      </c>
      <c r="F1280" s="14">
        <v>24</v>
      </c>
      <c r="G1280" s="19">
        <v>12</v>
      </c>
    </row>
    <row r="1281" spans="1:7" x14ac:dyDescent="0.3">
      <c r="A1281" s="18" t="s">
        <v>174</v>
      </c>
      <c r="B1281" s="12" t="s">
        <v>98</v>
      </c>
      <c r="C1281" s="12" t="s">
        <v>81</v>
      </c>
      <c r="D1281" s="13">
        <v>40858</v>
      </c>
      <c r="E1281" s="12" t="s">
        <v>3</v>
      </c>
      <c r="F1281" s="14">
        <v>34</v>
      </c>
      <c r="G1281" s="19">
        <v>15</v>
      </c>
    </row>
    <row r="1282" spans="1:7" x14ac:dyDescent="0.3">
      <c r="A1282" s="18" t="s">
        <v>181</v>
      </c>
      <c r="B1282" s="12" t="s">
        <v>109</v>
      </c>
      <c r="C1282" s="12" t="s">
        <v>80</v>
      </c>
      <c r="D1282" s="13">
        <v>40861</v>
      </c>
      <c r="E1282" s="12" t="s">
        <v>5</v>
      </c>
      <c r="F1282" s="14">
        <v>18</v>
      </c>
      <c r="G1282" s="19">
        <v>50</v>
      </c>
    </row>
    <row r="1283" spans="1:7" x14ac:dyDescent="0.3">
      <c r="A1283" s="18" t="s">
        <v>181</v>
      </c>
      <c r="B1283" s="12" t="s">
        <v>109</v>
      </c>
      <c r="C1283" s="12" t="s">
        <v>80</v>
      </c>
      <c r="D1283" s="13">
        <v>40861</v>
      </c>
      <c r="E1283" s="12" t="s">
        <v>62</v>
      </c>
      <c r="F1283" s="14">
        <v>10</v>
      </c>
      <c r="G1283" s="19">
        <v>30</v>
      </c>
    </row>
    <row r="1284" spans="1:7" x14ac:dyDescent="0.3">
      <c r="A1284" s="18" t="s">
        <v>181</v>
      </c>
      <c r="B1284" s="12" t="s">
        <v>109</v>
      </c>
      <c r="C1284" s="12" t="s">
        <v>80</v>
      </c>
      <c r="D1284" s="13">
        <v>40861</v>
      </c>
      <c r="E1284" s="12" t="s">
        <v>73</v>
      </c>
      <c r="F1284" s="14">
        <v>16.25</v>
      </c>
      <c r="G1284" s="19">
        <v>40</v>
      </c>
    </row>
    <row r="1285" spans="1:7" x14ac:dyDescent="0.3">
      <c r="A1285" s="18" t="s">
        <v>158</v>
      </c>
      <c r="B1285" s="12" t="s">
        <v>101</v>
      </c>
      <c r="C1285" s="12" t="s">
        <v>85</v>
      </c>
      <c r="D1285" s="13">
        <v>40861</v>
      </c>
      <c r="E1285" s="12" t="s">
        <v>47</v>
      </c>
      <c r="F1285" s="14">
        <v>17.45</v>
      </c>
      <c r="G1285" s="19">
        <v>15</v>
      </c>
    </row>
    <row r="1286" spans="1:7" x14ac:dyDescent="0.3">
      <c r="A1286" s="18" t="s">
        <v>158</v>
      </c>
      <c r="B1286" s="12" t="s">
        <v>101</v>
      </c>
      <c r="C1286" s="12" t="s">
        <v>85</v>
      </c>
      <c r="D1286" s="13">
        <v>40861</v>
      </c>
      <c r="E1286" s="12" t="s">
        <v>18</v>
      </c>
      <c r="F1286" s="14">
        <v>12.5</v>
      </c>
      <c r="G1286" s="19">
        <v>3</v>
      </c>
    </row>
    <row r="1287" spans="1:7" x14ac:dyDescent="0.3">
      <c r="A1287" s="18" t="s">
        <v>158</v>
      </c>
      <c r="B1287" s="12" t="s">
        <v>101</v>
      </c>
      <c r="C1287" s="12" t="s">
        <v>85</v>
      </c>
      <c r="D1287" s="13">
        <v>40861</v>
      </c>
      <c r="E1287" s="12" t="s">
        <v>34</v>
      </c>
      <c r="F1287" s="14">
        <v>21.05</v>
      </c>
      <c r="G1287" s="19">
        <v>10</v>
      </c>
    </row>
    <row r="1288" spans="1:7" x14ac:dyDescent="0.3">
      <c r="A1288" s="18" t="s">
        <v>104</v>
      </c>
      <c r="B1288" s="12" t="s">
        <v>105</v>
      </c>
      <c r="C1288" s="12" t="s">
        <v>84</v>
      </c>
      <c r="D1288" s="13">
        <v>40861</v>
      </c>
      <c r="E1288" s="12" t="s">
        <v>62</v>
      </c>
      <c r="F1288" s="14">
        <v>10</v>
      </c>
      <c r="G1288" s="19">
        <v>40</v>
      </c>
    </row>
    <row r="1289" spans="1:7" x14ac:dyDescent="0.3">
      <c r="A1289" s="18" t="s">
        <v>104</v>
      </c>
      <c r="B1289" s="12" t="s">
        <v>105</v>
      </c>
      <c r="C1289" s="12" t="s">
        <v>84</v>
      </c>
      <c r="D1289" s="13">
        <v>40861</v>
      </c>
      <c r="E1289" s="12" t="s">
        <v>36</v>
      </c>
      <c r="F1289" s="14">
        <v>53</v>
      </c>
      <c r="G1289" s="19">
        <v>30</v>
      </c>
    </row>
    <row r="1290" spans="1:7" x14ac:dyDescent="0.3">
      <c r="A1290" s="18" t="s">
        <v>158</v>
      </c>
      <c r="B1290" s="12" t="s">
        <v>101</v>
      </c>
      <c r="C1290" s="12" t="s">
        <v>79</v>
      </c>
      <c r="D1290" s="13">
        <v>40854</v>
      </c>
      <c r="E1290" s="12" t="s">
        <v>31</v>
      </c>
      <c r="F1290" s="14">
        <v>18</v>
      </c>
      <c r="G1290" s="19">
        <v>20</v>
      </c>
    </row>
    <row r="1291" spans="1:7" x14ac:dyDescent="0.3">
      <c r="A1291" s="18" t="s">
        <v>133</v>
      </c>
      <c r="B1291" s="12" t="s">
        <v>119</v>
      </c>
      <c r="C1291" s="12" t="s">
        <v>83</v>
      </c>
      <c r="D1291" s="13">
        <v>40857</v>
      </c>
      <c r="E1291" s="12" t="s">
        <v>69</v>
      </c>
      <c r="F1291" s="14">
        <v>23.25</v>
      </c>
      <c r="G1291" s="19">
        <v>16</v>
      </c>
    </row>
    <row r="1292" spans="1:7" x14ac:dyDescent="0.3">
      <c r="A1292" s="18" t="s">
        <v>133</v>
      </c>
      <c r="B1292" s="12" t="s">
        <v>119</v>
      </c>
      <c r="C1292" s="12" t="s">
        <v>83</v>
      </c>
      <c r="D1292" s="13">
        <v>40857</v>
      </c>
      <c r="E1292" s="12" t="s">
        <v>56</v>
      </c>
      <c r="F1292" s="14">
        <v>45.6</v>
      </c>
      <c r="G1292" s="19">
        <v>20</v>
      </c>
    </row>
    <row r="1293" spans="1:7" x14ac:dyDescent="0.3">
      <c r="A1293" s="18" t="s">
        <v>133</v>
      </c>
      <c r="B1293" s="12" t="s">
        <v>119</v>
      </c>
      <c r="C1293" s="12" t="s">
        <v>83</v>
      </c>
      <c r="D1293" s="13">
        <v>40857</v>
      </c>
      <c r="E1293" s="12" t="s">
        <v>13</v>
      </c>
      <c r="F1293" s="14">
        <v>7</v>
      </c>
      <c r="G1293" s="19">
        <v>25</v>
      </c>
    </row>
    <row r="1294" spans="1:7" x14ac:dyDescent="0.3">
      <c r="A1294" s="18" t="s">
        <v>187</v>
      </c>
      <c r="B1294" s="12" t="s">
        <v>98</v>
      </c>
      <c r="C1294" s="12" t="s">
        <v>77</v>
      </c>
      <c r="D1294" s="13">
        <v>40859</v>
      </c>
      <c r="E1294" s="12" t="s">
        <v>19</v>
      </c>
      <c r="F1294" s="14">
        <v>25</v>
      </c>
      <c r="G1294" s="19">
        <v>30</v>
      </c>
    </row>
    <row r="1295" spans="1:7" x14ac:dyDescent="0.3">
      <c r="A1295" s="18" t="s">
        <v>187</v>
      </c>
      <c r="B1295" s="12" t="s">
        <v>98</v>
      </c>
      <c r="C1295" s="12" t="s">
        <v>77</v>
      </c>
      <c r="D1295" s="13">
        <v>40859</v>
      </c>
      <c r="E1295" s="12" t="s">
        <v>41</v>
      </c>
      <c r="F1295" s="14">
        <v>25.89</v>
      </c>
      <c r="G1295" s="19">
        <v>15</v>
      </c>
    </row>
    <row r="1296" spans="1:7" x14ac:dyDescent="0.3">
      <c r="A1296" s="18" t="s">
        <v>187</v>
      </c>
      <c r="B1296" s="12" t="s">
        <v>98</v>
      </c>
      <c r="C1296" s="12" t="s">
        <v>77</v>
      </c>
      <c r="D1296" s="13">
        <v>40859</v>
      </c>
      <c r="E1296" s="12" t="s">
        <v>31</v>
      </c>
      <c r="F1296" s="14">
        <v>18</v>
      </c>
      <c r="G1296" s="19">
        <v>20</v>
      </c>
    </row>
    <row r="1297" spans="1:7" x14ac:dyDescent="0.3">
      <c r="A1297" s="18" t="s">
        <v>199</v>
      </c>
      <c r="B1297" s="12" t="s">
        <v>115</v>
      </c>
      <c r="C1297" s="12" t="s">
        <v>82</v>
      </c>
      <c r="D1297" s="13">
        <v>40868</v>
      </c>
      <c r="E1297" s="12" t="s">
        <v>63</v>
      </c>
      <c r="F1297" s="14">
        <v>28.5</v>
      </c>
      <c r="G1297" s="19">
        <v>20</v>
      </c>
    </row>
    <row r="1298" spans="1:7" x14ac:dyDescent="0.3">
      <c r="A1298" s="18" t="s">
        <v>199</v>
      </c>
      <c r="B1298" s="12" t="s">
        <v>115</v>
      </c>
      <c r="C1298" s="12" t="s">
        <v>82</v>
      </c>
      <c r="D1298" s="13">
        <v>40868</v>
      </c>
      <c r="E1298" s="12" t="s">
        <v>44</v>
      </c>
      <c r="F1298" s="14">
        <v>13</v>
      </c>
      <c r="G1298" s="19">
        <v>2</v>
      </c>
    </row>
    <row r="1299" spans="1:7" x14ac:dyDescent="0.3">
      <c r="A1299" s="18" t="s">
        <v>143</v>
      </c>
      <c r="B1299" s="12" t="s">
        <v>144</v>
      </c>
      <c r="C1299" s="12" t="s">
        <v>78</v>
      </c>
      <c r="D1299" s="13">
        <v>40868</v>
      </c>
      <c r="E1299" s="12" t="s">
        <v>34</v>
      </c>
      <c r="F1299" s="14">
        <v>21.05</v>
      </c>
      <c r="G1299" s="19">
        <v>40</v>
      </c>
    </row>
    <row r="1300" spans="1:7" x14ac:dyDescent="0.3">
      <c r="A1300" s="18" t="s">
        <v>143</v>
      </c>
      <c r="B1300" s="12" t="s">
        <v>144</v>
      </c>
      <c r="C1300" s="12" t="s">
        <v>78</v>
      </c>
      <c r="D1300" s="13">
        <v>40868</v>
      </c>
      <c r="E1300" s="12" t="s">
        <v>53</v>
      </c>
      <c r="F1300" s="14">
        <v>7.75</v>
      </c>
      <c r="G1300" s="19">
        <v>20</v>
      </c>
    </row>
    <row r="1301" spans="1:7" x14ac:dyDescent="0.3">
      <c r="A1301" s="18" t="s">
        <v>128</v>
      </c>
      <c r="B1301" s="12" t="s">
        <v>101</v>
      </c>
      <c r="C1301" s="12" t="s">
        <v>77</v>
      </c>
      <c r="D1301" s="13">
        <v>40865</v>
      </c>
      <c r="E1301" s="12" t="s">
        <v>30</v>
      </c>
      <c r="F1301" s="14">
        <v>6</v>
      </c>
      <c r="G1301" s="19">
        <v>4</v>
      </c>
    </row>
    <row r="1302" spans="1:7" x14ac:dyDescent="0.3">
      <c r="A1302" s="18" t="s">
        <v>128</v>
      </c>
      <c r="B1302" s="12" t="s">
        <v>101</v>
      </c>
      <c r="C1302" s="12" t="s">
        <v>77</v>
      </c>
      <c r="D1302" s="13">
        <v>40865</v>
      </c>
      <c r="E1302" s="12" t="s">
        <v>29</v>
      </c>
      <c r="F1302" s="14">
        <v>9.65</v>
      </c>
      <c r="G1302" s="19">
        <v>12</v>
      </c>
    </row>
    <row r="1303" spans="1:7" x14ac:dyDescent="0.3">
      <c r="A1303" s="18" t="s">
        <v>203</v>
      </c>
      <c r="B1303" s="12" t="s">
        <v>101</v>
      </c>
      <c r="C1303" s="12" t="s">
        <v>77</v>
      </c>
      <c r="D1303" s="13">
        <v>40865</v>
      </c>
      <c r="E1303" s="12" t="s">
        <v>47</v>
      </c>
      <c r="F1303" s="14">
        <v>17.45</v>
      </c>
      <c r="G1303" s="19">
        <v>3</v>
      </c>
    </row>
    <row r="1304" spans="1:7" x14ac:dyDescent="0.3">
      <c r="A1304" s="18" t="s">
        <v>128</v>
      </c>
      <c r="B1304" s="12" t="s">
        <v>101</v>
      </c>
      <c r="C1304" s="12" t="s">
        <v>79</v>
      </c>
      <c r="D1304" s="13">
        <v>40864</v>
      </c>
      <c r="E1304" s="12" t="s">
        <v>27</v>
      </c>
      <c r="F1304" s="14">
        <v>19</v>
      </c>
      <c r="G1304" s="19">
        <v>6</v>
      </c>
    </row>
    <row r="1305" spans="1:7" x14ac:dyDescent="0.3">
      <c r="A1305" s="18" t="s">
        <v>128</v>
      </c>
      <c r="B1305" s="12" t="s">
        <v>101</v>
      </c>
      <c r="C1305" s="12" t="s">
        <v>79</v>
      </c>
      <c r="D1305" s="13">
        <v>40864</v>
      </c>
      <c r="E1305" s="12" t="s">
        <v>13</v>
      </c>
      <c r="F1305" s="14">
        <v>7</v>
      </c>
      <c r="G1305" s="19">
        <v>18</v>
      </c>
    </row>
    <row r="1306" spans="1:7" x14ac:dyDescent="0.3">
      <c r="A1306" s="18" t="s">
        <v>125</v>
      </c>
      <c r="B1306" s="12" t="s">
        <v>115</v>
      </c>
      <c r="C1306" s="12" t="s">
        <v>81</v>
      </c>
      <c r="D1306" s="13">
        <v>40872</v>
      </c>
      <c r="E1306" s="12" t="s">
        <v>56</v>
      </c>
      <c r="F1306" s="14">
        <v>45.6</v>
      </c>
      <c r="G1306" s="19">
        <v>5</v>
      </c>
    </row>
    <row r="1307" spans="1:7" x14ac:dyDescent="0.3">
      <c r="A1307" s="18" t="s">
        <v>125</v>
      </c>
      <c r="B1307" s="12" t="s">
        <v>115</v>
      </c>
      <c r="C1307" s="12" t="s">
        <v>81</v>
      </c>
      <c r="D1307" s="13">
        <v>40872</v>
      </c>
      <c r="E1307" s="12" t="s">
        <v>65</v>
      </c>
      <c r="F1307" s="14">
        <v>18</v>
      </c>
      <c r="G1307" s="19">
        <v>35</v>
      </c>
    </row>
    <row r="1308" spans="1:7" x14ac:dyDescent="0.3">
      <c r="A1308" s="18" t="s">
        <v>125</v>
      </c>
      <c r="B1308" s="12" t="s">
        <v>115</v>
      </c>
      <c r="C1308" s="12" t="s">
        <v>81</v>
      </c>
      <c r="D1308" s="13">
        <v>40872</v>
      </c>
      <c r="E1308" s="12" t="s">
        <v>55</v>
      </c>
      <c r="F1308" s="14">
        <v>9.5</v>
      </c>
      <c r="G1308" s="19">
        <v>40</v>
      </c>
    </row>
    <row r="1309" spans="1:7" x14ac:dyDescent="0.3">
      <c r="A1309" s="18" t="s">
        <v>125</v>
      </c>
      <c r="B1309" s="12" t="s">
        <v>115</v>
      </c>
      <c r="C1309" s="12" t="s">
        <v>81</v>
      </c>
      <c r="D1309" s="13">
        <v>40872</v>
      </c>
      <c r="E1309" s="12" t="s">
        <v>17</v>
      </c>
      <c r="F1309" s="14">
        <v>38</v>
      </c>
      <c r="G1309" s="19">
        <v>14</v>
      </c>
    </row>
    <row r="1310" spans="1:7" x14ac:dyDescent="0.3">
      <c r="A1310" s="18" t="s">
        <v>167</v>
      </c>
      <c r="B1310" s="12" t="s">
        <v>141</v>
      </c>
      <c r="C1310" s="12" t="s">
        <v>81</v>
      </c>
      <c r="D1310" s="13">
        <v>40865</v>
      </c>
      <c r="E1310" s="12" t="s">
        <v>6</v>
      </c>
      <c r="F1310" s="14">
        <v>19</v>
      </c>
      <c r="G1310" s="19">
        <v>15</v>
      </c>
    </row>
    <row r="1311" spans="1:7" x14ac:dyDescent="0.3">
      <c r="A1311" s="18" t="s">
        <v>180</v>
      </c>
      <c r="B1311" s="12" t="s">
        <v>160</v>
      </c>
      <c r="C1311" s="12" t="s">
        <v>79</v>
      </c>
      <c r="D1311" s="13">
        <v>40865</v>
      </c>
      <c r="E1311" s="12" t="s">
        <v>1</v>
      </c>
      <c r="F1311" s="14">
        <v>10</v>
      </c>
      <c r="G1311" s="19">
        <v>20</v>
      </c>
    </row>
    <row r="1312" spans="1:7" x14ac:dyDescent="0.3">
      <c r="A1312" s="18" t="s">
        <v>180</v>
      </c>
      <c r="B1312" s="12" t="s">
        <v>160</v>
      </c>
      <c r="C1312" s="12" t="s">
        <v>79</v>
      </c>
      <c r="D1312" s="13">
        <v>40865</v>
      </c>
      <c r="E1312" s="12" t="s">
        <v>3</v>
      </c>
      <c r="F1312" s="14">
        <v>34</v>
      </c>
      <c r="G1312" s="19">
        <v>50</v>
      </c>
    </row>
    <row r="1313" spans="1:7" x14ac:dyDescent="0.3">
      <c r="A1313" s="18" t="s">
        <v>180</v>
      </c>
      <c r="B1313" s="12" t="s">
        <v>160</v>
      </c>
      <c r="C1313" s="12" t="s">
        <v>79</v>
      </c>
      <c r="D1313" s="13">
        <v>40865</v>
      </c>
      <c r="E1313" s="12" t="s">
        <v>40</v>
      </c>
      <c r="F1313" s="14">
        <v>34.799999999999997</v>
      </c>
      <c r="G1313" s="19">
        <v>35</v>
      </c>
    </row>
    <row r="1314" spans="1:7" x14ac:dyDescent="0.3">
      <c r="A1314" s="18" t="s">
        <v>167</v>
      </c>
      <c r="B1314" s="12" t="s">
        <v>141</v>
      </c>
      <c r="C1314" s="12" t="s">
        <v>83</v>
      </c>
      <c r="D1314" s="13">
        <v>40868</v>
      </c>
      <c r="E1314" s="12" t="s">
        <v>64</v>
      </c>
      <c r="F1314" s="14">
        <v>12</v>
      </c>
      <c r="G1314" s="19">
        <v>28</v>
      </c>
    </row>
    <row r="1315" spans="1:7" x14ac:dyDescent="0.3">
      <c r="A1315" s="18" t="s">
        <v>173</v>
      </c>
      <c r="B1315" s="12" t="s">
        <v>163</v>
      </c>
      <c r="C1315" s="12" t="s">
        <v>82</v>
      </c>
      <c r="D1315" s="13">
        <v>40871</v>
      </c>
      <c r="E1315" s="12" t="s">
        <v>2</v>
      </c>
      <c r="F1315" s="14">
        <v>18.399999999999999</v>
      </c>
      <c r="G1315" s="19">
        <v>50</v>
      </c>
    </row>
    <row r="1316" spans="1:7" x14ac:dyDescent="0.3">
      <c r="A1316" s="18" t="s">
        <v>127</v>
      </c>
      <c r="B1316" s="12" t="s">
        <v>123</v>
      </c>
      <c r="C1316" s="12" t="s">
        <v>78</v>
      </c>
      <c r="D1316" s="13">
        <v>40874</v>
      </c>
      <c r="E1316" s="12" t="s">
        <v>4</v>
      </c>
      <c r="F1316" s="14">
        <v>62.5</v>
      </c>
      <c r="G1316" s="19">
        <v>24</v>
      </c>
    </row>
    <row r="1317" spans="1:7" x14ac:dyDescent="0.3">
      <c r="A1317" s="18" t="s">
        <v>127</v>
      </c>
      <c r="B1317" s="12" t="s">
        <v>123</v>
      </c>
      <c r="C1317" s="12" t="s">
        <v>78</v>
      </c>
      <c r="D1317" s="13">
        <v>40874</v>
      </c>
      <c r="E1317" s="12" t="s">
        <v>23</v>
      </c>
      <c r="F1317" s="14">
        <v>19.45</v>
      </c>
      <c r="G1317" s="19">
        <v>16</v>
      </c>
    </row>
    <row r="1318" spans="1:7" x14ac:dyDescent="0.3">
      <c r="A1318" s="18" t="s">
        <v>127</v>
      </c>
      <c r="B1318" s="12" t="s">
        <v>123</v>
      </c>
      <c r="C1318" s="12" t="s">
        <v>78</v>
      </c>
      <c r="D1318" s="13">
        <v>40874</v>
      </c>
      <c r="E1318" s="12" t="s">
        <v>51</v>
      </c>
      <c r="F1318" s="14">
        <v>55</v>
      </c>
      <c r="G1318" s="19">
        <v>45</v>
      </c>
    </row>
    <row r="1319" spans="1:7" x14ac:dyDescent="0.3">
      <c r="A1319" s="18" t="s">
        <v>127</v>
      </c>
      <c r="B1319" s="12" t="s">
        <v>123</v>
      </c>
      <c r="C1319" s="12" t="s">
        <v>78</v>
      </c>
      <c r="D1319" s="13">
        <v>40874</v>
      </c>
      <c r="E1319" s="12" t="s">
        <v>40</v>
      </c>
      <c r="F1319" s="14">
        <v>34.799999999999997</v>
      </c>
      <c r="G1319" s="19">
        <v>7</v>
      </c>
    </row>
    <row r="1320" spans="1:7" x14ac:dyDescent="0.3">
      <c r="A1320" s="18" t="s">
        <v>104</v>
      </c>
      <c r="B1320" s="12" t="s">
        <v>105</v>
      </c>
      <c r="C1320" s="12" t="s">
        <v>83</v>
      </c>
      <c r="D1320" s="13">
        <v>40868</v>
      </c>
      <c r="E1320" s="12" t="s">
        <v>30</v>
      </c>
      <c r="F1320" s="14">
        <v>6</v>
      </c>
      <c r="G1320" s="19">
        <v>6</v>
      </c>
    </row>
    <row r="1321" spans="1:7" x14ac:dyDescent="0.3">
      <c r="A1321" s="18" t="s">
        <v>104</v>
      </c>
      <c r="B1321" s="12" t="s">
        <v>105</v>
      </c>
      <c r="C1321" s="12" t="s">
        <v>83</v>
      </c>
      <c r="D1321" s="13">
        <v>40868</v>
      </c>
      <c r="E1321" s="12" t="s">
        <v>60</v>
      </c>
      <c r="F1321" s="14">
        <v>14</v>
      </c>
      <c r="G1321" s="19">
        <v>28</v>
      </c>
    </row>
    <row r="1322" spans="1:7" x14ac:dyDescent="0.3">
      <c r="A1322" s="18" t="s">
        <v>104</v>
      </c>
      <c r="B1322" s="12" t="s">
        <v>105</v>
      </c>
      <c r="C1322" s="12" t="s">
        <v>83</v>
      </c>
      <c r="D1322" s="13">
        <v>40868</v>
      </c>
      <c r="E1322" s="12" t="s">
        <v>66</v>
      </c>
      <c r="F1322" s="14">
        <v>49.3</v>
      </c>
      <c r="G1322" s="19">
        <v>9</v>
      </c>
    </row>
    <row r="1323" spans="1:7" x14ac:dyDescent="0.3">
      <c r="A1323" s="18" t="s">
        <v>104</v>
      </c>
      <c r="B1323" s="12" t="s">
        <v>105</v>
      </c>
      <c r="C1323" s="12" t="s">
        <v>83</v>
      </c>
      <c r="D1323" s="13">
        <v>40868</v>
      </c>
      <c r="E1323" s="12" t="s">
        <v>22</v>
      </c>
      <c r="F1323" s="14">
        <v>36</v>
      </c>
      <c r="G1323" s="19">
        <v>40</v>
      </c>
    </row>
    <row r="1324" spans="1:7" x14ac:dyDescent="0.3">
      <c r="A1324" s="18" t="s">
        <v>166</v>
      </c>
      <c r="B1324" s="12" t="s">
        <v>111</v>
      </c>
      <c r="C1324" s="12" t="s">
        <v>82</v>
      </c>
      <c r="D1324" s="13">
        <v>40873</v>
      </c>
      <c r="E1324" s="12" t="s">
        <v>18</v>
      </c>
      <c r="F1324" s="14">
        <v>12.5</v>
      </c>
      <c r="G1324" s="19">
        <v>8</v>
      </c>
    </row>
    <row r="1325" spans="1:7" x14ac:dyDescent="0.3">
      <c r="A1325" s="18" t="s">
        <v>166</v>
      </c>
      <c r="B1325" s="12" t="s">
        <v>111</v>
      </c>
      <c r="C1325" s="12" t="s">
        <v>82</v>
      </c>
      <c r="D1325" s="13">
        <v>40873</v>
      </c>
      <c r="E1325" s="12" t="s">
        <v>29</v>
      </c>
      <c r="F1325" s="14">
        <v>9.65</v>
      </c>
      <c r="G1325" s="19">
        <v>35</v>
      </c>
    </row>
    <row r="1326" spans="1:7" x14ac:dyDescent="0.3">
      <c r="A1326" s="18" t="s">
        <v>166</v>
      </c>
      <c r="B1326" s="12" t="s">
        <v>111</v>
      </c>
      <c r="C1326" s="12" t="s">
        <v>82</v>
      </c>
      <c r="D1326" s="13">
        <v>40873</v>
      </c>
      <c r="E1326" s="12" t="s">
        <v>74</v>
      </c>
      <c r="F1326" s="14">
        <v>43.9</v>
      </c>
      <c r="G1326" s="19">
        <v>9</v>
      </c>
    </row>
    <row r="1327" spans="1:7" x14ac:dyDescent="0.3">
      <c r="A1327" s="18" t="s">
        <v>166</v>
      </c>
      <c r="B1327" s="12" t="s">
        <v>111</v>
      </c>
      <c r="C1327" s="12" t="s">
        <v>82</v>
      </c>
      <c r="D1327" s="13">
        <v>40873</v>
      </c>
      <c r="E1327" s="12" t="s">
        <v>22</v>
      </c>
      <c r="F1327" s="14">
        <v>36</v>
      </c>
      <c r="G1327" s="19">
        <v>30</v>
      </c>
    </row>
    <row r="1328" spans="1:7" x14ac:dyDescent="0.3">
      <c r="A1328" s="18" t="s">
        <v>154</v>
      </c>
      <c r="B1328" s="12" t="s">
        <v>115</v>
      </c>
      <c r="C1328" s="12" t="s">
        <v>79</v>
      </c>
      <c r="D1328" s="13">
        <v>40875</v>
      </c>
      <c r="E1328" s="12" t="s">
        <v>71</v>
      </c>
      <c r="F1328" s="14">
        <v>9</v>
      </c>
      <c r="G1328" s="19">
        <v>44</v>
      </c>
    </row>
    <row r="1329" spans="1:7" x14ac:dyDescent="0.3">
      <c r="A1329" s="18" t="s">
        <v>154</v>
      </c>
      <c r="B1329" s="12" t="s">
        <v>115</v>
      </c>
      <c r="C1329" s="12" t="s">
        <v>79</v>
      </c>
      <c r="D1329" s="13">
        <v>40875</v>
      </c>
      <c r="E1329" s="12" t="s">
        <v>2</v>
      </c>
      <c r="F1329" s="14">
        <v>18.399999999999999</v>
      </c>
      <c r="G1329" s="19">
        <v>40</v>
      </c>
    </row>
    <row r="1330" spans="1:7" x14ac:dyDescent="0.3">
      <c r="A1330" s="18" t="s">
        <v>154</v>
      </c>
      <c r="B1330" s="12" t="s">
        <v>115</v>
      </c>
      <c r="C1330" s="12" t="s">
        <v>79</v>
      </c>
      <c r="D1330" s="13">
        <v>40875</v>
      </c>
      <c r="E1330" s="12" t="s">
        <v>17</v>
      </c>
      <c r="F1330" s="14">
        <v>38</v>
      </c>
      <c r="G1330" s="19">
        <v>28</v>
      </c>
    </row>
    <row r="1331" spans="1:7" x14ac:dyDescent="0.3">
      <c r="A1331" s="18" t="s">
        <v>151</v>
      </c>
      <c r="B1331" s="12" t="s">
        <v>141</v>
      </c>
      <c r="C1331" s="12" t="s">
        <v>81</v>
      </c>
      <c r="D1331" s="13">
        <v>40896</v>
      </c>
      <c r="E1331" s="12" t="s">
        <v>17</v>
      </c>
      <c r="F1331" s="14">
        <v>38</v>
      </c>
      <c r="G1331" s="19">
        <v>15</v>
      </c>
    </row>
    <row r="1332" spans="1:7" x14ac:dyDescent="0.3">
      <c r="A1332" s="18" t="s">
        <v>151</v>
      </c>
      <c r="B1332" s="12" t="s">
        <v>141</v>
      </c>
      <c r="C1332" s="12" t="s">
        <v>81</v>
      </c>
      <c r="D1332" s="13">
        <v>40896</v>
      </c>
      <c r="E1332" s="12" t="s">
        <v>51</v>
      </c>
      <c r="F1332" s="14">
        <v>55</v>
      </c>
      <c r="G1332" s="19">
        <v>6</v>
      </c>
    </row>
    <row r="1333" spans="1:7" x14ac:dyDescent="0.3">
      <c r="A1333" s="18" t="s">
        <v>151</v>
      </c>
      <c r="B1333" s="12" t="s">
        <v>141</v>
      </c>
      <c r="C1333" s="12" t="s">
        <v>81</v>
      </c>
      <c r="D1333" s="13">
        <v>40896</v>
      </c>
      <c r="E1333" s="12" t="s">
        <v>31</v>
      </c>
      <c r="F1333" s="14">
        <v>18</v>
      </c>
      <c r="G1333" s="19">
        <v>10</v>
      </c>
    </row>
    <row r="1334" spans="1:7" x14ac:dyDescent="0.3">
      <c r="A1334" s="18" t="s">
        <v>121</v>
      </c>
      <c r="B1334" s="12" t="s">
        <v>96</v>
      </c>
      <c r="C1334" s="12" t="s">
        <v>78</v>
      </c>
      <c r="D1334" s="13">
        <v>40871</v>
      </c>
      <c r="E1334" s="12" t="s">
        <v>69</v>
      </c>
      <c r="F1334" s="14">
        <v>23.25</v>
      </c>
      <c r="G1334" s="19">
        <v>5</v>
      </c>
    </row>
    <row r="1335" spans="1:7" x14ac:dyDescent="0.3">
      <c r="A1335" s="18" t="s">
        <v>121</v>
      </c>
      <c r="B1335" s="12" t="s">
        <v>96</v>
      </c>
      <c r="C1335" s="12" t="s">
        <v>78</v>
      </c>
      <c r="D1335" s="13">
        <v>40871</v>
      </c>
      <c r="E1335" s="12" t="s">
        <v>55</v>
      </c>
      <c r="F1335" s="14">
        <v>9.5</v>
      </c>
      <c r="G1335" s="19">
        <v>40</v>
      </c>
    </row>
    <row r="1336" spans="1:7" x14ac:dyDescent="0.3">
      <c r="A1336" s="18" t="s">
        <v>121</v>
      </c>
      <c r="B1336" s="12" t="s">
        <v>96</v>
      </c>
      <c r="C1336" s="12" t="s">
        <v>78</v>
      </c>
      <c r="D1336" s="13">
        <v>40871</v>
      </c>
      <c r="E1336" s="12" t="s">
        <v>51</v>
      </c>
      <c r="F1336" s="14">
        <v>55</v>
      </c>
      <c r="G1336" s="19">
        <v>25</v>
      </c>
    </row>
    <row r="1337" spans="1:7" x14ac:dyDescent="0.3">
      <c r="A1337" s="18" t="s">
        <v>106</v>
      </c>
      <c r="B1337" s="12" t="s">
        <v>105</v>
      </c>
      <c r="C1337" s="12" t="s">
        <v>79</v>
      </c>
      <c r="D1337" s="13">
        <v>40880</v>
      </c>
      <c r="E1337" s="12" t="s">
        <v>24</v>
      </c>
      <c r="F1337" s="14">
        <v>31.23</v>
      </c>
      <c r="G1337" s="19">
        <v>12</v>
      </c>
    </row>
    <row r="1338" spans="1:7" x14ac:dyDescent="0.3">
      <c r="A1338" s="18" t="s">
        <v>106</v>
      </c>
      <c r="B1338" s="12" t="s">
        <v>105</v>
      </c>
      <c r="C1338" s="12" t="s">
        <v>79</v>
      </c>
      <c r="D1338" s="13">
        <v>40880</v>
      </c>
      <c r="E1338" s="12" t="s">
        <v>41</v>
      </c>
      <c r="F1338" s="14">
        <v>25.89</v>
      </c>
      <c r="G1338" s="19">
        <v>30</v>
      </c>
    </row>
    <row r="1339" spans="1:7" x14ac:dyDescent="0.3">
      <c r="A1339" s="18" t="s">
        <v>106</v>
      </c>
      <c r="B1339" s="12" t="s">
        <v>105</v>
      </c>
      <c r="C1339" s="12" t="s">
        <v>79</v>
      </c>
      <c r="D1339" s="13">
        <v>40880</v>
      </c>
      <c r="E1339" s="12" t="s">
        <v>73</v>
      </c>
      <c r="F1339" s="14">
        <v>16.25</v>
      </c>
      <c r="G1339" s="19">
        <v>20</v>
      </c>
    </row>
    <row r="1340" spans="1:7" x14ac:dyDescent="0.3">
      <c r="A1340" s="18" t="s">
        <v>106</v>
      </c>
      <c r="B1340" s="12" t="s">
        <v>105</v>
      </c>
      <c r="C1340" s="12" t="s">
        <v>79</v>
      </c>
      <c r="D1340" s="13">
        <v>40880</v>
      </c>
      <c r="E1340" s="12" t="s">
        <v>54</v>
      </c>
      <c r="F1340" s="14">
        <v>15</v>
      </c>
      <c r="G1340" s="19">
        <v>15</v>
      </c>
    </row>
    <row r="1341" spans="1:7" x14ac:dyDescent="0.3">
      <c r="A1341" s="18" t="s">
        <v>194</v>
      </c>
      <c r="B1341" s="12" t="s">
        <v>141</v>
      </c>
      <c r="C1341" s="12" t="s">
        <v>77</v>
      </c>
      <c r="D1341" s="13">
        <v>40875</v>
      </c>
      <c r="E1341" s="12" t="s">
        <v>5</v>
      </c>
      <c r="F1341" s="14">
        <v>18</v>
      </c>
      <c r="G1341" s="19">
        <v>8</v>
      </c>
    </row>
    <row r="1342" spans="1:7" x14ac:dyDescent="0.3">
      <c r="A1342" s="18" t="s">
        <v>194</v>
      </c>
      <c r="B1342" s="12" t="s">
        <v>141</v>
      </c>
      <c r="C1342" s="12" t="s">
        <v>77</v>
      </c>
      <c r="D1342" s="13">
        <v>40875</v>
      </c>
      <c r="E1342" s="12" t="s">
        <v>22</v>
      </c>
      <c r="F1342" s="14">
        <v>36</v>
      </c>
      <c r="G1342" s="19">
        <v>3</v>
      </c>
    </row>
    <row r="1343" spans="1:7" x14ac:dyDescent="0.3">
      <c r="A1343" s="18" t="s">
        <v>186</v>
      </c>
      <c r="B1343" s="12" t="s">
        <v>130</v>
      </c>
      <c r="C1343" s="12" t="s">
        <v>79</v>
      </c>
      <c r="D1343" s="13">
        <v>40874</v>
      </c>
      <c r="E1343" s="12" t="s">
        <v>55</v>
      </c>
      <c r="F1343" s="14">
        <v>9.5</v>
      </c>
      <c r="G1343" s="19">
        <v>4</v>
      </c>
    </row>
    <row r="1344" spans="1:7" x14ac:dyDescent="0.3">
      <c r="A1344" s="18" t="s">
        <v>186</v>
      </c>
      <c r="B1344" s="12" t="s">
        <v>130</v>
      </c>
      <c r="C1344" s="12" t="s">
        <v>79</v>
      </c>
      <c r="D1344" s="13">
        <v>40874</v>
      </c>
      <c r="E1344" s="12" t="s">
        <v>33</v>
      </c>
      <c r="F1344" s="14">
        <v>10</v>
      </c>
      <c r="G1344" s="19">
        <v>5</v>
      </c>
    </row>
    <row r="1345" spans="1:7" x14ac:dyDescent="0.3">
      <c r="A1345" s="18" t="s">
        <v>129</v>
      </c>
      <c r="B1345" s="12" t="s">
        <v>130</v>
      </c>
      <c r="C1345" s="12" t="s">
        <v>82</v>
      </c>
      <c r="D1345" s="13">
        <v>40874</v>
      </c>
      <c r="E1345" s="12" t="s">
        <v>2</v>
      </c>
      <c r="F1345" s="14">
        <v>18.399999999999999</v>
      </c>
      <c r="G1345" s="19">
        <v>3</v>
      </c>
    </row>
    <row r="1346" spans="1:7" x14ac:dyDescent="0.3">
      <c r="A1346" s="18" t="s">
        <v>158</v>
      </c>
      <c r="B1346" s="12" t="s">
        <v>101</v>
      </c>
      <c r="C1346" s="12" t="s">
        <v>81</v>
      </c>
      <c r="D1346" s="13">
        <v>40875</v>
      </c>
      <c r="E1346" s="12" t="s">
        <v>76</v>
      </c>
      <c r="F1346" s="14">
        <v>9.5</v>
      </c>
      <c r="G1346" s="19">
        <v>30</v>
      </c>
    </row>
    <row r="1347" spans="1:7" x14ac:dyDescent="0.3">
      <c r="A1347" s="18" t="s">
        <v>158</v>
      </c>
      <c r="B1347" s="12" t="s">
        <v>101</v>
      </c>
      <c r="C1347" s="12" t="s">
        <v>81</v>
      </c>
      <c r="D1347" s="13">
        <v>40875</v>
      </c>
      <c r="E1347" s="12" t="s">
        <v>17</v>
      </c>
      <c r="F1347" s="14">
        <v>38</v>
      </c>
      <c r="G1347" s="19">
        <v>30</v>
      </c>
    </row>
    <row r="1348" spans="1:7" x14ac:dyDescent="0.3">
      <c r="A1348" s="18" t="s">
        <v>158</v>
      </c>
      <c r="B1348" s="12" t="s">
        <v>101</v>
      </c>
      <c r="C1348" s="12" t="s">
        <v>81</v>
      </c>
      <c r="D1348" s="13">
        <v>40875</v>
      </c>
      <c r="E1348" s="12" t="s">
        <v>52</v>
      </c>
      <c r="F1348" s="14">
        <v>19.5</v>
      </c>
      <c r="G1348" s="19">
        <v>14</v>
      </c>
    </row>
    <row r="1349" spans="1:7" x14ac:dyDescent="0.3">
      <c r="A1349" s="18" t="s">
        <v>158</v>
      </c>
      <c r="B1349" s="12" t="s">
        <v>101</v>
      </c>
      <c r="C1349" s="12" t="s">
        <v>81</v>
      </c>
      <c r="D1349" s="13">
        <v>40875</v>
      </c>
      <c r="E1349" s="12" t="s">
        <v>22</v>
      </c>
      <c r="F1349" s="14">
        <v>36</v>
      </c>
      <c r="G1349" s="19">
        <v>25</v>
      </c>
    </row>
    <row r="1350" spans="1:7" x14ac:dyDescent="0.3">
      <c r="A1350" s="18" t="s">
        <v>126</v>
      </c>
      <c r="B1350" s="12" t="s">
        <v>115</v>
      </c>
      <c r="C1350" s="12" t="s">
        <v>80</v>
      </c>
      <c r="D1350" s="13">
        <v>40879</v>
      </c>
      <c r="E1350" s="12" t="s">
        <v>4</v>
      </c>
      <c r="F1350" s="14">
        <v>62.5</v>
      </c>
      <c r="G1350" s="19">
        <v>21</v>
      </c>
    </row>
    <row r="1351" spans="1:7" x14ac:dyDescent="0.3">
      <c r="A1351" s="18" t="s">
        <v>126</v>
      </c>
      <c r="B1351" s="12" t="s">
        <v>115</v>
      </c>
      <c r="C1351" s="12" t="s">
        <v>80</v>
      </c>
      <c r="D1351" s="13">
        <v>40879</v>
      </c>
      <c r="E1351" s="12" t="s">
        <v>27</v>
      </c>
      <c r="F1351" s="14">
        <v>19</v>
      </c>
      <c r="G1351" s="19">
        <v>20</v>
      </c>
    </row>
    <row r="1352" spans="1:7" x14ac:dyDescent="0.3">
      <c r="A1352" s="18" t="s">
        <v>126</v>
      </c>
      <c r="B1352" s="12" t="s">
        <v>115</v>
      </c>
      <c r="C1352" s="12" t="s">
        <v>80</v>
      </c>
      <c r="D1352" s="13">
        <v>40879</v>
      </c>
      <c r="E1352" s="12" t="s">
        <v>59</v>
      </c>
      <c r="F1352" s="14">
        <v>12.5</v>
      </c>
      <c r="G1352" s="19">
        <v>6</v>
      </c>
    </row>
    <row r="1353" spans="1:7" x14ac:dyDescent="0.3">
      <c r="A1353" s="18" t="s">
        <v>126</v>
      </c>
      <c r="B1353" s="12" t="s">
        <v>115</v>
      </c>
      <c r="C1353" s="12" t="s">
        <v>80</v>
      </c>
      <c r="D1353" s="13">
        <v>40879</v>
      </c>
      <c r="E1353" s="12" t="s">
        <v>22</v>
      </c>
      <c r="F1353" s="14">
        <v>36</v>
      </c>
      <c r="G1353" s="19">
        <v>20</v>
      </c>
    </row>
    <row r="1354" spans="1:7" x14ac:dyDescent="0.3">
      <c r="A1354" s="18" t="s">
        <v>154</v>
      </c>
      <c r="B1354" s="12" t="s">
        <v>115</v>
      </c>
      <c r="C1354" s="12" t="s">
        <v>82</v>
      </c>
      <c r="D1354" s="13">
        <v>40892</v>
      </c>
      <c r="E1354" s="12" t="s">
        <v>57</v>
      </c>
      <c r="F1354" s="14">
        <v>14</v>
      </c>
      <c r="G1354" s="19">
        <v>30</v>
      </c>
    </row>
    <row r="1355" spans="1:7" x14ac:dyDescent="0.3">
      <c r="A1355" s="18" t="s">
        <v>154</v>
      </c>
      <c r="B1355" s="12" t="s">
        <v>115</v>
      </c>
      <c r="C1355" s="12" t="s">
        <v>82</v>
      </c>
      <c r="D1355" s="13">
        <v>40892</v>
      </c>
      <c r="E1355" s="12" t="s">
        <v>51</v>
      </c>
      <c r="F1355" s="14">
        <v>55</v>
      </c>
      <c r="G1355" s="19">
        <v>7</v>
      </c>
    </row>
    <row r="1356" spans="1:7" x14ac:dyDescent="0.3">
      <c r="A1356" s="18" t="s">
        <v>154</v>
      </c>
      <c r="B1356" s="12" t="s">
        <v>115</v>
      </c>
      <c r="C1356" s="12" t="s">
        <v>82</v>
      </c>
      <c r="D1356" s="13">
        <v>40892</v>
      </c>
      <c r="E1356" s="12" t="s">
        <v>66</v>
      </c>
      <c r="F1356" s="14">
        <v>49.3</v>
      </c>
      <c r="G1356" s="19">
        <v>30</v>
      </c>
    </row>
    <row r="1357" spans="1:7" x14ac:dyDescent="0.3">
      <c r="A1357" s="18" t="s">
        <v>154</v>
      </c>
      <c r="B1357" s="12" t="s">
        <v>115</v>
      </c>
      <c r="C1357" s="12" t="s">
        <v>82</v>
      </c>
      <c r="D1357" s="13">
        <v>40892</v>
      </c>
      <c r="E1357" s="12" t="s">
        <v>75</v>
      </c>
      <c r="F1357" s="14">
        <v>33.25</v>
      </c>
      <c r="G1357" s="19">
        <v>24</v>
      </c>
    </row>
    <row r="1358" spans="1:7" x14ac:dyDescent="0.3">
      <c r="A1358" s="18" t="s">
        <v>106</v>
      </c>
      <c r="B1358" s="12" t="s">
        <v>105</v>
      </c>
      <c r="C1358" s="12" t="s">
        <v>79</v>
      </c>
      <c r="D1358" s="13">
        <v>40881</v>
      </c>
      <c r="E1358" s="12" t="s">
        <v>24</v>
      </c>
      <c r="F1358" s="14">
        <v>31.23</v>
      </c>
      <c r="G1358" s="19">
        <v>20</v>
      </c>
    </row>
    <row r="1359" spans="1:7" x14ac:dyDescent="0.3">
      <c r="A1359" s="18" t="s">
        <v>106</v>
      </c>
      <c r="B1359" s="12" t="s">
        <v>105</v>
      </c>
      <c r="C1359" s="12" t="s">
        <v>79</v>
      </c>
      <c r="D1359" s="13">
        <v>40881</v>
      </c>
      <c r="E1359" s="12" t="s">
        <v>13</v>
      </c>
      <c r="F1359" s="14">
        <v>7</v>
      </c>
      <c r="G1359" s="19">
        <v>60</v>
      </c>
    </row>
    <row r="1360" spans="1:7" x14ac:dyDescent="0.3">
      <c r="A1360" s="18" t="s">
        <v>106</v>
      </c>
      <c r="B1360" s="12" t="s">
        <v>105</v>
      </c>
      <c r="C1360" s="12" t="s">
        <v>79</v>
      </c>
      <c r="D1360" s="13">
        <v>40881</v>
      </c>
      <c r="E1360" s="12" t="s">
        <v>45</v>
      </c>
      <c r="F1360" s="14">
        <v>15</v>
      </c>
      <c r="G1360" s="19">
        <v>40</v>
      </c>
    </row>
    <row r="1361" spans="1:7" x14ac:dyDescent="0.3">
      <c r="A1361" s="18" t="s">
        <v>148</v>
      </c>
      <c r="B1361" s="12" t="s">
        <v>113</v>
      </c>
      <c r="C1361" s="12" t="s">
        <v>79</v>
      </c>
      <c r="D1361" s="13">
        <v>40889</v>
      </c>
      <c r="E1361" s="12" t="s">
        <v>37</v>
      </c>
      <c r="F1361" s="14">
        <v>32</v>
      </c>
      <c r="G1361" s="19">
        <v>10</v>
      </c>
    </row>
    <row r="1362" spans="1:7" x14ac:dyDescent="0.3">
      <c r="A1362" s="18" t="s">
        <v>197</v>
      </c>
      <c r="B1362" s="12" t="s">
        <v>103</v>
      </c>
      <c r="C1362" s="12" t="s">
        <v>81</v>
      </c>
      <c r="D1362" s="13">
        <v>40887</v>
      </c>
      <c r="E1362" s="12" t="s">
        <v>43</v>
      </c>
      <c r="F1362" s="14">
        <v>14</v>
      </c>
      <c r="G1362" s="19">
        <v>12</v>
      </c>
    </row>
    <row r="1363" spans="1:7" x14ac:dyDescent="0.3">
      <c r="A1363" s="18" t="s">
        <v>197</v>
      </c>
      <c r="B1363" s="12" t="s">
        <v>103</v>
      </c>
      <c r="C1363" s="12" t="s">
        <v>81</v>
      </c>
      <c r="D1363" s="13">
        <v>40887</v>
      </c>
      <c r="E1363" s="12" t="s">
        <v>58</v>
      </c>
      <c r="F1363" s="14">
        <v>43.9</v>
      </c>
      <c r="G1363" s="19">
        <v>40</v>
      </c>
    </row>
    <row r="1364" spans="1:7" x14ac:dyDescent="0.3">
      <c r="A1364" s="18" t="s">
        <v>197</v>
      </c>
      <c r="B1364" s="12" t="s">
        <v>103</v>
      </c>
      <c r="C1364" s="12" t="s">
        <v>81</v>
      </c>
      <c r="D1364" s="13">
        <v>40887</v>
      </c>
      <c r="E1364" s="12" t="s">
        <v>28</v>
      </c>
      <c r="F1364" s="14">
        <v>46</v>
      </c>
      <c r="G1364" s="19">
        <v>30</v>
      </c>
    </row>
    <row r="1365" spans="1:7" x14ac:dyDescent="0.3">
      <c r="A1365" s="18" t="s">
        <v>117</v>
      </c>
      <c r="B1365" s="12" t="s">
        <v>115</v>
      </c>
      <c r="C1365" s="12" t="s">
        <v>85</v>
      </c>
      <c r="D1365" s="13">
        <v>40885</v>
      </c>
      <c r="E1365" s="12" t="s">
        <v>43</v>
      </c>
      <c r="F1365" s="14">
        <v>14</v>
      </c>
      <c r="G1365" s="19">
        <v>35</v>
      </c>
    </row>
    <row r="1366" spans="1:7" x14ac:dyDescent="0.3">
      <c r="A1366" s="18" t="s">
        <v>117</v>
      </c>
      <c r="B1366" s="12" t="s">
        <v>115</v>
      </c>
      <c r="C1366" s="12" t="s">
        <v>85</v>
      </c>
      <c r="D1366" s="13">
        <v>40885</v>
      </c>
      <c r="E1366" s="12" t="s">
        <v>53</v>
      </c>
      <c r="F1366" s="14">
        <v>7.75</v>
      </c>
      <c r="G1366" s="19">
        <v>18</v>
      </c>
    </row>
    <row r="1367" spans="1:7" x14ac:dyDescent="0.3">
      <c r="A1367" s="18" t="s">
        <v>118</v>
      </c>
      <c r="B1367" s="12" t="s">
        <v>119</v>
      </c>
      <c r="C1367" s="12" t="s">
        <v>79</v>
      </c>
      <c r="D1367" s="13">
        <v>40886</v>
      </c>
      <c r="E1367" s="12" t="s">
        <v>7</v>
      </c>
      <c r="F1367" s="14">
        <v>18</v>
      </c>
      <c r="G1367" s="19">
        <v>16</v>
      </c>
    </row>
    <row r="1368" spans="1:7" x14ac:dyDescent="0.3">
      <c r="A1368" s="18" t="s">
        <v>118</v>
      </c>
      <c r="B1368" s="12" t="s">
        <v>119</v>
      </c>
      <c r="C1368" s="12" t="s">
        <v>79</v>
      </c>
      <c r="D1368" s="13">
        <v>40886</v>
      </c>
      <c r="E1368" s="12" t="s">
        <v>76</v>
      </c>
      <c r="F1368" s="14">
        <v>9.5</v>
      </c>
      <c r="G1368" s="19">
        <v>30</v>
      </c>
    </row>
    <row r="1369" spans="1:7" x14ac:dyDescent="0.3">
      <c r="A1369" s="18" t="s">
        <v>118</v>
      </c>
      <c r="B1369" s="12" t="s">
        <v>119</v>
      </c>
      <c r="C1369" s="12" t="s">
        <v>79</v>
      </c>
      <c r="D1369" s="13">
        <v>40886</v>
      </c>
      <c r="E1369" s="12" t="s">
        <v>36</v>
      </c>
      <c r="F1369" s="14">
        <v>53</v>
      </c>
      <c r="G1369" s="19">
        <v>28</v>
      </c>
    </row>
    <row r="1370" spans="1:7" x14ac:dyDescent="0.3">
      <c r="A1370" s="18" t="s">
        <v>118</v>
      </c>
      <c r="B1370" s="12" t="s">
        <v>119</v>
      </c>
      <c r="C1370" s="12" t="s">
        <v>79</v>
      </c>
      <c r="D1370" s="13">
        <v>40886</v>
      </c>
      <c r="E1370" s="12" t="s">
        <v>17</v>
      </c>
      <c r="F1370" s="14">
        <v>38</v>
      </c>
      <c r="G1370" s="19">
        <v>60</v>
      </c>
    </row>
    <row r="1371" spans="1:7" x14ac:dyDescent="0.3">
      <c r="A1371" s="18" t="s">
        <v>183</v>
      </c>
      <c r="B1371" s="12" t="s">
        <v>101</v>
      </c>
      <c r="C1371" s="12" t="s">
        <v>79</v>
      </c>
      <c r="D1371" s="13">
        <v>40885</v>
      </c>
      <c r="E1371" s="12" t="s">
        <v>62</v>
      </c>
      <c r="F1371" s="14">
        <v>10</v>
      </c>
      <c r="G1371" s="19">
        <v>40</v>
      </c>
    </row>
    <row r="1372" spans="1:7" x14ac:dyDescent="0.3">
      <c r="A1372" s="18" t="s">
        <v>183</v>
      </c>
      <c r="B1372" s="12" t="s">
        <v>101</v>
      </c>
      <c r="C1372" s="12" t="s">
        <v>79</v>
      </c>
      <c r="D1372" s="13">
        <v>40885</v>
      </c>
      <c r="E1372" s="12" t="s">
        <v>25</v>
      </c>
      <c r="F1372" s="14">
        <v>21</v>
      </c>
      <c r="G1372" s="19">
        <v>6</v>
      </c>
    </row>
    <row r="1373" spans="1:7" x14ac:dyDescent="0.3">
      <c r="A1373" s="18" t="s">
        <v>183</v>
      </c>
      <c r="B1373" s="12" t="s">
        <v>101</v>
      </c>
      <c r="C1373" s="12" t="s">
        <v>79</v>
      </c>
      <c r="D1373" s="13">
        <v>40885</v>
      </c>
      <c r="E1373" s="12" t="s">
        <v>21</v>
      </c>
      <c r="F1373" s="14">
        <v>4.5</v>
      </c>
      <c r="G1373" s="19">
        <v>20</v>
      </c>
    </row>
    <row r="1374" spans="1:7" x14ac:dyDescent="0.3">
      <c r="A1374" s="18" t="s">
        <v>110</v>
      </c>
      <c r="B1374" s="12" t="s">
        <v>111</v>
      </c>
      <c r="C1374" s="12" t="s">
        <v>82</v>
      </c>
      <c r="D1374" s="13">
        <v>40885</v>
      </c>
      <c r="E1374" s="12" t="s">
        <v>1</v>
      </c>
      <c r="F1374" s="14">
        <v>10</v>
      </c>
      <c r="G1374" s="19">
        <v>20</v>
      </c>
    </row>
    <row r="1375" spans="1:7" x14ac:dyDescent="0.3">
      <c r="A1375" s="18" t="s">
        <v>110</v>
      </c>
      <c r="B1375" s="12" t="s">
        <v>111</v>
      </c>
      <c r="C1375" s="12" t="s">
        <v>82</v>
      </c>
      <c r="D1375" s="13">
        <v>40885</v>
      </c>
      <c r="E1375" s="12" t="s">
        <v>7</v>
      </c>
      <c r="F1375" s="14">
        <v>18</v>
      </c>
      <c r="G1375" s="19">
        <v>130</v>
      </c>
    </row>
    <row r="1376" spans="1:7" x14ac:dyDescent="0.3">
      <c r="A1376" s="18" t="s">
        <v>127</v>
      </c>
      <c r="B1376" s="12" t="s">
        <v>123</v>
      </c>
      <c r="C1376" s="12" t="s">
        <v>79</v>
      </c>
      <c r="D1376" s="13">
        <v>40886</v>
      </c>
      <c r="E1376" s="12" t="s">
        <v>34</v>
      </c>
      <c r="F1376" s="14">
        <v>21.05</v>
      </c>
      <c r="G1376" s="19">
        <v>80</v>
      </c>
    </row>
    <row r="1377" spans="1:7" x14ac:dyDescent="0.3">
      <c r="A1377" s="18" t="s">
        <v>182</v>
      </c>
      <c r="B1377" s="12" t="s">
        <v>123</v>
      </c>
      <c r="C1377" s="12" t="s">
        <v>81</v>
      </c>
      <c r="D1377" s="13">
        <v>40886</v>
      </c>
      <c r="E1377" s="12" t="s">
        <v>6</v>
      </c>
      <c r="F1377" s="14">
        <v>19</v>
      </c>
      <c r="G1377" s="19">
        <v>40</v>
      </c>
    </row>
    <row r="1378" spans="1:7" x14ac:dyDescent="0.3">
      <c r="A1378" s="18" t="s">
        <v>182</v>
      </c>
      <c r="B1378" s="12" t="s">
        <v>123</v>
      </c>
      <c r="C1378" s="12" t="s">
        <v>81</v>
      </c>
      <c r="D1378" s="13">
        <v>40886</v>
      </c>
      <c r="E1378" s="12" t="s">
        <v>72</v>
      </c>
      <c r="F1378" s="14">
        <v>30</v>
      </c>
      <c r="G1378" s="19">
        <v>35</v>
      </c>
    </row>
    <row r="1379" spans="1:7" x14ac:dyDescent="0.3">
      <c r="A1379" s="18" t="s">
        <v>182</v>
      </c>
      <c r="B1379" s="12" t="s">
        <v>123</v>
      </c>
      <c r="C1379" s="12" t="s">
        <v>81</v>
      </c>
      <c r="D1379" s="13">
        <v>40886</v>
      </c>
      <c r="E1379" s="12" t="s">
        <v>59</v>
      </c>
      <c r="F1379" s="14">
        <v>12.5</v>
      </c>
      <c r="G1379" s="19">
        <v>40</v>
      </c>
    </row>
    <row r="1380" spans="1:7" x14ac:dyDescent="0.3">
      <c r="A1380" s="18" t="s">
        <v>102</v>
      </c>
      <c r="B1380" s="12" t="s">
        <v>103</v>
      </c>
      <c r="C1380" s="12" t="s">
        <v>81</v>
      </c>
      <c r="D1380" s="13">
        <v>40892</v>
      </c>
      <c r="E1380" s="12" t="s">
        <v>60</v>
      </c>
      <c r="F1380" s="14">
        <v>14</v>
      </c>
      <c r="G1380" s="19">
        <v>2</v>
      </c>
    </row>
    <row r="1381" spans="1:7" x14ac:dyDescent="0.3">
      <c r="A1381" s="18" t="s">
        <v>167</v>
      </c>
      <c r="B1381" s="12" t="s">
        <v>141</v>
      </c>
      <c r="C1381" s="12" t="s">
        <v>79</v>
      </c>
      <c r="D1381" s="13">
        <v>40892</v>
      </c>
      <c r="E1381" s="12" t="s">
        <v>25</v>
      </c>
      <c r="F1381" s="14">
        <v>21</v>
      </c>
      <c r="G1381" s="19">
        <v>4</v>
      </c>
    </row>
    <row r="1382" spans="1:7" x14ac:dyDescent="0.3">
      <c r="A1382" s="18" t="s">
        <v>167</v>
      </c>
      <c r="B1382" s="12" t="s">
        <v>141</v>
      </c>
      <c r="C1382" s="12" t="s">
        <v>79</v>
      </c>
      <c r="D1382" s="13">
        <v>40892</v>
      </c>
      <c r="E1382" s="12" t="s">
        <v>18</v>
      </c>
      <c r="F1382" s="14">
        <v>12.5</v>
      </c>
      <c r="G1382" s="19">
        <v>50</v>
      </c>
    </row>
    <row r="1383" spans="1:7" x14ac:dyDescent="0.3">
      <c r="A1383" s="18" t="s">
        <v>167</v>
      </c>
      <c r="B1383" s="12" t="s">
        <v>141</v>
      </c>
      <c r="C1383" s="12" t="s">
        <v>79</v>
      </c>
      <c r="D1383" s="13">
        <v>40892</v>
      </c>
      <c r="E1383" s="12" t="s">
        <v>3</v>
      </c>
      <c r="F1383" s="14">
        <v>34</v>
      </c>
      <c r="G1383" s="19">
        <v>15</v>
      </c>
    </row>
    <row r="1384" spans="1:7" x14ac:dyDescent="0.3">
      <c r="A1384" s="18" t="s">
        <v>167</v>
      </c>
      <c r="B1384" s="12" t="s">
        <v>141</v>
      </c>
      <c r="C1384" s="12" t="s">
        <v>79</v>
      </c>
      <c r="D1384" s="13">
        <v>40892</v>
      </c>
      <c r="E1384" s="12" t="s">
        <v>14</v>
      </c>
      <c r="F1384" s="14">
        <v>21.5</v>
      </c>
      <c r="G1384" s="19">
        <v>12</v>
      </c>
    </row>
    <row r="1385" spans="1:7" x14ac:dyDescent="0.3">
      <c r="A1385" s="18" t="s">
        <v>173</v>
      </c>
      <c r="B1385" s="12" t="s">
        <v>163</v>
      </c>
      <c r="C1385" s="12" t="s">
        <v>79</v>
      </c>
      <c r="D1385" s="13">
        <v>40889</v>
      </c>
      <c r="E1385" s="12" t="s">
        <v>29</v>
      </c>
      <c r="F1385" s="14">
        <v>9.65</v>
      </c>
      <c r="G1385" s="19">
        <v>30</v>
      </c>
    </row>
    <row r="1386" spans="1:7" x14ac:dyDescent="0.3">
      <c r="A1386" s="18" t="s">
        <v>173</v>
      </c>
      <c r="B1386" s="12" t="s">
        <v>163</v>
      </c>
      <c r="C1386" s="12" t="s">
        <v>79</v>
      </c>
      <c r="D1386" s="13">
        <v>40889</v>
      </c>
      <c r="E1386" s="12" t="s">
        <v>13</v>
      </c>
      <c r="F1386" s="14">
        <v>7</v>
      </c>
      <c r="G1386" s="19">
        <v>15</v>
      </c>
    </row>
    <row r="1387" spans="1:7" x14ac:dyDescent="0.3">
      <c r="A1387" s="18" t="s">
        <v>173</v>
      </c>
      <c r="B1387" s="12" t="s">
        <v>163</v>
      </c>
      <c r="C1387" s="12" t="s">
        <v>79</v>
      </c>
      <c r="D1387" s="13">
        <v>40889</v>
      </c>
      <c r="E1387" s="12" t="s">
        <v>63</v>
      </c>
      <c r="F1387" s="14">
        <v>28.5</v>
      </c>
      <c r="G1387" s="19">
        <v>20</v>
      </c>
    </row>
    <row r="1388" spans="1:7" x14ac:dyDescent="0.3">
      <c r="A1388" s="18" t="s">
        <v>173</v>
      </c>
      <c r="B1388" s="12" t="s">
        <v>163</v>
      </c>
      <c r="C1388" s="12" t="s">
        <v>79</v>
      </c>
      <c r="D1388" s="13">
        <v>40889</v>
      </c>
      <c r="E1388" s="12" t="s">
        <v>66</v>
      </c>
      <c r="F1388" s="14">
        <v>49.3</v>
      </c>
      <c r="G1388" s="19">
        <v>15</v>
      </c>
    </row>
    <row r="1389" spans="1:7" x14ac:dyDescent="0.3">
      <c r="A1389" s="18" t="s">
        <v>99</v>
      </c>
      <c r="B1389" s="12" t="s">
        <v>98</v>
      </c>
      <c r="C1389" s="12" t="s">
        <v>80</v>
      </c>
      <c r="D1389" s="13">
        <v>40894</v>
      </c>
      <c r="E1389" s="12" t="s">
        <v>49</v>
      </c>
      <c r="F1389" s="14">
        <v>21</v>
      </c>
      <c r="G1389" s="19">
        <v>15</v>
      </c>
    </row>
    <row r="1390" spans="1:7" x14ac:dyDescent="0.3">
      <c r="A1390" s="18" t="s">
        <v>110</v>
      </c>
      <c r="B1390" s="12" t="s">
        <v>111</v>
      </c>
      <c r="C1390" s="12" t="s">
        <v>78</v>
      </c>
      <c r="D1390" s="13">
        <v>40910</v>
      </c>
      <c r="E1390" s="12" t="s">
        <v>14</v>
      </c>
      <c r="F1390" s="14">
        <v>21.5</v>
      </c>
      <c r="G1390" s="19">
        <v>16</v>
      </c>
    </row>
    <row r="1391" spans="1:7" x14ac:dyDescent="0.3">
      <c r="A1391" s="18" t="s">
        <v>134</v>
      </c>
      <c r="B1391" s="12" t="s">
        <v>123</v>
      </c>
      <c r="C1391" s="12" t="s">
        <v>79</v>
      </c>
      <c r="D1391" s="13">
        <v>40896</v>
      </c>
      <c r="E1391" s="12" t="s">
        <v>68</v>
      </c>
      <c r="F1391" s="14">
        <v>123.79</v>
      </c>
      <c r="G1391" s="19">
        <v>18</v>
      </c>
    </row>
    <row r="1392" spans="1:7" x14ac:dyDescent="0.3">
      <c r="A1392" s="18" t="s">
        <v>134</v>
      </c>
      <c r="B1392" s="12" t="s">
        <v>123</v>
      </c>
      <c r="C1392" s="12" t="s">
        <v>79</v>
      </c>
      <c r="D1392" s="13">
        <v>40896</v>
      </c>
      <c r="E1392" s="12" t="s">
        <v>51</v>
      </c>
      <c r="F1392" s="14">
        <v>55</v>
      </c>
      <c r="G1392" s="19">
        <v>25</v>
      </c>
    </row>
    <row r="1393" spans="1:7" x14ac:dyDescent="0.3">
      <c r="A1393" s="18" t="s">
        <v>110</v>
      </c>
      <c r="B1393" s="12" t="s">
        <v>111</v>
      </c>
      <c r="C1393" s="12" t="s">
        <v>83</v>
      </c>
      <c r="D1393" s="13">
        <v>40893</v>
      </c>
      <c r="E1393" s="12" t="s">
        <v>0</v>
      </c>
      <c r="F1393" s="14">
        <v>39</v>
      </c>
      <c r="G1393" s="19">
        <v>33</v>
      </c>
    </row>
    <row r="1394" spans="1:7" x14ac:dyDescent="0.3">
      <c r="A1394" s="18" t="s">
        <v>110</v>
      </c>
      <c r="B1394" s="12" t="s">
        <v>111</v>
      </c>
      <c r="C1394" s="12" t="s">
        <v>83</v>
      </c>
      <c r="D1394" s="13">
        <v>40893</v>
      </c>
      <c r="E1394" s="12" t="s">
        <v>18</v>
      </c>
      <c r="F1394" s="14">
        <v>12.5</v>
      </c>
      <c r="G1394" s="19">
        <v>70</v>
      </c>
    </row>
    <row r="1395" spans="1:7" x14ac:dyDescent="0.3">
      <c r="A1395" s="18" t="s">
        <v>110</v>
      </c>
      <c r="B1395" s="12" t="s">
        <v>111</v>
      </c>
      <c r="C1395" s="12" t="s">
        <v>83</v>
      </c>
      <c r="D1395" s="13">
        <v>40893</v>
      </c>
      <c r="E1395" s="12" t="s">
        <v>53</v>
      </c>
      <c r="F1395" s="14">
        <v>7.75</v>
      </c>
      <c r="G1395" s="19">
        <v>7</v>
      </c>
    </row>
    <row r="1396" spans="1:7" x14ac:dyDescent="0.3">
      <c r="A1396" s="18" t="s">
        <v>118</v>
      </c>
      <c r="B1396" s="12" t="s">
        <v>119</v>
      </c>
      <c r="C1396" s="12" t="s">
        <v>81</v>
      </c>
      <c r="D1396" s="13">
        <v>40889</v>
      </c>
      <c r="E1396" s="12" t="s">
        <v>18</v>
      </c>
      <c r="F1396" s="14">
        <v>12.5</v>
      </c>
      <c r="G1396" s="19">
        <v>2</v>
      </c>
    </row>
    <row r="1397" spans="1:7" x14ac:dyDescent="0.3">
      <c r="A1397" s="18" t="s">
        <v>118</v>
      </c>
      <c r="B1397" s="12" t="s">
        <v>119</v>
      </c>
      <c r="C1397" s="12" t="s">
        <v>81</v>
      </c>
      <c r="D1397" s="13">
        <v>40889</v>
      </c>
      <c r="E1397" s="12" t="s">
        <v>35</v>
      </c>
      <c r="F1397" s="14">
        <v>17</v>
      </c>
      <c r="G1397" s="19">
        <v>50</v>
      </c>
    </row>
    <row r="1398" spans="1:7" x14ac:dyDescent="0.3">
      <c r="A1398" s="18" t="s">
        <v>200</v>
      </c>
      <c r="B1398" s="12" t="s">
        <v>115</v>
      </c>
      <c r="C1398" s="12" t="s">
        <v>84</v>
      </c>
      <c r="D1398" s="13">
        <v>40903</v>
      </c>
      <c r="E1398" s="12" t="s">
        <v>26</v>
      </c>
      <c r="F1398" s="14">
        <v>31</v>
      </c>
      <c r="G1398" s="19">
        <v>6</v>
      </c>
    </row>
    <row r="1399" spans="1:7" x14ac:dyDescent="0.3">
      <c r="A1399" s="18" t="s">
        <v>200</v>
      </c>
      <c r="B1399" s="12" t="s">
        <v>115</v>
      </c>
      <c r="C1399" s="12" t="s">
        <v>84</v>
      </c>
      <c r="D1399" s="13">
        <v>40903</v>
      </c>
      <c r="E1399" s="12" t="s">
        <v>32</v>
      </c>
      <c r="F1399" s="14">
        <v>14</v>
      </c>
      <c r="G1399" s="19">
        <v>3</v>
      </c>
    </row>
    <row r="1400" spans="1:7" x14ac:dyDescent="0.3">
      <c r="A1400" s="18" t="s">
        <v>110</v>
      </c>
      <c r="B1400" s="12" t="s">
        <v>111</v>
      </c>
      <c r="C1400" s="12" t="s">
        <v>83</v>
      </c>
      <c r="D1400" s="13">
        <v>40895</v>
      </c>
      <c r="E1400" s="12" t="s">
        <v>18</v>
      </c>
      <c r="F1400" s="14">
        <v>12.5</v>
      </c>
      <c r="G1400" s="19">
        <v>16</v>
      </c>
    </row>
    <row r="1401" spans="1:7" x14ac:dyDescent="0.3">
      <c r="A1401" s="18" t="s">
        <v>110</v>
      </c>
      <c r="B1401" s="12" t="s">
        <v>111</v>
      </c>
      <c r="C1401" s="12" t="s">
        <v>83</v>
      </c>
      <c r="D1401" s="13">
        <v>40895</v>
      </c>
      <c r="E1401" s="12" t="s">
        <v>60</v>
      </c>
      <c r="F1401" s="14">
        <v>14</v>
      </c>
      <c r="G1401" s="19">
        <v>12</v>
      </c>
    </row>
    <row r="1402" spans="1:7" x14ac:dyDescent="0.3">
      <c r="A1402" s="18" t="s">
        <v>110</v>
      </c>
      <c r="B1402" s="12" t="s">
        <v>111</v>
      </c>
      <c r="C1402" s="12" t="s">
        <v>83</v>
      </c>
      <c r="D1402" s="13">
        <v>40895</v>
      </c>
      <c r="E1402" s="12" t="s">
        <v>55</v>
      </c>
      <c r="F1402" s="14">
        <v>9.5</v>
      </c>
      <c r="G1402" s="19">
        <v>27</v>
      </c>
    </row>
    <row r="1403" spans="1:7" x14ac:dyDescent="0.3">
      <c r="A1403" s="18" t="s">
        <v>110</v>
      </c>
      <c r="B1403" s="12" t="s">
        <v>111</v>
      </c>
      <c r="C1403" s="12" t="s">
        <v>83</v>
      </c>
      <c r="D1403" s="13">
        <v>40895</v>
      </c>
      <c r="E1403" s="12" t="s">
        <v>36</v>
      </c>
      <c r="F1403" s="14">
        <v>53</v>
      </c>
      <c r="G1403" s="19">
        <v>120</v>
      </c>
    </row>
    <row r="1404" spans="1:7" x14ac:dyDescent="0.3">
      <c r="A1404" s="18" t="s">
        <v>187</v>
      </c>
      <c r="B1404" s="12" t="s">
        <v>98</v>
      </c>
      <c r="C1404" s="12" t="s">
        <v>84</v>
      </c>
      <c r="D1404" s="13">
        <v>40929</v>
      </c>
      <c r="E1404" s="12" t="s">
        <v>60</v>
      </c>
      <c r="F1404" s="14">
        <v>14</v>
      </c>
      <c r="G1404" s="19">
        <v>20</v>
      </c>
    </row>
    <row r="1405" spans="1:7" x14ac:dyDescent="0.3">
      <c r="A1405" s="18" t="s">
        <v>133</v>
      </c>
      <c r="B1405" s="12" t="s">
        <v>119</v>
      </c>
      <c r="C1405" s="12" t="s">
        <v>79</v>
      </c>
      <c r="D1405" s="13">
        <v>40901</v>
      </c>
      <c r="E1405" s="12" t="s">
        <v>29</v>
      </c>
      <c r="F1405" s="14">
        <v>9.65</v>
      </c>
      <c r="G1405" s="19">
        <v>10</v>
      </c>
    </row>
    <row r="1406" spans="1:7" x14ac:dyDescent="0.3">
      <c r="A1406" s="18" t="s">
        <v>132</v>
      </c>
      <c r="B1406" s="12" t="s">
        <v>123</v>
      </c>
      <c r="C1406" s="12" t="s">
        <v>79</v>
      </c>
      <c r="D1406" s="13">
        <v>40922</v>
      </c>
      <c r="E1406" s="12" t="s">
        <v>47</v>
      </c>
      <c r="F1406" s="14">
        <v>17.45</v>
      </c>
      <c r="G1406" s="19">
        <v>20</v>
      </c>
    </row>
    <row r="1407" spans="1:7" x14ac:dyDescent="0.3">
      <c r="A1407" s="18" t="s">
        <v>132</v>
      </c>
      <c r="B1407" s="12" t="s">
        <v>123</v>
      </c>
      <c r="C1407" s="12" t="s">
        <v>79</v>
      </c>
      <c r="D1407" s="13">
        <v>40922</v>
      </c>
      <c r="E1407" s="12" t="s">
        <v>66</v>
      </c>
      <c r="F1407" s="14">
        <v>49.3</v>
      </c>
      <c r="G1407" s="19">
        <v>20</v>
      </c>
    </row>
    <row r="1408" spans="1:7" x14ac:dyDescent="0.3">
      <c r="A1408" s="18" t="s">
        <v>137</v>
      </c>
      <c r="B1408" s="12" t="s">
        <v>109</v>
      </c>
      <c r="C1408" s="12" t="s">
        <v>77</v>
      </c>
      <c r="D1408" s="13">
        <v>40902</v>
      </c>
      <c r="E1408" s="12" t="s">
        <v>45</v>
      </c>
      <c r="F1408" s="14">
        <v>15</v>
      </c>
      <c r="G1408" s="19">
        <v>35</v>
      </c>
    </row>
    <row r="1409" spans="1:7" x14ac:dyDescent="0.3">
      <c r="A1409" s="18" t="s">
        <v>137</v>
      </c>
      <c r="B1409" s="12" t="s">
        <v>109</v>
      </c>
      <c r="C1409" s="12" t="s">
        <v>77</v>
      </c>
      <c r="D1409" s="13">
        <v>40902</v>
      </c>
      <c r="E1409" s="12" t="s">
        <v>44</v>
      </c>
      <c r="F1409" s="14">
        <v>13</v>
      </c>
      <c r="G1409" s="19">
        <v>15</v>
      </c>
    </row>
    <row r="1410" spans="1:7" x14ac:dyDescent="0.3">
      <c r="A1410" s="18" t="s">
        <v>121</v>
      </c>
      <c r="B1410" s="12" t="s">
        <v>96</v>
      </c>
      <c r="C1410" s="12" t="s">
        <v>77</v>
      </c>
      <c r="D1410" s="13">
        <v>40896</v>
      </c>
      <c r="E1410" s="12" t="s">
        <v>70</v>
      </c>
      <c r="F1410" s="14">
        <v>7.45</v>
      </c>
      <c r="G1410" s="19">
        <v>3</v>
      </c>
    </row>
    <row r="1411" spans="1:7" x14ac:dyDescent="0.3">
      <c r="A1411" s="18" t="s">
        <v>121</v>
      </c>
      <c r="B1411" s="12" t="s">
        <v>96</v>
      </c>
      <c r="C1411" s="12" t="s">
        <v>77</v>
      </c>
      <c r="D1411" s="13">
        <v>40896</v>
      </c>
      <c r="E1411" s="12" t="s">
        <v>17</v>
      </c>
      <c r="F1411" s="14">
        <v>38</v>
      </c>
      <c r="G1411" s="19">
        <v>20</v>
      </c>
    </row>
    <row r="1412" spans="1:7" x14ac:dyDescent="0.3">
      <c r="A1412" s="18" t="s">
        <v>121</v>
      </c>
      <c r="B1412" s="12" t="s">
        <v>96</v>
      </c>
      <c r="C1412" s="12" t="s">
        <v>77</v>
      </c>
      <c r="D1412" s="13">
        <v>40896</v>
      </c>
      <c r="E1412" s="12" t="s">
        <v>33</v>
      </c>
      <c r="F1412" s="14">
        <v>10</v>
      </c>
      <c r="G1412" s="19">
        <v>35</v>
      </c>
    </row>
    <row r="1413" spans="1:7" x14ac:dyDescent="0.3">
      <c r="A1413" s="18" t="s">
        <v>195</v>
      </c>
      <c r="B1413" s="12" t="s">
        <v>185</v>
      </c>
      <c r="C1413" s="12" t="s">
        <v>78</v>
      </c>
      <c r="D1413" s="13">
        <v>40899</v>
      </c>
      <c r="E1413" s="12" t="s">
        <v>18</v>
      </c>
      <c r="F1413" s="14">
        <v>12.5</v>
      </c>
      <c r="G1413" s="19">
        <v>1</v>
      </c>
    </row>
    <row r="1414" spans="1:7" x14ac:dyDescent="0.3">
      <c r="A1414" s="18" t="s">
        <v>99</v>
      </c>
      <c r="B1414" s="12" t="s">
        <v>98</v>
      </c>
      <c r="C1414" s="12" t="s">
        <v>81</v>
      </c>
      <c r="D1414" s="13">
        <v>40896</v>
      </c>
      <c r="E1414" s="12" t="s">
        <v>18</v>
      </c>
      <c r="F1414" s="14">
        <v>12.5</v>
      </c>
      <c r="G1414" s="19">
        <v>10</v>
      </c>
    </row>
    <row r="1415" spans="1:7" x14ac:dyDescent="0.3">
      <c r="A1415" s="18" t="s">
        <v>99</v>
      </c>
      <c r="B1415" s="12" t="s">
        <v>98</v>
      </c>
      <c r="C1415" s="12" t="s">
        <v>81</v>
      </c>
      <c r="D1415" s="13">
        <v>40896</v>
      </c>
      <c r="E1415" s="12" t="s">
        <v>11</v>
      </c>
      <c r="F1415" s="14">
        <v>263.5</v>
      </c>
      <c r="G1415" s="19">
        <v>5</v>
      </c>
    </row>
    <row r="1416" spans="1:7" x14ac:dyDescent="0.3">
      <c r="A1416" s="18" t="s">
        <v>129</v>
      </c>
      <c r="B1416" s="12" t="s">
        <v>130</v>
      </c>
      <c r="C1416" s="12" t="s">
        <v>81</v>
      </c>
      <c r="D1416" s="13">
        <v>40899</v>
      </c>
      <c r="E1416" s="12" t="s">
        <v>27</v>
      </c>
      <c r="F1416" s="14">
        <v>19</v>
      </c>
      <c r="G1416" s="19">
        <v>30</v>
      </c>
    </row>
    <row r="1417" spans="1:7" x14ac:dyDescent="0.3">
      <c r="A1417" s="18" t="s">
        <v>129</v>
      </c>
      <c r="B1417" s="12" t="s">
        <v>130</v>
      </c>
      <c r="C1417" s="12" t="s">
        <v>81</v>
      </c>
      <c r="D1417" s="13">
        <v>40899</v>
      </c>
      <c r="E1417" s="12" t="s">
        <v>7</v>
      </c>
      <c r="F1417" s="14">
        <v>18</v>
      </c>
      <c r="G1417" s="19">
        <v>2</v>
      </c>
    </row>
    <row r="1418" spans="1:7" x14ac:dyDescent="0.3">
      <c r="A1418" s="18" t="s">
        <v>129</v>
      </c>
      <c r="B1418" s="12" t="s">
        <v>130</v>
      </c>
      <c r="C1418" s="12" t="s">
        <v>81</v>
      </c>
      <c r="D1418" s="13">
        <v>40899</v>
      </c>
      <c r="E1418" s="12" t="s">
        <v>40</v>
      </c>
      <c r="F1418" s="14">
        <v>34.799999999999997</v>
      </c>
      <c r="G1418" s="19">
        <v>30</v>
      </c>
    </row>
    <row r="1419" spans="1:7" x14ac:dyDescent="0.3">
      <c r="A1419" s="18" t="s">
        <v>124</v>
      </c>
      <c r="B1419" s="12" t="s">
        <v>109</v>
      </c>
      <c r="C1419" s="12" t="s">
        <v>83</v>
      </c>
      <c r="D1419" s="13">
        <v>40901</v>
      </c>
      <c r="E1419" s="12" t="s">
        <v>26</v>
      </c>
      <c r="F1419" s="14">
        <v>31</v>
      </c>
      <c r="G1419" s="19">
        <v>10</v>
      </c>
    </row>
    <row r="1420" spans="1:7" x14ac:dyDescent="0.3">
      <c r="A1420" s="18" t="s">
        <v>124</v>
      </c>
      <c r="B1420" s="12" t="s">
        <v>109</v>
      </c>
      <c r="C1420" s="12" t="s">
        <v>83</v>
      </c>
      <c r="D1420" s="13">
        <v>40901</v>
      </c>
      <c r="E1420" s="12" t="s">
        <v>53</v>
      </c>
      <c r="F1420" s="14">
        <v>7.75</v>
      </c>
      <c r="G1420" s="19">
        <v>10</v>
      </c>
    </row>
    <row r="1421" spans="1:7" x14ac:dyDescent="0.3">
      <c r="A1421" s="18" t="s">
        <v>174</v>
      </c>
      <c r="B1421" s="12" t="s">
        <v>98</v>
      </c>
      <c r="C1421" s="12" t="s">
        <v>80</v>
      </c>
      <c r="D1421" s="13">
        <v>40900</v>
      </c>
      <c r="E1421" s="12" t="s">
        <v>42</v>
      </c>
      <c r="F1421" s="14">
        <v>40</v>
      </c>
      <c r="G1421" s="19">
        <v>30</v>
      </c>
    </row>
    <row r="1422" spans="1:7" x14ac:dyDescent="0.3">
      <c r="A1422" s="18" t="s">
        <v>174</v>
      </c>
      <c r="B1422" s="12" t="s">
        <v>98</v>
      </c>
      <c r="C1422" s="12" t="s">
        <v>80</v>
      </c>
      <c r="D1422" s="13">
        <v>40900</v>
      </c>
      <c r="E1422" s="12" t="s">
        <v>41</v>
      </c>
      <c r="F1422" s="14">
        <v>25.89</v>
      </c>
      <c r="G1422" s="19">
        <v>15</v>
      </c>
    </row>
    <row r="1423" spans="1:7" x14ac:dyDescent="0.3">
      <c r="A1423" s="18" t="s">
        <v>174</v>
      </c>
      <c r="B1423" s="12" t="s">
        <v>98</v>
      </c>
      <c r="C1423" s="12" t="s">
        <v>80</v>
      </c>
      <c r="D1423" s="13">
        <v>40900</v>
      </c>
      <c r="E1423" s="12" t="s">
        <v>53</v>
      </c>
      <c r="F1423" s="14">
        <v>7.75</v>
      </c>
      <c r="G1423" s="19">
        <v>42</v>
      </c>
    </row>
    <row r="1424" spans="1:7" x14ac:dyDescent="0.3">
      <c r="A1424" s="18" t="s">
        <v>165</v>
      </c>
      <c r="B1424" s="12" t="s">
        <v>101</v>
      </c>
      <c r="C1424" s="12" t="s">
        <v>77</v>
      </c>
      <c r="D1424" s="13">
        <v>40903</v>
      </c>
      <c r="E1424" s="12" t="s">
        <v>6</v>
      </c>
      <c r="F1424" s="14">
        <v>19</v>
      </c>
      <c r="G1424" s="19">
        <v>15</v>
      </c>
    </row>
    <row r="1425" spans="1:7" x14ac:dyDescent="0.3">
      <c r="A1425" s="18" t="s">
        <v>165</v>
      </c>
      <c r="B1425" s="12" t="s">
        <v>101</v>
      </c>
      <c r="C1425" s="12" t="s">
        <v>77</v>
      </c>
      <c r="D1425" s="13">
        <v>40903</v>
      </c>
      <c r="E1425" s="12" t="s">
        <v>68</v>
      </c>
      <c r="F1425" s="14">
        <v>123.79</v>
      </c>
      <c r="G1425" s="19">
        <v>20</v>
      </c>
    </row>
    <row r="1426" spans="1:7" x14ac:dyDescent="0.3">
      <c r="A1426" s="18" t="s">
        <v>127</v>
      </c>
      <c r="B1426" s="12" t="s">
        <v>123</v>
      </c>
      <c r="C1426" s="12" t="s">
        <v>83</v>
      </c>
      <c r="D1426" s="13">
        <v>40927</v>
      </c>
      <c r="E1426" s="12" t="s">
        <v>67</v>
      </c>
      <c r="F1426" s="14">
        <v>9.1999999999999993</v>
      </c>
      <c r="G1426" s="19">
        <v>50</v>
      </c>
    </row>
    <row r="1427" spans="1:7" x14ac:dyDescent="0.3">
      <c r="A1427" s="18" t="s">
        <v>127</v>
      </c>
      <c r="B1427" s="12" t="s">
        <v>123</v>
      </c>
      <c r="C1427" s="12" t="s">
        <v>83</v>
      </c>
      <c r="D1427" s="13">
        <v>40927</v>
      </c>
      <c r="E1427" s="12" t="s">
        <v>53</v>
      </c>
      <c r="F1427" s="14">
        <v>7.75</v>
      </c>
      <c r="G1427" s="19">
        <v>40</v>
      </c>
    </row>
    <row r="1428" spans="1:7" x14ac:dyDescent="0.3">
      <c r="A1428" s="18" t="s">
        <v>183</v>
      </c>
      <c r="B1428" s="12" t="s">
        <v>101</v>
      </c>
      <c r="C1428" s="12" t="s">
        <v>83</v>
      </c>
      <c r="D1428" s="13">
        <v>40908</v>
      </c>
      <c r="E1428" s="12" t="s">
        <v>4</v>
      </c>
      <c r="F1428" s="14">
        <v>62.5</v>
      </c>
      <c r="G1428" s="19">
        <v>30</v>
      </c>
    </row>
    <row r="1429" spans="1:7" x14ac:dyDescent="0.3">
      <c r="A1429" s="18" t="s">
        <v>183</v>
      </c>
      <c r="B1429" s="12" t="s">
        <v>101</v>
      </c>
      <c r="C1429" s="12" t="s">
        <v>83</v>
      </c>
      <c r="D1429" s="13">
        <v>40908</v>
      </c>
      <c r="E1429" s="12" t="s">
        <v>65</v>
      </c>
      <c r="F1429" s="14">
        <v>18</v>
      </c>
      <c r="G1429" s="19">
        <v>15</v>
      </c>
    </row>
    <row r="1430" spans="1:7" x14ac:dyDescent="0.3">
      <c r="A1430" s="18" t="s">
        <v>183</v>
      </c>
      <c r="B1430" s="12" t="s">
        <v>101</v>
      </c>
      <c r="C1430" s="12" t="s">
        <v>83</v>
      </c>
      <c r="D1430" s="13">
        <v>40908</v>
      </c>
      <c r="E1430" s="12" t="s">
        <v>74</v>
      </c>
      <c r="F1430" s="14">
        <v>43.9</v>
      </c>
      <c r="G1430" s="19">
        <v>30</v>
      </c>
    </row>
    <row r="1431" spans="1:7" x14ac:dyDescent="0.3">
      <c r="A1431" s="18" t="s">
        <v>183</v>
      </c>
      <c r="B1431" s="12" t="s">
        <v>101</v>
      </c>
      <c r="C1431" s="12" t="s">
        <v>83</v>
      </c>
      <c r="D1431" s="13">
        <v>40908</v>
      </c>
      <c r="E1431" s="12" t="s">
        <v>59</v>
      </c>
      <c r="F1431" s="14">
        <v>12.5</v>
      </c>
      <c r="G1431" s="19">
        <v>18</v>
      </c>
    </row>
    <row r="1432" spans="1:7" x14ac:dyDescent="0.3">
      <c r="A1432" s="18" t="s">
        <v>187</v>
      </c>
      <c r="B1432" s="12" t="s">
        <v>98</v>
      </c>
      <c r="C1432" s="12" t="s">
        <v>82</v>
      </c>
      <c r="D1432" s="13">
        <v>40903</v>
      </c>
      <c r="E1432" s="12" t="s">
        <v>72</v>
      </c>
      <c r="F1432" s="14">
        <v>30</v>
      </c>
      <c r="G1432" s="19">
        <v>3</v>
      </c>
    </row>
    <row r="1433" spans="1:7" x14ac:dyDescent="0.3">
      <c r="A1433" s="18" t="s">
        <v>187</v>
      </c>
      <c r="B1433" s="12" t="s">
        <v>98</v>
      </c>
      <c r="C1433" s="12" t="s">
        <v>82</v>
      </c>
      <c r="D1433" s="13">
        <v>40903</v>
      </c>
      <c r="E1433" s="12" t="s">
        <v>17</v>
      </c>
      <c r="F1433" s="14">
        <v>38</v>
      </c>
      <c r="G1433" s="19">
        <v>20</v>
      </c>
    </row>
    <row r="1434" spans="1:7" x14ac:dyDescent="0.3">
      <c r="A1434" s="18" t="s">
        <v>122</v>
      </c>
      <c r="B1434" s="12" t="s">
        <v>123</v>
      </c>
      <c r="C1434" s="12" t="s">
        <v>82</v>
      </c>
      <c r="D1434" s="13">
        <v>40909</v>
      </c>
      <c r="E1434" s="12" t="s">
        <v>68</v>
      </c>
      <c r="F1434" s="14">
        <v>123.79</v>
      </c>
      <c r="G1434" s="19">
        <v>14</v>
      </c>
    </row>
    <row r="1435" spans="1:7" x14ac:dyDescent="0.3">
      <c r="A1435" s="18" t="s">
        <v>122</v>
      </c>
      <c r="B1435" s="12" t="s">
        <v>123</v>
      </c>
      <c r="C1435" s="12" t="s">
        <v>82</v>
      </c>
      <c r="D1435" s="13">
        <v>40909</v>
      </c>
      <c r="E1435" s="12" t="s">
        <v>29</v>
      </c>
      <c r="F1435" s="14">
        <v>9.65</v>
      </c>
      <c r="G1435" s="19">
        <v>20</v>
      </c>
    </row>
    <row r="1436" spans="1:7" x14ac:dyDescent="0.3">
      <c r="A1436" s="18" t="s">
        <v>175</v>
      </c>
      <c r="B1436" s="12" t="s">
        <v>176</v>
      </c>
      <c r="C1436" s="12" t="s">
        <v>83</v>
      </c>
      <c r="D1436" s="13">
        <v>40908</v>
      </c>
      <c r="E1436" s="12" t="s">
        <v>6</v>
      </c>
      <c r="F1436" s="14">
        <v>19</v>
      </c>
      <c r="G1436" s="19">
        <v>10</v>
      </c>
    </row>
    <row r="1437" spans="1:7" x14ac:dyDescent="0.3">
      <c r="A1437" s="18" t="s">
        <v>175</v>
      </c>
      <c r="B1437" s="12" t="s">
        <v>176</v>
      </c>
      <c r="C1437" s="12" t="s">
        <v>83</v>
      </c>
      <c r="D1437" s="13">
        <v>40908</v>
      </c>
      <c r="E1437" s="12" t="s">
        <v>70</v>
      </c>
      <c r="F1437" s="14">
        <v>7.45</v>
      </c>
      <c r="G1437" s="19">
        <v>3</v>
      </c>
    </row>
    <row r="1438" spans="1:7" x14ac:dyDescent="0.3">
      <c r="A1438" s="18" t="s">
        <v>175</v>
      </c>
      <c r="B1438" s="12" t="s">
        <v>176</v>
      </c>
      <c r="C1438" s="12" t="s">
        <v>83</v>
      </c>
      <c r="D1438" s="13">
        <v>40908</v>
      </c>
      <c r="E1438" s="12" t="s">
        <v>59</v>
      </c>
      <c r="F1438" s="14">
        <v>12.5</v>
      </c>
      <c r="G1438" s="19">
        <v>15</v>
      </c>
    </row>
    <row r="1439" spans="1:7" x14ac:dyDescent="0.3">
      <c r="A1439" s="18" t="s">
        <v>167</v>
      </c>
      <c r="B1439" s="12" t="s">
        <v>141</v>
      </c>
      <c r="C1439" s="12" t="s">
        <v>79</v>
      </c>
      <c r="D1439" s="13">
        <v>40916</v>
      </c>
      <c r="E1439" s="12" t="s">
        <v>29</v>
      </c>
      <c r="F1439" s="14">
        <v>9.65</v>
      </c>
      <c r="G1439" s="19">
        <v>14</v>
      </c>
    </row>
    <row r="1440" spans="1:7" x14ac:dyDescent="0.3">
      <c r="A1440" s="18" t="s">
        <v>167</v>
      </c>
      <c r="B1440" s="12" t="s">
        <v>141</v>
      </c>
      <c r="C1440" s="12" t="s">
        <v>79</v>
      </c>
      <c r="D1440" s="13">
        <v>40916</v>
      </c>
      <c r="E1440" s="12" t="s">
        <v>13</v>
      </c>
      <c r="F1440" s="14">
        <v>7</v>
      </c>
      <c r="G1440" s="19">
        <v>8</v>
      </c>
    </row>
    <row r="1441" spans="1:7" x14ac:dyDescent="0.3">
      <c r="A1441" s="18" t="s">
        <v>116</v>
      </c>
      <c r="B1441" s="12" t="s">
        <v>98</v>
      </c>
      <c r="C1441" s="12" t="s">
        <v>82</v>
      </c>
      <c r="D1441" s="13">
        <v>40910</v>
      </c>
      <c r="E1441" s="12" t="s">
        <v>69</v>
      </c>
      <c r="F1441" s="14">
        <v>23.25</v>
      </c>
      <c r="G1441" s="19">
        <v>15</v>
      </c>
    </row>
    <row r="1442" spans="1:7" x14ac:dyDescent="0.3">
      <c r="A1442" s="18" t="s">
        <v>116</v>
      </c>
      <c r="B1442" s="12" t="s">
        <v>98</v>
      </c>
      <c r="C1442" s="12" t="s">
        <v>82</v>
      </c>
      <c r="D1442" s="13">
        <v>40910</v>
      </c>
      <c r="E1442" s="12" t="s">
        <v>70</v>
      </c>
      <c r="F1442" s="14">
        <v>7.45</v>
      </c>
      <c r="G1442" s="19">
        <v>6</v>
      </c>
    </row>
    <row r="1443" spans="1:7" x14ac:dyDescent="0.3">
      <c r="A1443" s="18" t="s">
        <v>110</v>
      </c>
      <c r="B1443" s="12" t="s">
        <v>111</v>
      </c>
      <c r="C1443" s="12" t="s">
        <v>80</v>
      </c>
      <c r="D1443" s="13">
        <v>40928</v>
      </c>
      <c r="E1443" s="12" t="s">
        <v>47</v>
      </c>
      <c r="F1443" s="14">
        <v>17.45</v>
      </c>
      <c r="G1443" s="19">
        <v>65</v>
      </c>
    </row>
    <row r="1444" spans="1:7" x14ac:dyDescent="0.3">
      <c r="A1444" s="18" t="s">
        <v>110</v>
      </c>
      <c r="B1444" s="12" t="s">
        <v>111</v>
      </c>
      <c r="C1444" s="12" t="s">
        <v>80</v>
      </c>
      <c r="D1444" s="13">
        <v>40928</v>
      </c>
      <c r="E1444" s="12" t="s">
        <v>0</v>
      </c>
      <c r="F1444" s="14">
        <v>39</v>
      </c>
      <c r="G1444" s="19">
        <v>35</v>
      </c>
    </row>
    <row r="1445" spans="1:7" x14ac:dyDescent="0.3">
      <c r="A1445" s="18" t="s">
        <v>108</v>
      </c>
      <c r="B1445" s="12" t="s">
        <v>109</v>
      </c>
      <c r="C1445" s="12" t="s">
        <v>79</v>
      </c>
      <c r="D1445" s="13">
        <v>40922</v>
      </c>
      <c r="E1445" s="12" t="s">
        <v>24</v>
      </c>
      <c r="F1445" s="14">
        <v>31.23</v>
      </c>
      <c r="G1445" s="19">
        <v>21</v>
      </c>
    </row>
    <row r="1446" spans="1:7" x14ac:dyDescent="0.3">
      <c r="A1446" s="18" t="s">
        <v>108</v>
      </c>
      <c r="B1446" s="12" t="s">
        <v>109</v>
      </c>
      <c r="C1446" s="12" t="s">
        <v>79</v>
      </c>
      <c r="D1446" s="13">
        <v>40922</v>
      </c>
      <c r="E1446" s="12" t="s">
        <v>23</v>
      </c>
      <c r="F1446" s="14">
        <v>19.45</v>
      </c>
      <c r="G1446" s="19">
        <v>10</v>
      </c>
    </row>
    <row r="1447" spans="1:7" x14ac:dyDescent="0.3">
      <c r="A1447" s="18" t="s">
        <v>108</v>
      </c>
      <c r="B1447" s="12" t="s">
        <v>109</v>
      </c>
      <c r="C1447" s="12" t="s">
        <v>79</v>
      </c>
      <c r="D1447" s="13">
        <v>40922</v>
      </c>
      <c r="E1447" s="12" t="s">
        <v>75</v>
      </c>
      <c r="F1447" s="14">
        <v>33.25</v>
      </c>
      <c r="G1447" s="19">
        <v>35</v>
      </c>
    </row>
    <row r="1448" spans="1:7" x14ac:dyDescent="0.3">
      <c r="A1448" s="18" t="s">
        <v>108</v>
      </c>
      <c r="B1448" s="12" t="s">
        <v>109</v>
      </c>
      <c r="C1448" s="12" t="s">
        <v>79</v>
      </c>
      <c r="D1448" s="13">
        <v>40922</v>
      </c>
      <c r="E1448" s="12" t="s">
        <v>22</v>
      </c>
      <c r="F1448" s="14">
        <v>36</v>
      </c>
      <c r="G1448" s="19">
        <v>24</v>
      </c>
    </row>
    <row r="1449" spans="1:7" x14ac:dyDescent="0.3">
      <c r="A1449" s="18" t="s">
        <v>169</v>
      </c>
      <c r="B1449" s="12" t="s">
        <v>123</v>
      </c>
      <c r="C1449" s="12" t="s">
        <v>84</v>
      </c>
      <c r="D1449" s="13">
        <v>40913</v>
      </c>
      <c r="E1449" s="12" t="s">
        <v>49</v>
      </c>
      <c r="F1449" s="14">
        <v>21</v>
      </c>
      <c r="G1449" s="19">
        <v>20</v>
      </c>
    </row>
    <row r="1450" spans="1:7" x14ac:dyDescent="0.3">
      <c r="A1450" s="18" t="s">
        <v>151</v>
      </c>
      <c r="B1450" s="12" t="s">
        <v>141</v>
      </c>
      <c r="C1450" s="12" t="s">
        <v>77</v>
      </c>
      <c r="D1450" s="13">
        <v>40913</v>
      </c>
      <c r="E1450" s="12" t="s">
        <v>66</v>
      </c>
      <c r="F1450" s="14">
        <v>49.3</v>
      </c>
      <c r="G1450" s="19">
        <v>2</v>
      </c>
    </row>
    <row r="1451" spans="1:7" x14ac:dyDescent="0.3">
      <c r="A1451" s="18" t="s">
        <v>151</v>
      </c>
      <c r="B1451" s="12" t="s">
        <v>141</v>
      </c>
      <c r="C1451" s="12" t="s">
        <v>77</v>
      </c>
      <c r="D1451" s="13">
        <v>40913</v>
      </c>
      <c r="E1451" s="12" t="s">
        <v>40</v>
      </c>
      <c r="F1451" s="14">
        <v>34.799999999999997</v>
      </c>
      <c r="G1451" s="19">
        <v>10</v>
      </c>
    </row>
    <row r="1452" spans="1:7" x14ac:dyDescent="0.3">
      <c r="A1452" s="18" t="s">
        <v>153</v>
      </c>
      <c r="B1452" s="12" t="s">
        <v>123</v>
      </c>
      <c r="C1452" s="12" t="s">
        <v>78</v>
      </c>
      <c r="D1452" s="13">
        <v>40913</v>
      </c>
      <c r="E1452" s="12" t="s">
        <v>30</v>
      </c>
      <c r="F1452" s="14">
        <v>6</v>
      </c>
      <c r="G1452" s="19">
        <v>20</v>
      </c>
    </row>
    <row r="1453" spans="1:7" x14ac:dyDescent="0.3">
      <c r="A1453" s="18" t="s">
        <v>153</v>
      </c>
      <c r="B1453" s="12" t="s">
        <v>123</v>
      </c>
      <c r="C1453" s="12" t="s">
        <v>78</v>
      </c>
      <c r="D1453" s="13">
        <v>40913</v>
      </c>
      <c r="E1453" s="12" t="s">
        <v>21</v>
      </c>
      <c r="F1453" s="14">
        <v>4.5</v>
      </c>
      <c r="G1453" s="19">
        <v>20</v>
      </c>
    </row>
    <row r="1454" spans="1:7" x14ac:dyDescent="0.3">
      <c r="A1454" s="18" t="s">
        <v>153</v>
      </c>
      <c r="B1454" s="12" t="s">
        <v>123</v>
      </c>
      <c r="C1454" s="12" t="s">
        <v>78</v>
      </c>
      <c r="D1454" s="13">
        <v>40913</v>
      </c>
      <c r="E1454" s="12" t="s">
        <v>51</v>
      </c>
      <c r="F1454" s="14">
        <v>55</v>
      </c>
      <c r="G1454" s="19">
        <v>25</v>
      </c>
    </row>
    <row r="1455" spans="1:7" x14ac:dyDescent="0.3">
      <c r="A1455" s="18" t="s">
        <v>168</v>
      </c>
      <c r="B1455" s="12" t="s">
        <v>141</v>
      </c>
      <c r="C1455" s="12" t="s">
        <v>83</v>
      </c>
      <c r="D1455" s="13">
        <v>40913</v>
      </c>
      <c r="E1455" s="12" t="s">
        <v>49</v>
      </c>
      <c r="F1455" s="14">
        <v>21</v>
      </c>
      <c r="G1455" s="19">
        <v>50</v>
      </c>
    </row>
    <row r="1456" spans="1:7" x14ac:dyDescent="0.3">
      <c r="A1456" s="18" t="s">
        <v>168</v>
      </c>
      <c r="B1456" s="12" t="s">
        <v>141</v>
      </c>
      <c r="C1456" s="12" t="s">
        <v>83</v>
      </c>
      <c r="D1456" s="13">
        <v>40913</v>
      </c>
      <c r="E1456" s="12" t="s">
        <v>36</v>
      </c>
      <c r="F1456" s="14">
        <v>53</v>
      </c>
      <c r="G1456" s="19">
        <v>10</v>
      </c>
    </row>
    <row r="1457" spans="1:7" x14ac:dyDescent="0.3">
      <c r="A1457" s="18" t="s">
        <v>168</v>
      </c>
      <c r="B1457" s="12" t="s">
        <v>141</v>
      </c>
      <c r="C1457" s="12" t="s">
        <v>83</v>
      </c>
      <c r="D1457" s="13">
        <v>40913</v>
      </c>
      <c r="E1457" s="12" t="s">
        <v>70</v>
      </c>
      <c r="F1457" s="14">
        <v>7.45</v>
      </c>
      <c r="G1457" s="19">
        <v>7</v>
      </c>
    </row>
    <row r="1458" spans="1:7" x14ac:dyDescent="0.3">
      <c r="A1458" s="18" t="s">
        <v>155</v>
      </c>
      <c r="B1458" s="12" t="s">
        <v>136</v>
      </c>
      <c r="C1458" s="12" t="s">
        <v>81</v>
      </c>
      <c r="D1458" s="13">
        <v>40908</v>
      </c>
      <c r="E1458" s="12" t="s">
        <v>0</v>
      </c>
      <c r="F1458" s="14">
        <v>39</v>
      </c>
      <c r="G1458" s="19">
        <v>40</v>
      </c>
    </row>
    <row r="1459" spans="1:7" x14ac:dyDescent="0.3">
      <c r="A1459" s="18" t="s">
        <v>155</v>
      </c>
      <c r="B1459" s="12" t="s">
        <v>136</v>
      </c>
      <c r="C1459" s="12" t="s">
        <v>81</v>
      </c>
      <c r="D1459" s="13">
        <v>40908</v>
      </c>
      <c r="E1459" s="12" t="s">
        <v>68</v>
      </c>
      <c r="F1459" s="14">
        <v>123.79</v>
      </c>
      <c r="G1459" s="19">
        <v>20</v>
      </c>
    </row>
    <row r="1460" spans="1:7" x14ac:dyDescent="0.3">
      <c r="A1460" s="18" t="s">
        <v>162</v>
      </c>
      <c r="B1460" s="12" t="s">
        <v>163</v>
      </c>
      <c r="C1460" s="12" t="s">
        <v>81</v>
      </c>
      <c r="D1460" s="13">
        <v>40910</v>
      </c>
      <c r="E1460" s="12" t="s">
        <v>41</v>
      </c>
      <c r="F1460" s="14">
        <v>25.89</v>
      </c>
      <c r="G1460" s="19">
        <v>25</v>
      </c>
    </row>
    <row r="1461" spans="1:7" x14ac:dyDescent="0.3">
      <c r="A1461" s="18" t="s">
        <v>162</v>
      </c>
      <c r="B1461" s="12" t="s">
        <v>163</v>
      </c>
      <c r="C1461" s="12" t="s">
        <v>81</v>
      </c>
      <c r="D1461" s="13">
        <v>40910</v>
      </c>
      <c r="E1461" s="12" t="s">
        <v>36</v>
      </c>
      <c r="F1461" s="14">
        <v>53</v>
      </c>
      <c r="G1461" s="19">
        <v>30</v>
      </c>
    </row>
    <row r="1462" spans="1:7" x14ac:dyDescent="0.3">
      <c r="A1462" s="18" t="s">
        <v>162</v>
      </c>
      <c r="B1462" s="12" t="s">
        <v>163</v>
      </c>
      <c r="C1462" s="12" t="s">
        <v>81</v>
      </c>
      <c r="D1462" s="13">
        <v>40910</v>
      </c>
      <c r="E1462" s="12" t="s">
        <v>46</v>
      </c>
      <c r="F1462" s="14">
        <v>24</v>
      </c>
      <c r="G1462" s="19">
        <v>60</v>
      </c>
    </row>
    <row r="1463" spans="1:7" x14ac:dyDescent="0.3">
      <c r="A1463" s="18" t="s">
        <v>162</v>
      </c>
      <c r="B1463" s="12" t="s">
        <v>163</v>
      </c>
      <c r="C1463" s="12" t="s">
        <v>81</v>
      </c>
      <c r="D1463" s="13">
        <v>40910</v>
      </c>
      <c r="E1463" s="12" t="s">
        <v>66</v>
      </c>
      <c r="F1463" s="14">
        <v>49.3</v>
      </c>
      <c r="G1463" s="19">
        <v>5</v>
      </c>
    </row>
    <row r="1464" spans="1:7" x14ac:dyDescent="0.3">
      <c r="A1464" s="18" t="s">
        <v>107</v>
      </c>
      <c r="B1464" s="12" t="s">
        <v>98</v>
      </c>
      <c r="C1464" s="12" t="s">
        <v>81</v>
      </c>
      <c r="D1464" s="13">
        <v>40914</v>
      </c>
      <c r="E1464" s="12" t="s">
        <v>67</v>
      </c>
      <c r="F1464" s="14">
        <v>9.1999999999999993</v>
      </c>
      <c r="G1464" s="19">
        <v>24</v>
      </c>
    </row>
    <row r="1465" spans="1:7" x14ac:dyDescent="0.3">
      <c r="A1465" s="18" t="s">
        <v>107</v>
      </c>
      <c r="B1465" s="12" t="s">
        <v>98</v>
      </c>
      <c r="C1465" s="12" t="s">
        <v>81</v>
      </c>
      <c r="D1465" s="13">
        <v>40914</v>
      </c>
      <c r="E1465" s="12" t="s">
        <v>43</v>
      </c>
      <c r="F1465" s="14">
        <v>14</v>
      </c>
      <c r="G1465" s="19">
        <v>15</v>
      </c>
    </row>
    <row r="1466" spans="1:7" x14ac:dyDescent="0.3">
      <c r="A1466" s="18" t="s">
        <v>107</v>
      </c>
      <c r="B1466" s="12" t="s">
        <v>98</v>
      </c>
      <c r="C1466" s="12" t="s">
        <v>81</v>
      </c>
      <c r="D1466" s="13">
        <v>40914</v>
      </c>
      <c r="E1466" s="12" t="s">
        <v>51</v>
      </c>
      <c r="F1466" s="14">
        <v>55</v>
      </c>
      <c r="G1466" s="19">
        <v>15</v>
      </c>
    </row>
    <row r="1467" spans="1:7" x14ac:dyDescent="0.3">
      <c r="A1467" s="18" t="s">
        <v>168</v>
      </c>
      <c r="B1467" s="12" t="s">
        <v>141</v>
      </c>
      <c r="C1467" s="12" t="s">
        <v>82</v>
      </c>
      <c r="D1467" s="13">
        <v>40915</v>
      </c>
      <c r="E1467" s="12" t="s">
        <v>26</v>
      </c>
      <c r="F1467" s="14">
        <v>31</v>
      </c>
      <c r="G1467" s="19">
        <v>36</v>
      </c>
    </row>
    <row r="1468" spans="1:7" x14ac:dyDescent="0.3">
      <c r="A1468" s="18" t="s">
        <v>168</v>
      </c>
      <c r="B1468" s="12" t="s">
        <v>141</v>
      </c>
      <c r="C1468" s="12" t="s">
        <v>82</v>
      </c>
      <c r="D1468" s="13">
        <v>40915</v>
      </c>
      <c r="E1468" s="12" t="s">
        <v>56</v>
      </c>
      <c r="F1468" s="14">
        <v>45.6</v>
      </c>
      <c r="G1468" s="19">
        <v>24</v>
      </c>
    </row>
    <row r="1469" spans="1:7" x14ac:dyDescent="0.3">
      <c r="A1469" s="18" t="s">
        <v>168</v>
      </c>
      <c r="B1469" s="12" t="s">
        <v>141</v>
      </c>
      <c r="C1469" s="12" t="s">
        <v>82</v>
      </c>
      <c r="D1469" s="13">
        <v>40915</v>
      </c>
      <c r="E1469" s="12" t="s">
        <v>38</v>
      </c>
      <c r="F1469" s="14">
        <v>20</v>
      </c>
      <c r="G1469" s="19">
        <v>4</v>
      </c>
    </row>
    <row r="1470" spans="1:7" x14ac:dyDescent="0.3">
      <c r="A1470" s="18" t="s">
        <v>149</v>
      </c>
      <c r="B1470" s="12" t="s">
        <v>115</v>
      </c>
      <c r="C1470" s="12" t="s">
        <v>77</v>
      </c>
      <c r="D1470" s="13">
        <v>40917</v>
      </c>
      <c r="E1470" s="12" t="s">
        <v>57</v>
      </c>
      <c r="F1470" s="14">
        <v>14</v>
      </c>
      <c r="G1470" s="19">
        <v>10</v>
      </c>
    </row>
    <row r="1471" spans="1:7" x14ac:dyDescent="0.3">
      <c r="A1471" s="18" t="s">
        <v>149</v>
      </c>
      <c r="B1471" s="12" t="s">
        <v>115</v>
      </c>
      <c r="C1471" s="12" t="s">
        <v>77</v>
      </c>
      <c r="D1471" s="13">
        <v>40917</v>
      </c>
      <c r="E1471" s="12" t="s">
        <v>11</v>
      </c>
      <c r="F1471" s="14">
        <v>263.5</v>
      </c>
      <c r="G1471" s="19">
        <v>10</v>
      </c>
    </row>
    <row r="1472" spans="1:7" x14ac:dyDescent="0.3">
      <c r="A1472" s="18" t="s">
        <v>100</v>
      </c>
      <c r="B1472" s="12" t="s">
        <v>101</v>
      </c>
      <c r="C1472" s="12" t="s">
        <v>79</v>
      </c>
      <c r="D1472" s="13">
        <v>40913</v>
      </c>
      <c r="E1472" s="12" t="s">
        <v>6</v>
      </c>
      <c r="F1472" s="14">
        <v>19</v>
      </c>
      <c r="G1472" s="19">
        <v>20</v>
      </c>
    </row>
    <row r="1473" spans="1:7" x14ac:dyDescent="0.3">
      <c r="A1473" s="18" t="s">
        <v>100</v>
      </c>
      <c r="B1473" s="12" t="s">
        <v>101</v>
      </c>
      <c r="C1473" s="12" t="s">
        <v>79</v>
      </c>
      <c r="D1473" s="13">
        <v>40913</v>
      </c>
      <c r="E1473" s="12" t="s">
        <v>34</v>
      </c>
      <c r="F1473" s="14">
        <v>21.05</v>
      </c>
      <c r="G1473" s="19">
        <v>2</v>
      </c>
    </row>
    <row r="1474" spans="1:7" x14ac:dyDescent="0.3">
      <c r="A1474" s="18" t="s">
        <v>100</v>
      </c>
      <c r="B1474" s="12" t="s">
        <v>101</v>
      </c>
      <c r="C1474" s="12" t="s">
        <v>79</v>
      </c>
      <c r="D1474" s="13">
        <v>40913</v>
      </c>
      <c r="E1474" s="12" t="s">
        <v>33</v>
      </c>
      <c r="F1474" s="14">
        <v>10</v>
      </c>
      <c r="G1474" s="19">
        <v>15</v>
      </c>
    </row>
    <row r="1475" spans="1:7" x14ac:dyDescent="0.3">
      <c r="A1475" s="18" t="s">
        <v>186</v>
      </c>
      <c r="B1475" s="12" t="s">
        <v>130</v>
      </c>
      <c r="C1475" s="12" t="s">
        <v>81</v>
      </c>
      <c r="D1475" s="13">
        <v>40938</v>
      </c>
      <c r="E1475" s="12" t="s">
        <v>2</v>
      </c>
      <c r="F1475" s="14">
        <v>18.399999999999999</v>
      </c>
      <c r="G1475" s="19">
        <v>1</v>
      </c>
    </row>
    <row r="1476" spans="1:7" x14ac:dyDescent="0.3">
      <c r="A1476" s="18" t="s">
        <v>161</v>
      </c>
      <c r="B1476" s="12" t="s">
        <v>157</v>
      </c>
      <c r="C1476" s="12" t="s">
        <v>77</v>
      </c>
      <c r="D1476" s="13">
        <v>40917</v>
      </c>
      <c r="E1476" s="12" t="s">
        <v>17</v>
      </c>
      <c r="F1476" s="14">
        <v>38</v>
      </c>
      <c r="G1476" s="19">
        <v>20</v>
      </c>
    </row>
    <row r="1477" spans="1:7" x14ac:dyDescent="0.3">
      <c r="A1477" s="18" t="s">
        <v>161</v>
      </c>
      <c r="B1477" s="12" t="s">
        <v>157</v>
      </c>
      <c r="C1477" s="12" t="s">
        <v>77</v>
      </c>
      <c r="D1477" s="13">
        <v>40917</v>
      </c>
      <c r="E1477" s="12" t="s">
        <v>31</v>
      </c>
      <c r="F1477" s="14">
        <v>18</v>
      </c>
      <c r="G1477" s="19">
        <v>50</v>
      </c>
    </row>
    <row r="1478" spans="1:7" x14ac:dyDescent="0.3">
      <c r="A1478" s="18" t="s">
        <v>107</v>
      </c>
      <c r="B1478" s="12" t="s">
        <v>98</v>
      </c>
      <c r="C1478" s="12" t="s">
        <v>84</v>
      </c>
      <c r="D1478" s="13">
        <v>40915</v>
      </c>
      <c r="E1478" s="12" t="s">
        <v>13</v>
      </c>
      <c r="F1478" s="14">
        <v>7</v>
      </c>
      <c r="G1478" s="19">
        <v>20</v>
      </c>
    </row>
    <row r="1479" spans="1:7" x14ac:dyDescent="0.3">
      <c r="A1479" s="18" t="s">
        <v>192</v>
      </c>
      <c r="B1479" s="12" t="s">
        <v>160</v>
      </c>
      <c r="C1479" s="12" t="s">
        <v>77</v>
      </c>
      <c r="D1479" s="13">
        <v>40915</v>
      </c>
      <c r="E1479" s="12" t="s">
        <v>30</v>
      </c>
      <c r="F1479" s="14">
        <v>6</v>
      </c>
      <c r="G1479" s="19">
        <v>7</v>
      </c>
    </row>
    <row r="1480" spans="1:7" x14ac:dyDescent="0.3">
      <c r="A1480" s="18" t="s">
        <v>192</v>
      </c>
      <c r="B1480" s="12" t="s">
        <v>160</v>
      </c>
      <c r="C1480" s="12" t="s">
        <v>77</v>
      </c>
      <c r="D1480" s="13">
        <v>40915</v>
      </c>
      <c r="E1480" s="12" t="s">
        <v>43</v>
      </c>
      <c r="F1480" s="14">
        <v>14</v>
      </c>
      <c r="G1480" s="19">
        <v>5</v>
      </c>
    </row>
    <row r="1481" spans="1:7" x14ac:dyDescent="0.3">
      <c r="A1481" s="18" t="s">
        <v>192</v>
      </c>
      <c r="B1481" s="12" t="s">
        <v>160</v>
      </c>
      <c r="C1481" s="12" t="s">
        <v>77</v>
      </c>
      <c r="D1481" s="13">
        <v>40915</v>
      </c>
      <c r="E1481" s="12" t="s">
        <v>45</v>
      </c>
      <c r="F1481" s="14">
        <v>15</v>
      </c>
      <c r="G1481" s="19">
        <v>5</v>
      </c>
    </row>
    <row r="1482" spans="1:7" x14ac:dyDescent="0.3">
      <c r="A1482" s="18" t="s">
        <v>181</v>
      </c>
      <c r="B1482" s="12" t="s">
        <v>109</v>
      </c>
      <c r="C1482" s="12" t="s">
        <v>80</v>
      </c>
      <c r="D1482" s="13">
        <v>40916</v>
      </c>
      <c r="E1482" s="12" t="s">
        <v>67</v>
      </c>
      <c r="F1482" s="14">
        <v>9.1999999999999993</v>
      </c>
      <c r="G1482" s="19">
        <v>15</v>
      </c>
    </row>
    <row r="1483" spans="1:7" x14ac:dyDescent="0.3">
      <c r="A1483" s="18" t="s">
        <v>181</v>
      </c>
      <c r="B1483" s="12" t="s">
        <v>109</v>
      </c>
      <c r="C1483" s="12" t="s">
        <v>80</v>
      </c>
      <c r="D1483" s="13">
        <v>40916</v>
      </c>
      <c r="E1483" s="12" t="s">
        <v>71</v>
      </c>
      <c r="F1483" s="14">
        <v>9</v>
      </c>
      <c r="G1483" s="19">
        <v>18</v>
      </c>
    </row>
    <row r="1484" spans="1:7" x14ac:dyDescent="0.3">
      <c r="A1484" s="18" t="s">
        <v>181</v>
      </c>
      <c r="B1484" s="12" t="s">
        <v>109</v>
      </c>
      <c r="C1484" s="12" t="s">
        <v>80</v>
      </c>
      <c r="D1484" s="13">
        <v>40916</v>
      </c>
      <c r="E1484" s="12" t="s">
        <v>2</v>
      </c>
      <c r="F1484" s="14">
        <v>18.399999999999999</v>
      </c>
      <c r="G1484" s="19">
        <v>30</v>
      </c>
    </row>
    <row r="1485" spans="1:7" x14ac:dyDescent="0.3">
      <c r="A1485" s="18" t="s">
        <v>139</v>
      </c>
      <c r="B1485" s="12" t="s">
        <v>130</v>
      </c>
      <c r="C1485" s="12" t="s">
        <v>85</v>
      </c>
      <c r="D1485" s="13">
        <v>40920</v>
      </c>
      <c r="E1485" s="12" t="s">
        <v>18</v>
      </c>
      <c r="F1485" s="14">
        <v>12.5</v>
      </c>
      <c r="G1485" s="19">
        <v>16</v>
      </c>
    </row>
    <row r="1486" spans="1:7" x14ac:dyDescent="0.3">
      <c r="A1486" s="18" t="s">
        <v>139</v>
      </c>
      <c r="B1486" s="12" t="s">
        <v>130</v>
      </c>
      <c r="C1486" s="12" t="s">
        <v>85</v>
      </c>
      <c r="D1486" s="13">
        <v>40920</v>
      </c>
      <c r="E1486" s="12" t="s">
        <v>40</v>
      </c>
      <c r="F1486" s="14">
        <v>34.799999999999997</v>
      </c>
      <c r="G1486" s="19">
        <v>40</v>
      </c>
    </row>
    <row r="1487" spans="1:7" x14ac:dyDescent="0.3">
      <c r="A1487" s="18" t="s">
        <v>139</v>
      </c>
      <c r="B1487" s="12" t="s">
        <v>130</v>
      </c>
      <c r="C1487" s="12" t="s">
        <v>85</v>
      </c>
      <c r="D1487" s="13">
        <v>40920</v>
      </c>
      <c r="E1487" s="12" t="s">
        <v>44</v>
      </c>
      <c r="F1487" s="14">
        <v>13</v>
      </c>
      <c r="G1487" s="19">
        <v>20</v>
      </c>
    </row>
    <row r="1488" spans="1:7" x14ac:dyDescent="0.3">
      <c r="A1488" s="18" t="s">
        <v>138</v>
      </c>
      <c r="B1488" s="12" t="s">
        <v>98</v>
      </c>
      <c r="C1488" s="12" t="s">
        <v>83</v>
      </c>
      <c r="D1488" s="13">
        <v>40917</v>
      </c>
      <c r="E1488" s="12" t="s">
        <v>6</v>
      </c>
      <c r="F1488" s="14">
        <v>19</v>
      </c>
      <c r="G1488" s="19">
        <v>12</v>
      </c>
    </row>
    <row r="1489" spans="1:7" x14ac:dyDescent="0.3">
      <c r="A1489" s="18" t="s">
        <v>138</v>
      </c>
      <c r="B1489" s="12" t="s">
        <v>98</v>
      </c>
      <c r="C1489" s="12" t="s">
        <v>83</v>
      </c>
      <c r="D1489" s="13">
        <v>40917</v>
      </c>
      <c r="E1489" s="12" t="s">
        <v>64</v>
      </c>
      <c r="F1489" s="14">
        <v>12</v>
      </c>
      <c r="G1489" s="19">
        <v>35</v>
      </c>
    </row>
    <row r="1490" spans="1:7" x14ac:dyDescent="0.3">
      <c r="A1490" s="18" t="s">
        <v>100</v>
      </c>
      <c r="B1490" s="12" t="s">
        <v>101</v>
      </c>
      <c r="C1490" s="12" t="s">
        <v>79</v>
      </c>
      <c r="D1490" s="13">
        <v>40922</v>
      </c>
      <c r="E1490" s="12" t="s">
        <v>29</v>
      </c>
      <c r="F1490" s="14">
        <v>9.65</v>
      </c>
      <c r="G1490" s="19">
        <v>20</v>
      </c>
    </row>
    <row r="1491" spans="1:7" x14ac:dyDescent="0.3">
      <c r="A1491" s="18" t="s">
        <v>100</v>
      </c>
      <c r="B1491" s="12" t="s">
        <v>101</v>
      </c>
      <c r="C1491" s="12" t="s">
        <v>79</v>
      </c>
      <c r="D1491" s="13">
        <v>40922</v>
      </c>
      <c r="E1491" s="12" t="s">
        <v>28</v>
      </c>
      <c r="F1491" s="14">
        <v>46</v>
      </c>
      <c r="G1491" s="19">
        <v>20</v>
      </c>
    </row>
    <row r="1492" spans="1:7" x14ac:dyDescent="0.3">
      <c r="A1492" s="18" t="s">
        <v>100</v>
      </c>
      <c r="B1492" s="12" t="s">
        <v>101</v>
      </c>
      <c r="C1492" s="12" t="s">
        <v>79</v>
      </c>
      <c r="D1492" s="13">
        <v>40922</v>
      </c>
      <c r="E1492" s="12" t="s">
        <v>10</v>
      </c>
      <c r="F1492" s="14">
        <v>12.75</v>
      </c>
      <c r="G1492" s="19">
        <v>8</v>
      </c>
    </row>
    <row r="1493" spans="1:7" x14ac:dyDescent="0.3">
      <c r="A1493" s="18" t="s">
        <v>100</v>
      </c>
      <c r="B1493" s="12" t="s">
        <v>101</v>
      </c>
      <c r="C1493" s="12" t="s">
        <v>79</v>
      </c>
      <c r="D1493" s="13">
        <v>40922</v>
      </c>
      <c r="E1493" s="12" t="s">
        <v>63</v>
      </c>
      <c r="F1493" s="14">
        <v>28.5</v>
      </c>
      <c r="G1493" s="19">
        <v>30</v>
      </c>
    </row>
    <row r="1494" spans="1:7" x14ac:dyDescent="0.3">
      <c r="A1494" s="18" t="s">
        <v>154</v>
      </c>
      <c r="B1494" s="12" t="s">
        <v>115</v>
      </c>
      <c r="C1494" s="12" t="s">
        <v>77</v>
      </c>
      <c r="D1494" s="13">
        <v>40922</v>
      </c>
      <c r="E1494" s="12" t="s">
        <v>15</v>
      </c>
      <c r="F1494" s="14">
        <v>2.5</v>
      </c>
      <c r="G1494" s="19">
        <v>16</v>
      </c>
    </row>
    <row r="1495" spans="1:7" x14ac:dyDescent="0.3">
      <c r="A1495" s="18" t="s">
        <v>196</v>
      </c>
      <c r="B1495" s="12" t="s">
        <v>115</v>
      </c>
      <c r="C1495" s="12" t="s">
        <v>81</v>
      </c>
      <c r="D1495" s="13">
        <v>40943</v>
      </c>
      <c r="E1495" s="12" t="s">
        <v>11</v>
      </c>
      <c r="F1495" s="14">
        <v>263.5</v>
      </c>
      <c r="G1495" s="19">
        <v>30</v>
      </c>
    </row>
    <row r="1496" spans="1:7" x14ac:dyDescent="0.3">
      <c r="A1496" s="18" t="s">
        <v>196</v>
      </c>
      <c r="B1496" s="12" t="s">
        <v>115</v>
      </c>
      <c r="C1496" s="12" t="s">
        <v>81</v>
      </c>
      <c r="D1496" s="13">
        <v>40943</v>
      </c>
      <c r="E1496" s="12" t="s">
        <v>66</v>
      </c>
      <c r="F1496" s="14">
        <v>49.3</v>
      </c>
      <c r="G1496" s="19">
        <v>20</v>
      </c>
    </row>
    <row r="1497" spans="1:7" x14ac:dyDescent="0.3">
      <c r="A1497" s="18" t="s">
        <v>153</v>
      </c>
      <c r="B1497" s="12" t="s">
        <v>123</v>
      </c>
      <c r="C1497" s="12" t="s">
        <v>79</v>
      </c>
      <c r="D1497" s="13">
        <v>40921</v>
      </c>
      <c r="E1497" s="12" t="s">
        <v>24</v>
      </c>
      <c r="F1497" s="14">
        <v>31.23</v>
      </c>
      <c r="G1497" s="19">
        <v>40</v>
      </c>
    </row>
    <row r="1498" spans="1:7" x14ac:dyDescent="0.3">
      <c r="A1498" s="18" t="s">
        <v>153</v>
      </c>
      <c r="B1498" s="12" t="s">
        <v>123</v>
      </c>
      <c r="C1498" s="12" t="s">
        <v>79</v>
      </c>
      <c r="D1498" s="13">
        <v>40921</v>
      </c>
      <c r="E1498" s="12" t="s">
        <v>11</v>
      </c>
      <c r="F1498" s="14">
        <v>263.5</v>
      </c>
      <c r="G1498" s="19">
        <v>30</v>
      </c>
    </row>
    <row r="1499" spans="1:7" x14ac:dyDescent="0.3">
      <c r="A1499" s="18" t="s">
        <v>153</v>
      </c>
      <c r="B1499" s="12" t="s">
        <v>123</v>
      </c>
      <c r="C1499" s="12" t="s">
        <v>79</v>
      </c>
      <c r="D1499" s="13">
        <v>40921</v>
      </c>
      <c r="E1499" s="12" t="s">
        <v>2</v>
      </c>
      <c r="F1499" s="14">
        <v>18.399999999999999</v>
      </c>
      <c r="G1499" s="19">
        <v>60</v>
      </c>
    </row>
    <row r="1500" spans="1:7" x14ac:dyDescent="0.3">
      <c r="A1500" s="18" t="s">
        <v>153</v>
      </c>
      <c r="B1500" s="12" t="s">
        <v>123</v>
      </c>
      <c r="C1500" s="12" t="s">
        <v>79</v>
      </c>
      <c r="D1500" s="13">
        <v>40921</v>
      </c>
      <c r="E1500" s="12" t="s">
        <v>66</v>
      </c>
      <c r="F1500" s="14">
        <v>49.3</v>
      </c>
      <c r="G1500" s="19">
        <v>25</v>
      </c>
    </row>
    <row r="1501" spans="1:7" x14ac:dyDescent="0.3">
      <c r="A1501" s="18" t="s">
        <v>129</v>
      </c>
      <c r="B1501" s="12" t="s">
        <v>130</v>
      </c>
      <c r="C1501" s="12" t="s">
        <v>84</v>
      </c>
      <c r="D1501" s="13">
        <v>40920</v>
      </c>
      <c r="E1501" s="12" t="s">
        <v>37</v>
      </c>
      <c r="F1501" s="14">
        <v>32</v>
      </c>
      <c r="G1501" s="19">
        <v>20</v>
      </c>
    </row>
    <row r="1502" spans="1:7" x14ac:dyDescent="0.3">
      <c r="A1502" s="18" t="s">
        <v>129</v>
      </c>
      <c r="B1502" s="12" t="s">
        <v>130</v>
      </c>
      <c r="C1502" s="12" t="s">
        <v>84</v>
      </c>
      <c r="D1502" s="13">
        <v>40920</v>
      </c>
      <c r="E1502" s="12" t="s">
        <v>29</v>
      </c>
      <c r="F1502" s="14">
        <v>9.65</v>
      </c>
      <c r="G1502" s="19">
        <v>20</v>
      </c>
    </row>
    <row r="1503" spans="1:7" x14ac:dyDescent="0.3">
      <c r="A1503" s="18" t="s">
        <v>195</v>
      </c>
      <c r="B1503" s="12" t="s">
        <v>185</v>
      </c>
      <c r="C1503" s="12" t="s">
        <v>77</v>
      </c>
      <c r="D1503" s="13">
        <v>40924</v>
      </c>
      <c r="E1503" s="12" t="s">
        <v>28</v>
      </c>
      <c r="F1503" s="14">
        <v>46</v>
      </c>
      <c r="G1503" s="19">
        <v>7</v>
      </c>
    </row>
    <row r="1504" spans="1:7" x14ac:dyDescent="0.3">
      <c r="A1504" s="18" t="s">
        <v>195</v>
      </c>
      <c r="B1504" s="12" t="s">
        <v>185</v>
      </c>
      <c r="C1504" s="12" t="s">
        <v>77</v>
      </c>
      <c r="D1504" s="13">
        <v>40924</v>
      </c>
      <c r="E1504" s="12" t="s">
        <v>53</v>
      </c>
      <c r="F1504" s="14">
        <v>7.75</v>
      </c>
      <c r="G1504" s="19">
        <v>20</v>
      </c>
    </row>
    <row r="1505" spans="1:7" x14ac:dyDescent="0.3">
      <c r="A1505" s="18" t="s">
        <v>117</v>
      </c>
      <c r="B1505" s="12" t="s">
        <v>115</v>
      </c>
      <c r="C1505" s="12" t="s">
        <v>79</v>
      </c>
      <c r="D1505" s="13">
        <v>40921</v>
      </c>
      <c r="E1505" s="12" t="s">
        <v>17</v>
      </c>
      <c r="F1505" s="14">
        <v>38</v>
      </c>
      <c r="G1505" s="19">
        <v>30</v>
      </c>
    </row>
    <row r="1506" spans="1:7" x14ac:dyDescent="0.3">
      <c r="A1506" s="18" t="s">
        <v>126</v>
      </c>
      <c r="B1506" s="12" t="s">
        <v>115</v>
      </c>
      <c r="C1506" s="12" t="s">
        <v>83</v>
      </c>
      <c r="D1506" s="13">
        <v>40923</v>
      </c>
      <c r="E1506" s="12" t="s">
        <v>65</v>
      </c>
      <c r="F1506" s="14">
        <v>18</v>
      </c>
      <c r="G1506" s="19">
        <v>20</v>
      </c>
    </row>
    <row r="1507" spans="1:7" x14ac:dyDescent="0.3">
      <c r="A1507" s="18" t="s">
        <v>126</v>
      </c>
      <c r="B1507" s="12" t="s">
        <v>115</v>
      </c>
      <c r="C1507" s="12" t="s">
        <v>83</v>
      </c>
      <c r="D1507" s="13">
        <v>40923</v>
      </c>
      <c r="E1507" s="12" t="s">
        <v>36</v>
      </c>
      <c r="F1507" s="14">
        <v>53</v>
      </c>
      <c r="G1507" s="19">
        <v>6</v>
      </c>
    </row>
    <row r="1508" spans="1:7" x14ac:dyDescent="0.3">
      <c r="A1508" s="18" t="s">
        <v>198</v>
      </c>
      <c r="B1508" s="12" t="s">
        <v>115</v>
      </c>
      <c r="C1508" s="12" t="s">
        <v>82</v>
      </c>
      <c r="D1508" s="13">
        <v>40924</v>
      </c>
      <c r="E1508" s="12" t="s">
        <v>66</v>
      </c>
      <c r="F1508" s="14">
        <v>49.3</v>
      </c>
      <c r="G1508" s="19">
        <v>3</v>
      </c>
    </row>
    <row r="1509" spans="1:7" x14ac:dyDescent="0.3">
      <c r="A1509" s="18" t="s">
        <v>198</v>
      </c>
      <c r="B1509" s="12" t="s">
        <v>115</v>
      </c>
      <c r="C1509" s="12" t="s">
        <v>82</v>
      </c>
      <c r="D1509" s="13">
        <v>40924</v>
      </c>
      <c r="E1509" s="12" t="s">
        <v>45</v>
      </c>
      <c r="F1509" s="14">
        <v>15</v>
      </c>
      <c r="G1509" s="19">
        <v>6</v>
      </c>
    </row>
    <row r="1510" spans="1:7" x14ac:dyDescent="0.3">
      <c r="A1510" s="18" t="s">
        <v>137</v>
      </c>
      <c r="B1510" s="12" t="s">
        <v>109</v>
      </c>
      <c r="C1510" s="12" t="s">
        <v>85</v>
      </c>
      <c r="D1510" s="13">
        <v>40921</v>
      </c>
      <c r="E1510" s="12" t="s">
        <v>49</v>
      </c>
      <c r="F1510" s="14">
        <v>21</v>
      </c>
      <c r="G1510" s="19">
        <v>20</v>
      </c>
    </row>
    <row r="1511" spans="1:7" x14ac:dyDescent="0.3">
      <c r="A1511" s="18" t="s">
        <v>137</v>
      </c>
      <c r="B1511" s="12" t="s">
        <v>109</v>
      </c>
      <c r="C1511" s="12" t="s">
        <v>85</v>
      </c>
      <c r="D1511" s="13">
        <v>40921</v>
      </c>
      <c r="E1511" s="12" t="s">
        <v>52</v>
      </c>
      <c r="F1511" s="14">
        <v>19.5</v>
      </c>
      <c r="G1511" s="19">
        <v>15</v>
      </c>
    </row>
    <row r="1512" spans="1:7" x14ac:dyDescent="0.3">
      <c r="A1512" s="18" t="s">
        <v>137</v>
      </c>
      <c r="B1512" s="12" t="s">
        <v>109</v>
      </c>
      <c r="C1512" s="12" t="s">
        <v>85</v>
      </c>
      <c r="D1512" s="13">
        <v>40921</v>
      </c>
      <c r="E1512" s="12" t="s">
        <v>51</v>
      </c>
      <c r="F1512" s="14">
        <v>55</v>
      </c>
      <c r="G1512" s="19">
        <v>40</v>
      </c>
    </row>
    <row r="1513" spans="1:7" x14ac:dyDescent="0.3">
      <c r="A1513" s="18" t="s">
        <v>137</v>
      </c>
      <c r="B1513" s="12" t="s">
        <v>109</v>
      </c>
      <c r="C1513" s="12" t="s">
        <v>85</v>
      </c>
      <c r="D1513" s="13">
        <v>40921</v>
      </c>
      <c r="E1513" s="12" t="s">
        <v>44</v>
      </c>
      <c r="F1513" s="14">
        <v>13</v>
      </c>
      <c r="G1513" s="19">
        <v>15</v>
      </c>
    </row>
    <row r="1514" spans="1:7" x14ac:dyDescent="0.3">
      <c r="A1514" s="18" t="s">
        <v>118</v>
      </c>
      <c r="B1514" s="12" t="s">
        <v>119</v>
      </c>
      <c r="C1514" s="12" t="s">
        <v>80</v>
      </c>
      <c r="D1514" s="13">
        <v>40938</v>
      </c>
      <c r="E1514" s="12" t="s">
        <v>29</v>
      </c>
      <c r="F1514" s="14">
        <v>9.65</v>
      </c>
      <c r="G1514" s="19">
        <v>12</v>
      </c>
    </row>
    <row r="1515" spans="1:7" x14ac:dyDescent="0.3">
      <c r="A1515" s="18" t="s">
        <v>118</v>
      </c>
      <c r="B1515" s="12" t="s">
        <v>119</v>
      </c>
      <c r="C1515" s="12" t="s">
        <v>80</v>
      </c>
      <c r="D1515" s="13">
        <v>40938</v>
      </c>
      <c r="E1515" s="12" t="s">
        <v>45</v>
      </c>
      <c r="F1515" s="14">
        <v>15</v>
      </c>
      <c r="G1515" s="19">
        <v>9</v>
      </c>
    </row>
    <row r="1516" spans="1:7" x14ac:dyDescent="0.3">
      <c r="A1516" s="18" t="s">
        <v>169</v>
      </c>
      <c r="B1516" s="12" t="s">
        <v>123</v>
      </c>
      <c r="C1516" s="12" t="s">
        <v>83</v>
      </c>
      <c r="D1516" s="13">
        <v>40922</v>
      </c>
      <c r="E1516" s="12" t="s">
        <v>24</v>
      </c>
      <c r="F1516" s="14">
        <v>31.23</v>
      </c>
      <c r="G1516" s="19">
        <v>12</v>
      </c>
    </row>
    <row r="1517" spans="1:7" x14ac:dyDescent="0.3">
      <c r="A1517" s="18" t="s">
        <v>169</v>
      </c>
      <c r="B1517" s="12" t="s">
        <v>123</v>
      </c>
      <c r="C1517" s="12" t="s">
        <v>83</v>
      </c>
      <c r="D1517" s="13">
        <v>40922</v>
      </c>
      <c r="E1517" s="12" t="s">
        <v>48</v>
      </c>
      <c r="F1517" s="14">
        <v>32.799999999999997</v>
      </c>
      <c r="G1517" s="19">
        <v>20</v>
      </c>
    </row>
    <row r="1518" spans="1:7" x14ac:dyDescent="0.3">
      <c r="A1518" s="18" t="s">
        <v>120</v>
      </c>
      <c r="B1518" s="12" t="s">
        <v>101</v>
      </c>
      <c r="C1518" s="12" t="s">
        <v>82</v>
      </c>
      <c r="D1518" s="13">
        <v>40945</v>
      </c>
      <c r="E1518" s="12" t="s">
        <v>18</v>
      </c>
      <c r="F1518" s="14">
        <v>12.5</v>
      </c>
      <c r="G1518" s="19">
        <v>35</v>
      </c>
    </row>
    <row r="1519" spans="1:7" x14ac:dyDescent="0.3">
      <c r="A1519" s="18" t="s">
        <v>120</v>
      </c>
      <c r="B1519" s="12" t="s">
        <v>101</v>
      </c>
      <c r="C1519" s="12" t="s">
        <v>82</v>
      </c>
      <c r="D1519" s="13">
        <v>40945</v>
      </c>
      <c r="E1519" s="12" t="s">
        <v>52</v>
      </c>
      <c r="F1519" s="14">
        <v>19.5</v>
      </c>
      <c r="G1519" s="19">
        <v>15</v>
      </c>
    </row>
    <row r="1520" spans="1:7" x14ac:dyDescent="0.3">
      <c r="A1520" s="18" t="s">
        <v>158</v>
      </c>
      <c r="B1520" s="12" t="s">
        <v>101</v>
      </c>
      <c r="C1520" s="12" t="s">
        <v>83</v>
      </c>
      <c r="D1520" s="13">
        <v>40945</v>
      </c>
      <c r="E1520" s="12" t="s">
        <v>26</v>
      </c>
      <c r="F1520" s="14">
        <v>31</v>
      </c>
      <c r="G1520" s="19">
        <v>15</v>
      </c>
    </row>
    <row r="1521" spans="1:7" x14ac:dyDescent="0.3">
      <c r="A1521" s="18" t="s">
        <v>158</v>
      </c>
      <c r="B1521" s="12" t="s">
        <v>101</v>
      </c>
      <c r="C1521" s="12" t="s">
        <v>83</v>
      </c>
      <c r="D1521" s="13">
        <v>40945</v>
      </c>
      <c r="E1521" s="12" t="s">
        <v>7</v>
      </c>
      <c r="F1521" s="14">
        <v>18</v>
      </c>
      <c r="G1521" s="19">
        <v>21</v>
      </c>
    </row>
    <row r="1522" spans="1:7" x14ac:dyDescent="0.3">
      <c r="A1522" s="18" t="s">
        <v>190</v>
      </c>
      <c r="B1522" s="12" t="s">
        <v>185</v>
      </c>
      <c r="C1522" s="12" t="s">
        <v>78</v>
      </c>
      <c r="D1522" s="13">
        <v>40943</v>
      </c>
      <c r="E1522" s="12" t="s">
        <v>61</v>
      </c>
      <c r="F1522" s="14">
        <v>81</v>
      </c>
      <c r="G1522" s="19">
        <v>5</v>
      </c>
    </row>
    <row r="1523" spans="1:7" x14ac:dyDescent="0.3">
      <c r="A1523" s="18" t="s">
        <v>190</v>
      </c>
      <c r="B1523" s="12" t="s">
        <v>185</v>
      </c>
      <c r="C1523" s="12" t="s">
        <v>78</v>
      </c>
      <c r="D1523" s="13">
        <v>40943</v>
      </c>
      <c r="E1523" s="12" t="s">
        <v>11</v>
      </c>
      <c r="F1523" s="14">
        <v>263.5</v>
      </c>
      <c r="G1523" s="19">
        <v>2</v>
      </c>
    </row>
    <row r="1524" spans="1:7" x14ac:dyDescent="0.3">
      <c r="A1524" s="18" t="s">
        <v>151</v>
      </c>
      <c r="B1524" s="12" t="s">
        <v>141</v>
      </c>
      <c r="C1524" s="12" t="s">
        <v>78</v>
      </c>
      <c r="D1524" s="13">
        <v>40931</v>
      </c>
      <c r="E1524" s="12" t="s">
        <v>6</v>
      </c>
      <c r="F1524" s="14">
        <v>19</v>
      </c>
      <c r="G1524" s="19">
        <v>10</v>
      </c>
    </row>
    <row r="1525" spans="1:7" x14ac:dyDescent="0.3">
      <c r="A1525" s="18" t="s">
        <v>151</v>
      </c>
      <c r="B1525" s="12" t="s">
        <v>141</v>
      </c>
      <c r="C1525" s="12" t="s">
        <v>78</v>
      </c>
      <c r="D1525" s="13">
        <v>40931</v>
      </c>
      <c r="E1525" s="12" t="s">
        <v>42</v>
      </c>
      <c r="F1525" s="14">
        <v>40</v>
      </c>
      <c r="G1525" s="19">
        <v>20</v>
      </c>
    </row>
    <row r="1526" spans="1:7" x14ac:dyDescent="0.3">
      <c r="A1526" s="18" t="s">
        <v>151</v>
      </c>
      <c r="B1526" s="12" t="s">
        <v>141</v>
      </c>
      <c r="C1526" s="12" t="s">
        <v>78</v>
      </c>
      <c r="D1526" s="13">
        <v>40931</v>
      </c>
      <c r="E1526" s="12" t="s">
        <v>30</v>
      </c>
      <c r="F1526" s="14">
        <v>6</v>
      </c>
      <c r="G1526" s="19">
        <v>10</v>
      </c>
    </row>
    <row r="1527" spans="1:7" x14ac:dyDescent="0.3">
      <c r="A1527" s="18" t="s">
        <v>151</v>
      </c>
      <c r="B1527" s="12" t="s">
        <v>141</v>
      </c>
      <c r="C1527" s="12" t="s">
        <v>78</v>
      </c>
      <c r="D1527" s="13">
        <v>40931</v>
      </c>
      <c r="E1527" s="12" t="s">
        <v>3</v>
      </c>
      <c r="F1527" s="14">
        <v>34</v>
      </c>
      <c r="G1527" s="19">
        <v>21</v>
      </c>
    </row>
    <row r="1528" spans="1:7" x14ac:dyDescent="0.3">
      <c r="A1528" s="18" t="s">
        <v>97</v>
      </c>
      <c r="B1528" s="12" t="s">
        <v>98</v>
      </c>
      <c r="C1528" s="12" t="s">
        <v>81</v>
      </c>
      <c r="D1528" s="13">
        <v>40929</v>
      </c>
      <c r="E1528" s="12" t="s">
        <v>19</v>
      </c>
      <c r="F1528" s="14">
        <v>25</v>
      </c>
      <c r="G1528" s="19">
        <v>6</v>
      </c>
    </row>
    <row r="1529" spans="1:7" x14ac:dyDescent="0.3">
      <c r="A1529" s="18" t="s">
        <v>97</v>
      </c>
      <c r="B1529" s="12" t="s">
        <v>98</v>
      </c>
      <c r="C1529" s="12" t="s">
        <v>81</v>
      </c>
      <c r="D1529" s="13">
        <v>40929</v>
      </c>
      <c r="E1529" s="12" t="s">
        <v>7</v>
      </c>
      <c r="F1529" s="14">
        <v>18</v>
      </c>
      <c r="G1529" s="19">
        <v>28</v>
      </c>
    </row>
    <row r="1530" spans="1:7" x14ac:dyDescent="0.3">
      <c r="A1530" s="18" t="s">
        <v>97</v>
      </c>
      <c r="B1530" s="12" t="s">
        <v>98</v>
      </c>
      <c r="C1530" s="12" t="s">
        <v>81</v>
      </c>
      <c r="D1530" s="13">
        <v>40929</v>
      </c>
      <c r="E1530" s="12" t="s">
        <v>3</v>
      </c>
      <c r="F1530" s="14">
        <v>34</v>
      </c>
      <c r="G1530" s="19">
        <v>30</v>
      </c>
    </row>
    <row r="1531" spans="1:7" x14ac:dyDescent="0.3">
      <c r="A1531" s="18" t="s">
        <v>97</v>
      </c>
      <c r="B1531" s="12" t="s">
        <v>98</v>
      </c>
      <c r="C1531" s="12" t="s">
        <v>81</v>
      </c>
      <c r="D1531" s="13">
        <v>40929</v>
      </c>
      <c r="E1531" s="12" t="s">
        <v>59</v>
      </c>
      <c r="F1531" s="14">
        <v>12.5</v>
      </c>
      <c r="G1531" s="19">
        <v>24</v>
      </c>
    </row>
    <row r="1532" spans="1:7" x14ac:dyDescent="0.3">
      <c r="A1532" s="18" t="s">
        <v>178</v>
      </c>
      <c r="B1532" s="12" t="s">
        <v>179</v>
      </c>
      <c r="C1532" s="12" t="s">
        <v>79</v>
      </c>
      <c r="D1532" s="13">
        <v>40931</v>
      </c>
      <c r="E1532" s="12" t="s">
        <v>67</v>
      </c>
      <c r="F1532" s="14">
        <v>9.1999999999999993</v>
      </c>
      <c r="G1532" s="19">
        <v>2</v>
      </c>
    </row>
    <row r="1533" spans="1:7" x14ac:dyDescent="0.3">
      <c r="A1533" s="18" t="s">
        <v>178</v>
      </c>
      <c r="B1533" s="12" t="s">
        <v>179</v>
      </c>
      <c r="C1533" s="12" t="s">
        <v>79</v>
      </c>
      <c r="D1533" s="13">
        <v>40931</v>
      </c>
      <c r="E1533" s="12" t="s">
        <v>65</v>
      </c>
      <c r="F1533" s="14">
        <v>18</v>
      </c>
      <c r="G1533" s="19">
        <v>8</v>
      </c>
    </row>
    <row r="1534" spans="1:7" x14ac:dyDescent="0.3">
      <c r="A1534" s="18" t="s">
        <v>178</v>
      </c>
      <c r="B1534" s="12" t="s">
        <v>179</v>
      </c>
      <c r="C1534" s="12" t="s">
        <v>79</v>
      </c>
      <c r="D1534" s="13">
        <v>40931</v>
      </c>
      <c r="E1534" s="12" t="s">
        <v>11</v>
      </c>
      <c r="F1534" s="14">
        <v>263.5</v>
      </c>
      <c r="G1534" s="19">
        <v>8</v>
      </c>
    </row>
    <row r="1535" spans="1:7" x14ac:dyDescent="0.3">
      <c r="A1535" s="18" t="s">
        <v>178</v>
      </c>
      <c r="B1535" s="12" t="s">
        <v>179</v>
      </c>
      <c r="C1535" s="12" t="s">
        <v>79</v>
      </c>
      <c r="D1535" s="13">
        <v>40931</v>
      </c>
      <c r="E1535" s="12" t="s">
        <v>28</v>
      </c>
      <c r="F1535" s="14">
        <v>46</v>
      </c>
      <c r="G1535" s="19">
        <v>9</v>
      </c>
    </row>
    <row r="1536" spans="1:7" x14ac:dyDescent="0.3">
      <c r="A1536" s="18" t="s">
        <v>165</v>
      </c>
      <c r="B1536" s="12" t="s">
        <v>101</v>
      </c>
      <c r="C1536" s="12" t="s">
        <v>77</v>
      </c>
      <c r="D1536" s="13">
        <v>40927</v>
      </c>
      <c r="E1536" s="12" t="s">
        <v>30</v>
      </c>
      <c r="F1536" s="14">
        <v>6</v>
      </c>
      <c r="G1536" s="19">
        <v>3</v>
      </c>
    </row>
    <row r="1537" spans="1:7" x14ac:dyDescent="0.3">
      <c r="A1537" s="18" t="s">
        <v>165</v>
      </c>
      <c r="B1537" s="12" t="s">
        <v>101</v>
      </c>
      <c r="C1537" s="12" t="s">
        <v>77</v>
      </c>
      <c r="D1537" s="13">
        <v>40927</v>
      </c>
      <c r="E1537" s="12" t="s">
        <v>43</v>
      </c>
      <c r="F1537" s="14">
        <v>14</v>
      </c>
      <c r="G1537" s="19">
        <v>10</v>
      </c>
    </row>
    <row r="1538" spans="1:7" x14ac:dyDescent="0.3">
      <c r="A1538" s="18" t="s">
        <v>165</v>
      </c>
      <c r="B1538" s="12" t="s">
        <v>101</v>
      </c>
      <c r="C1538" s="12" t="s">
        <v>77</v>
      </c>
      <c r="D1538" s="13">
        <v>40927</v>
      </c>
      <c r="E1538" s="12" t="s">
        <v>23</v>
      </c>
      <c r="F1538" s="14">
        <v>19.45</v>
      </c>
      <c r="G1538" s="19">
        <v>16</v>
      </c>
    </row>
    <row r="1539" spans="1:7" x14ac:dyDescent="0.3">
      <c r="A1539" s="18" t="s">
        <v>165</v>
      </c>
      <c r="B1539" s="12" t="s">
        <v>101</v>
      </c>
      <c r="C1539" s="12" t="s">
        <v>77</v>
      </c>
      <c r="D1539" s="13">
        <v>40927</v>
      </c>
      <c r="E1539" s="12" t="s">
        <v>75</v>
      </c>
      <c r="F1539" s="14">
        <v>33.25</v>
      </c>
      <c r="G1539" s="19">
        <v>3</v>
      </c>
    </row>
    <row r="1540" spans="1:7" x14ac:dyDescent="0.3">
      <c r="A1540" s="18" t="s">
        <v>182</v>
      </c>
      <c r="B1540" s="12" t="s">
        <v>123</v>
      </c>
      <c r="C1540" s="12" t="s">
        <v>82</v>
      </c>
      <c r="D1540" s="13">
        <v>40931</v>
      </c>
      <c r="E1540" s="12" t="s">
        <v>72</v>
      </c>
      <c r="F1540" s="14">
        <v>30</v>
      </c>
      <c r="G1540" s="19">
        <v>20</v>
      </c>
    </row>
    <row r="1541" spans="1:7" x14ac:dyDescent="0.3">
      <c r="A1541" s="18" t="s">
        <v>182</v>
      </c>
      <c r="B1541" s="12" t="s">
        <v>123</v>
      </c>
      <c r="C1541" s="12" t="s">
        <v>82</v>
      </c>
      <c r="D1541" s="13">
        <v>40931</v>
      </c>
      <c r="E1541" s="12" t="s">
        <v>18</v>
      </c>
      <c r="F1541" s="14">
        <v>12.5</v>
      </c>
      <c r="G1541" s="19">
        <v>9</v>
      </c>
    </row>
    <row r="1542" spans="1:7" x14ac:dyDescent="0.3">
      <c r="A1542" s="18" t="s">
        <v>182</v>
      </c>
      <c r="B1542" s="12" t="s">
        <v>123</v>
      </c>
      <c r="C1542" s="12" t="s">
        <v>82</v>
      </c>
      <c r="D1542" s="13">
        <v>40931</v>
      </c>
      <c r="E1542" s="12" t="s">
        <v>48</v>
      </c>
      <c r="F1542" s="14">
        <v>32.799999999999997</v>
      </c>
      <c r="G1542" s="19">
        <v>9</v>
      </c>
    </row>
    <row r="1543" spans="1:7" x14ac:dyDescent="0.3">
      <c r="A1543" s="18" t="s">
        <v>97</v>
      </c>
      <c r="B1543" s="12" t="s">
        <v>98</v>
      </c>
      <c r="C1543" s="12" t="s">
        <v>83</v>
      </c>
      <c r="D1543" s="13">
        <v>40927</v>
      </c>
      <c r="E1543" s="12" t="s">
        <v>68</v>
      </c>
      <c r="F1543" s="14">
        <v>123.79</v>
      </c>
      <c r="G1543" s="19">
        <v>8</v>
      </c>
    </row>
    <row r="1544" spans="1:7" x14ac:dyDescent="0.3">
      <c r="A1544" s="18" t="s">
        <v>97</v>
      </c>
      <c r="B1544" s="12" t="s">
        <v>98</v>
      </c>
      <c r="C1544" s="12" t="s">
        <v>83</v>
      </c>
      <c r="D1544" s="13">
        <v>40927</v>
      </c>
      <c r="E1544" s="12" t="s">
        <v>41</v>
      </c>
      <c r="F1544" s="14">
        <v>25.89</v>
      </c>
      <c r="G1544" s="19">
        <v>20</v>
      </c>
    </row>
    <row r="1545" spans="1:7" x14ac:dyDescent="0.3">
      <c r="A1545" s="18" t="s">
        <v>201</v>
      </c>
      <c r="B1545" s="12" t="s">
        <v>123</v>
      </c>
      <c r="C1545" s="12" t="s">
        <v>83</v>
      </c>
      <c r="D1545" s="13">
        <v>40929</v>
      </c>
      <c r="E1545" s="12" t="s">
        <v>51</v>
      </c>
      <c r="F1545" s="14">
        <v>55</v>
      </c>
      <c r="G1545" s="19">
        <v>15</v>
      </c>
    </row>
    <row r="1546" spans="1:7" x14ac:dyDescent="0.3">
      <c r="A1546" s="18" t="s">
        <v>201</v>
      </c>
      <c r="B1546" s="12" t="s">
        <v>123</v>
      </c>
      <c r="C1546" s="12" t="s">
        <v>83</v>
      </c>
      <c r="D1546" s="13">
        <v>40929</v>
      </c>
      <c r="E1546" s="12" t="s">
        <v>44</v>
      </c>
      <c r="F1546" s="14">
        <v>13</v>
      </c>
      <c r="G1546" s="19">
        <v>2</v>
      </c>
    </row>
    <row r="1547" spans="1:7" x14ac:dyDescent="0.3">
      <c r="A1547" s="18" t="s">
        <v>110</v>
      </c>
      <c r="B1547" s="12" t="s">
        <v>111</v>
      </c>
      <c r="C1547" s="12" t="s">
        <v>84</v>
      </c>
      <c r="D1547" s="13">
        <v>40929</v>
      </c>
      <c r="E1547" s="12" t="s">
        <v>25</v>
      </c>
      <c r="F1547" s="14">
        <v>21</v>
      </c>
      <c r="G1547" s="19">
        <v>52</v>
      </c>
    </row>
    <row r="1548" spans="1:7" x14ac:dyDescent="0.3">
      <c r="A1548" s="18" t="s">
        <v>110</v>
      </c>
      <c r="B1548" s="12" t="s">
        <v>111</v>
      </c>
      <c r="C1548" s="12" t="s">
        <v>84</v>
      </c>
      <c r="D1548" s="13">
        <v>40929</v>
      </c>
      <c r="E1548" s="12" t="s">
        <v>65</v>
      </c>
      <c r="F1548" s="14">
        <v>18</v>
      </c>
      <c r="G1548" s="19">
        <v>6</v>
      </c>
    </row>
    <row r="1549" spans="1:7" x14ac:dyDescent="0.3">
      <c r="A1549" s="18" t="s">
        <v>110</v>
      </c>
      <c r="B1549" s="12" t="s">
        <v>111</v>
      </c>
      <c r="C1549" s="12" t="s">
        <v>84</v>
      </c>
      <c r="D1549" s="13">
        <v>40929</v>
      </c>
      <c r="E1549" s="12" t="s">
        <v>52</v>
      </c>
      <c r="F1549" s="14">
        <v>19.5</v>
      </c>
      <c r="G1549" s="19">
        <v>24</v>
      </c>
    </row>
    <row r="1550" spans="1:7" x14ac:dyDescent="0.3">
      <c r="A1550" s="18" t="s">
        <v>110</v>
      </c>
      <c r="B1550" s="12" t="s">
        <v>111</v>
      </c>
      <c r="C1550" s="12" t="s">
        <v>84</v>
      </c>
      <c r="D1550" s="13">
        <v>40929</v>
      </c>
      <c r="E1550" s="12" t="s">
        <v>3</v>
      </c>
      <c r="F1550" s="14">
        <v>34</v>
      </c>
      <c r="G1550" s="19">
        <v>60</v>
      </c>
    </row>
    <row r="1551" spans="1:7" x14ac:dyDescent="0.3">
      <c r="A1551" s="18" t="s">
        <v>110</v>
      </c>
      <c r="B1551" s="12" t="s">
        <v>111</v>
      </c>
      <c r="C1551" s="12" t="s">
        <v>84</v>
      </c>
      <c r="D1551" s="13">
        <v>40929</v>
      </c>
      <c r="E1551" s="12" t="s">
        <v>75</v>
      </c>
      <c r="F1551" s="14">
        <v>33.25</v>
      </c>
      <c r="G1551" s="19">
        <v>30</v>
      </c>
    </row>
    <row r="1552" spans="1:7" x14ac:dyDescent="0.3">
      <c r="A1552" s="18" t="s">
        <v>133</v>
      </c>
      <c r="B1552" s="12" t="s">
        <v>119</v>
      </c>
      <c r="C1552" s="12" t="s">
        <v>78</v>
      </c>
      <c r="D1552" s="13">
        <v>40931</v>
      </c>
      <c r="E1552" s="12" t="s">
        <v>30</v>
      </c>
      <c r="F1552" s="14">
        <v>6</v>
      </c>
      <c r="G1552" s="19">
        <v>6</v>
      </c>
    </row>
    <row r="1553" spans="1:7" x14ac:dyDescent="0.3">
      <c r="A1553" s="18" t="s">
        <v>133</v>
      </c>
      <c r="B1553" s="12" t="s">
        <v>119</v>
      </c>
      <c r="C1553" s="12" t="s">
        <v>78</v>
      </c>
      <c r="D1553" s="13">
        <v>40931</v>
      </c>
      <c r="E1553" s="12" t="s">
        <v>2</v>
      </c>
      <c r="F1553" s="14">
        <v>18.399999999999999</v>
      </c>
      <c r="G1553" s="19">
        <v>25</v>
      </c>
    </row>
    <row r="1554" spans="1:7" x14ac:dyDescent="0.3">
      <c r="A1554" s="18" t="s">
        <v>133</v>
      </c>
      <c r="B1554" s="12" t="s">
        <v>119</v>
      </c>
      <c r="C1554" s="12" t="s">
        <v>78</v>
      </c>
      <c r="D1554" s="13">
        <v>40931</v>
      </c>
      <c r="E1554" s="12" t="s">
        <v>76</v>
      </c>
      <c r="F1554" s="14">
        <v>9.5</v>
      </c>
      <c r="G1554" s="19">
        <v>40</v>
      </c>
    </row>
    <row r="1555" spans="1:7" x14ac:dyDescent="0.3">
      <c r="A1555" s="18" t="s">
        <v>133</v>
      </c>
      <c r="B1555" s="12" t="s">
        <v>119</v>
      </c>
      <c r="C1555" s="12" t="s">
        <v>78</v>
      </c>
      <c r="D1555" s="13">
        <v>40931</v>
      </c>
      <c r="E1555" s="12" t="s">
        <v>31</v>
      </c>
      <c r="F1555" s="14">
        <v>18</v>
      </c>
      <c r="G1555" s="19">
        <v>21</v>
      </c>
    </row>
    <row r="1556" spans="1:7" x14ac:dyDescent="0.3">
      <c r="A1556" s="18" t="s">
        <v>181</v>
      </c>
      <c r="B1556" s="12" t="s">
        <v>109</v>
      </c>
      <c r="C1556" s="12" t="s">
        <v>79</v>
      </c>
      <c r="D1556" s="13">
        <v>40931</v>
      </c>
      <c r="E1556" s="12" t="s">
        <v>5</v>
      </c>
      <c r="F1556" s="14">
        <v>18</v>
      </c>
      <c r="G1556" s="19">
        <v>4</v>
      </c>
    </row>
    <row r="1557" spans="1:7" x14ac:dyDescent="0.3">
      <c r="A1557" s="18" t="s">
        <v>181</v>
      </c>
      <c r="B1557" s="12" t="s">
        <v>109</v>
      </c>
      <c r="C1557" s="12" t="s">
        <v>79</v>
      </c>
      <c r="D1557" s="13">
        <v>40931</v>
      </c>
      <c r="E1557" s="12" t="s">
        <v>4</v>
      </c>
      <c r="F1557" s="14">
        <v>62.5</v>
      </c>
      <c r="G1557" s="19">
        <v>25</v>
      </c>
    </row>
    <row r="1558" spans="1:7" x14ac:dyDescent="0.3">
      <c r="A1558" s="18" t="s">
        <v>181</v>
      </c>
      <c r="B1558" s="12" t="s">
        <v>109</v>
      </c>
      <c r="C1558" s="12" t="s">
        <v>79</v>
      </c>
      <c r="D1558" s="13">
        <v>40931</v>
      </c>
      <c r="E1558" s="12" t="s">
        <v>27</v>
      </c>
      <c r="F1558" s="14">
        <v>19</v>
      </c>
      <c r="G1558" s="19">
        <v>50</v>
      </c>
    </row>
    <row r="1559" spans="1:7" x14ac:dyDescent="0.3">
      <c r="A1559" s="18" t="s">
        <v>97</v>
      </c>
      <c r="B1559" s="12" t="s">
        <v>98</v>
      </c>
      <c r="C1559" s="12" t="s">
        <v>79</v>
      </c>
      <c r="D1559" s="13">
        <v>40930</v>
      </c>
      <c r="E1559" s="12" t="s">
        <v>12</v>
      </c>
      <c r="F1559" s="14">
        <v>13.25</v>
      </c>
      <c r="G1559" s="19">
        <v>30</v>
      </c>
    </row>
    <row r="1560" spans="1:7" x14ac:dyDescent="0.3">
      <c r="A1560" s="18" t="s">
        <v>97</v>
      </c>
      <c r="B1560" s="12" t="s">
        <v>98</v>
      </c>
      <c r="C1560" s="12" t="s">
        <v>79</v>
      </c>
      <c r="D1560" s="13">
        <v>40930</v>
      </c>
      <c r="E1560" s="12" t="s">
        <v>40</v>
      </c>
      <c r="F1560" s="14">
        <v>34.799999999999997</v>
      </c>
      <c r="G1560" s="19">
        <v>15</v>
      </c>
    </row>
    <row r="1561" spans="1:7" x14ac:dyDescent="0.3">
      <c r="A1561" s="18" t="s">
        <v>181</v>
      </c>
      <c r="B1561" s="12" t="s">
        <v>109</v>
      </c>
      <c r="C1561" s="12" t="s">
        <v>81</v>
      </c>
      <c r="D1561" s="13">
        <v>40955</v>
      </c>
      <c r="E1561" s="12" t="s">
        <v>43</v>
      </c>
      <c r="F1561" s="14">
        <v>14</v>
      </c>
      <c r="G1561" s="19">
        <v>6</v>
      </c>
    </row>
    <row r="1562" spans="1:7" x14ac:dyDescent="0.3">
      <c r="A1562" s="18" t="s">
        <v>181</v>
      </c>
      <c r="B1562" s="12" t="s">
        <v>109</v>
      </c>
      <c r="C1562" s="12" t="s">
        <v>81</v>
      </c>
      <c r="D1562" s="13">
        <v>40955</v>
      </c>
      <c r="E1562" s="12" t="s">
        <v>7</v>
      </c>
      <c r="F1562" s="14">
        <v>18</v>
      </c>
      <c r="G1562" s="19">
        <v>10</v>
      </c>
    </row>
    <row r="1563" spans="1:7" x14ac:dyDescent="0.3">
      <c r="A1563" s="18" t="s">
        <v>102</v>
      </c>
      <c r="B1563" s="12" t="s">
        <v>103</v>
      </c>
      <c r="C1563" s="12" t="s">
        <v>85</v>
      </c>
      <c r="D1563" s="13">
        <v>40937</v>
      </c>
      <c r="E1563" s="12" t="s">
        <v>26</v>
      </c>
      <c r="F1563" s="14">
        <v>31</v>
      </c>
      <c r="G1563" s="19">
        <v>16</v>
      </c>
    </row>
    <row r="1564" spans="1:7" x14ac:dyDescent="0.3">
      <c r="A1564" s="18" t="s">
        <v>102</v>
      </c>
      <c r="B1564" s="12" t="s">
        <v>103</v>
      </c>
      <c r="C1564" s="12" t="s">
        <v>85</v>
      </c>
      <c r="D1564" s="13">
        <v>40937</v>
      </c>
      <c r="E1564" s="12" t="s">
        <v>17</v>
      </c>
      <c r="F1564" s="14">
        <v>38</v>
      </c>
      <c r="G1564" s="19">
        <v>30</v>
      </c>
    </row>
    <row r="1565" spans="1:7" x14ac:dyDescent="0.3">
      <c r="A1565" s="18" t="s">
        <v>102</v>
      </c>
      <c r="B1565" s="12" t="s">
        <v>103</v>
      </c>
      <c r="C1565" s="12" t="s">
        <v>85</v>
      </c>
      <c r="D1565" s="13">
        <v>40937</v>
      </c>
      <c r="E1565" s="12" t="s">
        <v>51</v>
      </c>
      <c r="F1565" s="14">
        <v>55</v>
      </c>
      <c r="G1565" s="19">
        <v>50</v>
      </c>
    </row>
    <row r="1566" spans="1:7" x14ac:dyDescent="0.3">
      <c r="A1566" s="18" t="s">
        <v>102</v>
      </c>
      <c r="B1566" s="12" t="s">
        <v>103</v>
      </c>
      <c r="C1566" s="12" t="s">
        <v>85</v>
      </c>
      <c r="D1566" s="13">
        <v>40937</v>
      </c>
      <c r="E1566" s="12" t="s">
        <v>44</v>
      </c>
      <c r="F1566" s="14">
        <v>13</v>
      </c>
      <c r="G1566" s="19">
        <v>15</v>
      </c>
    </row>
    <row r="1567" spans="1:7" x14ac:dyDescent="0.3">
      <c r="A1567" s="18" t="s">
        <v>131</v>
      </c>
      <c r="B1567" s="12" t="s">
        <v>113</v>
      </c>
      <c r="C1567" s="12" t="s">
        <v>83</v>
      </c>
      <c r="D1567" s="13">
        <v>40937</v>
      </c>
      <c r="E1567" s="12" t="s">
        <v>49</v>
      </c>
      <c r="F1567" s="14">
        <v>21</v>
      </c>
      <c r="G1567" s="19">
        <v>15</v>
      </c>
    </row>
    <row r="1568" spans="1:7" x14ac:dyDescent="0.3">
      <c r="A1568" s="18" t="s">
        <v>131</v>
      </c>
      <c r="B1568" s="12" t="s">
        <v>113</v>
      </c>
      <c r="C1568" s="12" t="s">
        <v>83</v>
      </c>
      <c r="D1568" s="13">
        <v>40937</v>
      </c>
      <c r="E1568" s="12" t="s">
        <v>28</v>
      </c>
      <c r="F1568" s="14">
        <v>46</v>
      </c>
      <c r="G1568" s="19">
        <v>5</v>
      </c>
    </row>
    <row r="1569" spans="1:7" x14ac:dyDescent="0.3">
      <c r="A1569" s="18" t="s">
        <v>131</v>
      </c>
      <c r="B1569" s="12" t="s">
        <v>113</v>
      </c>
      <c r="C1569" s="12" t="s">
        <v>83</v>
      </c>
      <c r="D1569" s="13">
        <v>40937</v>
      </c>
      <c r="E1569" s="12" t="s">
        <v>59</v>
      </c>
      <c r="F1569" s="14">
        <v>12.5</v>
      </c>
      <c r="G1569" s="19">
        <v>20</v>
      </c>
    </row>
    <row r="1570" spans="1:7" x14ac:dyDescent="0.3">
      <c r="A1570" s="18" t="s">
        <v>131</v>
      </c>
      <c r="B1570" s="12" t="s">
        <v>113</v>
      </c>
      <c r="C1570" s="12" t="s">
        <v>83</v>
      </c>
      <c r="D1570" s="13">
        <v>40937</v>
      </c>
      <c r="E1570" s="12" t="s">
        <v>45</v>
      </c>
      <c r="F1570" s="14">
        <v>15</v>
      </c>
      <c r="G1570" s="19">
        <v>12</v>
      </c>
    </row>
    <row r="1571" spans="1:7" x14ac:dyDescent="0.3">
      <c r="A1571" s="18" t="s">
        <v>100</v>
      </c>
      <c r="B1571" s="12" t="s">
        <v>101</v>
      </c>
      <c r="C1571" s="12" t="s">
        <v>81</v>
      </c>
      <c r="D1571" s="13">
        <v>40934</v>
      </c>
      <c r="E1571" s="12" t="s">
        <v>36</v>
      </c>
      <c r="F1571" s="14">
        <v>53</v>
      </c>
      <c r="G1571" s="19">
        <v>4</v>
      </c>
    </row>
    <row r="1572" spans="1:7" x14ac:dyDescent="0.3">
      <c r="A1572" s="18" t="s">
        <v>166</v>
      </c>
      <c r="B1572" s="12" t="s">
        <v>111</v>
      </c>
      <c r="C1572" s="12" t="s">
        <v>80</v>
      </c>
      <c r="D1572" s="13">
        <v>40934</v>
      </c>
      <c r="E1572" s="12" t="s">
        <v>25</v>
      </c>
      <c r="F1572" s="14">
        <v>21</v>
      </c>
      <c r="G1572" s="19">
        <v>35</v>
      </c>
    </row>
    <row r="1573" spans="1:7" x14ac:dyDescent="0.3">
      <c r="A1573" s="18" t="s">
        <v>127</v>
      </c>
      <c r="B1573" s="12" t="s">
        <v>123</v>
      </c>
      <c r="C1573" s="12" t="s">
        <v>80</v>
      </c>
      <c r="D1573" s="13">
        <v>40938</v>
      </c>
      <c r="E1573" s="12" t="s">
        <v>71</v>
      </c>
      <c r="F1573" s="14">
        <v>9</v>
      </c>
      <c r="G1573" s="19">
        <v>70</v>
      </c>
    </row>
    <row r="1574" spans="1:7" x14ac:dyDescent="0.3">
      <c r="A1574" s="18" t="s">
        <v>127</v>
      </c>
      <c r="B1574" s="12" t="s">
        <v>123</v>
      </c>
      <c r="C1574" s="12" t="s">
        <v>80</v>
      </c>
      <c r="D1574" s="13">
        <v>40938</v>
      </c>
      <c r="E1574" s="12" t="s">
        <v>65</v>
      </c>
      <c r="F1574" s="14">
        <v>18</v>
      </c>
      <c r="G1574" s="19">
        <v>25</v>
      </c>
    </row>
    <row r="1575" spans="1:7" x14ac:dyDescent="0.3">
      <c r="A1575" s="18" t="s">
        <v>127</v>
      </c>
      <c r="B1575" s="12" t="s">
        <v>123</v>
      </c>
      <c r="C1575" s="12" t="s">
        <v>80</v>
      </c>
      <c r="D1575" s="13">
        <v>40938</v>
      </c>
      <c r="E1575" s="12" t="s">
        <v>60</v>
      </c>
      <c r="F1575" s="14">
        <v>14</v>
      </c>
      <c r="G1575" s="19">
        <v>42</v>
      </c>
    </row>
    <row r="1576" spans="1:7" x14ac:dyDescent="0.3">
      <c r="A1576" s="18" t="s">
        <v>127</v>
      </c>
      <c r="B1576" s="12" t="s">
        <v>123</v>
      </c>
      <c r="C1576" s="12" t="s">
        <v>80</v>
      </c>
      <c r="D1576" s="13">
        <v>40938</v>
      </c>
      <c r="E1576" s="12" t="s">
        <v>12</v>
      </c>
      <c r="F1576" s="14">
        <v>13.25</v>
      </c>
      <c r="G1576" s="19">
        <v>60</v>
      </c>
    </row>
    <row r="1577" spans="1:7" x14ac:dyDescent="0.3">
      <c r="A1577" s="18" t="s">
        <v>127</v>
      </c>
      <c r="B1577" s="12" t="s">
        <v>123</v>
      </c>
      <c r="C1577" s="12" t="s">
        <v>80</v>
      </c>
      <c r="D1577" s="13">
        <v>40938</v>
      </c>
      <c r="E1577" s="12" t="s">
        <v>75</v>
      </c>
      <c r="F1577" s="14">
        <v>33.25</v>
      </c>
      <c r="G1577" s="19">
        <v>48</v>
      </c>
    </row>
    <row r="1578" spans="1:7" x14ac:dyDescent="0.3">
      <c r="A1578" s="18" t="s">
        <v>102</v>
      </c>
      <c r="B1578" s="12" t="s">
        <v>103</v>
      </c>
      <c r="C1578" s="12" t="s">
        <v>77</v>
      </c>
      <c r="D1578" s="13">
        <v>40931</v>
      </c>
      <c r="E1578" s="12" t="s">
        <v>8</v>
      </c>
      <c r="F1578" s="14">
        <v>22</v>
      </c>
      <c r="G1578" s="19">
        <v>21</v>
      </c>
    </row>
    <row r="1579" spans="1:7" x14ac:dyDescent="0.3">
      <c r="A1579" s="18" t="s">
        <v>102</v>
      </c>
      <c r="B1579" s="12" t="s">
        <v>103</v>
      </c>
      <c r="C1579" s="12" t="s">
        <v>77</v>
      </c>
      <c r="D1579" s="13">
        <v>40931</v>
      </c>
      <c r="E1579" s="12" t="s">
        <v>45</v>
      </c>
      <c r="F1579" s="14">
        <v>15</v>
      </c>
      <c r="G1579" s="19">
        <v>30</v>
      </c>
    </row>
    <row r="1580" spans="1:7" x14ac:dyDescent="0.3">
      <c r="A1580" s="18" t="s">
        <v>102</v>
      </c>
      <c r="B1580" s="12" t="s">
        <v>103</v>
      </c>
      <c r="C1580" s="12" t="s">
        <v>77</v>
      </c>
      <c r="D1580" s="13">
        <v>40931</v>
      </c>
      <c r="E1580" s="12" t="s">
        <v>33</v>
      </c>
      <c r="F1580" s="14">
        <v>10</v>
      </c>
      <c r="G1580" s="19">
        <v>20</v>
      </c>
    </row>
    <row r="1581" spans="1:7" x14ac:dyDescent="0.3">
      <c r="A1581" s="18" t="s">
        <v>154</v>
      </c>
      <c r="B1581" s="12" t="s">
        <v>115</v>
      </c>
      <c r="C1581" s="12" t="s">
        <v>81</v>
      </c>
      <c r="D1581" s="13">
        <v>40949</v>
      </c>
      <c r="E1581" s="12" t="s">
        <v>5</v>
      </c>
      <c r="F1581" s="14">
        <v>18</v>
      </c>
      <c r="G1581" s="19">
        <v>80</v>
      </c>
    </row>
    <row r="1582" spans="1:7" x14ac:dyDescent="0.3">
      <c r="A1582" s="18" t="s">
        <v>154</v>
      </c>
      <c r="B1582" s="12" t="s">
        <v>115</v>
      </c>
      <c r="C1582" s="12" t="s">
        <v>81</v>
      </c>
      <c r="D1582" s="13">
        <v>40949</v>
      </c>
      <c r="E1582" s="12" t="s">
        <v>67</v>
      </c>
      <c r="F1582" s="14">
        <v>9.1999999999999993</v>
      </c>
      <c r="G1582" s="19">
        <v>12</v>
      </c>
    </row>
    <row r="1583" spans="1:7" x14ac:dyDescent="0.3">
      <c r="A1583" s="18" t="s">
        <v>154</v>
      </c>
      <c r="B1583" s="12" t="s">
        <v>115</v>
      </c>
      <c r="C1583" s="12" t="s">
        <v>81</v>
      </c>
      <c r="D1583" s="13">
        <v>40949</v>
      </c>
      <c r="E1583" s="12" t="s">
        <v>20</v>
      </c>
      <c r="F1583" s="14">
        <v>26</v>
      </c>
      <c r="G1583" s="19">
        <v>60</v>
      </c>
    </row>
    <row r="1584" spans="1:7" x14ac:dyDescent="0.3">
      <c r="A1584" s="18" t="s">
        <v>154</v>
      </c>
      <c r="B1584" s="12" t="s">
        <v>115</v>
      </c>
      <c r="C1584" s="12" t="s">
        <v>81</v>
      </c>
      <c r="D1584" s="13">
        <v>40949</v>
      </c>
      <c r="E1584" s="12" t="s">
        <v>55</v>
      </c>
      <c r="F1584" s="14">
        <v>9.5</v>
      </c>
      <c r="G1584" s="19">
        <v>36</v>
      </c>
    </row>
    <row r="1585" spans="1:7" x14ac:dyDescent="0.3">
      <c r="A1585" s="18" t="s">
        <v>154</v>
      </c>
      <c r="B1585" s="12" t="s">
        <v>115</v>
      </c>
      <c r="C1585" s="12" t="s">
        <v>81</v>
      </c>
      <c r="D1585" s="13">
        <v>40949</v>
      </c>
      <c r="E1585" s="12" t="s">
        <v>3</v>
      </c>
      <c r="F1585" s="14">
        <v>34</v>
      </c>
      <c r="G1585" s="19">
        <v>45</v>
      </c>
    </row>
    <row r="1586" spans="1:7" x14ac:dyDescent="0.3">
      <c r="A1586" s="18" t="s">
        <v>154</v>
      </c>
      <c r="B1586" s="12" t="s">
        <v>115</v>
      </c>
      <c r="C1586" s="12" t="s">
        <v>81</v>
      </c>
      <c r="D1586" s="13">
        <v>40949</v>
      </c>
      <c r="E1586" s="12" t="s">
        <v>14</v>
      </c>
      <c r="F1586" s="14">
        <v>21.5</v>
      </c>
      <c r="G1586" s="19">
        <v>55</v>
      </c>
    </row>
    <row r="1587" spans="1:7" x14ac:dyDescent="0.3">
      <c r="A1587" s="18" t="s">
        <v>188</v>
      </c>
      <c r="B1587" s="12" t="s">
        <v>141</v>
      </c>
      <c r="C1587" s="12" t="s">
        <v>84</v>
      </c>
      <c r="D1587" s="13">
        <v>40937</v>
      </c>
      <c r="E1587" s="12" t="s">
        <v>9</v>
      </c>
      <c r="F1587" s="14">
        <v>21.35</v>
      </c>
      <c r="G1587" s="19">
        <v>30</v>
      </c>
    </row>
    <row r="1588" spans="1:7" x14ac:dyDescent="0.3">
      <c r="A1588" s="18" t="s">
        <v>188</v>
      </c>
      <c r="B1588" s="12" t="s">
        <v>141</v>
      </c>
      <c r="C1588" s="12" t="s">
        <v>84</v>
      </c>
      <c r="D1588" s="13">
        <v>40937</v>
      </c>
      <c r="E1588" s="12" t="s">
        <v>39</v>
      </c>
      <c r="F1588" s="14">
        <v>97</v>
      </c>
      <c r="G1588" s="19">
        <v>3</v>
      </c>
    </row>
    <row r="1589" spans="1:7" x14ac:dyDescent="0.3">
      <c r="A1589" s="18" t="s">
        <v>153</v>
      </c>
      <c r="B1589" s="12" t="s">
        <v>123</v>
      </c>
      <c r="C1589" s="12" t="s">
        <v>78</v>
      </c>
      <c r="D1589" s="13">
        <v>40938</v>
      </c>
      <c r="E1589" s="12" t="s">
        <v>1</v>
      </c>
      <c r="F1589" s="14">
        <v>10</v>
      </c>
      <c r="G1589" s="19">
        <v>49</v>
      </c>
    </row>
    <row r="1590" spans="1:7" x14ac:dyDescent="0.3">
      <c r="A1590" s="18" t="s">
        <v>153</v>
      </c>
      <c r="B1590" s="12" t="s">
        <v>123</v>
      </c>
      <c r="C1590" s="12" t="s">
        <v>78</v>
      </c>
      <c r="D1590" s="13">
        <v>40938</v>
      </c>
      <c r="E1590" s="12" t="s">
        <v>24</v>
      </c>
      <c r="F1590" s="14">
        <v>31.23</v>
      </c>
      <c r="G1590" s="19">
        <v>18</v>
      </c>
    </row>
    <row r="1591" spans="1:7" x14ac:dyDescent="0.3">
      <c r="A1591" s="18" t="s">
        <v>100</v>
      </c>
      <c r="B1591" s="12" t="s">
        <v>101</v>
      </c>
      <c r="C1591" s="12" t="s">
        <v>83</v>
      </c>
      <c r="D1591" s="13">
        <v>40938</v>
      </c>
      <c r="E1591" s="12" t="s">
        <v>43</v>
      </c>
      <c r="F1591" s="14">
        <v>14</v>
      </c>
      <c r="G1591" s="19">
        <v>20</v>
      </c>
    </row>
    <row r="1592" spans="1:7" x14ac:dyDescent="0.3">
      <c r="A1592" s="18" t="s">
        <v>100</v>
      </c>
      <c r="B1592" s="12" t="s">
        <v>101</v>
      </c>
      <c r="C1592" s="12" t="s">
        <v>83</v>
      </c>
      <c r="D1592" s="13">
        <v>40938</v>
      </c>
      <c r="E1592" s="12" t="s">
        <v>15</v>
      </c>
      <c r="F1592" s="14">
        <v>2.5</v>
      </c>
      <c r="G1592" s="19">
        <v>4</v>
      </c>
    </row>
    <row r="1593" spans="1:7" x14ac:dyDescent="0.3">
      <c r="A1593" s="18" t="s">
        <v>100</v>
      </c>
      <c r="B1593" s="12" t="s">
        <v>101</v>
      </c>
      <c r="C1593" s="12" t="s">
        <v>83</v>
      </c>
      <c r="D1593" s="13">
        <v>40938</v>
      </c>
      <c r="E1593" s="12" t="s">
        <v>45</v>
      </c>
      <c r="F1593" s="14">
        <v>15</v>
      </c>
      <c r="G1593" s="19">
        <v>30</v>
      </c>
    </row>
    <row r="1594" spans="1:7" x14ac:dyDescent="0.3">
      <c r="A1594" s="18" t="s">
        <v>138</v>
      </c>
      <c r="B1594" s="12" t="s">
        <v>98</v>
      </c>
      <c r="C1594" s="12" t="s">
        <v>85</v>
      </c>
      <c r="D1594" s="13">
        <v>40941</v>
      </c>
      <c r="E1594" s="12" t="s">
        <v>6</v>
      </c>
      <c r="F1594" s="14">
        <v>19</v>
      </c>
      <c r="G1594" s="19">
        <v>5</v>
      </c>
    </row>
    <row r="1595" spans="1:7" x14ac:dyDescent="0.3">
      <c r="A1595" s="18" t="s">
        <v>138</v>
      </c>
      <c r="B1595" s="12" t="s">
        <v>98</v>
      </c>
      <c r="C1595" s="12" t="s">
        <v>85</v>
      </c>
      <c r="D1595" s="13">
        <v>40941</v>
      </c>
      <c r="E1595" s="12" t="s">
        <v>43</v>
      </c>
      <c r="F1595" s="14">
        <v>14</v>
      </c>
      <c r="G1595" s="19">
        <v>10</v>
      </c>
    </row>
    <row r="1596" spans="1:7" x14ac:dyDescent="0.3">
      <c r="A1596" s="18" t="s">
        <v>138</v>
      </c>
      <c r="B1596" s="12" t="s">
        <v>98</v>
      </c>
      <c r="C1596" s="12" t="s">
        <v>85</v>
      </c>
      <c r="D1596" s="13">
        <v>40941</v>
      </c>
      <c r="E1596" s="12" t="s">
        <v>52</v>
      </c>
      <c r="F1596" s="14">
        <v>19.5</v>
      </c>
      <c r="G1596" s="19">
        <v>10</v>
      </c>
    </row>
    <row r="1597" spans="1:7" x14ac:dyDescent="0.3">
      <c r="A1597" s="18" t="s">
        <v>138</v>
      </c>
      <c r="B1597" s="12" t="s">
        <v>98</v>
      </c>
      <c r="C1597" s="12" t="s">
        <v>85</v>
      </c>
      <c r="D1597" s="13">
        <v>40941</v>
      </c>
      <c r="E1597" s="12" t="s">
        <v>51</v>
      </c>
      <c r="F1597" s="14">
        <v>55</v>
      </c>
      <c r="G1597" s="19">
        <v>42</v>
      </c>
    </row>
    <row r="1598" spans="1:7" x14ac:dyDescent="0.3">
      <c r="A1598" s="18" t="s">
        <v>117</v>
      </c>
      <c r="B1598" s="12" t="s">
        <v>115</v>
      </c>
      <c r="C1598" s="12" t="s">
        <v>80</v>
      </c>
      <c r="D1598" s="13">
        <v>40938</v>
      </c>
      <c r="E1598" s="12" t="s">
        <v>6</v>
      </c>
      <c r="F1598" s="14">
        <v>19</v>
      </c>
      <c r="G1598" s="19">
        <v>15</v>
      </c>
    </row>
    <row r="1599" spans="1:7" x14ac:dyDescent="0.3">
      <c r="A1599" s="18" t="s">
        <v>117</v>
      </c>
      <c r="B1599" s="12" t="s">
        <v>115</v>
      </c>
      <c r="C1599" s="12" t="s">
        <v>80</v>
      </c>
      <c r="D1599" s="13">
        <v>40938</v>
      </c>
      <c r="E1599" s="12" t="s">
        <v>0</v>
      </c>
      <c r="F1599" s="14">
        <v>39</v>
      </c>
      <c r="G1599" s="19">
        <v>6</v>
      </c>
    </row>
    <row r="1600" spans="1:7" x14ac:dyDescent="0.3">
      <c r="A1600" s="18" t="s">
        <v>117</v>
      </c>
      <c r="B1600" s="12" t="s">
        <v>115</v>
      </c>
      <c r="C1600" s="12" t="s">
        <v>80</v>
      </c>
      <c r="D1600" s="13">
        <v>40938</v>
      </c>
      <c r="E1600" s="12" t="s">
        <v>66</v>
      </c>
      <c r="F1600" s="14">
        <v>49.3</v>
      </c>
      <c r="G1600" s="19">
        <v>50</v>
      </c>
    </row>
    <row r="1601" spans="1:7" x14ac:dyDescent="0.3">
      <c r="A1601" s="18" t="s">
        <v>193</v>
      </c>
      <c r="B1601" s="12" t="s">
        <v>123</v>
      </c>
      <c r="C1601" s="12" t="s">
        <v>78</v>
      </c>
      <c r="D1601" s="13">
        <v>40942</v>
      </c>
      <c r="E1601" s="12" t="s">
        <v>4</v>
      </c>
      <c r="F1601" s="14">
        <v>62.5</v>
      </c>
      <c r="G1601" s="19">
        <v>10</v>
      </c>
    </row>
    <row r="1602" spans="1:7" x14ac:dyDescent="0.3">
      <c r="A1602" s="18" t="s">
        <v>110</v>
      </c>
      <c r="B1602" s="12" t="s">
        <v>111</v>
      </c>
      <c r="C1602" s="12" t="s">
        <v>79</v>
      </c>
      <c r="D1602" s="13">
        <v>40944</v>
      </c>
      <c r="E1602" s="12" t="s">
        <v>26</v>
      </c>
      <c r="F1602" s="14">
        <v>31</v>
      </c>
      <c r="G1602" s="19">
        <v>100</v>
      </c>
    </row>
    <row r="1603" spans="1:7" x14ac:dyDescent="0.3">
      <c r="A1603" s="18" t="s">
        <v>110</v>
      </c>
      <c r="B1603" s="12" t="s">
        <v>111</v>
      </c>
      <c r="C1603" s="12" t="s">
        <v>79</v>
      </c>
      <c r="D1603" s="13">
        <v>40944</v>
      </c>
      <c r="E1603" s="12" t="s">
        <v>30</v>
      </c>
      <c r="F1603" s="14">
        <v>6</v>
      </c>
      <c r="G1603" s="19">
        <v>65</v>
      </c>
    </row>
    <row r="1604" spans="1:7" x14ac:dyDescent="0.3">
      <c r="A1604" s="18" t="s">
        <v>114</v>
      </c>
      <c r="B1604" s="12" t="s">
        <v>115</v>
      </c>
      <c r="C1604" s="12" t="s">
        <v>79</v>
      </c>
      <c r="D1604" s="13">
        <v>40943</v>
      </c>
      <c r="E1604" s="12" t="s">
        <v>47</v>
      </c>
      <c r="F1604" s="14">
        <v>17.45</v>
      </c>
      <c r="G1604" s="19">
        <v>50</v>
      </c>
    </row>
    <row r="1605" spans="1:7" x14ac:dyDescent="0.3">
      <c r="A1605" s="18" t="s">
        <v>114</v>
      </c>
      <c r="B1605" s="12" t="s">
        <v>115</v>
      </c>
      <c r="C1605" s="12" t="s">
        <v>79</v>
      </c>
      <c r="D1605" s="13">
        <v>40943</v>
      </c>
      <c r="E1605" s="12" t="s">
        <v>18</v>
      </c>
      <c r="F1605" s="14">
        <v>12.5</v>
      </c>
      <c r="G1605" s="19">
        <v>14</v>
      </c>
    </row>
    <row r="1606" spans="1:7" x14ac:dyDescent="0.3">
      <c r="A1606" s="18" t="s">
        <v>114</v>
      </c>
      <c r="B1606" s="12" t="s">
        <v>115</v>
      </c>
      <c r="C1606" s="12" t="s">
        <v>79</v>
      </c>
      <c r="D1606" s="13">
        <v>40943</v>
      </c>
      <c r="E1606" s="12" t="s">
        <v>17</v>
      </c>
      <c r="F1606" s="14">
        <v>38</v>
      </c>
      <c r="G1606" s="19">
        <v>24</v>
      </c>
    </row>
    <row r="1607" spans="1:7" x14ac:dyDescent="0.3">
      <c r="A1607" s="18" t="s">
        <v>114</v>
      </c>
      <c r="B1607" s="12" t="s">
        <v>115</v>
      </c>
      <c r="C1607" s="12" t="s">
        <v>79</v>
      </c>
      <c r="D1607" s="13">
        <v>40943</v>
      </c>
      <c r="E1607" s="12" t="s">
        <v>34</v>
      </c>
      <c r="F1607" s="14">
        <v>21.05</v>
      </c>
      <c r="G1607" s="19">
        <v>15</v>
      </c>
    </row>
    <row r="1608" spans="1:7" x14ac:dyDescent="0.3">
      <c r="A1608" s="18" t="s">
        <v>171</v>
      </c>
      <c r="B1608" s="12" t="s">
        <v>113</v>
      </c>
      <c r="C1608" s="12" t="s">
        <v>79</v>
      </c>
      <c r="D1608" s="13">
        <v>40949</v>
      </c>
      <c r="E1608" s="12" t="s">
        <v>6</v>
      </c>
      <c r="F1608" s="14">
        <v>19</v>
      </c>
      <c r="G1608" s="19">
        <v>20</v>
      </c>
    </row>
    <row r="1609" spans="1:7" x14ac:dyDescent="0.3">
      <c r="A1609" s="18" t="s">
        <v>171</v>
      </c>
      <c r="B1609" s="12" t="s">
        <v>113</v>
      </c>
      <c r="C1609" s="12" t="s">
        <v>79</v>
      </c>
      <c r="D1609" s="13">
        <v>40949</v>
      </c>
      <c r="E1609" s="12" t="s">
        <v>60</v>
      </c>
      <c r="F1609" s="14">
        <v>14</v>
      </c>
      <c r="G1609" s="19">
        <v>20</v>
      </c>
    </row>
    <row r="1610" spans="1:7" x14ac:dyDescent="0.3">
      <c r="A1610" s="18" t="s">
        <v>133</v>
      </c>
      <c r="B1610" s="12" t="s">
        <v>119</v>
      </c>
      <c r="C1610" s="12" t="s">
        <v>80</v>
      </c>
      <c r="D1610" s="13">
        <v>40945</v>
      </c>
      <c r="E1610" s="12" t="s">
        <v>1</v>
      </c>
      <c r="F1610" s="14">
        <v>10</v>
      </c>
      <c r="G1610" s="19">
        <v>30</v>
      </c>
    </row>
    <row r="1611" spans="1:7" x14ac:dyDescent="0.3">
      <c r="A1611" s="18" t="s">
        <v>133</v>
      </c>
      <c r="B1611" s="12" t="s">
        <v>119</v>
      </c>
      <c r="C1611" s="12" t="s">
        <v>80</v>
      </c>
      <c r="D1611" s="13">
        <v>40945</v>
      </c>
      <c r="E1611" s="12" t="s">
        <v>24</v>
      </c>
      <c r="F1611" s="14">
        <v>31.23</v>
      </c>
      <c r="G1611" s="19">
        <v>35</v>
      </c>
    </row>
    <row r="1612" spans="1:7" x14ac:dyDescent="0.3">
      <c r="A1612" s="18" t="s">
        <v>133</v>
      </c>
      <c r="B1612" s="12" t="s">
        <v>119</v>
      </c>
      <c r="C1612" s="12" t="s">
        <v>80</v>
      </c>
      <c r="D1612" s="13">
        <v>40945</v>
      </c>
      <c r="E1612" s="12" t="s">
        <v>68</v>
      </c>
      <c r="F1612" s="14">
        <v>123.79</v>
      </c>
      <c r="G1612" s="19">
        <v>10</v>
      </c>
    </row>
    <row r="1613" spans="1:7" x14ac:dyDescent="0.3">
      <c r="A1613" s="18" t="s">
        <v>204</v>
      </c>
      <c r="B1613" s="12" t="s">
        <v>101</v>
      </c>
      <c r="C1613" s="12" t="s">
        <v>77</v>
      </c>
      <c r="D1613" s="13">
        <v>40942</v>
      </c>
      <c r="E1613" s="12" t="s">
        <v>72</v>
      </c>
      <c r="F1613" s="14">
        <v>30</v>
      </c>
      <c r="G1613" s="19">
        <v>5</v>
      </c>
    </row>
    <row r="1614" spans="1:7" x14ac:dyDescent="0.3">
      <c r="A1614" s="18" t="s">
        <v>204</v>
      </c>
      <c r="B1614" s="12" t="s">
        <v>101</v>
      </c>
      <c r="C1614" s="12" t="s">
        <v>77</v>
      </c>
      <c r="D1614" s="13">
        <v>40942</v>
      </c>
      <c r="E1614" s="12" t="s">
        <v>58</v>
      </c>
      <c r="F1614" s="14">
        <v>43.9</v>
      </c>
      <c r="G1614" s="19">
        <v>10</v>
      </c>
    </row>
    <row r="1615" spans="1:7" x14ac:dyDescent="0.3">
      <c r="A1615" s="18" t="s">
        <v>204</v>
      </c>
      <c r="B1615" s="12" t="s">
        <v>101</v>
      </c>
      <c r="C1615" s="12" t="s">
        <v>77</v>
      </c>
      <c r="D1615" s="13">
        <v>40942</v>
      </c>
      <c r="E1615" s="12" t="s">
        <v>45</v>
      </c>
      <c r="F1615" s="14">
        <v>15</v>
      </c>
      <c r="G1615" s="19">
        <v>4</v>
      </c>
    </row>
    <row r="1616" spans="1:7" x14ac:dyDescent="0.3">
      <c r="A1616" s="18" t="s">
        <v>122</v>
      </c>
      <c r="B1616" s="12" t="s">
        <v>123</v>
      </c>
      <c r="C1616" s="12" t="s">
        <v>83</v>
      </c>
      <c r="D1616" s="13">
        <v>40941</v>
      </c>
      <c r="E1616" s="12" t="s">
        <v>21</v>
      </c>
      <c r="F1616" s="14">
        <v>4.5</v>
      </c>
      <c r="G1616" s="19">
        <v>40</v>
      </c>
    </row>
    <row r="1617" spans="1:7" x14ac:dyDescent="0.3">
      <c r="A1617" s="18" t="s">
        <v>122</v>
      </c>
      <c r="B1617" s="12" t="s">
        <v>123</v>
      </c>
      <c r="C1617" s="12" t="s">
        <v>83</v>
      </c>
      <c r="D1617" s="13">
        <v>40941</v>
      </c>
      <c r="E1617" s="12" t="s">
        <v>70</v>
      </c>
      <c r="F1617" s="14">
        <v>7.45</v>
      </c>
      <c r="G1617" s="19">
        <v>35</v>
      </c>
    </row>
    <row r="1618" spans="1:7" x14ac:dyDescent="0.3">
      <c r="A1618" s="18" t="s">
        <v>122</v>
      </c>
      <c r="B1618" s="12" t="s">
        <v>123</v>
      </c>
      <c r="C1618" s="12" t="s">
        <v>83</v>
      </c>
      <c r="D1618" s="13">
        <v>40941</v>
      </c>
      <c r="E1618" s="12" t="s">
        <v>75</v>
      </c>
      <c r="F1618" s="14">
        <v>33.25</v>
      </c>
      <c r="G1618" s="19">
        <v>30</v>
      </c>
    </row>
    <row r="1619" spans="1:7" x14ac:dyDescent="0.3">
      <c r="A1619" s="18" t="s">
        <v>202</v>
      </c>
      <c r="B1619" s="12" t="s">
        <v>101</v>
      </c>
      <c r="C1619" s="12" t="s">
        <v>79</v>
      </c>
      <c r="D1619" s="13">
        <v>40943</v>
      </c>
      <c r="E1619" s="12" t="s">
        <v>36</v>
      </c>
      <c r="F1619" s="14">
        <v>53</v>
      </c>
      <c r="G1619" s="19">
        <v>3</v>
      </c>
    </row>
    <row r="1620" spans="1:7" x14ac:dyDescent="0.3">
      <c r="A1620" s="18" t="s">
        <v>202</v>
      </c>
      <c r="B1620" s="12" t="s">
        <v>101</v>
      </c>
      <c r="C1620" s="12" t="s">
        <v>79</v>
      </c>
      <c r="D1620" s="13">
        <v>40943</v>
      </c>
      <c r="E1620" s="12" t="s">
        <v>31</v>
      </c>
      <c r="F1620" s="14">
        <v>18</v>
      </c>
      <c r="G1620" s="19">
        <v>20</v>
      </c>
    </row>
    <row r="1621" spans="1:7" x14ac:dyDescent="0.3">
      <c r="A1621" s="18" t="s">
        <v>125</v>
      </c>
      <c r="B1621" s="12" t="s">
        <v>115</v>
      </c>
      <c r="C1621" s="12" t="s">
        <v>81</v>
      </c>
      <c r="D1621" s="13">
        <v>40956</v>
      </c>
      <c r="E1621" s="12" t="s">
        <v>0</v>
      </c>
      <c r="F1621" s="14">
        <v>39</v>
      </c>
      <c r="G1621" s="19">
        <v>42</v>
      </c>
    </row>
    <row r="1622" spans="1:7" x14ac:dyDescent="0.3">
      <c r="A1622" s="18" t="s">
        <v>125</v>
      </c>
      <c r="B1622" s="12" t="s">
        <v>115</v>
      </c>
      <c r="C1622" s="12" t="s">
        <v>81</v>
      </c>
      <c r="D1622" s="13">
        <v>40956</v>
      </c>
      <c r="E1622" s="12" t="s">
        <v>4</v>
      </c>
      <c r="F1622" s="14">
        <v>62.5</v>
      </c>
      <c r="G1622" s="19">
        <v>20</v>
      </c>
    </row>
    <row r="1623" spans="1:7" x14ac:dyDescent="0.3">
      <c r="A1623" s="18" t="s">
        <v>125</v>
      </c>
      <c r="B1623" s="12" t="s">
        <v>115</v>
      </c>
      <c r="C1623" s="12" t="s">
        <v>81</v>
      </c>
      <c r="D1623" s="13">
        <v>40956</v>
      </c>
      <c r="E1623" s="12" t="s">
        <v>62</v>
      </c>
      <c r="F1623" s="14">
        <v>10</v>
      </c>
      <c r="G1623" s="19">
        <v>40</v>
      </c>
    </row>
    <row r="1624" spans="1:7" x14ac:dyDescent="0.3">
      <c r="A1624" s="18" t="s">
        <v>125</v>
      </c>
      <c r="B1624" s="12" t="s">
        <v>115</v>
      </c>
      <c r="C1624" s="12" t="s">
        <v>81</v>
      </c>
      <c r="D1624" s="13">
        <v>40956</v>
      </c>
      <c r="E1624" s="12" t="s">
        <v>15</v>
      </c>
      <c r="F1624" s="14">
        <v>2.5</v>
      </c>
      <c r="G1624" s="19">
        <v>35</v>
      </c>
    </row>
    <row r="1625" spans="1:7" x14ac:dyDescent="0.3">
      <c r="A1625" s="18" t="s">
        <v>125</v>
      </c>
      <c r="B1625" s="12" t="s">
        <v>115</v>
      </c>
      <c r="C1625" s="12" t="s">
        <v>81</v>
      </c>
      <c r="D1625" s="13">
        <v>40956</v>
      </c>
      <c r="E1625" s="12" t="s">
        <v>66</v>
      </c>
      <c r="F1625" s="14">
        <v>49.3</v>
      </c>
      <c r="G1625" s="19">
        <v>3</v>
      </c>
    </row>
    <row r="1626" spans="1:7" x14ac:dyDescent="0.3">
      <c r="A1626" s="18" t="s">
        <v>134</v>
      </c>
      <c r="B1626" s="12" t="s">
        <v>123</v>
      </c>
      <c r="C1626" s="12" t="s">
        <v>80</v>
      </c>
      <c r="D1626" s="13">
        <v>40941</v>
      </c>
      <c r="E1626" s="12" t="s">
        <v>49</v>
      </c>
      <c r="F1626" s="14">
        <v>21</v>
      </c>
      <c r="G1626" s="19">
        <v>25</v>
      </c>
    </row>
    <row r="1627" spans="1:7" x14ac:dyDescent="0.3">
      <c r="A1627" s="18" t="s">
        <v>134</v>
      </c>
      <c r="B1627" s="12" t="s">
        <v>123</v>
      </c>
      <c r="C1627" s="12" t="s">
        <v>80</v>
      </c>
      <c r="D1627" s="13">
        <v>40941</v>
      </c>
      <c r="E1627" s="12" t="s">
        <v>13</v>
      </c>
      <c r="F1627" s="14">
        <v>7</v>
      </c>
      <c r="G1627" s="19">
        <v>8</v>
      </c>
    </row>
    <row r="1628" spans="1:7" x14ac:dyDescent="0.3">
      <c r="A1628" s="18" t="s">
        <v>108</v>
      </c>
      <c r="B1628" s="12" t="s">
        <v>109</v>
      </c>
      <c r="C1628" s="12" t="s">
        <v>81</v>
      </c>
      <c r="D1628" s="13">
        <v>40956</v>
      </c>
      <c r="E1628" s="12" t="s">
        <v>5</v>
      </c>
      <c r="F1628" s="14">
        <v>18</v>
      </c>
      <c r="G1628" s="19">
        <v>20</v>
      </c>
    </row>
    <row r="1629" spans="1:7" x14ac:dyDescent="0.3">
      <c r="A1629" s="18" t="s">
        <v>108</v>
      </c>
      <c r="B1629" s="12" t="s">
        <v>109</v>
      </c>
      <c r="C1629" s="12" t="s">
        <v>81</v>
      </c>
      <c r="D1629" s="13">
        <v>40956</v>
      </c>
      <c r="E1629" s="12" t="s">
        <v>12</v>
      </c>
      <c r="F1629" s="14">
        <v>13.25</v>
      </c>
      <c r="G1629" s="19">
        <v>12</v>
      </c>
    </row>
    <row r="1630" spans="1:7" x14ac:dyDescent="0.3">
      <c r="A1630" s="18" t="s">
        <v>167</v>
      </c>
      <c r="B1630" s="12" t="s">
        <v>141</v>
      </c>
      <c r="C1630" s="12" t="s">
        <v>81</v>
      </c>
      <c r="D1630" s="13">
        <v>40948</v>
      </c>
      <c r="E1630" s="12" t="s">
        <v>65</v>
      </c>
      <c r="F1630" s="14">
        <v>18</v>
      </c>
      <c r="G1630" s="19">
        <v>4</v>
      </c>
    </row>
    <row r="1631" spans="1:7" x14ac:dyDescent="0.3">
      <c r="A1631" s="18" t="s">
        <v>167</v>
      </c>
      <c r="B1631" s="12" t="s">
        <v>141</v>
      </c>
      <c r="C1631" s="12" t="s">
        <v>81</v>
      </c>
      <c r="D1631" s="13">
        <v>40948</v>
      </c>
      <c r="E1631" s="12" t="s">
        <v>32</v>
      </c>
      <c r="F1631" s="14">
        <v>14</v>
      </c>
      <c r="G1631" s="19">
        <v>15</v>
      </c>
    </row>
    <row r="1632" spans="1:7" x14ac:dyDescent="0.3">
      <c r="A1632" s="18" t="s">
        <v>127</v>
      </c>
      <c r="B1632" s="12" t="s">
        <v>123</v>
      </c>
      <c r="C1632" s="12" t="s">
        <v>77</v>
      </c>
      <c r="D1632" s="13">
        <v>40951</v>
      </c>
      <c r="E1632" s="12" t="s">
        <v>11</v>
      </c>
      <c r="F1632" s="14">
        <v>263.5</v>
      </c>
      <c r="G1632" s="19">
        <v>60</v>
      </c>
    </row>
    <row r="1633" spans="1:7" x14ac:dyDescent="0.3">
      <c r="A1633" s="18" t="s">
        <v>127</v>
      </c>
      <c r="B1633" s="12" t="s">
        <v>123</v>
      </c>
      <c r="C1633" s="12" t="s">
        <v>77</v>
      </c>
      <c r="D1633" s="13">
        <v>40951</v>
      </c>
      <c r="E1633" s="12" t="s">
        <v>7</v>
      </c>
      <c r="F1633" s="14">
        <v>18</v>
      </c>
      <c r="G1633" s="19">
        <v>80</v>
      </c>
    </row>
    <row r="1634" spans="1:7" x14ac:dyDescent="0.3">
      <c r="A1634" s="18" t="s">
        <v>133</v>
      </c>
      <c r="B1634" s="12" t="s">
        <v>119</v>
      </c>
      <c r="C1634" s="12" t="s">
        <v>85</v>
      </c>
      <c r="D1634" s="13">
        <v>40951</v>
      </c>
      <c r="E1634" s="12" t="s">
        <v>6</v>
      </c>
      <c r="F1634" s="14">
        <v>19</v>
      </c>
      <c r="G1634" s="19">
        <v>21</v>
      </c>
    </row>
    <row r="1635" spans="1:7" x14ac:dyDescent="0.3">
      <c r="A1635" s="18" t="s">
        <v>133</v>
      </c>
      <c r="B1635" s="12" t="s">
        <v>119</v>
      </c>
      <c r="C1635" s="12" t="s">
        <v>85</v>
      </c>
      <c r="D1635" s="13">
        <v>40951</v>
      </c>
      <c r="E1635" s="12" t="s">
        <v>21</v>
      </c>
      <c r="F1635" s="14">
        <v>4.5</v>
      </c>
      <c r="G1635" s="19">
        <v>6</v>
      </c>
    </row>
    <row r="1636" spans="1:7" x14ac:dyDescent="0.3">
      <c r="A1636" s="18" t="s">
        <v>133</v>
      </c>
      <c r="B1636" s="12" t="s">
        <v>119</v>
      </c>
      <c r="C1636" s="12" t="s">
        <v>85</v>
      </c>
      <c r="D1636" s="13">
        <v>40951</v>
      </c>
      <c r="E1636" s="12" t="s">
        <v>41</v>
      </c>
      <c r="F1636" s="14">
        <v>25.89</v>
      </c>
      <c r="G1636" s="19">
        <v>40</v>
      </c>
    </row>
    <row r="1637" spans="1:7" x14ac:dyDescent="0.3">
      <c r="A1637" s="18" t="s">
        <v>147</v>
      </c>
      <c r="B1637" s="12" t="s">
        <v>115</v>
      </c>
      <c r="C1637" s="12" t="s">
        <v>82</v>
      </c>
      <c r="D1637" s="13">
        <v>40950</v>
      </c>
      <c r="E1637" s="12" t="s">
        <v>48</v>
      </c>
      <c r="F1637" s="14">
        <v>32.799999999999997</v>
      </c>
      <c r="G1637" s="19">
        <v>3</v>
      </c>
    </row>
    <row r="1638" spans="1:7" x14ac:dyDescent="0.3">
      <c r="A1638" s="18" t="s">
        <v>174</v>
      </c>
      <c r="B1638" s="12" t="s">
        <v>98</v>
      </c>
      <c r="C1638" s="12" t="s">
        <v>84</v>
      </c>
      <c r="D1638" s="13">
        <v>40962</v>
      </c>
      <c r="E1638" s="12" t="s">
        <v>24</v>
      </c>
      <c r="F1638" s="14">
        <v>31.23</v>
      </c>
      <c r="G1638" s="19">
        <v>20</v>
      </c>
    </row>
    <row r="1639" spans="1:7" x14ac:dyDescent="0.3">
      <c r="A1639" s="18" t="s">
        <v>174</v>
      </c>
      <c r="B1639" s="12" t="s">
        <v>98</v>
      </c>
      <c r="C1639" s="12" t="s">
        <v>84</v>
      </c>
      <c r="D1639" s="13">
        <v>40962</v>
      </c>
      <c r="E1639" s="12" t="s">
        <v>65</v>
      </c>
      <c r="F1639" s="14">
        <v>18</v>
      </c>
      <c r="G1639" s="19">
        <v>30</v>
      </c>
    </row>
    <row r="1640" spans="1:7" x14ac:dyDescent="0.3">
      <c r="A1640" s="18" t="s">
        <v>174</v>
      </c>
      <c r="B1640" s="12" t="s">
        <v>98</v>
      </c>
      <c r="C1640" s="12" t="s">
        <v>84</v>
      </c>
      <c r="D1640" s="13">
        <v>40962</v>
      </c>
      <c r="E1640" s="12" t="s">
        <v>38</v>
      </c>
      <c r="F1640" s="14">
        <v>20</v>
      </c>
      <c r="G1640" s="19">
        <v>42</v>
      </c>
    </row>
    <row r="1641" spans="1:7" x14ac:dyDescent="0.3">
      <c r="A1641" s="18" t="s">
        <v>168</v>
      </c>
      <c r="B1641" s="12" t="s">
        <v>141</v>
      </c>
      <c r="C1641" s="12" t="s">
        <v>85</v>
      </c>
      <c r="D1641" s="13">
        <v>40948</v>
      </c>
      <c r="E1641" s="12" t="s">
        <v>5</v>
      </c>
      <c r="F1641" s="14">
        <v>18</v>
      </c>
      <c r="G1641" s="19">
        <v>40</v>
      </c>
    </row>
    <row r="1642" spans="1:7" x14ac:dyDescent="0.3">
      <c r="A1642" s="18" t="s">
        <v>168</v>
      </c>
      <c r="B1642" s="12" t="s">
        <v>141</v>
      </c>
      <c r="C1642" s="12" t="s">
        <v>85</v>
      </c>
      <c r="D1642" s="13">
        <v>40948</v>
      </c>
      <c r="E1642" s="12" t="s">
        <v>49</v>
      </c>
      <c r="F1642" s="14">
        <v>21</v>
      </c>
      <c r="G1642" s="19">
        <v>10</v>
      </c>
    </row>
    <row r="1643" spans="1:7" x14ac:dyDescent="0.3">
      <c r="A1643" s="18" t="s">
        <v>168</v>
      </c>
      <c r="B1643" s="12" t="s">
        <v>141</v>
      </c>
      <c r="C1643" s="12" t="s">
        <v>85</v>
      </c>
      <c r="D1643" s="13">
        <v>40948</v>
      </c>
      <c r="E1643" s="12" t="s">
        <v>71</v>
      </c>
      <c r="F1643" s="14">
        <v>9</v>
      </c>
      <c r="G1643" s="19">
        <v>50</v>
      </c>
    </row>
    <row r="1644" spans="1:7" x14ac:dyDescent="0.3">
      <c r="A1644" s="18" t="s">
        <v>168</v>
      </c>
      <c r="B1644" s="12" t="s">
        <v>141</v>
      </c>
      <c r="C1644" s="12" t="s">
        <v>85</v>
      </c>
      <c r="D1644" s="13">
        <v>40948</v>
      </c>
      <c r="E1644" s="12" t="s">
        <v>59</v>
      </c>
      <c r="F1644" s="14">
        <v>12.5</v>
      </c>
      <c r="G1644" s="19">
        <v>20</v>
      </c>
    </row>
    <row r="1645" spans="1:7" x14ac:dyDescent="0.3">
      <c r="A1645" s="18" t="s">
        <v>175</v>
      </c>
      <c r="B1645" s="12" t="s">
        <v>176</v>
      </c>
      <c r="C1645" s="12" t="s">
        <v>85</v>
      </c>
      <c r="D1645" s="13">
        <v>40952</v>
      </c>
      <c r="E1645" s="12" t="s">
        <v>65</v>
      </c>
      <c r="F1645" s="14">
        <v>18</v>
      </c>
      <c r="G1645" s="19">
        <v>3</v>
      </c>
    </row>
    <row r="1646" spans="1:7" x14ac:dyDescent="0.3">
      <c r="A1646" s="18" t="s">
        <v>175</v>
      </c>
      <c r="B1646" s="12" t="s">
        <v>176</v>
      </c>
      <c r="C1646" s="12" t="s">
        <v>85</v>
      </c>
      <c r="D1646" s="13">
        <v>40952</v>
      </c>
      <c r="E1646" s="12" t="s">
        <v>36</v>
      </c>
      <c r="F1646" s="14">
        <v>53</v>
      </c>
      <c r="G1646" s="19">
        <v>2</v>
      </c>
    </row>
    <row r="1647" spans="1:7" x14ac:dyDescent="0.3">
      <c r="A1647" s="18" t="s">
        <v>158</v>
      </c>
      <c r="B1647" s="12" t="s">
        <v>101</v>
      </c>
      <c r="C1647" s="12" t="s">
        <v>78</v>
      </c>
      <c r="D1647" s="13">
        <v>40949</v>
      </c>
      <c r="E1647" s="12" t="s">
        <v>19</v>
      </c>
      <c r="F1647" s="14">
        <v>25</v>
      </c>
      <c r="G1647" s="19">
        <v>50</v>
      </c>
    </row>
    <row r="1648" spans="1:7" x14ac:dyDescent="0.3">
      <c r="A1648" s="18" t="s">
        <v>158</v>
      </c>
      <c r="B1648" s="12" t="s">
        <v>101</v>
      </c>
      <c r="C1648" s="12" t="s">
        <v>78</v>
      </c>
      <c r="D1648" s="13">
        <v>40949</v>
      </c>
      <c r="E1648" s="12" t="s">
        <v>47</v>
      </c>
      <c r="F1648" s="14">
        <v>17.45</v>
      </c>
      <c r="G1648" s="19">
        <v>12</v>
      </c>
    </row>
    <row r="1649" spans="1:7" x14ac:dyDescent="0.3">
      <c r="A1649" s="18" t="s">
        <v>158</v>
      </c>
      <c r="B1649" s="12" t="s">
        <v>101</v>
      </c>
      <c r="C1649" s="12" t="s">
        <v>78</v>
      </c>
      <c r="D1649" s="13">
        <v>40949</v>
      </c>
      <c r="E1649" s="12" t="s">
        <v>0</v>
      </c>
      <c r="F1649" s="14">
        <v>39</v>
      </c>
      <c r="G1649" s="19">
        <v>16</v>
      </c>
    </row>
    <row r="1650" spans="1:7" x14ac:dyDescent="0.3">
      <c r="A1650" s="18" t="s">
        <v>146</v>
      </c>
      <c r="B1650" s="12" t="s">
        <v>136</v>
      </c>
      <c r="C1650" s="12" t="s">
        <v>85</v>
      </c>
      <c r="D1650" s="13">
        <v>40948</v>
      </c>
      <c r="E1650" s="12" t="s">
        <v>46</v>
      </c>
      <c r="F1650" s="14">
        <v>24</v>
      </c>
      <c r="G1650" s="19">
        <v>10</v>
      </c>
    </row>
    <row r="1651" spans="1:7" x14ac:dyDescent="0.3">
      <c r="A1651" s="18" t="s">
        <v>146</v>
      </c>
      <c r="B1651" s="12" t="s">
        <v>136</v>
      </c>
      <c r="C1651" s="12" t="s">
        <v>85</v>
      </c>
      <c r="D1651" s="13">
        <v>40948</v>
      </c>
      <c r="E1651" s="12" t="s">
        <v>66</v>
      </c>
      <c r="F1651" s="14">
        <v>49.3</v>
      </c>
      <c r="G1651" s="19">
        <v>20</v>
      </c>
    </row>
    <row r="1652" spans="1:7" x14ac:dyDescent="0.3">
      <c r="A1652" s="18" t="s">
        <v>146</v>
      </c>
      <c r="B1652" s="12" t="s">
        <v>136</v>
      </c>
      <c r="C1652" s="12" t="s">
        <v>85</v>
      </c>
      <c r="D1652" s="13">
        <v>40948</v>
      </c>
      <c r="E1652" s="12" t="s">
        <v>75</v>
      </c>
      <c r="F1652" s="14">
        <v>33.25</v>
      </c>
      <c r="G1652" s="19">
        <v>15</v>
      </c>
    </row>
    <row r="1653" spans="1:7" x14ac:dyDescent="0.3">
      <c r="A1653" s="18" t="s">
        <v>146</v>
      </c>
      <c r="B1653" s="12" t="s">
        <v>136</v>
      </c>
      <c r="C1653" s="12" t="s">
        <v>85</v>
      </c>
      <c r="D1653" s="13">
        <v>40948</v>
      </c>
      <c r="E1653" s="12" t="s">
        <v>34</v>
      </c>
      <c r="F1653" s="14">
        <v>21.05</v>
      </c>
      <c r="G1653" s="19">
        <v>21</v>
      </c>
    </row>
    <row r="1654" spans="1:7" x14ac:dyDescent="0.3">
      <c r="A1654" s="18" t="s">
        <v>95</v>
      </c>
      <c r="B1654" s="12" t="s">
        <v>96</v>
      </c>
      <c r="C1654" s="12" t="s">
        <v>81</v>
      </c>
      <c r="D1654" s="13">
        <v>40948</v>
      </c>
      <c r="E1654" s="12" t="s">
        <v>62</v>
      </c>
      <c r="F1654" s="14">
        <v>10</v>
      </c>
      <c r="G1654" s="19">
        <v>20</v>
      </c>
    </row>
    <row r="1655" spans="1:7" x14ac:dyDescent="0.3">
      <c r="A1655" s="18" t="s">
        <v>95</v>
      </c>
      <c r="B1655" s="12" t="s">
        <v>96</v>
      </c>
      <c r="C1655" s="12" t="s">
        <v>81</v>
      </c>
      <c r="D1655" s="13">
        <v>40948</v>
      </c>
      <c r="E1655" s="12" t="s">
        <v>56</v>
      </c>
      <c r="F1655" s="14">
        <v>45.6</v>
      </c>
      <c r="G1655" s="19">
        <v>3</v>
      </c>
    </row>
    <row r="1656" spans="1:7" x14ac:dyDescent="0.3">
      <c r="A1656" s="18" t="s">
        <v>146</v>
      </c>
      <c r="B1656" s="12" t="s">
        <v>136</v>
      </c>
      <c r="C1656" s="12" t="s">
        <v>85</v>
      </c>
      <c r="D1656" s="13">
        <v>40950</v>
      </c>
      <c r="E1656" s="12" t="s">
        <v>26</v>
      </c>
      <c r="F1656" s="14">
        <v>31</v>
      </c>
      <c r="G1656" s="19">
        <v>10</v>
      </c>
    </row>
    <row r="1657" spans="1:7" x14ac:dyDescent="0.3">
      <c r="A1657" s="18" t="s">
        <v>133</v>
      </c>
      <c r="B1657" s="12" t="s">
        <v>119</v>
      </c>
      <c r="C1657" s="12" t="s">
        <v>81</v>
      </c>
      <c r="D1657" s="13">
        <v>40971</v>
      </c>
      <c r="E1657" s="12" t="s">
        <v>67</v>
      </c>
      <c r="F1657" s="14">
        <v>9.1999999999999993</v>
      </c>
      <c r="G1657" s="19">
        <v>25</v>
      </c>
    </row>
    <row r="1658" spans="1:7" x14ac:dyDescent="0.3">
      <c r="A1658" s="18" t="s">
        <v>133</v>
      </c>
      <c r="B1658" s="12" t="s">
        <v>119</v>
      </c>
      <c r="C1658" s="12" t="s">
        <v>81</v>
      </c>
      <c r="D1658" s="13">
        <v>40971</v>
      </c>
      <c r="E1658" s="12" t="s">
        <v>76</v>
      </c>
      <c r="F1658" s="14">
        <v>9.5</v>
      </c>
      <c r="G1658" s="19">
        <v>21</v>
      </c>
    </row>
    <row r="1659" spans="1:7" x14ac:dyDescent="0.3">
      <c r="A1659" s="18" t="s">
        <v>133</v>
      </c>
      <c r="B1659" s="12" t="s">
        <v>119</v>
      </c>
      <c r="C1659" s="12" t="s">
        <v>81</v>
      </c>
      <c r="D1659" s="13">
        <v>40971</v>
      </c>
      <c r="E1659" s="12" t="s">
        <v>38</v>
      </c>
      <c r="F1659" s="14">
        <v>20</v>
      </c>
      <c r="G1659" s="19">
        <v>15</v>
      </c>
    </row>
    <row r="1660" spans="1:7" x14ac:dyDescent="0.3">
      <c r="A1660" s="18" t="s">
        <v>158</v>
      </c>
      <c r="B1660" s="12" t="s">
        <v>101</v>
      </c>
      <c r="C1660" s="12" t="s">
        <v>84</v>
      </c>
      <c r="D1660" s="13">
        <v>40951</v>
      </c>
      <c r="E1660" s="12" t="s">
        <v>64</v>
      </c>
      <c r="F1660" s="14">
        <v>12</v>
      </c>
      <c r="G1660" s="19">
        <v>21</v>
      </c>
    </row>
    <row r="1661" spans="1:7" x14ac:dyDescent="0.3">
      <c r="A1661" s="18" t="s">
        <v>158</v>
      </c>
      <c r="B1661" s="12" t="s">
        <v>101</v>
      </c>
      <c r="C1661" s="12" t="s">
        <v>84</v>
      </c>
      <c r="D1661" s="13">
        <v>40951</v>
      </c>
      <c r="E1661" s="12" t="s">
        <v>75</v>
      </c>
      <c r="F1661" s="14">
        <v>33.25</v>
      </c>
      <c r="G1661" s="19">
        <v>20</v>
      </c>
    </row>
    <row r="1662" spans="1:7" x14ac:dyDescent="0.3">
      <c r="A1662" s="18" t="s">
        <v>138</v>
      </c>
      <c r="B1662" s="12" t="s">
        <v>98</v>
      </c>
      <c r="C1662" s="12" t="s">
        <v>83</v>
      </c>
      <c r="D1662" s="13">
        <v>40958</v>
      </c>
      <c r="E1662" s="12" t="s">
        <v>47</v>
      </c>
      <c r="F1662" s="14">
        <v>17.45</v>
      </c>
      <c r="G1662" s="19">
        <v>30</v>
      </c>
    </row>
    <row r="1663" spans="1:7" x14ac:dyDescent="0.3">
      <c r="A1663" s="18" t="s">
        <v>138</v>
      </c>
      <c r="B1663" s="12" t="s">
        <v>98</v>
      </c>
      <c r="C1663" s="12" t="s">
        <v>83</v>
      </c>
      <c r="D1663" s="13">
        <v>40958</v>
      </c>
      <c r="E1663" s="12" t="s">
        <v>4</v>
      </c>
      <c r="F1663" s="14">
        <v>62.5</v>
      </c>
      <c r="G1663" s="19">
        <v>25</v>
      </c>
    </row>
    <row r="1664" spans="1:7" x14ac:dyDescent="0.3">
      <c r="A1664" s="18" t="s">
        <v>127</v>
      </c>
      <c r="B1664" s="12" t="s">
        <v>123</v>
      </c>
      <c r="C1664" s="12" t="s">
        <v>81</v>
      </c>
      <c r="D1664" s="13">
        <v>40951</v>
      </c>
      <c r="E1664" s="12" t="s">
        <v>61</v>
      </c>
      <c r="F1664" s="14">
        <v>81</v>
      </c>
      <c r="G1664" s="19">
        <v>20</v>
      </c>
    </row>
    <row r="1665" spans="1:7" x14ac:dyDescent="0.3">
      <c r="A1665" s="18" t="s">
        <v>95</v>
      </c>
      <c r="B1665" s="12" t="s">
        <v>96</v>
      </c>
      <c r="C1665" s="12" t="s">
        <v>79</v>
      </c>
      <c r="D1665" s="13">
        <v>40951</v>
      </c>
      <c r="E1665" s="12" t="s">
        <v>2</v>
      </c>
      <c r="F1665" s="14">
        <v>18.399999999999999</v>
      </c>
      <c r="G1665" s="19">
        <v>12</v>
      </c>
    </row>
    <row r="1666" spans="1:7" x14ac:dyDescent="0.3">
      <c r="A1666" s="18" t="s">
        <v>95</v>
      </c>
      <c r="B1666" s="12" t="s">
        <v>96</v>
      </c>
      <c r="C1666" s="12" t="s">
        <v>79</v>
      </c>
      <c r="D1666" s="13">
        <v>40951</v>
      </c>
      <c r="E1666" s="12" t="s">
        <v>34</v>
      </c>
      <c r="F1666" s="14">
        <v>21.05</v>
      </c>
      <c r="G1666" s="19">
        <v>10</v>
      </c>
    </row>
    <row r="1667" spans="1:7" x14ac:dyDescent="0.3">
      <c r="A1667" s="18" t="s">
        <v>95</v>
      </c>
      <c r="B1667" s="12" t="s">
        <v>96</v>
      </c>
      <c r="C1667" s="12" t="s">
        <v>79</v>
      </c>
      <c r="D1667" s="13">
        <v>40951</v>
      </c>
      <c r="E1667" s="12" t="s">
        <v>31</v>
      </c>
      <c r="F1667" s="14">
        <v>18</v>
      </c>
      <c r="G1667" s="19">
        <v>10</v>
      </c>
    </row>
    <row r="1668" spans="1:7" x14ac:dyDescent="0.3">
      <c r="A1668" s="18" t="s">
        <v>118</v>
      </c>
      <c r="B1668" s="12" t="s">
        <v>119</v>
      </c>
      <c r="C1668" s="12" t="s">
        <v>84</v>
      </c>
      <c r="D1668" s="13">
        <v>40957</v>
      </c>
      <c r="E1668" s="12" t="s">
        <v>71</v>
      </c>
      <c r="F1668" s="14">
        <v>9</v>
      </c>
      <c r="G1668" s="19">
        <v>30</v>
      </c>
    </row>
    <row r="1669" spans="1:7" x14ac:dyDescent="0.3">
      <c r="A1669" s="18" t="s">
        <v>118</v>
      </c>
      <c r="B1669" s="12" t="s">
        <v>119</v>
      </c>
      <c r="C1669" s="12" t="s">
        <v>84</v>
      </c>
      <c r="D1669" s="13">
        <v>40957</v>
      </c>
      <c r="E1669" s="12" t="s">
        <v>63</v>
      </c>
      <c r="F1669" s="14">
        <v>28.5</v>
      </c>
      <c r="G1669" s="19">
        <v>30</v>
      </c>
    </row>
    <row r="1670" spans="1:7" x14ac:dyDescent="0.3">
      <c r="A1670" s="18" t="s">
        <v>118</v>
      </c>
      <c r="B1670" s="12" t="s">
        <v>119</v>
      </c>
      <c r="C1670" s="12" t="s">
        <v>84</v>
      </c>
      <c r="D1670" s="13">
        <v>40957</v>
      </c>
      <c r="E1670" s="12" t="s">
        <v>45</v>
      </c>
      <c r="F1670" s="14">
        <v>15</v>
      </c>
      <c r="G1670" s="19">
        <v>50</v>
      </c>
    </row>
    <row r="1671" spans="1:7" x14ac:dyDescent="0.3">
      <c r="A1671" s="18" t="s">
        <v>195</v>
      </c>
      <c r="B1671" s="12" t="s">
        <v>185</v>
      </c>
      <c r="C1671" s="12" t="s">
        <v>81</v>
      </c>
      <c r="D1671" s="13">
        <v>40957</v>
      </c>
      <c r="E1671" s="12" t="s">
        <v>54</v>
      </c>
      <c r="F1671" s="14">
        <v>15</v>
      </c>
      <c r="G1671" s="19">
        <v>10</v>
      </c>
    </row>
    <row r="1672" spans="1:7" x14ac:dyDescent="0.3">
      <c r="A1672" s="18" t="s">
        <v>154</v>
      </c>
      <c r="B1672" s="12" t="s">
        <v>115</v>
      </c>
      <c r="C1672" s="12" t="s">
        <v>81</v>
      </c>
      <c r="D1672" s="13">
        <v>40959</v>
      </c>
      <c r="E1672" s="12" t="s">
        <v>60</v>
      </c>
      <c r="F1672" s="14">
        <v>14</v>
      </c>
      <c r="G1672" s="19">
        <v>25</v>
      </c>
    </row>
    <row r="1673" spans="1:7" x14ac:dyDescent="0.3">
      <c r="A1673" s="18" t="s">
        <v>154</v>
      </c>
      <c r="B1673" s="12" t="s">
        <v>115</v>
      </c>
      <c r="C1673" s="12" t="s">
        <v>81</v>
      </c>
      <c r="D1673" s="13">
        <v>40959</v>
      </c>
      <c r="E1673" s="12" t="s">
        <v>38</v>
      </c>
      <c r="F1673" s="14">
        <v>20</v>
      </c>
      <c r="G1673" s="19">
        <v>20</v>
      </c>
    </row>
    <row r="1674" spans="1:7" x14ac:dyDescent="0.3">
      <c r="A1674" s="18" t="s">
        <v>154</v>
      </c>
      <c r="B1674" s="12" t="s">
        <v>115</v>
      </c>
      <c r="C1674" s="12" t="s">
        <v>81</v>
      </c>
      <c r="D1674" s="13">
        <v>40959</v>
      </c>
      <c r="E1674" s="12" t="s">
        <v>70</v>
      </c>
      <c r="F1674" s="14">
        <v>7.45</v>
      </c>
      <c r="G1674" s="19">
        <v>32</v>
      </c>
    </row>
    <row r="1675" spans="1:7" x14ac:dyDescent="0.3">
      <c r="A1675" s="18" t="s">
        <v>147</v>
      </c>
      <c r="B1675" s="12" t="s">
        <v>115</v>
      </c>
      <c r="C1675" s="12" t="s">
        <v>80</v>
      </c>
      <c r="D1675" s="13">
        <v>40959</v>
      </c>
      <c r="E1675" s="12" t="s">
        <v>21</v>
      </c>
      <c r="F1675" s="14">
        <v>4.5</v>
      </c>
      <c r="G1675" s="19">
        <v>8</v>
      </c>
    </row>
    <row r="1676" spans="1:7" x14ac:dyDescent="0.3">
      <c r="A1676" s="18" t="s">
        <v>199</v>
      </c>
      <c r="B1676" s="12" t="s">
        <v>115</v>
      </c>
      <c r="C1676" s="12" t="s">
        <v>81</v>
      </c>
      <c r="D1676" s="13">
        <v>40952</v>
      </c>
      <c r="E1676" s="12" t="s">
        <v>62</v>
      </c>
      <c r="F1676" s="14">
        <v>10</v>
      </c>
      <c r="G1676" s="19">
        <v>40</v>
      </c>
    </row>
    <row r="1677" spans="1:7" x14ac:dyDescent="0.3">
      <c r="A1677" s="18" t="s">
        <v>199</v>
      </c>
      <c r="B1677" s="12" t="s">
        <v>115</v>
      </c>
      <c r="C1677" s="12" t="s">
        <v>81</v>
      </c>
      <c r="D1677" s="13">
        <v>40952</v>
      </c>
      <c r="E1677" s="12" t="s">
        <v>17</v>
      </c>
      <c r="F1677" s="14">
        <v>38</v>
      </c>
      <c r="G1677" s="19">
        <v>21</v>
      </c>
    </row>
    <row r="1678" spans="1:7" x14ac:dyDescent="0.3">
      <c r="A1678" s="18" t="s">
        <v>199</v>
      </c>
      <c r="B1678" s="12" t="s">
        <v>115</v>
      </c>
      <c r="C1678" s="12" t="s">
        <v>81</v>
      </c>
      <c r="D1678" s="13">
        <v>40952</v>
      </c>
      <c r="E1678" s="12" t="s">
        <v>34</v>
      </c>
      <c r="F1678" s="14">
        <v>21.05</v>
      </c>
      <c r="G1678" s="19">
        <v>12</v>
      </c>
    </row>
    <row r="1679" spans="1:7" x14ac:dyDescent="0.3">
      <c r="A1679" s="18" t="s">
        <v>102</v>
      </c>
      <c r="B1679" s="12" t="s">
        <v>103</v>
      </c>
      <c r="C1679" s="12" t="s">
        <v>82</v>
      </c>
      <c r="D1679" s="13">
        <v>40957</v>
      </c>
      <c r="E1679" s="12" t="s">
        <v>6</v>
      </c>
      <c r="F1679" s="14">
        <v>19</v>
      </c>
      <c r="G1679" s="19">
        <v>20</v>
      </c>
    </row>
    <row r="1680" spans="1:7" x14ac:dyDescent="0.3">
      <c r="A1680" s="18" t="s">
        <v>102</v>
      </c>
      <c r="B1680" s="12" t="s">
        <v>103</v>
      </c>
      <c r="C1680" s="12" t="s">
        <v>82</v>
      </c>
      <c r="D1680" s="13">
        <v>40957</v>
      </c>
      <c r="E1680" s="12" t="s">
        <v>21</v>
      </c>
      <c r="F1680" s="14">
        <v>4.5</v>
      </c>
      <c r="G1680" s="19">
        <v>12</v>
      </c>
    </row>
    <row r="1681" spans="1:7" x14ac:dyDescent="0.3">
      <c r="A1681" s="18" t="s">
        <v>102</v>
      </c>
      <c r="B1681" s="12" t="s">
        <v>103</v>
      </c>
      <c r="C1681" s="12" t="s">
        <v>82</v>
      </c>
      <c r="D1681" s="13">
        <v>40957</v>
      </c>
      <c r="E1681" s="12" t="s">
        <v>45</v>
      </c>
      <c r="F1681" s="14">
        <v>15</v>
      </c>
      <c r="G1681" s="19">
        <v>30</v>
      </c>
    </row>
    <row r="1682" spans="1:7" x14ac:dyDescent="0.3">
      <c r="A1682" s="18" t="s">
        <v>102</v>
      </c>
      <c r="B1682" s="12" t="s">
        <v>103</v>
      </c>
      <c r="C1682" s="12" t="s">
        <v>82</v>
      </c>
      <c r="D1682" s="13">
        <v>40957</v>
      </c>
      <c r="E1682" s="12" t="s">
        <v>44</v>
      </c>
      <c r="F1682" s="14">
        <v>13</v>
      </c>
      <c r="G1682" s="19">
        <v>25</v>
      </c>
    </row>
    <row r="1683" spans="1:7" x14ac:dyDescent="0.3">
      <c r="A1683" s="18" t="s">
        <v>99</v>
      </c>
      <c r="B1683" s="12" t="s">
        <v>98</v>
      </c>
      <c r="C1683" s="12" t="s">
        <v>83</v>
      </c>
      <c r="D1683" s="13">
        <v>40970</v>
      </c>
      <c r="E1683" s="12" t="s">
        <v>26</v>
      </c>
      <c r="F1683" s="14">
        <v>31</v>
      </c>
      <c r="G1683" s="19">
        <v>70</v>
      </c>
    </row>
    <row r="1684" spans="1:7" x14ac:dyDescent="0.3">
      <c r="A1684" s="18" t="s">
        <v>99</v>
      </c>
      <c r="B1684" s="12" t="s">
        <v>98</v>
      </c>
      <c r="C1684" s="12" t="s">
        <v>83</v>
      </c>
      <c r="D1684" s="13">
        <v>40970</v>
      </c>
      <c r="E1684" s="12" t="s">
        <v>18</v>
      </c>
      <c r="F1684" s="14">
        <v>12.5</v>
      </c>
      <c r="G1684" s="19">
        <v>35</v>
      </c>
    </row>
    <row r="1685" spans="1:7" x14ac:dyDescent="0.3">
      <c r="A1685" s="18" t="s">
        <v>99</v>
      </c>
      <c r="B1685" s="12" t="s">
        <v>98</v>
      </c>
      <c r="C1685" s="12" t="s">
        <v>83</v>
      </c>
      <c r="D1685" s="13">
        <v>40970</v>
      </c>
      <c r="E1685" s="12" t="s">
        <v>44</v>
      </c>
      <c r="F1685" s="14">
        <v>13</v>
      </c>
      <c r="G1685" s="19">
        <v>40</v>
      </c>
    </row>
    <row r="1686" spans="1:7" x14ac:dyDescent="0.3">
      <c r="A1686" s="18" t="s">
        <v>172</v>
      </c>
      <c r="B1686" s="12" t="s">
        <v>136</v>
      </c>
      <c r="C1686" s="12" t="s">
        <v>80</v>
      </c>
      <c r="D1686" s="13">
        <v>40955</v>
      </c>
      <c r="E1686" s="12" t="s">
        <v>43</v>
      </c>
      <c r="F1686" s="14">
        <v>14</v>
      </c>
      <c r="G1686" s="19">
        <v>5</v>
      </c>
    </row>
    <row r="1687" spans="1:7" x14ac:dyDescent="0.3">
      <c r="A1687" s="18" t="s">
        <v>146</v>
      </c>
      <c r="B1687" s="12" t="s">
        <v>136</v>
      </c>
      <c r="C1687" s="12" t="s">
        <v>83</v>
      </c>
      <c r="D1687" s="13">
        <v>40962</v>
      </c>
      <c r="E1687" s="12" t="s">
        <v>6</v>
      </c>
      <c r="F1687" s="14">
        <v>19</v>
      </c>
      <c r="G1687" s="19">
        <v>20</v>
      </c>
    </row>
    <row r="1688" spans="1:7" x14ac:dyDescent="0.3">
      <c r="A1688" s="18" t="s">
        <v>146</v>
      </c>
      <c r="B1688" s="12" t="s">
        <v>136</v>
      </c>
      <c r="C1688" s="12" t="s">
        <v>83</v>
      </c>
      <c r="D1688" s="13">
        <v>40962</v>
      </c>
      <c r="E1688" s="12" t="s">
        <v>59</v>
      </c>
      <c r="F1688" s="14">
        <v>12.5</v>
      </c>
      <c r="G1688" s="19">
        <v>18</v>
      </c>
    </row>
    <row r="1689" spans="1:7" x14ac:dyDescent="0.3">
      <c r="A1689" s="18" t="s">
        <v>117</v>
      </c>
      <c r="B1689" s="12" t="s">
        <v>115</v>
      </c>
      <c r="C1689" s="12" t="s">
        <v>78</v>
      </c>
      <c r="D1689" s="13">
        <v>40962</v>
      </c>
      <c r="E1689" s="12" t="s">
        <v>49</v>
      </c>
      <c r="F1689" s="14">
        <v>21</v>
      </c>
      <c r="G1689" s="19">
        <v>40</v>
      </c>
    </row>
    <row r="1690" spans="1:7" x14ac:dyDescent="0.3">
      <c r="A1690" s="18" t="s">
        <v>117</v>
      </c>
      <c r="B1690" s="12" t="s">
        <v>115</v>
      </c>
      <c r="C1690" s="12" t="s">
        <v>78</v>
      </c>
      <c r="D1690" s="13">
        <v>40962</v>
      </c>
      <c r="E1690" s="12" t="s">
        <v>11</v>
      </c>
      <c r="F1690" s="14">
        <v>263.5</v>
      </c>
      <c r="G1690" s="19">
        <v>40</v>
      </c>
    </row>
    <row r="1691" spans="1:7" x14ac:dyDescent="0.3">
      <c r="A1691" s="18" t="s">
        <v>150</v>
      </c>
      <c r="B1691" s="12" t="s">
        <v>101</v>
      </c>
      <c r="C1691" s="12" t="s">
        <v>84</v>
      </c>
      <c r="D1691" s="13">
        <v>40957</v>
      </c>
      <c r="E1691" s="12" t="s">
        <v>0</v>
      </c>
      <c r="F1691" s="14">
        <v>39</v>
      </c>
      <c r="G1691" s="19">
        <v>15</v>
      </c>
    </row>
    <row r="1692" spans="1:7" x14ac:dyDescent="0.3">
      <c r="A1692" s="18" t="s">
        <v>150</v>
      </c>
      <c r="B1692" s="12" t="s">
        <v>101</v>
      </c>
      <c r="C1692" s="12" t="s">
        <v>84</v>
      </c>
      <c r="D1692" s="13">
        <v>40957</v>
      </c>
      <c r="E1692" s="12" t="s">
        <v>57</v>
      </c>
      <c r="F1692" s="14">
        <v>14</v>
      </c>
      <c r="G1692" s="19">
        <v>10</v>
      </c>
    </row>
    <row r="1693" spans="1:7" x14ac:dyDescent="0.3">
      <c r="A1693" s="18" t="s">
        <v>150</v>
      </c>
      <c r="B1693" s="12" t="s">
        <v>101</v>
      </c>
      <c r="C1693" s="12" t="s">
        <v>84</v>
      </c>
      <c r="D1693" s="13">
        <v>40957</v>
      </c>
      <c r="E1693" s="12" t="s">
        <v>29</v>
      </c>
      <c r="F1693" s="14">
        <v>9.65</v>
      </c>
      <c r="G1693" s="19">
        <v>14</v>
      </c>
    </row>
    <row r="1694" spans="1:7" x14ac:dyDescent="0.3">
      <c r="A1694" s="18" t="s">
        <v>134</v>
      </c>
      <c r="B1694" s="12" t="s">
        <v>123</v>
      </c>
      <c r="C1694" s="12" t="s">
        <v>84</v>
      </c>
      <c r="D1694" s="13">
        <v>40958</v>
      </c>
      <c r="E1694" s="12" t="s">
        <v>41</v>
      </c>
      <c r="F1694" s="14">
        <v>25.89</v>
      </c>
      <c r="G1694" s="19">
        <v>15</v>
      </c>
    </row>
    <row r="1695" spans="1:7" x14ac:dyDescent="0.3">
      <c r="A1695" s="18" t="s">
        <v>197</v>
      </c>
      <c r="B1695" s="12" t="s">
        <v>103</v>
      </c>
      <c r="C1695" s="12" t="s">
        <v>81</v>
      </c>
      <c r="D1695" s="13">
        <v>40958</v>
      </c>
      <c r="E1695" s="12" t="s">
        <v>51</v>
      </c>
      <c r="F1695" s="14">
        <v>55</v>
      </c>
      <c r="G1695" s="19">
        <v>40</v>
      </c>
    </row>
    <row r="1696" spans="1:7" x14ac:dyDescent="0.3">
      <c r="A1696" s="18" t="s">
        <v>153</v>
      </c>
      <c r="B1696" s="12" t="s">
        <v>123</v>
      </c>
      <c r="C1696" s="12" t="s">
        <v>78</v>
      </c>
      <c r="D1696" s="13">
        <v>40959</v>
      </c>
      <c r="E1696" s="12" t="s">
        <v>42</v>
      </c>
      <c r="F1696" s="14">
        <v>40</v>
      </c>
      <c r="G1696" s="19">
        <v>30</v>
      </c>
    </row>
    <row r="1697" spans="1:7" x14ac:dyDescent="0.3">
      <c r="A1697" s="18" t="s">
        <v>153</v>
      </c>
      <c r="B1697" s="12" t="s">
        <v>123</v>
      </c>
      <c r="C1697" s="12" t="s">
        <v>78</v>
      </c>
      <c r="D1697" s="13">
        <v>40959</v>
      </c>
      <c r="E1697" s="12" t="s">
        <v>21</v>
      </c>
      <c r="F1697" s="14">
        <v>4.5</v>
      </c>
      <c r="G1697" s="19">
        <v>10</v>
      </c>
    </row>
    <row r="1698" spans="1:7" x14ac:dyDescent="0.3">
      <c r="A1698" s="18" t="s">
        <v>153</v>
      </c>
      <c r="B1698" s="12" t="s">
        <v>123</v>
      </c>
      <c r="C1698" s="12" t="s">
        <v>78</v>
      </c>
      <c r="D1698" s="13">
        <v>40959</v>
      </c>
      <c r="E1698" s="12" t="s">
        <v>68</v>
      </c>
      <c r="F1698" s="14">
        <v>123.79</v>
      </c>
      <c r="G1698" s="19">
        <v>24</v>
      </c>
    </row>
    <row r="1699" spans="1:7" x14ac:dyDescent="0.3">
      <c r="A1699" s="18" t="s">
        <v>153</v>
      </c>
      <c r="B1699" s="12" t="s">
        <v>123</v>
      </c>
      <c r="C1699" s="12" t="s">
        <v>78</v>
      </c>
      <c r="D1699" s="13">
        <v>40959</v>
      </c>
      <c r="E1699" s="12" t="s">
        <v>41</v>
      </c>
      <c r="F1699" s="14">
        <v>25.89</v>
      </c>
      <c r="G1699" s="19">
        <v>35</v>
      </c>
    </row>
    <row r="1700" spans="1:7" x14ac:dyDescent="0.3">
      <c r="A1700" s="18" t="s">
        <v>153</v>
      </c>
      <c r="B1700" s="12" t="s">
        <v>123</v>
      </c>
      <c r="C1700" s="12" t="s">
        <v>78</v>
      </c>
      <c r="D1700" s="13">
        <v>40959</v>
      </c>
      <c r="E1700" s="12" t="s">
        <v>27</v>
      </c>
      <c r="F1700" s="14">
        <v>19</v>
      </c>
      <c r="G1700" s="19">
        <v>20</v>
      </c>
    </row>
    <row r="1701" spans="1:7" x14ac:dyDescent="0.3">
      <c r="A1701" s="18" t="s">
        <v>154</v>
      </c>
      <c r="B1701" s="12" t="s">
        <v>115</v>
      </c>
      <c r="C1701" s="12" t="s">
        <v>83</v>
      </c>
      <c r="D1701" s="13">
        <v>40959</v>
      </c>
      <c r="E1701" s="12" t="s">
        <v>30</v>
      </c>
      <c r="F1701" s="14">
        <v>6</v>
      </c>
      <c r="G1701" s="19">
        <v>28</v>
      </c>
    </row>
    <row r="1702" spans="1:7" x14ac:dyDescent="0.3">
      <c r="A1702" s="18" t="s">
        <v>154</v>
      </c>
      <c r="B1702" s="12" t="s">
        <v>115</v>
      </c>
      <c r="C1702" s="12" t="s">
        <v>83</v>
      </c>
      <c r="D1702" s="13">
        <v>40959</v>
      </c>
      <c r="E1702" s="12" t="s">
        <v>22</v>
      </c>
      <c r="F1702" s="14">
        <v>36</v>
      </c>
      <c r="G1702" s="19">
        <v>50</v>
      </c>
    </row>
    <row r="1703" spans="1:7" x14ac:dyDescent="0.3">
      <c r="A1703" s="18" t="s">
        <v>154</v>
      </c>
      <c r="B1703" s="12" t="s">
        <v>115</v>
      </c>
      <c r="C1703" s="12" t="s">
        <v>83</v>
      </c>
      <c r="D1703" s="13">
        <v>40959</v>
      </c>
      <c r="E1703" s="12" t="s">
        <v>53</v>
      </c>
      <c r="F1703" s="14">
        <v>7.75</v>
      </c>
      <c r="G1703" s="19">
        <v>120</v>
      </c>
    </row>
    <row r="1704" spans="1:7" x14ac:dyDescent="0.3">
      <c r="A1704" s="18" t="s">
        <v>110</v>
      </c>
      <c r="B1704" s="12" t="s">
        <v>111</v>
      </c>
      <c r="C1704" s="12" t="s">
        <v>79</v>
      </c>
      <c r="D1704" s="13">
        <v>40962</v>
      </c>
      <c r="E1704" s="12" t="s">
        <v>21</v>
      </c>
      <c r="F1704" s="14">
        <v>4.5</v>
      </c>
      <c r="G1704" s="19">
        <v>110</v>
      </c>
    </row>
    <row r="1705" spans="1:7" x14ac:dyDescent="0.3">
      <c r="A1705" s="18" t="s">
        <v>110</v>
      </c>
      <c r="B1705" s="12" t="s">
        <v>111</v>
      </c>
      <c r="C1705" s="12" t="s">
        <v>79</v>
      </c>
      <c r="D1705" s="13">
        <v>40962</v>
      </c>
      <c r="E1705" s="12" t="s">
        <v>7</v>
      </c>
      <c r="F1705" s="14">
        <v>18</v>
      </c>
      <c r="G1705" s="19">
        <v>45</v>
      </c>
    </row>
    <row r="1706" spans="1:7" x14ac:dyDescent="0.3">
      <c r="A1706" s="18" t="s">
        <v>110</v>
      </c>
      <c r="B1706" s="12" t="s">
        <v>111</v>
      </c>
      <c r="C1706" s="12" t="s">
        <v>79</v>
      </c>
      <c r="D1706" s="13">
        <v>40962</v>
      </c>
      <c r="E1706" s="12" t="s">
        <v>2</v>
      </c>
      <c r="F1706" s="14">
        <v>18.399999999999999</v>
      </c>
      <c r="G1706" s="19">
        <v>91</v>
      </c>
    </row>
    <row r="1707" spans="1:7" x14ac:dyDescent="0.3">
      <c r="A1707" s="18" t="s">
        <v>110</v>
      </c>
      <c r="B1707" s="12" t="s">
        <v>111</v>
      </c>
      <c r="C1707" s="12" t="s">
        <v>79</v>
      </c>
      <c r="D1707" s="13">
        <v>40962</v>
      </c>
      <c r="E1707" s="12" t="s">
        <v>3</v>
      </c>
      <c r="F1707" s="14">
        <v>34</v>
      </c>
      <c r="G1707" s="19">
        <v>100</v>
      </c>
    </row>
    <row r="1708" spans="1:7" x14ac:dyDescent="0.3">
      <c r="A1708" s="18" t="s">
        <v>197</v>
      </c>
      <c r="B1708" s="12" t="s">
        <v>103</v>
      </c>
      <c r="C1708" s="12" t="s">
        <v>84</v>
      </c>
      <c r="D1708" s="13">
        <v>40966</v>
      </c>
      <c r="E1708" s="12" t="s">
        <v>55</v>
      </c>
      <c r="F1708" s="14">
        <v>9.5</v>
      </c>
      <c r="G1708" s="19">
        <v>15</v>
      </c>
    </row>
    <row r="1709" spans="1:7" x14ac:dyDescent="0.3">
      <c r="A1709" s="18" t="s">
        <v>197</v>
      </c>
      <c r="B1709" s="12" t="s">
        <v>103</v>
      </c>
      <c r="C1709" s="12" t="s">
        <v>84</v>
      </c>
      <c r="D1709" s="13">
        <v>40966</v>
      </c>
      <c r="E1709" s="12" t="s">
        <v>17</v>
      </c>
      <c r="F1709" s="14">
        <v>38</v>
      </c>
      <c r="G1709" s="19">
        <v>16</v>
      </c>
    </row>
    <row r="1710" spans="1:7" x14ac:dyDescent="0.3">
      <c r="A1710" s="18" t="s">
        <v>143</v>
      </c>
      <c r="B1710" s="12" t="s">
        <v>144</v>
      </c>
      <c r="C1710" s="12" t="s">
        <v>79</v>
      </c>
      <c r="D1710" s="13">
        <v>40964</v>
      </c>
      <c r="E1710" s="12" t="s">
        <v>68</v>
      </c>
      <c r="F1710" s="14">
        <v>123.79</v>
      </c>
      <c r="G1710" s="19">
        <v>80</v>
      </c>
    </row>
    <row r="1711" spans="1:7" x14ac:dyDescent="0.3">
      <c r="A1711" s="18" t="s">
        <v>143</v>
      </c>
      <c r="B1711" s="12" t="s">
        <v>144</v>
      </c>
      <c r="C1711" s="12" t="s">
        <v>79</v>
      </c>
      <c r="D1711" s="13">
        <v>40964</v>
      </c>
      <c r="E1711" s="12" t="s">
        <v>41</v>
      </c>
      <c r="F1711" s="14">
        <v>25.89</v>
      </c>
      <c r="G1711" s="19">
        <v>36</v>
      </c>
    </row>
    <row r="1712" spans="1:7" x14ac:dyDescent="0.3">
      <c r="A1712" s="18" t="s">
        <v>184</v>
      </c>
      <c r="B1712" s="12" t="s">
        <v>185</v>
      </c>
      <c r="C1712" s="12" t="s">
        <v>81</v>
      </c>
      <c r="D1712" s="13">
        <v>40974</v>
      </c>
      <c r="E1712" s="12" t="s">
        <v>30</v>
      </c>
      <c r="F1712" s="14">
        <v>6</v>
      </c>
      <c r="G1712" s="19">
        <v>5</v>
      </c>
    </row>
    <row r="1713" spans="1:7" x14ac:dyDescent="0.3">
      <c r="A1713" s="18" t="s">
        <v>137</v>
      </c>
      <c r="B1713" s="12" t="s">
        <v>109</v>
      </c>
      <c r="C1713" s="12" t="s">
        <v>85</v>
      </c>
      <c r="D1713" s="13">
        <v>40965</v>
      </c>
      <c r="E1713" s="12" t="s">
        <v>7</v>
      </c>
      <c r="F1713" s="14">
        <v>18</v>
      </c>
      <c r="G1713" s="19">
        <v>8</v>
      </c>
    </row>
    <row r="1714" spans="1:7" x14ac:dyDescent="0.3">
      <c r="A1714" s="18" t="s">
        <v>107</v>
      </c>
      <c r="B1714" s="12" t="s">
        <v>98</v>
      </c>
      <c r="C1714" s="12" t="s">
        <v>83</v>
      </c>
      <c r="D1714" s="13">
        <v>40972</v>
      </c>
      <c r="E1714" s="12" t="s">
        <v>45</v>
      </c>
      <c r="F1714" s="14">
        <v>15</v>
      </c>
      <c r="G1714" s="19">
        <v>3</v>
      </c>
    </row>
    <row r="1715" spans="1:7" x14ac:dyDescent="0.3">
      <c r="A1715" s="18" t="s">
        <v>108</v>
      </c>
      <c r="B1715" s="12" t="s">
        <v>109</v>
      </c>
      <c r="C1715" s="12" t="s">
        <v>81</v>
      </c>
      <c r="D1715" s="13">
        <v>40965</v>
      </c>
      <c r="E1715" s="12" t="s">
        <v>29</v>
      </c>
      <c r="F1715" s="14">
        <v>9.65</v>
      </c>
      <c r="G1715" s="19">
        <v>30</v>
      </c>
    </row>
    <row r="1716" spans="1:7" x14ac:dyDescent="0.3">
      <c r="A1716" s="18" t="s">
        <v>108</v>
      </c>
      <c r="B1716" s="12" t="s">
        <v>109</v>
      </c>
      <c r="C1716" s="12" t="s">
        <v>81</v>
      </c>
      <c r="D1716" s="13">
        <v>40965</v>
      </c>
      <c r="E1716" s="12" t="s">
        <v>14</v>
      </c>
      <c r="F1716" s="14">
        <v>21.5</v>
      </c>
      <c r="G1716" s="19">
        <v>30</v>
      </c>
    </row>
    <row r="1717" spans="1:7" x14ac:dyDescent="0.3">
      <c r="A1717" s="18" t="s">
        <v>118</v>
      </c>
      <c r="B1717" s="12" t="s">
        <v>119</v>
      </c>
      <c r="C1717" s="12" t="s">
        <v>83</v>
      </c>
      <c r="D1717" s="13">
        <v>40971</v>
      </c>
      <c r="E1717" s="12" t="s">
        <v>46</v>
      </c>
      <c r="F1717" s="14">
        <v>24</v>
      </c>
      <c r="G1717" s="19">
        <v>30</v>
      </c>
    </row>
    <row r="1718" spans="1:7" x14ac:dyDescent="0.3">
      <c r="A1718" s="18" t="s">
        <v>118</v>
      </c>
      <c r="B1718" s="12" t="s">
        <v>119</v>
      </c>
      <c r="C1718" s="12" t="s">
        <v>83</v>
      </c>
      <c r="D1718" s="13">
        <v>40971</v>
      </c>
      <c r="E1718" s="12" t="s">
        <v>66</v>
      </c>
      <c r="F1718" s="14">
        <v>49.3</v>
      </c>
      <c r="G1718" s="19">
        <v>6</v>
      </c>
    </row>
    <row r="1719" spans="1:7" x14ac:dyDescent="0.3">
      <c r="A1719" s="18" t="s">
        <v>99</v>
      </c>
      <c r="B1719" s="12" t="s">
        <v>98</v>
      </c>
      <c r="C1719" s="12" t="s">
        <v>79</v>
      </c>
      <c r="D1719" s="13">
        <v>40972</v>
      </c>
      <c r="E1719" s="12" t="s">
        <v>30</v>
      </c>
      <c r="F1719" s="14">
        <v>6</v>
      </c>
      <c r="G1719" s="19">
        <v>40</v>
      </c>
    </row>
    <row r="1720" spans="1:7" x14ac:dyDescent="0.3">
      <c r="A1720" s="18" t="s">
        <v>99</v>
      </c>
      <c r="B1720" s="12" t="s">
        <v>98</v>
      </c>
      <c r="C1720" s="12" t="s">
        <v>79</v>
      </c>
      <c r="D1720" s="13">
        <v>40972</v>
      </c>
      <c r="E1720" s="12" t="s">
        <v>34</v>
      </c>
      <c r="F1720" s="14">
        <v>21.05</v>
      </c>
      <c r="G1720" s="19">
        <v>21</v>
      </c>
    </row>
    <row r="1721" spans="1:7" x14ac:dyDescent="0.3">
      <c r="A1721" s="18" t="s">
        <v>99</v>
      </c>
      <c r="B1721" s="12" t="s">
        <v>98</v>
      </c>
      <c r="C1721" s="12" t="s">
        <v>79</v>
      </c>
      <c r="D1721" s="13">
        <v>40972</v>
      </c>
      <c r="E1721" s="12" t="s">
        <v>59</v>
      </c>
      <c r="F1721" s="14">
        <v>12.5</v>
      </c>
      <c r="G1721" s="19">
        <v>20</v>
      </c>
    </row>
    <row r="1722" spans="1:7" x14ac:dyDescent="0.3">
      <c r="A1722" s="18" t="s">
        <v>125</v>
      </c>
      <c r="B1722" s="12" t="s">
        <v>115</v>
      </c>
      <c r="C1722" s="12" t="s">
        <v>79</v>
      </c>
      <c r="D1722" s="13">
        <v>40966</v>
      </c>
      <c r="E1722" s="12" t="s">
        <v>12</v>
      </c>
      <c r="F1722" s="14">
        <v>13.25</v>
      </c>
      <c r="G1722" s="19">
        <v>15</v>
      </c>
    </row>
    <row r="1723" spans="1:7" x14ac:dyDescent="0.3">
      <c r="A1723" s="18" t="s">
        <v>125</v>
      </c>
      <c r="B1723" s="12" t="s">
        <v>115</v>
      </c>
      <c r="C1723" s="12" t="s">
        <v>79</v>
      </c>
      <c r="D1723" s="13">
        <v>40966</v>
      </c>
      <c r="E1723" s="12" t="s">
        <v>66</v>
      </c>
      <c r="F1723" s="14">
        <v>49.3</v>
      </c>
      <c r="G1723" s="19">
        <v>35</v>
      </c>
    </row>
    <row r="1724" spans="1:7" x14ac:dyDescent="0.3">
      <c r="A1724" s="18" t="s">
        <v>107</v>
      </c>
      <c r="B1724" s="12" t="s">
        <v>98</v>
      </c>
      <c r="C1724" s="12" t="s">
        <v>78</v>
      </c>
      <c r="D1724" s="13">
        <v>40974</v>
      </c>
      <c r="E1724" s="12" t="s">
        <v>5</v>
      </c>
      <c r="F1724" s="14">
        <v>18</v>
      </c>
      <c r="G1724" s="19">
        <v>20</v>
      </c>
    </row>
    <row r="1725" spans="1:7" x14ac:dyDescent="0.3">
      <c r="A1725" s="18" t="s">
        <v>175</v>
      </c>
      <c r="B1725" s="12" t="s">
        <v>176</v>
      </c>
      <c r="C1725" s="12" t="s">
        <v>81</v>
      </c>
      <c r="D1725" s="13">
        <v>40971</v>
      </c>
      <c r="E1725" s="12" t="s">
        <v>63</v>
      </c>
      <c r="F1725" s="14">
        <v>28.5</v>
      </c>
      <c r="G1725" s="19">
        <v>15</v>
      </c>
    </row>
    <row r="1726" spans="1:7" x14ac:dyDescent="0.3">
      <c r="A1726" s="18" t="s">
        <v>203</v>
      </c>
      <c r="B1726" s="12" t="s">
        <v>101</v>
      </c>
      <c r="C1726" s="12" t="s">
        <v>82</v>
      </c>
      <c r="D1726" s="13">
        <v>40966</v>
      </c>
      <c r="E1726" s="12" t="s">
        <v>53</v>
      </c>
      <c r="F1726" s="14">
        <v>7.75</v>
      </c>
      <c r="G1726" s="19">
        <v>14</v>
      </c>
    </row>
    <row r="1727" spans="1:7" x14ac:dyDescent="0.3">
      <c r="A1727" s="18" t="s">
        <v>139</v>
      </c>
      <c r="B1727" s="12" t="s">
        <v>130</v>
      </c>
      <c r="C1727" s="12" t="s">
        <v>81</v>
      </c>
      <c r="D1727" s="13">
        <v>40974</v>
      </c>
      <c r="E1727" s="12" t="s">
        <v>72</v>
      </c>
      <c r="F1727" s="14">
        <v>30</v>
      </c>
      <c r="G1727" s="19">
        <v>20</v>
      </c>
    </row>
    <row r="1728" spans="1:7" x14ac:dyDescent="0.3">
      <c r="A1728" s="18" t="s">
        <v>139</v>
      </c>
      <c r="B1728" s="12" t="s">
        <v>130</v>
      </c>
      <c r="C1728" s="12" t="s">
        <v>81</v>
      </c>
      <c r="D1728" s="13">
        <v>40974</v>
      </c>
      <c r="E1728" s="12" t="s">
        <v>13</v>
      </c>
      <c r="F1728" s="14">
        <v>7</v>
      </c>
      <c r="G1728" s="19">
        <v>14</v>
      </c>
    </row>
    <row r="1729" spans="1:7" x14ac:dyDescent="0.3">
      <c r="A1729" s="18" t="s">
        <v>178</v>
      </c>
      <c r="B1729" s="12" t="s">
        <v>179</v>
      </c>
      <c r="C1729" s="12" t="s">
        <v>83</v>
      </c>
      <c r="D1729" s="13">
        <v>40978</v>
      </c>
      <c r="E1729" s="12" t="s">
        <v>72</v>
      </c>
      <c r="F1729" s="14">
        <v>30</v>
      </c>
      <c r="G1729" s="19">
        <v>12</v>
      </c>
    </row>
    <row r="1730" spans="1:7" x14ac:dyDescent="0.3">
      <c r="A1730" s="18" t="s">
        <v>178</v>
      </c>
      <c r="B1730" s="12" t="s">
        <v>179</v>
      </c>
      <c r="C1730" s="12" t="s">
        <v>83</v>
      </c>
      <c r="D1730" s="13">
        <v>40978</v>
      </c>
      <c r="E1730" s="12" t="s">
        <v>47</v>
      </c>
      <c r="F1730" s="14">
        <v>17.45</v>
      </c>
      <c r="G1730" s="19">
        <v>15</v>
      </c>
    </row>
    <row r="1731" spans="1:7" x14ac:dyDescent="0.3">
      <c r="A1731" s="18" t="s">
        <v>178</v>
      </c>
      <c r="B1731" s="12" t="s">
        <v>179</v>
      </c>
      <c r="C1731" s="12" t="s">
        <v>83</v>
      </c>
      <c r="D1731" s="13">
        <v>40978</v>
      </c>
      <c r="E1731" s="12" t="s">
        <v>29</v>
      </c>
      <c r="F1731" s="14">
        <v>9.65</v>
      </c>
      <c r="G1731" s="19">
        <v>5</v>
      </c>
    </row>
    <row r="1732" spans="1:7" x14ac:dyDescent="0.3">
      <c r="A1732" s="18" t="s">
        <v>95</v>
      </c>
      <c r="B1732" s="12" t="s">
        <v>96</v>
      </c>
      <c r="C1732" s="12" t="s">
        <v>83</v>
      </c>
      <c r="D1732" s="13">
        <v>40972</v>
      </c>
      <c r="E1732" s="12" t="s">
        <v>67</v>
      </c>
      <c r="F1732" s="14">
        <v>9.1999999999999993</v>
      </c>
      <c r="G1732" s="19">
        <v>12</v>
      </c>
    </row>
    <row r="1733" spans="1:7" x14ac:dyDescent="0.3">
      <c r="A1733" s="18" t="s">
        <v>95</v>
      </c>
      <c r="B1733" s="12" t="s">
        <v>96</v>
      </c>
      <c r="C1733" s="12" t="s">
        <v>83</v>
      </c>
      <c r="D1733" s="13">
        <v>40972</v>
      </c>
      <c r="E1733" s="12" t="s">
        <v>38</v>
      </c>
      <c r="F1733" s="14">
        <v>20</v>
      </c>
      <c r="G1733" s="19">
        <v>10</v>
      </c>
    </row>
    <row r="1734" spans="1:7" x14ac:dyDescent="0.3">
      <c r="A1734" s="18" t="s">
        <v>95</v>
      </c>
      <c r="B1734" s="12" t="s">
        <v>96</v>
      </c>
      <c r="C1734" s="12" t="s">
        <v>83</v>
      </c>
      <c r="D1734" s="13">
        <v>40972</v>
      </c>
      <c r="E1734" s="12" t="s">
        <v>63</v>
      </c>
      <c r="F1734" s="14">
        <v>28.5</v>
      </c>
      <c r="G1734" s="19">
        <v>5</v>
      </c>
    </row>
    <row r="1735" spans="1:7" x14ac:dyDescent="0.3">
      <c r="A1735" s="18" t="s">
        <v>146</v>
      </c>
      <c r="B1735" s="12" t="s">
        <v>136</v>
      </c>
      <c r="C1735" s="12" t="s">
        <v>79</v>
      </c>
      <c r="D1735" s="13">
        <v>40973</v>
      </c>
      <c r="E1735" s="12" t="s">
        <v>5</v>
      </c>
      <c r="F1735" s="14">
        <v>18</v>
      </c>
      <c r="G1735" s="19">
        <v>10</v>
      </c>
    </row>
    <row r="1736" spans="1:7" x14ac:dyDescent="0.3">
      <c r="A1736" s="18" t="s">
        <v>146</v>
      </c>
      <c r="B1736" s="12" t="s">
        <v>136</v>
      </c>
      <c r="C1736" s="12" t="s">
        <v>79</v>
      </c>
      <c r="D1736" s="13">
        <v>40973</v>
      </c>
      <c r="E1736" s="12" t="s">
        <v>0</v>
      </c>
      <c r="F1736" s="14">
        <v>39</v>
      </c>
      <c r="G1736" s="19">
        <v>12</v>
      </c>
    </row>
    <row r="1737" spans="1:7" x14ac:dyDescent="0.3">
      <c r="A1737" s="18" t="s">
        <v>146</v>
      </c>
      <c r="B1737" s="12" t="s">
        <v>136</v>
      </c>
      <c r="C1737" s="12" t="s">
        <v>79</v>
      </c>
      <c r="D1737" s="13">
        <v>40973</v>
      </c>
      <c r="E1737" s="12" t="s">
        <v>32</v>
      </c>
      <c r="F1737" s="14">
        <v>14</v>
      </c>
      <c r="G1737" s="19">
        <v>15</v>
      </c>
    </row>
    <row r="1738" spans="1:7" x14ac:dyDescent="0.3">
      <c r="A1738" s="18" t="s">
        <v>143</v>
      </c>
      <c r="B1738" s="12" t="s">
        <v>144</v>
      </c>
      <c r="C1738" s="12" t="s">
        <v>77</v>
      </c>
      <c r="D1738" s="13">
        <v>40986</v>
      </c>
      <c r="E1738" s="12" t="s">
        <v>49</v>
      </c>
      <c r="F1738" s="14">
        <v>21</v>
      </c>
      <c r="G1738" s="19">
        <v>40</v>
      </c>
    </row>
    <row r="1739" spans="1:7" x14ac:dyDescent="0.3">
      <c r="A1739" s="18" t="s">
        <v>143</v>
      </c>
      <c r="B1739" s="12" t="s">
        <v>144</v>
      </c>
      <c r="C1739" s="12" t="s">
        <v>77</v>
      </c>
      <c r="D1739" s="13">
        <v>40986</v>
      </c>
      <c r="E1739" s="12" t="s">
        <v>68</v>
      </c>
      <c r="F1739" s="14">
        <v>123.79</v>
      </c>
      <c r="G1739" s="19">
        <v>60</v>
      </c>
    </row>
    <row r="1740" spans="1:7" x14ac:dyDescent="0.3">
      <c r="A1740" s="18" t="s">
        <v>174</v>
      </c>
      <c r="B1740" s="12" t="s">
        <v>98</v>
      </c>
      <c r="C1740" s="12" t="s">
        <v>81</v>
      </c>
      <c r="D1740" s="13">
        <v>40972</v>
      </c>
      <c r="E1740" s="12" t="s">
        <v>8</v>
      </c>
      <c r="F1740" s="14">
        <v>22</v>
      </c>
      <c r="G1740" s="19">
        <v>30</v>
      </c>
    </row>
    <row r="1741" spans="1:7" x14ac:dyDescent="0.3">
      <c r="A1741" s="18" t="s">
        <v>174</v>
      </c>
      <c r="B1741" s="12" t="s">
        <v>98</v>
      </c>
      <c r="C1741" s="12" t="s">
        <v>81</v>
      </c>
      <c r="D1741" s="13">
        <v>40972</v>
      </c>
      <c r="E1741" s="12" t="s">
        <v>15</v>
      </c>
      <c r="F1741" s="14">
        <v>2.5</v>
      </c>
      <c r="G1741" s="19">
        <v>40</v>
      </c>
    </row>
    <row r="1742" spans="1:7" x14ac:dyDescent="0.3">
      <c r="A1742" s="18" t="s">
        <v>174</v>
      </c>
      <c r="B1742" s="12" t="s">
        <v>98</v>
      </c>
      <c r="C1742" s="12" t="s">
        <v>81</v>
      </c>
      <c r="D1742" s="13">
        <v>40972</v>
      </c>
      <c r="E1742" s="12" t="s">
        <v>12</v>
      </c>
      <c r="F1742" s="14">
        <v>13.25</v>
      </c>
      <c r="G1742" s="19">
        <v>15</v>
      </c>
    </row>
    <row r="1743" spans="1:7" x14ac:dyDescent="0.3">
      <c r="A1743" s="18" t="s">
        <v>174</v>
      </c>
      <c r="B1743" s="12" t="s">
        <v>98</v>
      </c>
      <c r="C1743" s="12" t="s">
        <v>82</v>
      </c>
      <c r="D1743" s="13">
        <v>40970</v>
      </c>
      <c r="E1743" s="12" t="s">
        <v>14</v>
      </c>
      <c r="F1743" s="14">
        <v>21.5</v>
      </c>
      <c r="G1743" s="19">
        <v>25</v>
      </c>
    </row>
    <row r="1744" spans="1:7" x14ac:dyDescent="0.3">
      <c r="A1744" s="18" t="s">
        <v>131</v>
      </c>
      <c r="B1744" s="12" t="s">
        <v>113</v>
      </c>
      <c r="C1744" s="12" t="s">
        <v>77</v>
      </c>
      <c r="D1744" s="13">
        <v>40970</v>
      </c>
      <c r="E1744" s="12" t="s">
        <v>0</v>
      </c>
      <c r="F1744" s="14">
        <v>39</v>
      </c>
      <c r="G1744" s="19">
        <v>10</v>
      </c>
    </row>
    <row r="1745" spans="1:7" x14ac:dyDescent="0.3">
      <c r="A1745" s="18" t="s">
        <v>131</v>
      </c>
      <c r="B1745" s="12" t="s">
        <v>113</v>
      </c>
      <c r="C1745" s="12" t="s">
        <v>77</v>
      </c>
      <c r="D1745" s="13">
        <v>40970</v>
      </c>
      <c r="E1745" s="12" t="s">
        <v>15</v>
      </c>
      <c r="F1745" s="14">
        <v>2.5</v>
      </c>
      <c r="G1745" s="19">
        <v>30</v>
      </c>
    </row>
    <row r="1746" spans="1:7" x14ac:dyDescent="0.3">
      <c r="A1746" s="18" t="s">
        <v>131</v>
      </c>
      <c r="B1746" s="12" t="s">
        <v>113</v>
      </c>
      <c r="C1746" s="12" t="s">
        <v>77</v>
      </c>
      <c r="D1746" s="13">
        <v>40970</v>
      </c>
      <c r="E1746" s="12" t="s">
        <v>70</v>
      </c>
      <c r="F1746" s="14">
        <v>7.45</v>
      </c>
      <c r="G1746" s="19">
        <v>10</v>
      </c>
    </row>
    <row r="1747" spans="1:7" x14ac:dyDescent="0.3">
      <c r="A1747" s="18" t="s">
        <v>190</v>
      </c>
      <c r="B1747" s="12" t="s">
        <v>185</v>
      </c>
      <c r="C1747" s="12" t="s">
        <v>83</v>
      </c>
      <c r="D1747" s="13">
        <v>40977</v>
      </c>
      <c r="E1747" s="12" t="s">
        <v>47</v>
      </c>
      <c r="F1747" s="14">
        <v>17.45</v>
      </c>
      <c r="G1747" s="19">
        <v>6</v>
      </c>
    </row>
    <row r="1748" spans="1:7" x14ac:dyDescent="0.3">
      <c r="A1748" s="18" t="s">
        <v>190</v>
      </c>
      <c r="B1748" s="12" t="s">
        <v>185</v>
      </c>
      <c r="C1748" s="12" t="s">
        <v>83</v>
      </c>
      <c r="D1748" s="13">
        <v>40977</v>
      </c>
      <c r="E1748" s="12" t="s">
        <v>37</v>
      </c>
      <c r="F1748" s="14">
        <v>32</v>
      </c>
      <c r="G1748" s="19">
        <v>6</v>
      </c>
    </row>
    <row r="1749" spans="1:7" x14ac:dyDescent="0.3">
      <c r="A1749" s="18" t="s">
        <v>190</v>
      </c>
      <c r="B1749" s="12" t="s">
        <v>185</v>
      </c>
      <c r="C1749" s="12" t="s">
        <v>83</v>
      </c>
      <c r="D1749" s="13">
        <v>40977</v>
      </c>
      <c r="E1749" s="12" t="s">
        <v>52</v>
      </c>
      <c r="F1749" s="14">
        <v>19.5</v>
      </c>
      <c r="G1749" s="19">
        <v>20</v>
      </c>
    </row>
    <row r="1750" spans="1:7" x14ac:dyDescent="0.3">
      <c r="A1750" s="18" t="s">
        <v>135</v>
      </c>
      <c r="B1750" s="12" t="s">
        <v>136</v>
      </c>
      <c r="C1750" s="12" t="s">
        <v>81</v>
      </c>
      <c r="D1750" s="13">
        <v>40979</v>
      </c>
      <c r="E1750" s="12" t="s">
        <v>41</v>
      </c>
      <c r="F1750" s="14">
        <v>25.89</v>
      </c>
      <c r="G1750" s="19">
        <v>1</v>
      </c>
    </row>
    <row r="1751" spans="1:7" x14ac:dyDescent="0.3">
      <c r="A1751" s="18" t="s">
        <v>135</v>
      </c>
      <c r="B1751" s="12" t="s">
        <v>136</v>
      </c>
      <c r="C1751" s="12" t="s">
        <v>81</v>
      </c>
      <c r="D1751" s="13">
        <v>40979</v>
      </c>
      <c r="E1751" s="12" t="s">
        <v>3</v>
      </c>
      <c r="F1751" s="14">
        <v>34</v>
      </c>
      <c r="G1751" s="19">
        <v>10</v>
      </c>
    </row>
    <row r="1752" spans="1:7" x14ac:dyDescent="0.3">
      <c r="A1752" s="18" t="s">
        <v>180</v>
      </c>
      <c r="B1752" s="12" t="s">
        <v>160</v>
      </c>
      <c r="C1752" s="12" t="s">
        <v>79</v>
      </c>
      <c r="D1752" s="13">
        <v>40979</v>
      </c>
      <c r="E1752" s="12" t="s">
        <v>5</v>
      </c>
      <c r="F1752" s="14">
        <v>18</v>
      </c>
      <c r="G1752" s="19">
        <v>60</v>
      </c>
    </row>
    <row r="1753" spans="1:7" x14ac:dyDescent="0.3">
      <c r="A1753" s="18" t="s">
        <v>180</v>
      </c>
      <c r="B1753" s="12" t="s">
        <v>160</v>
      </c>
      <c r="C1753" s="12" t="s">
        <v>79</v>
      </c>
      <c r="D1753" s="13">
        <v>40979</v>
      </c>
      <c r="E1753" s="12" t="s">
        <v>3</v>
      </c>
      <c r="F1753" s="14">
        <v>34</v>
      </c>
      <c r="G1753" s="19">
        <v>25</v>
      </c>
    </row>
    <row r="1754" spans="1:7" x14ac:dyDescent="0.3">
      <c r="A1754" s="18" t="s">
        <v>181</v>
      </c>
      <c r="B1754" s="12" t="s">
        <v>109</v>
      </c>
      <c r="C1754" s="12" t="s">
        <v>77</v>
      </c>
      <c r="D1754" s="13">
        <v>40972</v>
      </c>
      <c r="E1754" s="12" t="s">
        <v>47</v>
      </c>
      <c r="F1754" s="14">
        <v>17.45</v>
      </c>
      <c r="G1754" s="19">
        <v>24</v>
      </c>
    </row>
    <row r="1755" spans="1:7" x14ac:dyDescent="0.3">
      <c r="A1755" s="18" t="s">
        <v>181</v>
      </c>
      <c r="B1755" s="12" t="s">
        <v>109</v>
      </c>
      <c r="C1755" s="12" t="s">
        <v>77</v>
      </c>
      <c r="D1755" s="13">
        <v>40972</v>
      </c>
      <c r="E1755" s="12" t="s">
        <v>43</v>
      </c>
      <c r="F1755" s="14">
        <v>14</v>
      </c>
      <c r="G1755" s="19">
        <v>24</v>
      </c>
    </row>
    <row r="1756" spans="1:7" x14ac:dyDescent="0.3">
      <c r="A1756" s="18" t="s">
        <v>181</v>
      </c>
      <c r="B1756" s="12" t="s">
        <v>109</v>
      </c>
      <c r="C1756" s="12" t="s">
        <v>77</v>
      </c>
      <c r="D1756" s="13">
        <v>40972</v>
      </c>
      <c r="E1756" s="12" t="s">
        <v>2</v>
      </c>
      <c r="F1756" s="14">
        <v>18.399999999999999</v>
      </c>
      <c r="G1756" s="19">
        <v>20</v>
      </c>
    </row>
    <row r="1757" spans="1:7" x14ac:dyDescent="0.3">
      <c r="A1757" s="18" t="s">
        <v>167</v>
      </c>
      <c r="B1757" s="12" t="s">
        <v>141</v>
      </c>
      <c r="C1757" s="12" t="s">
        <v>81</v>
      </c>
      <c r="D1757" s="13">
        <v>40977</v>
      </c>
      <c r="E1757" s="12" t="s">
        <v>73</v>
      </c>
      <c r="F1757" s="14">
        <v>16.25</v>
      </c>
      <c r="G1757" s="19">
        <v>24</v>
      </c>
    </row>
    <row r="1758" spans="1:7" x14ac:dyDescent="0.3">
      <c r="A1758" s="18" t="s">
        <v>173</v>
      </c>
      <c r="B1758" s="12" t="s">
        <v>163</v>
      </c>
      <c r="C1758" s="12" t="s">
        <v>83</v>
      </c>
      <c r="D1758" s="13">
        <v>40977</v>
      </c>
      <c r="E1758" s="12" t="s">
        <v>65</v>
      </c>
      <c r="F1758" s="14">
        <v>18</v>
      </c>
      <c r="G1758" s="19">
        <v>10</v>
      </c>
    </row>
    <row r="1759" spans="1:7" x14ac:dyDescent="0.3">
      <c r="A1759" s="18" t="s">
        <v>173</v>
      </c>
      <c r="B1759" s="12" t="s">
        <v>163</v>
      </c>
      <c r="C1759" s="12" t="s">
        <v>83</v>
      </c>
      <c r="D1759" s="13">
        <v>40977</v>
      </c>
      <c r="E1759" s="12" t="s">
        <v>74</v>
      </c>
      <c r="F1759" s="14">
        <v>43.9</v>
      </c>
      <c r="G1759" s="19">
        <v>40</v>
      </c>
    </row>
    <row r="1760" spans="1:7" x14ac:dyDescent="0.3">
      <c r="A1760" s="18" t="s">
        <v>99</v>
      </c>
      <c r="B1760" s="12" t="s">
        <v>98</v>
      </c>
      <c r="C1760" s="12" t="s">
        <v>85</v>
      </c>
      <c r="D1760" s="13">
        <v>40973</v>
      </c>
      <c r="E1760" s="12" t="s">
        <v>0</v>
      </c>
      <c r="F1760" s="14">
        <v>39</v>
      </c>
      <c r="G1760" s="19">
        <v>15</v>
      </c>
    </row>
    <row r="1761" spans="1:7" x14ac:dyDescent="0.3">
      <c r="A1761" s="18" t="s">
        <v>99</v>
      </c>
      <c r="B1761" s="12" t="s">
        <v>98</v>
      </c>
      <c r="C1761" s="12" t="s">
        <v>85</v>
      </c>
      <c r="D1761" s="13">
        <v>40973</v>
      </c>
      <c r="E1761" s="12" t="s">
        <v>21</v>
      </c>
      <c r="F1761" s="14">
        <v>4.5</v>
      </c>
      <c r="G1761" s="19">
        <v>35</v>
      </c>
    </row>
    <row r="1762" spans="1:7" x14ac:dyDescent="0.3">
      <c r="A1762" s="18" t="s">
        <v>165</v>
      </c>
      <c r="B1762" s="12" t="s">
        <v>101</v>
      </c>
      <c r="C1762" s="12" t="s">
        <v>84</v>
      </c>
      <c r="D1762" s="13">
        <v>40981</v>
      </c>
      <c r="E1762" s="12" t="s">
        <v>60</v>
      </c>
      <c r="F1762" s="14">
        <v>14</v>
      </c>
      <c r="G1762" s="19">
        <v>10</v>
      </c>
    </row>
    <row r="1763" spans="1:7" x14ac:dyDescent="0.3">
      <c r="A1763" s="18" t="s">
        <v>165</v>
      </c>
      <c r="B1763" s="12" t="s">
        <v>101</v>
      </c>
      <c r="C1763" s="12" t="s">
        <v>84</v>
      </c>
      <c r="D1763" s="13">
        <v>40981</v>
      </c>
      <c r="E1763" s="12" t="s">
        <v>28</v>
      </c>
      <c r="F1763" s="14">
        <v>46</v>
      </c>
      <c r="G1763" s="19">
        <v>10</v>
      </c>
    </row>
    <row r="1764" spans="1:7" x14ac:dyDescent="0.3">
      <c r="A1764" s="18" t="s">
        <v>165</v>
      </c>
      <c r="B1764" s="12" t="s">
        <v>101</v>
      </c>
      <c r="C1764" s="12" t="s">
        <v>84</v>
      </c>
      <c r="D1764" s="13">
        <v>40981</v>
      </c>
      <c r="E1764" s="12" t="s">
        <v>32</v>
      </c>
      <c r="F1764" s="14">
        <v>14</v>
      </c>
      <c r="G1764" s="19">
        <v>24</v>
      </c>
    </row>
    <row r="1765" spans="1:7" x14ac:dyDescent="0.3">
      <c r="A1765" s="18" t="s">
        <v>133</v>
      </c>
      <c r="B1765" s="12" t="s">
        <v>119</v>
      </c>
      <c r="C1765" s="12" t="s">
        <v>79</v>
      </c>
      <c r="D1765" s="13">
        <v>41007</v>
      </c>
      <c r="E1765" s="12" t="s">
        <v>26</v>
      </c>
      <c r="F1765" s="14">
        <v>31</v>
      </c>
      <c r="G1765" s="19">
        <v>20</v>
      </c>
    </row>
    <row r="1766" spans="1:7" x14ac:dyDescent="0.3">
      <c r="A1766" s="18" t="s">
        <v>133</v>
      </c>
      <c r="B1766" s="12" t="s">
        <v>119</v>
      </c>
      <c r="C1766" s="12" t="s">
        <v>79</v>
      </c>
      <c r="D1766" s="13">
        <v>41007</v>
      </c>
      <c r="E1766" s="12" t="s">
        <v>56</v>
      </c>
      <c r="F1766" s="14">
        <v>45.6</v>
      </c>
      <c r="G1766" s="19">
        <v>30</v>
      </c>
    </row>
    <row r="1767" spans="1:7" x14ac:dyDescent="0.3">
      <c r="A1767" s="18" t="s">
        <v>133</v>
      </c>
      <c r="B1767" s="12" t="s">
        <v>119</v>
      </c>
      <c r="C1767" s="12" t="s">
        <v>79</v>
      </c>
      <c r="D1767" s="13">
        <v>41007</v>
      </c>
      <c r="E1767" s="12" t="s">
        <v>53</v>
      </c>
      <c r="F1767" s="14">
        <v>7.75</v>
      </c>
      <c r="G1767" s="19">
        <v>6</v>
      </c>
    </row>
    <row r="1768" spans="1:7" x14ac:dyDescent="0.3">
      <c r="A1768" s="18" t="s">
        <v>99</v>
      </c>
      <c r="B1768" s="12" t="s">
        <v>98</v>
      </c>
      <c r="C1768" s="12" t="s">
        <v>79</v>
      </c>
      <c r="D1768" s="13">
        <v>40981</v>
      </c>
      <c r="E1768" s="12" t="s">
        <v>27</v>
      </c>
      <c r="F1768" s="14">
        <v>19</v>
      </c>
      <c r="G1768" s="19">
        <v>25</v>
      </c>
    </row>
    <row r="1769" spans="1:7" x14ac:dyDescent="0.3">
      <c r="A1769" s="18" t="s">
        <v>99</v>
      </c>
      <c r="B1769" s="12" t="s">
        <v>98</v>
      </c>
      <c r="C1769" s="12" t="s">
        <v>79</v>
      </c>
      <c r="D1769" s="13">
        <v>40981</v>
      </c>
      <c r="E1769" s="12" t="s">
        <v>13</v>
      </c>
      <c r="F1769" s="14">
        <v>7</v>
      </c>
      <c r="G1769" s="19">
        <v>12</v>
      </c>
    </row>
    <row r="1770" spans="1:7" x14ac:dyDescent="0.3">
      <c r="A1770" s="18" t="s">
        <v>148</v>
      </c>
      <c r="B1770" s="12" t="s">
        <v>113</v>
      </c>
      <c r="C1770" s="12" t="s">
        <v>81</v>
      </c>
      <c r="D1770" s="13">
        <v>40979</v>
      </c>
      <c r="E1770" s="12" t="s">
        <v>49</v>
      </c>
      <c r="F1770" s="14">
        <v>21</v>
      </c>
      <c r="G1770" s="19">
        <v>2</v>
      </c>
    </row>
    <row r="1771" spans="1:7" x14ac:dyDescent="0.3">
      <c r="A1771" s="18" t="s">
        <v>148</v>
      </c>
      <c r="B1771" s="12" t="s">
        <v>113</v>
      </c>
      <c r="C1771" s="12" t="s">
        <v>81</v>
      </c>
      <c r="D1771" s="13">
        <v>40979</v>
      </c>
      <c r="E1771" s="12" t="s">
        <v>30</v>
      </c>
      <c r="F1771" s="14">
        <v>6</v>
      </c>
      <c r="G1771" s="19">
        <v>10</v>
      </c>
    </row>
    <row r="1772" spans="1:7" x14ac:dyDescent="0.3">
      <c r="A1772" s="18" t="s">
        <v>148</v>
      </c>
      <c r="B1772" s="12" t="s">
        <v>113</v>
      </c>
      <c r="C1772" s="12" t="s">
        <v>81</v>
      </c>
      <c r="D1772" s="13">
        <v>40979</v>
      </c>
      <c r="E1772" s="12" t="s">
        <v>67</v>
      </c>
      <c r="F1772" s="14">
        <v>9.1999999999999993</v>
      </c>
      <c r="G1772" s="19">
        <v>7</v>
      </c>
    </row>
    <row r="1773" spans="1:7" x14ac:dyDescent="0.3">
      <c r="A1773" s="18" t="s">
        <v>148</v>
      </c>
      <c r="B1773" s="12" t="s">
        <v>113</v>
      </c>
      <c r="C1773" s="12" t="s">
        <v>81</v>
      </c>
      <c r="D1773" s="13">
        <v>40979</v>
      </c>
      <c r="E1773" s="12" t="s">
        <v>40</v>
      </c>
      <c r="F1773" s="14">
        <v>34.799999999999997</v>
      </c>
      <c r="G1773" s="19">
        <v>10</v>
      </c>
    </row>
    <row r="1774" spans="1:7" x14ac:dyDescent="0.3">
      <c r="A1774" s="18" t="s">
        <v>204</v>
      </c>
      <c r="B1774" s="12" t="s">
        <v>101</v>
      </c>
      <c r="C1774" s="12" t="s">
        <v>81</v>
      </c>
      <c r="D1774" s="13">
        <v>41007</v>
      </c>
      <c r="E1774" s="12" t="s">
        <v>61</v>
      </c>
      <c r="F1774" s="14">
        <v>81</v>
      </c>
      <c r="G1774" s="19">
        <v>5</v>
      </c>
    </row>
    <row r="1775" spans="1:7" x14ac:dyDescent="0.3">
      <c r="A1775" s="18" t="s">
        <v>204</v>
      </c>
      <c r="B1775" s="12" t="s">
        <v>101</v>
      </c>
      <c r="C1775" s="12" t="s">
        <v>81</v>
      </c>
      <c r="D1775" s="13">
        <v>41007</v>
      </c>
      <c r="E1775" s="12" t="s">
        <v>13</v>
      </c>
      <c r="F1775" s="14">
        <v>7</v>
      </c>
      <c r="G1775" s="19">
        <v>5</v>
      </c>
    </row>
    <row r="1776" spans="1:7" x14ac:dyDescent="0.3">
      <c r="A1776" s="18" t="s">
        <v>204</v>
      </c>
      <c r="B1776" s="12" t="s">
        <v>101</v>
      </c>
      <c r="C1776" s="12" t="s">
        <v>81</v>
      </c>
      <c r="D1776" s="13">
        <v>41007</v>
      </c>
      <c r="E1776" s="12" t="s">
        <v>31</v>
      </c>
      <c r="F1776" s="14">
        <v>18</v>
      </c>
      <c r="G1776" s="19">
        <v>20</v>
      </c>
    </row>
    <row r="1777" spans="1:7" x14ac:dyDescent="0.3">
      <c r="A1777" s="18" t="s">
        <v>172</v>
      </c>
      <c r="B1777" s="12" t="s">
        <v>136</v>
      </c>
      <c r="C1777" s="12" t="s">
        <v>83</v>
      </c>
      <c r="D1777" s="13">
        <v>40986</v>
      </c>
      <c r="E1777" s="12" t="s">
        <v>76</v>
      </c>
      <c r="F1777" s="14">
        <v>9.5</v>
      </c>
      <c r="G1777" s="19">
        <v>5</v>
      </c>
    </row>
    <row r="1778" spans="1:7" x14ac:dyDescent="0.3">
      <c r="A1778" s="18" t="s">
        <v>172</v>
      </c>
      <c r="B1778" s="12" t="s">
        <v>136</v>
      </c>
      <c r="C1778" s="12" t="s">
        <v>83</v>
      </c>
      <c r="D1778" s="13">
        <v>40986</v>
      </c>
      <c r="E1778" s="12" t="s">
        <v>31</v>
      </c>
      <c r="F1778" s="14">
        <v>18</v>
      </c>
      <c r="G1778" s="19">
        <v>5</v>
      </c>
    </row>
    <row r="1779" spans="1:7" x14ac:dyDescent="0.3">
      <c r="A1779" s="18" t="s">
        <v>122</v>
      </c>
      <c r="B1779" s="12" t="s">
        <v>123</v>
      </c>
      <c r="C1779" s="12" t="s">
        <v>82</v>
      </c>
      <c r="D1779" s="13">
        <v>40980</v>
      </c>
      <c r="E1779" s="12" t="s">
        <v>62</v>
      </c>
      <c r="F1779" s="14">
        <v>10</v>
      </c>
      <c r="G1779" s="19">
        <v>60</v>
      </c>
    </row>
    <row r="1780" spans="1:7" x14ac:dyDescent="0.3">
      <c r="A1780" s="18" t="s">
        <v>122</v>
      </c>
      <c r="B1780" s="12" t="s">
        <v>123</v>
      </c>
      <c r="C1780" s="12" t="s">
        <v>82</v>
      </c>
      <c r="D1780" s="13">
        <v>40980</v>
      </c>
      <c r="E1780" s="12" t="s">
        <v>53</v>
      </c>
      <c r="F1780" s="14">
        <v>7.75</v>
      </c>
      <c r="G1780" s="19">
        <v>49</v>
      </c>
    </row>
    <row r="1781" spans="1:7" x14ac:dyDescent="0.3">
      <c r="A1781" s="18" t="s">
        <v>122</v>
      </c>
      <c r="B1781" s="12" t="s">
        <v>123</v>
      </c>
      <c r="C1781" s="12" t="s">
        <v>82</v>
      </c>
      <c r="D1781" s="13">
        <v>40980</v>
      </c>
      <c r="E1781" s="12" t="s">
        <v>44</v>
      </c>
      <c r="F1781" s="14">
        <v>13</v>
      </c>
      <c r="G1781" s="19">
        <v>15</v>
      </c>
    </row>
    <row r="1782" spans="1:7" x14ac:dyDescent="0.3">
      <c r="A1782" s="18" t="s">
        <v>102</v>
      </c>
      <c r="B1782" s="12" t="s">
        <v>103</v>
      </c>
      <c r="C1782" s="12" t="s">
        <v>81</v>
      </c>
      <c r="D1782" s="13">
        <v>40986</v>
      </c>
      <c r="E1782" s="12" t="s">
        <v>62</v>
      </c>
      <c r="F1782" s="14">
        <v>10</v>
      </c>
      <c r="G1782" s="19">
        <v>36</v>
      </c>
    </row>
    <row r="1783" spans="1:7" x14ac:dyDescent="0.3">
      <c r="A1783" s="18" t="s">
        <v>102</v>
      </c>
      <c r="B1783" s="12" t="s">
        <v>103</v>
      </c>
      <c r="C1783" s="12" t="s">
        <v>81</v>
      </c>
      <c r="D1783" s="13">
        <v>40986</v>
      </c>
      <c r="E1783" s="12" t="s">
        <v>58</v>
      </c>
      <c r="F1783" s="14">
        <v>43.9</v>
      </c>
      <c r="G1783" s="19">
        <v>25</v>
      </c>
    </row>
    <row r="1784" spans="1:7" x14ac:dyDescent="0.3">
      <c r="A1784" s="18" t="s">
        <v>102</v>
      </c>
      <c r="B1784" s="12" t="s">
        <v>103</v>
      </c>
      <c r="C1784" s="12" t="s">
        <v>81</v>
      </c>
      <c r="D1784" s="13">
        <v>40986</v>
      </c>
      <c r="E1784" s="12" t="s">
        <v>46</v>
      </c>
      <c r="F1784" s="14">
        <v>24</v>
      </c>
      <c r="G1784" s="19">
        <v>25</v>
      </c>
    </row>
    <row r="1785" spans="1:7" x14ac:dyDescent="0.3">
      <c r="A1785" s="18" t="s">
        <v>102</v>
      </c>
      <c r="B1785" s="12" t="s">
        <v>103</v>
      </c>
      <c r="C1785" s="12" t="s">
        <v>81</v>
      </c>
      <c r="D1785" s="13">
        <v>40986</v>
      </c>
      <c r="E1785" s="12" t="s">
        <v>12</v>
      </c>
      <c r="F1785" s="14">
        <v>13.25</v>
      </c>
      <c r="G1785" s="19">
        <v>30</v>
      </c>
    </row>
    <row r="1786" spans="1:7" x14ac:dyDescent="0.3">
      <c r="A1786" s="18" t="s">
        <v>106</v>
      </c>
      <c r="B1786" s="12" t="s">
        <v>105</v>
      </c>
      <c r="C1786" s="12" t="s">
        <v>81</v>
      </c>
      <c r="D1786" s="13">
        <v>40987</v>
      </c>
      <c r="E1786" s="12" t="s">
        <v>30</v>
      </c>
      <c r="F1786" s="14">
        <v>6</v>
      </c>
      <c r="G1786" s="19">
        <v>42</v>
      </c>
    </row>
    <row r="1787" spans="1:7" x14ac:dyDescent="0.3">
      <c r="A1787" s="18" t="s">
        <v>106</v>
      </c>
      <c r="B1787" s="12" t="s">
        <v>105</v>
      </c>
      <c r="C1787" s="12" t="s">
        <v>81</v>
      </c>
      <c r="D1787" s="13">
        <v>40987</v>
      </c>
      <c r="E1787" s="12" t="s">
        <v>52</v>
      </c>
      <c r="F1787" s="14">
        <v>19.5</v>
      </c>
      <c r="G1787" s="19">
        <v>30</v>
      </c>
    </row>
    <row r="1788" spans="1:7" x14ac:dyDescent="0.3">
      <c r="A1788" s="18" t="s">
        <v>158</v>
      </c>
      <c r="B1788" s="12" t="s">
        <v>101</v>
      </c>
      <c r="C1788" s="12" t="s">
        <v>80</v>
      </c>
      <c r="D1788" s="13">
        <v>40992</v>
      </c>
      <c r="E1788" s="12" t="s">
        <v>47</v>
      </c>
      <c r="F1788" s="14">
        <v>17.45</v>
      </c>
      <c r="G1788" s="19">
        <v>30</v>
      </c>
    </row>
    <row r="1789" spans="1:7" x14ac:dyDescent="0.3">
      <c r="A1789" s="18" t="s">
        <v>158</v>
      </c>
      <c r="B1789" s="12" t="s">
        <v>101</v>
      </c>
      <c r="C1789" s="12" t="s">
        <v>80</v>
      </c>
      <c r="D1789" s="13">
        <v>40992</v>
      </c>
      <c r="E1789" s="12" t="s">
        <v>66</v>
      </c>
      <c r="F1789" s="14">
        <v>49.3</v>
      </c>
      <c r="G1789" s="19">
        <v>14</v>
      </c>
    </row>
    <row r="1790" spans="1:7" x14ac:dyDescent="0.3">
      <c r="A1790" s="18" t="s">
        <v>158</v>
      </c>
      <c r="B1790" s="12" t="s">
        <v>101</v>
      </c>
      <c r="C1790" s="12" t="s">
        <v>80</v>
      </c>
      <c r="D1790" s="13">
        <v>40992</v>
      </c>
      <c r="E1790" s="12" t="s">
        <v>40</v>
      </c>
      <c r="F1790" s="14">
        <v>34.799999999999997</v>
      </c>
      <c r="G1790" s="19">
        <v>16</v>
      </c>
    </row>
    <row r="1791" spans="1:7" x14ac:dyDescent="0.3">
      <c r="A1791" s="18" t="s">
        <v>158</v>
      </c>
      <c r="B1791" s="12" t="s">
        <v>101</v>
      </c>
      <c r="C1791" s="12" t="s">
        <v>80</v>
      </c>
      <c r="D1791" s="13">
        <v>40992</v>
      </c>
      <c r="E1791" s="12" t="s">
        <v>53</v>
      </c>
      <c r="F1791" s="14">
        <v>7.75</v>
      </c>
      <c r="G1791" s="19">
        <v>20</v>
      </c>
    </row>
    <row r="1792" spans="1:7" x14ac:dyDescent="0.3">
      <c r="A1792" s="18" t="s">
        <v>151</v>
      </c>
      <c r="B1792" s="12" t="s">
        <v>141</v>
      </c>
      <c r="C1792" s="12" t="s">
        <v>82</v>
      </c>
      <c r="D1792" s="13">
        <v>40984</v>
      </c>
      <c r="E1792" s="12" t="s">
        <v>48</v>
      </c>
      <c r="F1792" s="14">
        <v>32.799999999999997</v>
      </c>
      <c r="G1792" s="19">
        <v>2</v>
      </c>
    </row>
    <row r="1793" spans="1:7" x14ac:dyDescent="0.3">
      <c r="A1793" s="18" t="s">
        <v>151</v>
      </c>
      <c r="B1793" s="12" t="s">
        <v>141</v>
      </c>
      <c r="C1793" s="12" t="s">
        <v>82</v>
      </c>
      <c r="D1793" s="13">
        <v>40984</v>
      </c>
      <c r="E1793" s="12" t="s">
        <v>63</v>
      </c>
      <c r="F1793" s="14">
        <v>28.5</v>
      </c>
      <c r="G1793" s="19">
        <v>30</v>
      </c>
    </row>
    <row r="1794" spans="1:7" x14ac:dyDescent="0.3">
      <c r="A1794" s="18" t="s">
        <v>134</v>
      </c>
      <c r="B1794" s="12" t="s">
        <v>123</v>
      </c>
      <c r="C1794" s="12" t="s">
        <v>79</v>
      </c>
      <c r="D1794" s="13">
        <v>40980</v>
      </c>
      <c r="E1794" s="12" t="s">
        <v>19</v>
      </c>
      <c r="F1794" s="14">
        <v>25</v>
      </c>
      <c r="G1794" s="19">
        <v>20</v>
      </c>
    </row>
    <row r="1795" spans="1:7" x14ac:dyDescent="0.3">
      <c r="A1795" s="18" t="s">
        <v>107</v>
      </c>
      <c r="B1795" s="12" t="s">
        <v>98</v>
      </c>
      <c r="C1795" s="12" t="s">
        <v>81</v>
      </c>
      <c r="D1795" s="13">
        <v>40986</v>
      </c>
      <c r="E1795" s="12" t="s">
        <v>5</v>
      </c>
      <c r="F1795" s="14">
        <v>18</v>
      </c>
      <c r="G1795" s="19">
        <v>21</v>
      </c>
    </row>
    <row r="1796" spans="1:7" x14ac:dyDescent="0.3">
      <c r="A1796" s="18" t="s">
        <v>107</v>
      </c>
      <c r="B1796" s="12" t="s">
        <v>98</v>
      </c>
      <c r="C1796" s="12" t="s">
        <v>81</v>
      </c>
      <c r="D1796" s="13">
        <v>40986</v>
      </c>
      <c r="E1796" s="12" t="s">
        <v>4</v>
      </c>
      <c r="F1796" s="14">
        <v>62.5</v>
      </c>
      <c r="G1796" s="19">
        <v>4</v>
      </c>
    </row>
    <row r="1797" spans="1:7" x14ac:dyDescent="0.3">
      <c r="A1797" s="18" t="s">
        <v>107</v>
      </c>
      <c r="B1797" s="12" t="s">
        <v>98</v>
      </c>
      <c r="C1797" s="12" t="s">
        <v>81</v>
      </c>
      <c r="D1797" s="13">
        <v>40986</v>
      </c>
      <c r="E1797" s="12" t="s">
        <v>71</v>
      </c>
      <c r="F1797" s="14">
        <v>9</v>
      </c>
      <c r="G1797" s="19">
        <v>8</v>
      </c>
    </row>
    <row r="1798" spans="1:7" x14ac:dyDescent="0.3">
      <c r="A1798" s="18" t="s">
        <v>196</v>
      </c>
      <c r="B1798" s="12" t="s">
        <v>115</v>
      </c>
      <c r="C1798" s="12" t="s">
        <v>79</v>
      </c>
      <c r="D1798" s="13">
        <v>40986</v>
      </c>
      <c r="E1798" s="12" t="s">
        <v>27</v>
      </c>
      <c r="F1798" s="14">
        <v>19</v>
      </c>
      <c r="G1798" s="19">
        <v>30</v>
      </c>
    </row>
    <row r="1799" spans="1:7" x14ac:dyDescent="0.3">
      <c r="A1799" s="18" t="s">
        <v>195</v>
      </c>
      <c r="B1799" s="12" t="s">
        <v>185</v>
      </c>
      <c r="C1799" s="12" t="s">
        <v>84</v>
      </c>
      <c r="D1799" s="13">
        <v>40981</v>
      </c>
      <c r="E1799" s="12" t="s">
        <v>56</v>
      </c>
      <c r="F1799" s="14">
        <v>45.6</v>
      </c>
      <c r="G1799" s="19">
        <v>8</v>
      </c>
    </row>
    <row r="1800" spans="1:7" x14ac:dyDescent="0.3">
      <c r="A1800" s="18" t="s">
        <v>195</v>
      </c>
      <c r="B1800" s="12" t="s">
        <v>185</v>
      </c>
      <c r="C1800" s="12" t="s">
        <v>84</v>
      </c>
      <c r="D1800" s="13">
        <v>40981</v>
      </c>
      <c r="E1800" s="12" t="s">
        <v>57</v>
      </c>
      <c r="F1800" s="14">
        <v>14</v>
      </c>
      <c r="G1800" s="19">
        <v>20</v>
      </c>
    </row>
    <row r="1801" spans="1:7" x14ac:dyDescent="0.3">
      <c r="A1801" s="18" t="s">
        <v>127</v>
      </c>
      <c r="B1801" s="12" t="s">
        <v>123</v>
      </c>
      <c r="C1801" s="12" t="s">
        <v>79</v>
      </c>
      <c r="D1801" s="13">
        <v>40984</v>
      </c>
      <c r="E1801" s="12" t="s">
        <v>30</v>
      </c>
      <c r="F1801" s="14">
        <v>6</v>
      </c>
      <c r="G1801" s="19">
        <v>20</v>
      </c>
    </row>
    <row r="1802" spans="1:7" x14ac:dyDescent="0.3">
      <c r="A1802" s="18" t="s">
        <v>127</v>
      </c>
      <c r="B1802" s="12" t="s">
        <v>123</v>
      </c>
      <c r="C1802" s="12" t="s">
        <v>79</v>
      </c>
      <c r="D1802" s="13">
        <v>40984</v>
      </c>
      <c r="E1802" s="12" t="s">
        <v>28</v>
      </c>
      <c r="F1802" s="14">
        <v>46</v>
      </c>
      <c r="G1802" s="19">
        <v>24</v>
      </c>
    </row>
    <row r="1803" spans="1:7" x14ac:dyDescent="0.3">
      <c r="A1803" s="18" t="s">
        <v>127</v>
      </c>
      <c r="B1803" s="12" t="s">
        <v>123</v>
      </c>
      <c r="C1803" s="12" t="s">
        <v>79</v>
      </c>
      <c r="D1803" s="13">
        <v>40984</v>
      </c>
      <c r="E1803" s="12" t="s">
        <v>3</v>
      </c>
      <c r="F1803" s="14">
        <v>34</v>
      </c>
      <c r="G1803" s="19">
        <v>49</v>
      </c>
    </row>
    <row r="1804" spans="1:7" x14ac:dyDescent="0.3">
      <c r="A1804" s="18" t="s">
        <v>127</v>
      </c>
      <c r="B1804" s="12" t="s">
        <v>123</v>
      </c>
      <c r="C1804" s="12" t="s">
        <v>79</v>
      </c>
      <c r="D1804" s="13">
        <v>40984</v>
      </c>
      <c r="E1804" s="12" t="s">
        <v>14</v>
      </c>
      <c r="F1804" s="14">
        <v>21.5</v>
      </c>
      <c r="G1804" s="19">
        <v>35</v>
      </c>
    </row>
    <row r="1805" spans="1:7" x14ac:dyDescent="0.3">
      <c r="A1805" s="18" t="s">
        <v>129</v>
      </c>
      <c r="B1805" s="12" t="s">
        <v>130</v>
      </c>
      <c r="C1805" s="12" t="s">
        <v>77</v>
      </c>
      <c r="D1805" s="13">
        <v>40981</v>
      </c>
      <c r="E1805" s="12" t="s">
        <v>6</v>
      </c>
      <c r="F1805" s="14">
        <v>19</v>
      </c>
      <c r="G1805" s="19">
        <v>10</v>
      </c>
    </row>
    <row r="1806" spans="1:7" x14ac:dyDescent="0.3">
      <c r="A1806" s="18" t="s">
        <v>129</v>
      </c>
      <c r="B1806" s="12" t="s">
        <v>130</v>
      </c>
      <c r="C1806" s="12" t="s">
        <v>77</v>
      </c>
      <c r="D1806" s="13">
        <v>40981</v>
      </c>
      <c r="E1806" s="12" t="s">
        <v>32</v>
      </c>
      <c r="F1806" s="14">
        <v>14</v>
      </c>
      <c r="G1806" s="19">
        <v>40</v>
      </c>
    </row>
    <row r="1807" spans="1:7" x14ac:dyDescent="0.3">
      <c r="A1807" s="18" t="s">
        <v>158</v>
      </c>
      <c r="B1807" s="12" t="s">
        <v>101</v>
      </c>
      <c r="C1807" s="12" t="s">
        <v>80</v>
      </c>
      <c r="D1807" s="13">
        <v>40991</v>
      </c>
      <c r="E1807" s="12" t="s">
        <v>72</v>
      </c>
      <c r="F1807" s="14">
        <v>30</v>
      </c>
      <c r="G1807" s="19">
        <v>8</v>
      </c>
    </row>
    <row r="1808" spans="1:7" x14ac:dyDescent="0.3">
      <c r="A1808" s="18" t="s">
        <v>158</v>
      </c>
      <c r="B1808" s="12" t="s">
        <v>101</v>
      </c>
      <c r="C1808" s="12" t="s">
        <v>80</v>
      </c>
      <c r="D1808" s="13">
        <v>40991</v>
      </c>
      <c r="E1808" s="12" t="s">
        <v>30</v>
      </c>
      <c r="F1808" s="14">
        <v>6</v>
      </c>
      <c r="G1808" s="19">
        <v>20</v>
      </c>
    </row>
    <row r="1809" spans="1:7" x14ac:dyDescent="0.3">
      <c r="A1809" s="18" t="s">
        <v>154</v>
      </c>
      <c r="B1809" s="12" t="s">
        <v>115</v>
      </c>
      <c r="C1809" s="12" t="s">
        <v>84</v>
      </c>
      <c r="D1809" s="13">
        <v>40988</v>
      </c>
      <c r="E1809" s="12" t="s">
        <v>18</v>
      </c>
      <c r="F1809" s="14">
        <v>12.5</v>
      </c>
      <c r="G1809" s="19">
        <v>44</v>
      </c>
    </row>
    <row r="1810" spans="1:7" x14ac:dyDescent="0.3">
      <c r="A1810" s="18" t="s">
        <v>154</v>
      </c>
      <c r="B1810" s="12" t="s">
        <v>115</v>
      </c>
      <c r="C1810" s="12" t="s">
        <v>84</v>
      </c>
      <c r="D1810" s="13">
        <v>40988</v>
      </c>
      <c r="E1810" s="12" t="s">
        <v>66</v>
      </c>
      <c r="F1810" s="14">
        <v>49.3</v>
      </c>
      <c r="G1810" s="19">
        <v>30</v>
      </c>
    </row>
    <row r="1811" spans="1:7" x14ac:dyDescent="0.3">
      <c r="A1811" s="18" t="s">
        <v>154</v>
      </c>
      <c r="B1811" s="12" t="s">
        <v>115</v>
      </c>
      <c r="C1811" s="12" t="s">
        <v>84</v>
      </c>
      <c r="D1811" s="13">
        <v>40988</v>
      </c>
      <c r="E1811" s="12" t="s">
        <v>59</v>
      </c>
      <c r="F1811" s="14">
        <v>12.5</v>
      </c>
      <c r="G1811" s="19">
        <v>80</v>
      </c>
    </row>
    <row r="1812" spans="1:7" x14ac:dyDescent="0.3">
      <c r="A1812" s="18" t="s">
        <v>154</v>
      </c>
      <c r="B1812" s="12" t="s">
        <v>115</v>
      </c>
      <c r="C1812" s="12" t="s">
        <v>84</v>
      </c>
      <c r="D1812" s="13">
        <v>40988</v>
      </c>
      <c r="E1812" s="12" t="s">
        <v>40</v>
      </c>
      <c r="F1812" s="14">
        <v>34.799999999999997</v>
      </c>
      <c r="G1812" s="19">
        <v>50</v>
      </c>
    </row>
    <row r="1813" spans="1:7" x14ac:dyDescent="0.3">
      <c r="A1813" s="18" t="s">
        <v>139</v>
      </c>
      <c r="B1813" s="12" t="s">
        <v>130</v>
      </c>
      <c r="C1813" s="12" t="s">
        <v>78</v>
      </c>
      <c r="D1813" s="13">
        <v>40986</v>
      </c>
      <c r="E1813" s="12" t="s">
        <v>38</v>
      </c>
      <c r="F1813" s="14">
        <v>20</v>
      </c>
      <c r="G1813" s="19">
        <v>28</v>
      </c>
    </row>
    <row r="1814" spans="1:7" x14ac:dyDescent="0.3">
      <c r="A1814" s="18" t="s">
        <v>140</v>
      </c>
      <c r="B1814" s="12" t="s">
        <v>141</v>
      </c>
      <c r="C1814" s="12" t="s">
        <v>81</v>
      </c>
      <c r="D1814" s="13">
        <v>40987</v>
      </c>
      <c r="E1814" s="12" t="s">
        <v>30</v>
      </c>
      <c r="F1814" s="14">
        <v>6</v>
      </c>
      <c r="G1814" s="19">
        <v>15</v>
      </c>
    </row>
    <row r="1815" spans="1:7" x14ac:dyDescent="0.3">
      <c r="A1815" s="18" t="s">
        <v>140</v>
      </c>
      <c r="B1815" s="12" t="s">
        <v>141</v>
      </c>
      <c r="C1815" s="12" t="s">
        <v>81</v>
      </c>
      <c r="D1815" s="13">
        <v>40987</v>
      </c>
      <c r="E1815" s="12" t="s">
        <v>25</v>
      </c>
      <c r="F1815" s="14">
        <v>21</v>
      </c>
      <c r="G1815" s="19">
        <v>21</v>
      </c>
    </row>
    <row r="1816" spans="1:7" x14ac:dyDescent="0.3">
      <c r="A1816" s="18" t="s">
        <v>140</v>
      </c>
      <c r="B1816" s="12" t="s">
        <v>141</v>
      </c>
      <c r="C1816" s="12" t="s">
        <v>81</v>
      </c>
      <c r="D1816" s="13">
        <v>40987</v>
      </c>
      <c r="E1816" s="12" t="s">
        <v>64</v>
      </c>
      <c r="F1816" s="14">
        <v>12</v>
      </c>
      <c r="G1816" s="19">
        <v>15</v>
      </c>
    </row>
    <row r="1817" spans="1:7" x14ac:dyDescent="0.3">
      <c r="A1817" s="18" t="s">
        <v>180</v>
      </c>
      <c r="B1817" s="12" t="s">
        <v>160</v>
      </c>
      <c r="C1817" s="12" t="s">
        <v>82</v>
      </c>
      <c r="D1817" s="13">
        <v>40981</v>
      </c>
      <c r="E1817" s="12" t="s">
        <v>49</v>
      </c>
      <c r="F1817" s="14">
        <v>21</v>
      </c>
      <c r="G1817" s="19">
        <v>5</v>
      </c>
    </row>
    <row r="1818" spans="1:7" x14ac:dyDescent="0.3">
      <c r="A1818" s="18" t="s">
        <v>180</v>
      </c>
      <c r="B1818" s="12" t="s">
        <v>160</v>
      </c>
      <c r="C1818" s="12" t="s">
        <v>82</v>
      </c>
      <c r="D1818" s="13">
        <v>40981</v>
      </c>
      <c r="E1818" s="12" t="s">
        <v>23</v>
      </c>
      <c r="F1818" s="14">
        <v>19.45</v>
      </c>
      <c r="G1818" s="19">
        <v>18</v>
      </c>
    </row>
    <row r="1819" spans="1:7" x14ac:dyDescent="0.3">
      <c r="A1819" s="18" t="s">
        <v>180</v>
      </c>
      <c r="B1819" s="12" t="s">
        <v>160</v>
      </c>
      <c r="C1819" s="12" t="s">
        <v>82</v>
      </c>
      <c r="D1819" s="13">
        <v>40981</v>
      </c>
      <c r="E1819" s="12" t="s">
        <v>17</v>
      </c>
      <c r="F1819" s="14">
        <v>38</v>
      </c>
      <c r="G1819" s="19">
        <v>18</v>
      </c>
    </row>
    <row r="1820" spans="1:7" x14ac:dyDescent="0.3">
      <c r="A1820" s="18" t="s">
        <v>132</v>
      </c>
      <c r="B1820" s="12" t="s">
        <v>123</v>
      </c>
      <c r="C1820" s="12" t="s">
        <v>81</v>
      </c>
      <c r="D1820" s="13">
        <v>40986</v>
      </c>
      <c r="E1820" s="12" t="s">
        <v>30</v>
      </c>
      <c r="F1820" s="14">
        <v>6</v>
      </c>
      <c r="G1820" s="19">
        <v>20</v>
      </c>
    </row>
    <row r="1821" spans="1:7" x14ac:dyDescent="0.3">
      <c r="A1821" s="18" t="s">
        <v>132</v>
      </c>
      <c r="B1821" s="12" t="s">
        <v>123</v>
      </c>
      <c r="C1821" s="12" t="s">
        <v>81</v>
      </c>
      <c r="D1821" s="13">
        <v>40986</v>
      </c>
      <c r="E1821" s="12" t="s">
        <v>18</v>
      </c>
      <c r="F1821" s="14">
        <v>12.5</v>
      </c>
      <c r="G1821" s="19">
        <v>10</v>
      </c>
    </row>
    <row r="1822" spans="1:7" x14ac:dyDescent="0.3">
      <c r="A1822" s="18" t="s">
        <v>173</v>
      </c>
      <c r="B1822" s="12" t="s">
        <v>163</v>
      </c>
      <c r="C1822" s="12" t="s">
        <v>83</v>
      </c>
      <c r="D1822" s="13">
        <v>40987</v>
      </c>
      <c r="E1822" s="12" t="s">
        <v>26</v>
      </c>
      <c r="F1822" s="14">
        <v>31</v>
      </c>
      <c r="G1822" s="19">
        <v>25</v>
      </c>
    </row>
    <row r="1823" spans="1:7" x14ac:dyDescent="0.3">
      <c r="A1823" s="18" t="s">
        <v>173</v>
      </c>
      <c r="B1823" s="12" t="s">
        <v>163</v>
      </c>
      <c r="C1823" s="12" t="s">
        <v>83</v>
      </c>
      <c r="D1823" s="13">
        <v>40987</v>
      </c>
      <c r="E1823" s="12" t="s">
        <v>21</v>
      </c>
      <c r="F1823" s="14">
        <v>4.5</v>
      </c>
      <c r="G1823" s="19">
        <v>25</v>
      </c>
    </row>
    <row r="1824" spans="1:7" x14ac:dyDescent="0.3">
      <c r="A1824" s="18" t="s">
        <v>173</v>
      </c>
      <c r="B1824" s="12" t="s">
        <v>163</v>
      </c>
      <c r="C1824" s="12" t="s">
        <v>83</v>
      </c>
      <c r="D1824" s="13">
        <v>40987</v>
      </c>
      <c r="E1824" s="12" t="s">
        <v>44</v>
      </c>
      <c r="F1824" s="14">
        <v>13</v>
      </c>
      <c r="G1824" s="19">
        <v>40</v>
      </c>
    </row>
    <row r="1825" spans="1:7" x14ac:dyDescent="0.3">
      <c r="A1825" s="18" t="s">
        <v>140</v>
      </c>
      <c r="B1825" s="12" t="s">
        <v>141</v>
      </c>
      <c r="C1825" s="12" t="s">
        <v>79</v>
      </c>
      <c r="D1825" s="13">
        <v>40984</v>
      </c>
      <c r="E1825" s="12" t="s">
        <v>51</v>
      </c>
      <c r="F1825" s="14">
        <v>55</v>
      </c>
      <c r="G1825" s="19">
        <v>4</v>
      </c>
    </row>
    <row r="1826" spans="1:7" x14ac:dyDescent="0.3">
      <c r="A1826" s="18" t="s">
        <v>146</v>
      </c>
      <c r="B1826" s="12" t="s">
        <v>136</v>
      </c>
      <c r="C1826" s="12" t="s">
        <v>79</v>
      </c>
      <c r="D1826" s="13">
        <v>40987</v>
      </c>
      <c r="E1826" s="12" t="s">
        <v>73</v>
      </c>
      <c r="F1826" s="14">
        <v>16.25</v>
      </c>
      <c r="G1826" s="19">
        <v>9</v>
      </c>
    </row>
    <row r="1827" spans="1:7" x14ac:dyDescent="0.3">
      <c r="A1827" s="18" t="s">
        <v>146</v>
      </c>
      <c r="B1827" s="12" t="s">
        <v>136</v>
      </c>
      <c r="C1827" s="12" t="s">
        <v>79</v>
      </c>
      <c r="D1827" s="13">
        <v>40987</v>
      </c>
      <c r="E1827" s="12" t="s">
        <v>36</v>
      </c>
      <c r="F1827" s="14">
        <v>53</v>
      </c>
      <c r="G1827" s="19">
        <v>40</v>
      </c>
    </row>
    <row r="1828" spans="1:7" x14ac:dyDescent="0.3">
      <c r="A1828" s="18" t="s">
        <v>146</v>
      </c>
      <c r="B1828" s="12" t="s">
        <v>136</v>
      </c>
      <c r="C1828" s="12" t="s">
        <v>79</v>
      </c>
      <c r="D1828" s="13">
        <v>40987</v>
      </c>
      <c r="E1828" s="12" t="s">
        <v>46</v>
      </c>
      <c r="F1828" s="14">
        <v>24</v>
      </c>
      <c r="G1828" s="19">
        <v>4</v>
      </c>
    </row>
    <row r="1829" spans="1:7" x14ac:dyDescent="0.3">
      <c r="A1829" s="18" t="s">
        <v>180</v>
      </c>
      <c r="B1829" s="12" t="s">
        <v>160</v>
      </c>
      <c r="C1829" s="12" t="s">
        <v>77</v>
      </c>
      <c r="D1829" s="13">
        <v>40985</v>
      </c>
      <c r="E1829" s="12" t="s">
        <v>19</v>
      </c>
      <c r="F1829" s="14">
        <v>25</v>
      </c>
      <c r="G1829" s="19">
        <v>12</v>
      </c>
    </row>
    <row r="1830" spans="1:7" x14ac:dyDescent="0.3">
      <c r="A1830" s="18" t="s">
        <v>180</v>
      </c>
      <c r="B1830" s="12" t="s">
        <v>160</v>
      </c>
      <c r="C1830" s="12" t="s">
        <v>77</v>
      </c>
      <c r="D1830" s="13">
        <v>40985</v>
      </c>
      <c r="E1830" s="12" t="s">
        <v>26</v>
      </c>
      <c r="F1830" s="14">
        <v>31</v>
      </c>
      <c r="G1830" s="19">
        <v>30</v>
      </c>
    </row>
    <row r="1831" spans="1:7" x14ac:dyDescent="0.3">
      <c r="A1831" s="18" t="s">
        <v>180</v>
      </c>
      <c r="B1831" s="12" t="s">
        <v>160</v>
      </c>
      <c r="C1831" s="12" t="s">
        <v>77</v>
      </c>
      <c r="D1831" s="13">
        <v>40985</v>
      </c>
      <c r="E1831" s="12" t="s">
        <v>0</v>
      </c>
      <c r="F1831" s="14">
        <v>39</v>
      </c>
      <c r="G1831" s="19">
        <v>6</v>
      </c>
    </row>
    <row r="1832" spans="1:7" x14ac:dyDescent="0.3">
      <c r="A1832" s="18" t="s">
        <v>180</v>
      </c>
      <c r="B1832" s="12" t="s">
        <v>160</v>
      </c>
      <c r="C1832" s="12" t="s">
        <v>77</v>
      </c>
      <c r="D1832" s="13">
        <v>40985</v>
      </c>
      <c r="E1832" s="12" t="s">
        <v>66</v>
      </c>
      <c r="F1832" s="14">
        <v>49.3</v>
      </c>
      <c r="G1832" s="19">
        <v>60</v>
      </c>
    </row>
    <row r="1833" spans="1:7" x14ac:dyDescent="0.3">
      <c r="A1833" s="18" t="s">
        <v>129</v>
      </c>
      <c r="B1833" s="12" t="s">
        <v>130</v>
      </c>
      <c r="C1833" s="12" t="s">
        <v>83</v>
      </c>
      <c r="D1833" s="13">
        <v>40991</v>
      </c>
      <c r="E1833" s="12" t="s">
        <v>8</v>
      </c>
      <c r="F1833" s="14">
        <v>22</v>
      </c>
      <c r="G1833" s="19">
        <v>5</v>
      </c>
    </row>
    <row r="1834" spans="1:7" x14ac:dyDescent="0.3">
      <c r="A1834" s="18" t="s">
        <v>106</v>
      </c>
      <c r="B1834" s="12" t="s">
        <v>105</v>
      </c>
      <c r="C1834" s="12" t="s">
        <v>78</v>
      </c>
      <c r="D1834" s="13">
        <v>41006</v>
      </c>
      <c r="E1834" s="12" t="s">
        <v>15</v>
      </c>
      <c r="F1834" s="14">
        <v>2.5</v>
      </c>
      <c r="G1834" s="19">
        <v>15</v>
      </c>
    </row>
    <row r="1835" spans="1:7" x14ac:dyDescent="0.3">
      <c r="A1835" s="18" t="s">
        <v>106</v>
      </c>
      <c r="B1835" s="12" t="s">
        <v>105</v>
      </c>
      <c r="C1835" s="12" t="s">
        <v>78</v>
      </c>
      <c r="D1835" s="13">
        <v>41006</v>
      </c>
      <c r="E1835" s="12" t="s">
        <v>29</v>
      </c>
      <c r="F1835" s="14">
        <v>9.65</v>
      </c>
      <c r="G1835" s="19">
        <v>6</v>
      </c>
    </row>
    <row r="1836" spans="1:7" x14ac:dyDescent="0.3">
      <c r="A1836" s="18" t="s">
        <v>106</v>
      </c>
      <c r="B1836" s="12" t="s">
        <v>105</v>
      </c>
      <c r="C1836" s="12" t="s">
        <v>78</v>
      </c>
      <c r="D1836" s="13">
        <v>41006</v>
      </c>
      <c r="E1836" s="12" t="s">
        <v>53</v>
      </c>
      <c r="F1836" s="14">
        <v>7.75</v>
      </c>
      <c r="G1836" s="19">
        <v>50</v>
      </c>
    </row>
    <row r="1837" spans="1:7" x14ac:dyDescent="0.3">
      <c r="A1837" s="18" t="s">
        <v>201</v>
      </c>
      <c r="B1837" s="12" t="s">
        <v>123</v>
      </c>
      <c r="C1837" s="12" t="s">
        <v>83</v>
      </c>
      <c r="D1837" s="13">
        <v>40992</v>
      </c>
      <c r="E1837" s="12" t="s">
        <v>19</v>
      </c>
      <c r="F1837" s="14">
        <v>25</v>
      </c>
      <c r="G1837" s="19">
        <v>16</v>
      </c>
    </row>
    <row r="1838" spans="1:7" x14ac:dyDescent="0.3">
      <c r="A1838" s="18" t="s">
        <v>201</v>
      </c>
      <c r="B1838" s="12" t="s">
        <v>123</v>
      </c>
      <c r="C1838" s="12" t="s">
        <v>83</v>
      </c>
      <c r="D1838" s="13">
        <v>40992</v>
      </c>
      <c r="E1838" s="12" t="s">
        <v>56</v>
      </c>
      <c r="F1838" s="14">
        <v>45.6</v>
      </c>
      <c r="G1838" s="19">
        <v>2</v>
      </c>
    </row>
    <row r="1839" spans="1:7" x14ac:dyDescent="0.3">
      <c r="A1839" s="18" t="s">
        <v>167</v>
      </c>
      <c r="B1839" s="12" t="s">
        <v>141</v>
      </c>
      <c r="C1839" s="12" t="s">
        <v>78</v>
      </c>
      <c r="D1839" s="13">
        <v>40993</v>
      </c>
      <c r="E1839" s="12" t="s">
        <v>61</v>
      </c>
      <c r="F1839" s="14">
        <v>81</v>
      </c>
      <c r="G1839" s="19">
        <v>50</v>
      </c>
    </row>
    <row r="1840" spans="1:7" x14ac:dyDescent="0.3">
      <c r="A1840" s="18" t="s">
        <v>167</v>
      </c>
      <c r="B1840" s="12" t="s">
        <v>141</v>
      </c>
      <c r="C1840" s="12" t="s">
        <v>78</v>
      </c>
      <c r="D1840" s="13">
        <v>40993</v>
      </c>
      <c r="E1840" s="12" t="s">
        <v>18</v>
      </c>
      <c r="F1840" s="14">
        <v>12.5</v>
      </c>
      <c r="G1840" s="19">
        <v>50</v>
      </c>
    </row>
    <row r="1841" spans="1:7" x14ac:dyDescent="0.3">
      <c r="A1841" s="18" t="s">
        <v>181</v>
      </c>
      <c r="B1841" s="12" t="s">
        <v>109</v>
      </c>
      <c r="C1841" s="12" t="s">
        <v>85</v>
      </c>
      <c r="D1841" s="13">
        <v>40988</v>
      </c>
      <c r="E1841" s="12" t="s">
        <v>47</v>
      </c>
      <c r="F1841" s="14">
        <v>17.45</v>
      </c>
      <c r="G1841" s="19">
        <v>28</v>
      </c>
    </row>
    <row r="1842" spans="1:7" x14ac:dyDescent="0.3">
      <c r="A1842" s="18" t="s">
        <v>181</v>
      </c>
      <c r="B1842" s="12" t="s">
        <v>109</v>
      </c>
      <c r="C1842" s="12" t="s">
        <v>85</v>
      </c>
      <c r="D1842" s="13">
        <v>40988</v>
      </c>
      <c r="E1842" s="12" t="s">
        <v>18</v>
      </c>
      <c r="F1842" s="14">
        <v>12.5</v>
      </c>
      <c r="G1842" s="19">
        <v>25</v>
      </c>
    </row>
    <row r="1843" spans="1:7" x14ac:dyDescent="0.3">
      <c r="A1843" s="18" t="s">
        <v>181</v>
      </c>
      <c r="B1843" s="12" t="s">
        <v>109</v>
      </c>
      <c r="C1843" s="12" t="s">
        <v>85</v>
      </c>
      <c r="D1843" s="13">
        <v>40988</v>
      </c>
      <c r="E1843" s="12" t="s">
        <v>55</v>
      </c>
      <c r="F1843" s="14">
        <v>9.5</v>
      </c>
      <c r="G1843" s="19">
        <v>30</v>
      </c>
    </row>
    <row r="1844" spans="1:7" x14ac:dyDescent="0.3">
      <c r="A1844" s="18" t="s">
        <v>181</v>
      </c>
      <c r="B1844" s="12" t="s">
        <v>109</v>
      </c>
      <c r="C1844" s="12" t="s">
        <v>85</v>
      </c>
      <c r="D1844" s="13">
        <v>40988</v>
      </c>
      <c r="E1844" s="12" t="s">
        <v>3</v>
      </c>
      <c r="F1844" s="14">
        <v>34</v>
      </c>
      <c r="G1844" s="19">
        <v>24</v>
      </c>
    </row>
    <row r="1845" spans="1:7" x14ac:dyDescent="0.3">
      <c r="A1845" s="18" t="s">
        <v>118</v>
      </c>
      <c r="B1845" s="12" t="s">
        <v>119</v>
      </c>
      <c r="C1845" s="12" t="s">
        <v>80</v>
      </c>
      <c r="D1845" s="13">
        <v>40988</v>
      </c>
      <c r="E1845" s="12" t="s">
        <v>53</v>
      </c>
      <c r="F1845" s="14">
        <v>7.75</v>
      </c>
      <c r="G1845" s="19">
        <v>12</v>
      </c>
    </row>
    <row r="1846" spans="1:7" x14ac:dyDescent="0.3">
      <c r="A1846" s="18" t="s">
        <v>193</v>
      </c>
      <c r="B1846" s="12" t="s">
        <v>123</v>
      </c>
      <c r="C1846" s="12" t="s">
        <v>82</v>
      </c>
      <c r="D1846" s="13">
        <v>40988</v>
      </c>
      <c r="E1846" s="12" t="s">
        <v>62</v>
      </c>
      <c r="F1846" s="14">
        <v>10</v>
      </c>
      <c r="G1846" s="19">
        <v>12</v>
      </c>
    </row>
    <row r="1847" spans="1:7" x14ac:dyDescent="0.3">
      <c r="A1847" s="18" t="s">
        <v>193</v>
      </c>
      <c r="B1847" s="12" t="s">
        <v>123</v>
      </c>
      <c r="C1847" s="12" t="s">
        <v>82</v>
      </c>
      <c r="D1847" s="13">
        <v>40988</v>
      </c>
      <c r="E1847" s="12" t="s">
        <v>76</v>
      </c>
      <c r="F1847" s="14">
        <v>9.5</v>
      </c>
      <c r="G1847" s="19">
        <v>14</v>
      </c>
    </row>
    <row r="1848" spans="1:7" x14ac:dyDescent="0.3">
      <c r="A1848" s="18" t="s">
        <v>193</v>
      </c>
      <c r="B1848" s="12" t="s">
        <v>123</v>
      </c>
      <c r="C1848" s="12" t="s">
        <v>82</v>
      </c>
      <c r="D1848" s="13">
        <v>40988</v>
      </c>
      <c r="E1848" s="12" t="s">
        <v>36</v>
      </c>
      <c r="F1848" s="14">
        <v>53</v>
      </c>
      <c r="G1848" s="19">
        <v>8</v>
      </c>
    </row>
    <row r="1849" spans="1:7" x14ac:dyDescent="0.3">
      <c r="A1849" s="18" t="s">
        <v>108</v>
      </c>
      <c r="B1849" s="12" t="s">
        <v>109</v>
      </c>
      <c r="C1849" s="12" t="s">
        <v>80</v>
      </c>
      <c r="D1849" s="13">
        <v>40995</v>
      </c>
      <c r="E1849" s="12" t="s">
        <v>41</v>
      </c>
      <c r="F1849" s="14">
        <v>25.89</v>
      </c>
      <c r="G1849" s="19">
        <v>30</v>
      </c>
    </row>
    <row r="1850" spans="1:7" x14ac:dyDescent="0.3">
      <c r="A1850" s="18" t="s">
        <v>108</v>
      </c>
      <c r="B1850" s="12" t="s">
        <v>109</v>
      </c>
      <c r="C1850" s="12" t="s">
        <v>80</v>
      </c>
      <c r="D1850" s="13">
        <v>40995</v>
      </c>
      <c r="E1850" s="12" t="s">
        <v>65</v>
      </c>
      <c r="F1850" s="14">
        <v>18</v>
      </c>
      <c r="G1850" s="19">
        <v>40</v>
      </c>
    </row>
    <row r="1851" spans="1:7" x14ac:dyDescent="0.3">
      <c r="A1851" s="18" t="s">
        <v>108</v>
      </c>
      <c r="B1851" s="12" t="s">
        <v>109</v>
      </c>
      <c r="C1851" s="12" t="s">
        <v>80</v>
      </c>
      <c r="D1851" s="13">
        <v>40995</v>
      </c>
      <c r="E1851" s="12" t="s">
        <v>75</v>
      </c>
      <c r="F1851" s="14">
        <v>33.25</v>
      </c>
      <c r="G1851" s="19">
        <v>8</v>
      </c>
    </row>
    <row r="1852" spans="1:7" x14ac:dyDescent="0.3">
      <c r="A1852" s="18" t="s">
        <v>184</v>
      </c>
      <c r="B1852" s="12" t="s">
        <v>185</v>
      </c>
      <c r="C1852" s="12" t="s">
        <v>84</v>
      </c>
      <c r="D1852" s="13">
        <v>40995</v>
      </c>
      <c r="E1852" s="12" t="s">
        <v>9</v>
      </c>
      <c r="F1852" s="14">
        <v>21.35</v>
      </c>
      <c r="G1852" s="19">
        <v>20</v>
      </c>
    </row>
    <row r="1853" spans="1:7" x14ac:dyDescent="0.3">
      <c r="A1853" s="18" t="s">
        <v>184</v>
      </c>
      <c r="B1853" s="12" t="s">
        <v>185</v>
      </c>
      <c r="C1853" s="12" t="s">
        <v>84</v>
      </c>
      <c r="D1853" s="13">
        <v>40995</v>
      </c>
      <c r="E1853" s="12" t="s">
        <v>72</v>
      </c>
      <c r="F1853" s="14">
        <v>30</v>
      </c>
      <c r="G1853" s="19">
        <v>6</v>
      </c>
    </row>
    <row r="1854" spans="1:7" x14ac:dyDescent="0.3">
      <c r="A1854" s="18" t="s">
        <v>184</v>
      </c>
      <c r="B1854" s="12" t="s">
        <v>185</v>
      </c>
      <c r="C1854" s="12" t="s">
        <v>84</v>
      </c>
      <c r="D1854" s="13">
        <v>40995</v>
      </c>
      <c r="E1854" s="12" t="s">
        <v>40</v>
      </c>
      <c r="F1854" s="14">
        <v>34.799999999999997</v>
      </c>
      <c r="G1854" s="19">
        <v>5</v>
      </c>
    </row>
    <row r="1855" spans="1:7" x14ac:dyDescent="0.3">
      <c r="A1855" s="18" t="s">
        <v>187</v>
      </c>
      <c r="B1855" s="12" t="s">
        <v>98</v>
      </c>
      <c r="C1855" s="12" t="s">
        <v>82</v>
      </c>
      <c r="D1855" s="13">
        <v>40991</v>
      </c>
      <c r="E1855" s="12" t="s">
        <v>53</v>
      </c>
      <c r="F1855" s="14">
        <v>7.75</v>
      </c>
      <c r="G1855" s="19">
        <v>20</v>
      </c>
    </row>
    <row r="1856" spans="1:7" x14ac:dyDescent="0.3">
      <c r="A1856" s="18" t="s">
        <v>108</v>
      </c>
      <c r="B1856" s="12" t="s">
        <v>109</v>
      </c>
      <c r="C1856" s="12" t="s">
        <v>79</v>
      </c>
      <c r="D1856" s="13">
        <v>41007</v>
      </c>
      <c r="E1856" s="12" t="s">
        <v>21</v>
      </c>
      <c r="F1856" s="14">
        <v>4.5</v>
      </c>
      <c r="G1856" s="19">
        <v>10</v>
      </c>
    </row>
    <row r="1857" spans="1:7" x14ac:dyDescent="0.3">
      <c r="A1857" s="18" t="s">
        <v>108</v>
      </c>
      <c r="B1857" s="12" t="s">
        <v>109</v>
      </c>
      <c r="C1857" s="12" t="s">
        <v>79</v>
      </c>
      <c r="D1857" s="13">
        <v>41007</v>
      </c>
      <c r="E1857" s="12" t="s">
        <v>29</v>
      </c>
      <c r="F1857" s="14">
        <v>9.65</v>
      </c>
      <c r="G1857" s="19">
        <v>24</v>
      </c>
    </row>
    <row r="1858" spans="1:7" x14ac:dyDescent="0.3">
      <c r="A1858" s="18" t="s">
        <v>174</v>
      </c>
      <c r="B1858" s="12" t="s">
        <v>98</v>
      </c>
      <c r="C1858" s="12" t="s">
        <v>80</v>
      </c>
      <c r="D1858" s="13">
        <v>40998</v>
      </c>
      <c r="E1858" s="12" t="s">
        <v>13</v>
      </c>
      <c r="F1858" s="14">
        <v>7</v>
      </c>
      <c r="G1858" s="19">
        <v>6</v>
      </c>
    </row>
    <row r="1859" spans="1:7" x14ac:dyDescent="0.3">
      <c r="A1859" s="18" t="s">
        <v>174</v>
      </c>
      <c r="B1859" s="12" t="s">
        <v>98</v>
      </c>
      <c r="C1859" s="12" t="s">
        <v>80</v>
      </c>
      <c r="D1859" s="13">
        <v>40998</v>
      </c>
      <c r="E1859" s="12" t="s">
        <v>31</v>
      </c>
      <c r="F1859" s="14">
        <v>18</v>
      </c>
      <c r="G1859" s="19">
        <v>60</v>
      </c>
    </row>
    <row r="1860" spans="1:7" x14ac:dyDescent="0.3">
      <c r="A1860" s="18" t="s">
        <v>127</v>
      </c>
      <c r="B1860" s="12" t="s">
        <v>123</v>
      </c>
      <c r="C1860" s="12" t="s">
        <v>80</v>
      </c>
      <c r="D1860" s="13">
        <v>40991</v>
      </c>
      <c r="E1860" s="12" t="s">
        <v>72</v>
      </c>
      <c r="F1860" s="14">
        <v>30</v>
      </c>
      <c r="G1860" s="19">
        <v>45</v>
      </c>
    </row>
    <row r="1861" spans="1:7" x14ac:dyDescent="0.3">
      <c r="A1861" s="18" t="s">
        <v>127</v>
      </c>
      <c r="B1861" s="12" t="s">
        <v>123</v>
      </c>
      <c r="C1861" s="12" t="s">
        <v>80</v>
      </c>
      <c r="D1861" s="13">
        <v>40991</v>
      </c>
      <c r="E1861" s="12" t="s">
        <v>30</v>
      </c>
      <c r="F1861" s="14">
        <v>6</v>
      </c>
      <c r="G1861" s="19">
        <v>77</v>
      </c>
    </row>
    <row r="1862" spans="1:7" x14ac:dyDescent="0.3">
      <c r="A1862" s="18" t="s">
        <v>127</v>
      </c>
      <c r="B1862" s="12" t="s">
        <v>123</v>
      </c>
      <c r="C1862" s="12" t="s">
        <v>80</v>
      </c>
      <c r="D1862" s="13">
        <v>40991</v>
      </c>
      <c r="E1862" s="12" t="s">
        <v>48</v>
      </c>
      <c r="F1862" s="14">
        <v>32.799999999999997</v>
      </c>
      <c r="G1862" s="19">
        <v>20</v>
      </c>
    </row>
    <row r="1863" spans="1:7" x14ac:dyDescent="0.3">
      <c r="A1863" s="18" t="s">
        <v>127</v>
      </c>
      <c r="B1863" s="12" t="s">
        <v>123</v>
      </c>
      <c r="C1863" s="12" t="s">
        <v>80</v>
      </c>
      <c r="D1863" s="13">
        <v>40991</v>
      </c>
      <c r="E1863" s="12" t="s">
        <v>22</v>
      </c>
      <c r="F1863" s="14">
        <v>36</v>
      </c>
      <c r="G1863" s="19">
        <v>9</v>
      </c>
    </row>
    <row r="1864" spans="1:7" x14ac:dyDescent="0.3">
      <c r="A1864" s="18" t="s">
        <v>127</v>
      </c>
      <c r="B1864" s="12" t="s">
        <v>123</v>
      </c>
      <c r="C1864" s="12" t="s">
        <v>80</v>
      </c>
      <c r="D1864" s="13">
        <v>40991</v>
      </c>
      <c r="E1864" s="12" t="s">
        <v>31</v>
      </c>
      <c r="F1864" s="14">
        <v>18</v>
      </c>
      <c r="G1864" s="19">
        <v>44</v>
      </c>
    </row>
    <row r="1865" spans="1:7" x14ac:dyDescent="0.3">
      <c r="A1865" s="18" t="s">
        <v>156</v>
      </c>
      <c r="B1865" s="12" t="s">
        <v>157</v>
      </c>
      <c r="C1865" s="12" t="s">
        <v>78</v>
      </c>
      <c r="D1865" s="13">
        <v>40994</v>
      </c>
      <c r="E1865" s="12" t="s">
        <v>3</v>
      </c>
      <c r="F1865" s="14">
        <v>34</v>
      </c>
      <c r="G1865" s="19">
        <v>2</v>
      </c>
    </row>
    <row r="1866" spans="1:7" x14ac:dyDescent="0.3">
      <c r="A1866" s="18" t="s">
        <v>203</v>
      </c>
      <c r="B1866" s="12" t="s">
        <v>101</v>
      </c>
      <c r="C1866" s="12" t="s">
        <v>79</v>
      </c>
      <c r="D1866" s="13">
        <v>40992</v>
      </c>
      <c r="E1866" s="12" t="s">
        <v>4</v>
      </c>
      <c r="F1866" s="14">
        <v>62.5</v>
      </c>
      <c r="G1866" s="19">
        <v>6</v>
      </c>
    </row>
    <row r="1867" spans="1:7" x14ac:dyDescent="0.3">
      <c r="A1867" s="18" t="s">
        <v>203</v>
      </c>
      <c r="B1867" s="12" t="s">
        <v>101</v>
      </c>
      <c r="C1867" s="12" t="s">
        <v>79</v>
      </c>
      <c r="D1867" s="13">
        <v>40992</v>
      </c>
      <c r="E1867" s="12" t="s">
        <v>11</v>
      </c>
      <c r="F1867" s="14">
        <v>263.5</v>
      </c>
      <c r="G1867" s="19">
        <v>5</v>
      </c>
    </row>
    <row r="1868" spans="1:7" x14ac:dyDescent="0.3">
      <c r="A1868" s="18" t="s">
        <v>203</v>
      </c>
      <c r="B1868" s="12" t="s">
        <v>101</v>
      </c>
      <c r="C1868" s="12" t="s">
        <v>79</v>
      </c>
      <c r="D1868" s="13">
        <v>40992</v>
      </c>
      <c r="E1868" s="12" t="s">
        <v>22</v>
      </c>
      <c r="F1868" s="14">
        <v>36</v>
      </c>
      <c r="G1868" s="19">
        <v>10</v>
      </c>
    </row>
    <row r="1869" spans="1:7" x14ac:dyDescent="0.3">
      <c r="A1869" s="18" t="s">
        <v>114</v>
      </c>
      <c r="B1869" s="12" t="s">
        <v>115</v>
      </c>
      <c r="C1869" s="12" t="s">
        <v>82</v>
      </c>
      <c r="D1869" s="13">
        <v>40998</v>
      </c>
      <c r="E1869" s="12" t="s">
        <v>36</v>
      </c>
      <c r="F1869" s="14">
        <v>53</v>
      </c>
      <c r="G1869" s="19">
        <v>16</v>
      </c>
    </row>
    <row r="1870" spans="1:7" x14ac:dyDescent="0.3">
      <c r="A1870" s="18" t="s">
        <v>104</v>
      </c>
      <c r="B1870" s="12" t="s">
        <v>105</v>
      </c>
      <c r="C1870" s="12" t="s">
        <v>81</v>
      </c>
      <c r="D1870" s="13">
        <v>41007</v>
      </c>
      <c r="E1870" s="12" t="s">
        <v>20</v>
      </c>
      <c r="F1870" s="14">
        <v>26</v>
      </c>
      <c r="G1870" s="19">
        <v>8</v>
      </c>
    </row>
    <row r="1871" spans="1:7" x14ac:dyDescent="0.3">
      <c r="A1871" s="18" t="s">
        <v>104</v>
      </c>
      <c r="B1871" s="12" t="s">
        <v>105</v>
      </c>
      <c r="C1871" s="12" t="s">
        <v>81</v>
      </c>
      <c r="D1871" s="13">
        <v>41007</v>
      </c>
      <c r="E1871" s="12" t="s">
        <v>17</v>
      </c>
      <c r="F1871" s="14">
        <v>38</v>
      </c>
      <c r="G1871" s="19">
        <v>12</v>
      </c>
    </row>
    <row r="1872" spans="1:7" x14ac:dyDescent="0.3">
      <c r="A1872" s="18" t="s">
        <v>104</v>
      </c>
      <c r="B1872" s="12" t="s">
        <v>105</v>
      </c>
      <c r="C1872" s="12" t="s">
        <v>81</v>
      </c>
      <c r="D1872" s="13">
        <v>41007</v>
      </c>
      <c r="E1872" s="12" t="s">
        <v>66</v>
      </c>
      <c r="F1872" s="14">
        <v>49.3</v>
      </c>
      <c r="G1872" s="19">
        <v>12</v>
      </c>
    </row>
    <row r="1873" spans="1:7" x14ac:dyDescent="0.3">
      <c r="A1873" s="18" t="s">
        <v>189</v>
      </c>
      <c r="B1873" s="12" t="s">
        <v>123</v>
      </c>
      <c r="C1873" s="12" t="s">
        <v>77</v>
      </c>
      <c r="D1873" s="13">
        <v>41001</v>
      </c>
      <c r="E1873" s="12" t="s">
        <v>67</v>
      </c>
      <c r="F1873" s="14">
        <v>9.1999999999999993</v>
      </c>
      <c r="G1873" s="19">
        <v>12</v>
      </c>
    </row>
    <row r="1874" spans="1:7" x14ac:dyDescent="0.3">
      <c r="A1874" s="18" t="s">
        <v>189</v>
      </c>
      <c r="B1874" s="12" t="s">
        <v>123</v>
      </c>
      <c r="C1874" s="12" t="s">
        <v>77</v>
      </c>
      <c r="D1874" s="13">
        <v>41001</v>
      </c>
      <c r="E1874" s="12" t="s">
        <v>38</v>
      </c>
      <c r="F1874" s="14">
        <v>20</v>
      </c>
      <c r="G1874" s="19">
        <v>40</v>
      </c>
    </row>
    <row r="1875" spans="1:7" x14ac:dyDescent="0.3">
      <c r="A1875" s="18" t="s">
        <v>110</v>
      </c>
      <c r="B1875" s="12" t="s">
        <v>111</v>
      </c>
      <c r="C1875" s="12" t="s">
        <v>83</v>
      </c>
      <c r="D1875" s="13">
        <v>41000</v>
      </c>
      <c r="E1875" s="12" t="s">
        <v>50</v>
      </c>
      <c r="F1875" s="14">
        <v>38</v>
      </c>
      <c r="G1875" s="19">
        <v>30</v>
      </c>
    </row>
    <row r="1876" spans="1:7" x14ac:dyDescent="0.3">
      <c r="A1876" s="18" t="s">
        <v>110</v>
      </c>
      <c r="B1876" s="12" t="s">
        <v>111</v>
      </c>
      <c r="C1876" s="12" t="s">
        <v>83</v>
      </c>
      <c r="D1876" s="13">
        <v>41000</v>
      </c>
      <c r="E1876" s="12" t="s">
        <v>21</v>
      </c>
      <c r="F1876" s="14">
        <v>4.5</v>
      </c>
      <c r="G1876" s="19">
        <v>30</v>
      </c>
    </row>
    <row r="1877" spans="1:7" x14ac:dyDescent="0.3">
      <c r="A1877" s="18" t="s">
        <v>110</v>
      </c>
      <c r="B1877" s="12" t="s">
        <v>111</v>
      </c>
      <c r="C1877" s="12" t="s">
        <v>83</v>
      </c>
      <c r="D1877" s="13">
        <v>41000</v>
      </c>
      <c r="E1877" s="12" t="s">
        <v>75</v>
      </c>
      <c r="F1877" s="14">
        <v>33.25</v>
      </c>
      <c r="G1877" s="19">
        <v>4</v>
      </c>
    </row>
    <row r="1878" spans="1:7" x14ac:dyDescent="0.3">
      <c r="A1878" s="18" t="s">
        <v>142</v>
      </c>
      <c r="B1878" s="12" t="s">
        <v>98</v>
      </c>
      <c r="C1878" s="12" t="s">
        <v>83</v>
      </c>
      <c r="D1878" s="13">
        <v>40998</v>
      </c>
      <c r="E1878" s="12" t="s">
        <v>64</v>
      </c>
      <c r="F1878" s="14">
        <v>12</v>
      </c>
      <c r="G1878" s="19">
        <v>9</v>
      </c>
    </row>
    <row r="1879" spans="1:7" x14ac:dyDescent="0.3">
      <c r="A1879" s="18" t="s">
        <v>155</v>
      </c>
      <c r="B1879" s="12" t="s">
        <v>136</v>
      </c>
      <c r="C1879" s="12" t="s">
        <v>78</v>
      </c>
      <c r="D1879" s="13">
        <v>41023</v>
      </c>
      <c r="E1879" s="12" t="s">
        <v>13</v>
      </c>
      <c r="F1879" s="14">
        <v>7</v>
      </c>
      <c r="G1879" s="19">
        <v>40</v>
      </c>
    </row>
    <row r="1880" spans="1:7" x14ac:dyDescent="0.3">
      <c r="A1880" s="18" t="s">
        <v>202</v>
      </c>
      <c r="B1880" s="12" t="s">
        <v>101</v>
      </c>
      <c r="C1880" s="12" t="s">
        <v>77</v>
      </c>
      <c r="D1880" s="13">
        <v>41001</v>
      </c>
      <c r="E1880" s="12" t="s">
        <v>68</v>
      </c>
      <c r="F1880" s="14">
        <v>123.79</v>
      </c>
      <c r="G1880" s="19">
        <v>14</v>
      </c>
    </row>
    <row r="1881" spans="1:7" x14ac:dyDescent="0.3">
      <c r="A1881" s="18" t="s">
        <v>204</v>
      </c>
      <c r="B1881" s="12" t="s">
        <v>101</v>
      </c>
      <c r="C1881" s="12" t="s">
        <v>81</v>
      </c>
      <c r="D1881" s="13">
        <v>40994</v>
      </c>
      <c r="E1881" s="12" t="s">
        <v>0</v>
      </c>
      <c r="F1881" s="14">
        <v>39</v>
      </c>
      <c r="G1881" s="19">
        <v>6</v>
      </c>
    </row>
    <row r="1882" spans="1:7" x14ac:dyDescent="0.3">
      <c r="A1882" s="18" t="s">
        <v>204</v>
      </c>
      <c r="B1882" s="12" t="s">
        <v>101</v>
      </c>
      <c r="C1882" s="12" t="s">
        <v>81</v>
      </c>
      <c r="D1882" s="13">
        <v>40994</v>
      </c>
      <c r="E1882" s="12" t="s">
        <v>15</v>
      </c>
      <c r="F1882" s="14">
        <v>2.5</v>
      </c>
      <c r="G1882" s="19">
        <v>7</v>
      </c>
    </row>
    <row r="1883" spans="1:7" x14ac:dyDescent="0.3">
      <c r="A1883" s="18" t="s">
        <v>204</v>
      </c>
      <c r="B1883" s="12" t="s">
        <v>101</v>
      </c>
      <c r="C1883" s="12" t="s">
        <v>82</v>
      </c>
      <c r="D1883" s="13">
        <v>40995</v>
      </c>
      <c r="E1883" s="12" t="s">
        <v>24</v>
      </c>
      <c r="F1883" s="14">
        <v>31.23</v>
      </c>
      <c r="G1883" s="19">
        <v>5</v>
      </c>
    </row>
    <row r="1884" spans="1:7" x14ac:dyDescent="0.3">
      <c r="A1884" s="18" t="s">
        <v>204</v>
      </c>
      <c r="B1884" s="12" t="s">
        <v>101</v>
      </c>
      <c r="C1884" s="12" t="s">
        <v>82</v>
      </c>
      <c r="D1884" s="13">
        <v>40995</v>
      </c>
      <c r="E1884" s="12" t="s">
        <v>29</v>
      </c>
      <c r="F1884" s="14">
        <v>9.65</v>
      </c>
      <c r="G1884" s="19">
        <v>6</v>
      </c>
    </row>
    <row r="1885" spans="1:7" x14ac:dyDescent="0.3">
      <c r="A1885" s="18" t="s">
        <v>204</v>
      </c>
      <c r="B1885" s="12" t="s">
        <v>101</v>
      </c>
      <c r="C1885" s="12" t="s">
        <v>82</v>
      </c>
      <c r="D1885" s="13">
        <v>40995</v>
      </c>
      <c r="E1885" s="12" t="s">
        <v>53</v>
      </c>
      <c r="F1885" s="14">
        <v>7.75</v>
      </c>
      <c r="G1885" s="19">
        <v>10</v>
      </c>
    </row>
    <row r="1886" spans="1:7" x14ac:dyDescent="0.3">
      <c r="A1886" s="18" t="s">
        <v>126</v>
      </c>
      <c r="B1886" s="12" t="s">
        <v>115</v>
      </c>
      <c r="C1886" s="12" t="s">
        <v>79</v>
      </c>
      <c r="D1886" s="13">
        <v>41002</v>
      </c>
      <c r="E1886" s="12" t="s">
        <v>74</v>
      </c>
      <c r="F1886" s="14">
        <v>43.9</v>
      </c>
      <c r="G1886" s="19">
        <v>10</v>
      </c>
    </row>
    <row r="1887" spans="1:7" x14ac:dyDescent="0.3">
      <c r="A1887" s="18" t="s">
        <v>180</v>
      </c>
      <c r="B1887" s="12" t="s">
        <v>160</v>
      </c>
      <c r="C1887" s="12" t="s">
        <v>83</v>
      </c>
      <c r="D1887" s="13">
        <v>40995</v>
      </c>
      <c r="E1887" s="12" t="s">
        <v>42</v>
      </c>
      <c r="F1887" s="14">
        <v>40</v>
      </c>
      <c r="G1887" s="19">
        <v>16</v>
      </c>
    </row>
    <row r="1888" spans="1:7" x14ac:dyDescent="0.3">
      <c r="A1888" s="18" t="s">
        <v>180</v>
      </c>
      <c r="B1888" s="12" t="s">
        <v>160</v>
      </c>
      <c r="C1888" s="12" t="s">
        <v>83</v>
      </c>
      <c r="D1888" s="13">
        <v>40995</v>
      </c>
      <c r="E1888" s="12" t="s">
        <v>53</v>
      </c>
      <c r="F1888" s="14">
        <v>7.75</v>
      </c>
      <c r="G1888" s="19">
        <v>10</v>
      </c>
    </row>
    <row r="1889" spans="1:7" x14ac:dyDescent="0.3">
      <c r="A1889" s="18" t="s">
        <v>108</v>
      </c>
      <c r="B1889" s="12" t="s">
        <v>109</v>
      </c>
      <c r="C1889" s="12" t="s">
        <v>83</v>
      </c>
      <c r="D1889" s="13">
        <v>41002</v>
      </c>
      <c r="E1889" s="12" t="s">
        <v>56</v>
      </c>
      <c r="F1889" s="14">
        <v>45.6</v>
      </c>
      <c r="G1889" s="19">
        <v>20</v>
      </c>
    </row>
    <row r="1890" spans="1:7" x14ac:dyDescent="0.3">
      <c r="A1890" s="18" t="s">
        <v>118</v>
      </c>
      <c r="B1890" s="12" t="s">
        <v>119</v>
      </c>
      <c r="C1890" s="12" t="s">
        <v>80</v>
      </c>
      <c r="D1890" s="13">
        <v>41009</v>
      </c>
      <c r="E1890" s="12" t="s">
        <v>7</v>
      </c>
      <c r="F1890" s="14">
        <v>18</v>
      </c>
      <c r="G1890" s="19">
        <v>30</v>
      </c>
    </row>
    <row r="1891" spans="1:7" x14ac:dyDescent="0.3">
      <c r="A1891" s="18" t="s">
        <v>118</v>
      </c>
      <c r="B1891" s="12" t="s">
        <v>119</v>
      </c>
      <c r="C1891" s="12" t="s">
        <v>80</v>
      </c>
      <c r="D1891" s="13">
        <v>41009</v>
      </c>
      <c r="E1891" s="12" t="s">
        <v>76</v>
      </c>
      <c r="F1891" s="14">
        <v>9.5</v>
      </c>
      <c r="G1891" s="19">
        <v>30</v>
      </c>
    </row>
    <row r="1892" spans="1:7" x14ac:dyDescent="0.3">
      <c r="A1892" s="18" t="s">
        <v>118</v>
      </c>
      <c r="B1892" s="12" t="s">
        <v>119</v>
      </c>
      <c r="C1892" s="12" t="s">
        <v>80</v>
      </c>
      <c r="D1892" s="13">
        <v>41009</v>
      </c>
      <c r="E1892" s="12" t="s">
        <v>36</v>
      </c>
      <c r="F1892" s="14">
        <v>53</v>
      </c>
      <c r="G1892" s="19">
        <v>10</v>
      </c>
    </row>
    <row r="1893" spans="1:7" x14ac:dyDescent="0.3">
      <c r="A1893" s="18" t="s">
        <v>118</v>
      </c>
      <c r="B1893" s="12" t="s">
        <v>119</v>
      </c>
      <c r="C1893" s="12" t="s">
        <v>80</v>
      </c>
      <c r="D1893" s="13">
        <v>41009</v>
      </c>
      <c r="E1893" s="12" t="s">
        <v>74</v>
      </c>
      <c r="F1893" s="14">
        <v>43.9</v>
      </c>
      <c r="G1893" s="19">
        <v>20</v>
      </c>
    </row>
    <row r="1894" spans="1:7" x14ac:dyDescent="0.3">
      <c r="A1894" s="18" t="s">
        <v>197</v>
      </c>
      <c r="B1894" s="12" t="s">
        <v>103</v>
      </c>
      <c r="C1894" s="12" t="s">
        <v>78</v>
      </c>
      <c r="D1894" s="13">
        <v>41022</v>
      </c>
      <c r="E1894" s="12" t="s">
        <v>42</v>
      </c>
      <c r="F1894" s="14">
        <v>40</v>
      </c>
      <c r="G1894" s="19">
        <v>20</v>
      </c>
    </row>
    <row r="1895" spans="1:7" x14ac:dyDescent="0.3">
      <c r="A1895" s="18" t="s">
        <v>197</v>
      </c>
      <c r="B1895" s="12" t="s">
        <v>103</v>
      </c>
      <c r="C1895" s="12" t="s">
        <v>78</v>
      </c>
      <c r="D1895" s="13">
        <v>41022</v>
      </c>
      <c r="E1895" s="12" t="s">
        <v>62</v>
      </c>
      <c r="F1895" s="14">
        <v>10</v>
      </c>
      <c r="G1895" s="19">
        <v>40</v>
      </c>
    </row>
    <row r="1896" spans="1:7" x14ac:dyDescent="0.3">
      <c r="A1896" s="18" t="s">
        <v>197</v>
      </c>
      <c r="B1896" s="12" t="s">
        <v>103</v>
      </c>
      <c r="C1896" s="12" t="s">
        <v>78</v>
      </c>
      <c r="D1896" s="13">
        <v>41022</v>
      </c>
      <c r="E1896" s="12" t="s">
        <v>2</v>
      </c>
      <c r="F1896" s="14">
        <v>18.399999999999999</v>
      </c>
      <c r="G1896" s="19">
        <v>10</v>
      </c>
    </row>
    <row r="1897" spans="1:7" x14ac:dyDescent="0.3">
      <c r="A1897" s="18" t="s">
        <v>197</v>
      </c>
      <c r="B1897" s="12" t="s">
        <v>103</v>
      </c>
      <c r="C1897" s="12" t="s">
        <v>78</v>
      </c>
      <c r="D1897" s="13">
        <v>41022</v>
      </c>
      <c r="E1897" s="12" t="s">
        <v>23</v>
      </c>
      <c r="F1897" s="14">
        <v>19.45</v>
      </c>
      <c r="G1897" s="19">
        <v>6</v>
      </c>
    </row>
    <row r="1898" spans="1:7" x14ac:dyDescent="0.3">
      <c r="A1898" s="18" t="s">
        <v>110</v>
      </c>
      <c r="B1898" s="12" t="s">
        <v>111</v>
      </c>
      <c r="C1898" s="12" t="s">
        <v>80</v>
      </c>
      <c r="D1898" s="13">
        <v>40999</v>
      </c>
      <c r="E1898" s="12" t="s">
        <v>72</v>
      </c>
      <c r="F1898" s="14">
        <v>30</v>
      </c>
      <c r="G1898" s="19">
        <v>18</v>
      </c>
    </row>
    <row r="1899" spans="1:7" x14ac:dyDescent="0.3">
      <c r="A1899" s="18" t="s">
        <v>110</v>
      </c>
      <c r="B1899" s="12" t="s">
        <v>111</v>
      </c>
      <c r="C1899" s="12" t="s">
        <v>80</v>
      </c>
      <c r="D1899" s="13">
        <v>40999</v>
      </c>
      <c r="E1899" s="12" t="s">
        <v>50</v>
      </c>
      <c r="F1899" s="14">
        <v>38</v>
      </c>
      <c r="G1899" s="19">
        <v>20</v>
      </c>
    </row>
    <row r="1900" spans="1:7" x14ac:dyDescent="0.3">
      <c r="A1900" s="18" t="s">
        <v>110</v>
      </c>
      <c r="B1900" s="12" t="s">
        <v>111</v>
      </c>
      <c r="C1900" s="12" t="s">
        <v>80</v>
      </c>
      <c r="D1900" s="13">
        <v>40999</v>
      </c>
      <c r="E1900" s="12" t="s">
        <v>21</v>
      </c>
      <c r="F1900" s="14">
        <v>4.5</v>
      </c>
      <c r="G1900" s="19">
        <v>80</v>
      </c>
    </row>
    <row r="1901" spans="1:7" x14ac:dyDescent="0.3">
      <c r="A1901" s="18" t="s">
        <v>110</v>
      </c>
      <c r="B1901" s="12" t="s">
        <v>111</v>
      </c>
      <c r="C1901" s="12" t="s">
        <v>80</v>
      </c>
      <c r="D1901" s="13">
        <v>40999</v>
      </c>
      <c r="E1901" s="12" t="s">
        <v>58</v>
      </c>
      <c r="F1901" s="14">
        <v>43.9</v>
      </c>
      <c r="G1901" s="19">
        <v>30</v>
      </c>
    </row>
    <row r="1902" spans="1:7" x14ac:dyDescent="0.3">
      <c r="A1902" s="18" t="s">
        <v>110</v>
      </c>
      <c r="B1902" s="12" t="s">
        <v>111</v>
      </c>
      <c r="C1902" s="12" t="s">
        <v>80</v>
      </c>
      <c r="D1902" s="13">
        <v>40999</v>
      </c>
      <c r="E1902" s="12" t="s">
        <v>18</v>
      </c>
      <c r="F1902" s="14">
        <v>12.5</v>
      </c>
      <c r="G1902" s="19">
        <v>24</v>
      </c>
    </row>
    <row r="1903" spans="1:7" x14ac:dyDescent="0.3">
      <c r="A1903" s="18" t="s">
        <v>110</v>
      </c>
      <c r="B1903" s="12" t="s">
        <v>111</v>
      </c>
      <c r="C1903" s="12" t="s">
        <v>80</v>
      </c>
      <c r="D1903" s="13">
        <v>40999</v>
      </c>
      <c r="E1903" s="12" t="s">
        <v>74</v>
      </c>
      <c r="F1903" s="14">
        <v>43.9</v>
      </c>
      <c r="G1903" s="19">
        <v>35</v>
      </c>
    </row>
    <row r="1904" spans="1:7" x14ac:dyDescent="0.3">
      <c r="A1904" s="18" t="s">
        <v>118</v>
      </c>
      <c r="B1904" s="12" t="s">
        <v>119</v>
      </c>
      <c r="C1904" s="12" t="s">
        <v>81</v>
      </c>
      <c r="D1904" s="13">
        <v>41016</v>
      </c>
      <c r="E1904" s="12" t="s">
        <v>53</v>
      </c>
      <c r="F1904" s="14">
        <v>7.75</v>
      </c>
      <c r="G1904" s="19">
        <v>40</v>
      </c>
    </row>
    <row r="1905" spans="1:7" x14ac:dyDescent="0.3">
      <c r="A1905" s="18" t="s">
        <v>99</v>
      </c>
      <c r="B1905" s="12" t="s">
        <v>98</v>
      </c>
      <c r="C1905" s="12" t="s">
        <v>83</v>
      </c>
      <c r="D1905" s="13">
        <v>41001</v>
      </c>
      <c r="E1905" s="12" t="s">
        <v>11</v>
      </c>
      <c r="F1905" s="14">
        <v>263.5</v>
      </c>
      <c r="G1905" s="19">
        <v>60</v>
      </c>
    </row>
    <row r="1906" spans="1:7" x14ac:dyDescent="0.3">
      <c r="A1906" s="18" t="s">
        <v>180</v>
      </c>
      <c r="B1906" s="12" t="s">
        <v>160</v>
      </c>
      <c r="C1906" s="12" t="s">
        <v>77</v>
      </c>
      <c r="D1906" s="13">
        <v>41007</v>
      </c>
      <c r="E1906" s="12" t="s">
        <v>72</v>
      </c>
      <c r="F1906" s="14">
        <v>30</v>
      </c>
      <c r="G1906" s="19">
        <v>20</v>
      </c>
    </row>
    <row r="1907" spans="1:7" x14ac:dyDescent="0.3">
      <c r="A1907" s="18" t="s">
        <v>180</v>
      </c>
      <c r="B1907" s="12" t="s">
        <v>160</v>
      </c>
      <c r="C1907" s="12" t="s">
        <v>77</v>
      </c>
      <c r="D1907" s="13">
        <v>41007</v>
      </c>
      <c r="E1907" s="12" t="s">
        <v>28</v>
      </c>
      <c r="F1907" s="14">
        <v>46</v>
      </c>
      <c r="G1907" s="19">
        <v>9</v>
      </c>
    </row>
    <row r="1908" spans="1:7" x14ac:dyDescent="0.3">
      <c r="A1908" s="18" t="s">
        <v>154</v>
      </c>
      <c r="B1908" s="12" t="s">
        <v>115</v>
      </c>
      <c r="C1908" s="12" t="s">
        <v>77</v>
      </c>
      <c r="D1908" s="13">
        <v>41005</v>
      </c>
      <c r="E1908" s="12" t="s">
        <v>30</v>
      </c>
      <c r="F1908" s="14">
        <v>6</v>
      </c>
      <c r="G1908" s="19">
        <v>84</v>
      </c>
    </row>
    <row r="1909" spans="1:7" x14ac:dyDescent="0.3">
      <c r="A1909" s="18" t="s">
        <v>154</v>
      </c>
      <c r="B1909" s="12" t="s">
        <v>115</v>
      </c>
      <c r="C1909" s="12" t="s">
        <v>77</v>
      </c>
      <c r="D1909" s="13">
        <v>41005</v>
      </c>
      <c r="E1909" s="12" t="s">
        <v>52</v>
      </c>
      <c r="F1909" s="14">
        <v>19.5</v>
      </c>
      <c r="G1909" s="19">
        <v>15</v>
      </c>
    </row>
    <row r="1910" spans="1:7" x14ac:dyDescent="0.3">
      <c r="A1910" s="18" t="s">
        <v>154</v>
      </c>
      <c r="B1910" s="12" t="s">
        <v>115</v>
      </c>
      <c r="C1910" s="12" t="s">
        <v>83</v>
      </c>
      <c r="D1910" s="13">
        <v>41002</v>
      </c>
      <c r="E1910" s="12" t="s">
        <v>47</v>
      </c>
      <c r="F1910" s="14">
        <v>17.45</v>
      </c>
      <c r="G1910" s="19">
        <v>55</v>
      </c>
    </row>
    <row r="1911" spans="1:7" x14ac:dyDescent="0.3">
      <c r="A1911" s="18" t="s">
        <v>154</v>
      </c>
      <c r="B1911" s="12" t="s">
        <v>115</v>
      </c>
      <c r="C1911" s="12" t="s">
        <v>83</v>
      </c>
      <c r="D1911" s="13">
        <v>41002</v>
      </c>
      <c r="E1911" s="12" t="s">
        <v>21</v>
      </c>
      <c r="F1911" s="14">
        <v>4.5</v>
      </c>
      <c r="G1911" s="19">
        <v>20</v>
      </c>
    </row>
    <row r="1912" spans="1:7" x14ac:dyDescent="0.3">
      <c r="A1912" s="18" t="s">
        <v>154</v>
      </c>
      <c r="B1912" s="12" t="s">
        <v>115</v>
      </c>
      <c r="C1912" s="12" t="s">
        <v>83</v>
      </c>
      <c r="D1912" s="13">
        <v>41002</v>
      </c>
      <c r="E1912" s="12" t="s">
        <v>27</v>
      </c>
      <c r="F1912" s="14">
        <v>19</v>
      </c>
      <c r="G1912" s="19">
        <v>40</v>
      </c>
    </row>
    <row r="1913" spans="1:7" x14ac:dyDescent="0.3">
      <c r="A1913" s="18" t="s">
        <v>143</v>
      </c>
      <c r="B1913" s="12" t="s">
        <v>144</v>
      </c>
      <c r="C1913" s="12" t="s">
        <v>77</v>
      </c>
      <c r="D1913" s="13">
        <v>41001</v>
      </c>
      <c r="E1913" s="12" t="s">
        <v>47</v>
      </c>
      <c r="F1913" s="14">
        <v>17.45</v>
      </c>
      <c r="G1913" s="19">
        <v>36</v>
      </c>
    </row>
    <row r="1914" spans="1:7" x14ac:dyDescent="0.3">
      <c r="A1914" s="18" t="s">
        <v>143</v>
      </c>
      <c r="B1914" s="12" t="s">
        <v>144</v>
      </c>
      <c r="C1914" s="12" t="s">
        <v>77</v>
      </c>
      <c r="D1914" s="13">
        <v>41001</v>
      </c>
      <c r="E1914" s="12" t="s">
        <v>4</v>
      </c>
      <c r="F1914" s="14">
        <v>62.5</v>
      </c>
      <c r="G1914" s="19">
        <v>8</v>
      </c>
    </row>
    <row r="1915" spans="1:7" x14ac:dyDescent="0.3">
      <c r="A1915" s="18" t="s">
        <v>143</v>
      </c>
      <c r="B1915" s="12" t="s">
        <v>144</v>
      </c>
      <c r="C1915" s="12" t="s">
        <v>77</v>
      </c>
      <c r="D1915" s="13">
        <v>41001</v>
      </c>
      <c r="E1915" s="12" t="s">
        <v>37</v>
      </c>
      <c r="F1915" s="14">
        <v>32</v>
      </c>
      <c r="G1915" s="19">
        <v>35</v>
      </c>
    </row>
    <row r="1916" spans="1:7" x14ac:dyDescent="0.3">
      <c r="A1916" s="18" t="s">
        <v>184</v>
      </c>
      <c r="B1916" s="12" t="s">
        <v>185</v>
      </c>
      <c r="C1916" s="12" t="s">
        <v>80</v>
      </c>
      <c r="D1916" s="13">
        <v>41020</v>
      </c>
      <c r="E1916" s="12" t="s">
        <v>49</v>
      </c>
      <c r="F1916" s="14">
        <v>21</v>
      </c>
      <c r="G1916" s="19">
        <v>30</v>
      </c>
    </row>
    <row r="1917" spans="1:7" x14ac:dyDescent="0.3">
      <c r="A1917" s="18" t="s">
        <v>184</v>
      </c>
      <c r="B1917" s="12" t="s">
        <v>185</v>
      </c>
      <c r="C1917" s="12" t="s">
        <v>80</v>
      </c>
      <c r="D1917" s="13">
        <v>41020</v>
      </c>
      <c r="E1917" s="12" t="s">
        <v>61</v>
      </c>
      <c r="F1917" s="14">
        <v>81</v>
      </c>
      <c r="G1917" s="19">
        <v>15</v>
      </c>
    </row>
    <row r="1918" spans="1:7" x14ac:dyDescent="0.3">
      <c r="A1918" s="18" t="s">
        <v>184</v>
      </c>
      <c r="B1918" s="12" t="s">
        <v>185</v>
      </c>
      <c r="C1918" s="12" t="s">
        <v>80</v>
      </c>
      <c r="D1918" s="13">
        <v>41020</v>
      </c>
      <c r="E1918" s="12" t="s">
        <v>31</v>
      </c>
      <c r="F1918" s="14">
        <v>18</v>
      </c>
      <c r="G1918" s="19">
        <v>10</v>
      </c>
    </row>
    <row r="1919" spans="1:7" x14ac:dyDescent="0.3">
      <c r="A1919" s="18" t="s">
        <v>184</v>
      </c>
      <c r="B1919" s="12" t="s">
        <v>185</v>
      </c>
      <c r="C1919" s="12" t="s">
        <v>80</v>
      </c>
      <c r="D1919" s="13">
        <v>41020</v>
      </c>
      <c r="E1919" s="12" t="s">
        <v>44</v>
      </c>
      <c r="F1919" s="14">
        <v>13</v>
      </c>
      <c r="G1919" s="19">
        <v>15</v>
      </c>
    </row>
    <row r="1920" spans="1:7" x14ac:dyDescent="0.3">
      <c r="A1920" s="18" t="s">
        <v>170</v>
      </c>
      <c r="B1920" s="12" t="s">
        <v>141</v>
      </c>
      <c r="C1920" s="12" t="s">
        <v>80</v>
      </c>
      <c r="D1920" s="13">
        <v>41005</v>
      </c>
      <c r="E1920" s="12" t="s">
        <v>72</v>
      </c>
      <c r="F1920" s="14">
        <v>30</v>
      </c>
      <c r="G1920" s="19">
        <v>60</v>
      </c>
    </row>
    <row r="1921" spans="1:7" x14ac:dyDescent="0.3">
      <c r="A1921" s="18" t="s">
        <v>170</v>
      </c>
      <c r="B1921" s="12" t="s">
        <v>141</v>
      </c>
      <c r="C1921" s="12" t="s">
        <v>80</v>
      </c>
      <c r="D1921" s="13">
        <v>41005</v>
      </c>
      <c r="E1921" s="12" t="s">
        <v>28</v>
      </c>
      <c r="F1921" s="14">
        <v>46</v>
      </c>
      <c r="G1921" s="19">
        <v>6</v>
      </c>
    </row>
    <row r="1922" spans="1:7" x14ac:dyDescent="0.3">
      <c r="A1922" s="18" t="s">
        <v>170</v>
      </c>
      <c r="B1922" s="12" t="s">
        <v>141</v>
      </c>
      <c r="C1922" s="12" t="s">
        <v>80</v>
      </c>
      <c r="D1922" s="13">
        <v>41005</v>
      </c>
      <c r="E1922" s="12" t="s">
        <v>40</v>
      </c>
      <c r="F1922" s="14">
        <v>34.799999999999997</v>
      </c>
      <c r="G1922" s="19">
        <v>20</v>
      </c>
    </row>
    <row r="1923" spans="1:7" x14ac:dyDescent="0.3">
      <c r="A1923" s="18" t="s">
        <v>117</v>
      </c>
      <c r="B1923" s="12" t="s">
        <v>115</v>
      </c>
      <c r="C1923" s="12" t="s">
        <v>79</v>
      </c>
      <c r="D1923" s="13">
        <v>41009</v>
      </c>
      <c r="E1923" s="12" t="s">
        <v>72</v>
      </c>
      <c r="F1923" s="14">
        <v>30</v>
      </c>
      <c r="G1923" s="19">
        <v>60</v>
      </c>
    </row>
    <row r="1924" spans="1:7" x14ac:dyDescent="0.3">
      <c r="A1924" s="18" t="s">
        <v>117</v>
      </c>
      <c r="B1924" s="12" t="s">
        <v>115</v>
      </c>
      <c r="C1924" s="12" t="s">
        <v>79</v>
      </c>
      <c r="D1924" s="13">
        <v>41009</v>
      </c>
      <c r="E1924" s="12" t="s">
        <v>66</v>
      </c>
      <c r="F1924" s="14">
        <v>49.3</v>
      </c>
      <c r="G1924" s="19">
        <v>40</v>
      </c>
    </row>
    <row r="1925" spans="1:7" x14ac:dyDescent="0.3">
      <c r="A1925" s="18" t="s">
        <v>116</v>
      </c>
      <c r="B1925" s="12" t="s">
        <v>98</v>
      </c>
      <c r="C1925" s="12" t="s">
        <v>77</v>
      </c>
      <c r="D1925" s="13">
        <v>41001</v>
      </c>
      <c r="E1925" s="12" t="s">
        <v>19</v>
      </c>
      <c r="F1925" s="14">
        <v>25</v>
      </c>
      <c r="G1925" s="19">
        <v>40</v>
      </c>
    </row>
    <row r="1926" spans="1:7" x14ac:dyDescent="0.3">
      <c r="A1926" s="18" t="s">
        <v>116</v>
      </c>
      <c r="B1926" s="12" t="s">
        <v>98</v>
      </c>
      <c r="C1926" s="12" t="s">
        <v>77</v>
      </c>
      <c r="D1926" s="13">
        <v>41001</v>
      </c>
      <c r="E1926" s="12" t="s">
        <v>49</v>
      </c>
      <c r="F1926" s="14">
        <v>21</v>
      </c>
      <c r="G1926" s="19">
        <v>15</v>
      </c>
    </row>
    <row r="1927" spans="1:7" x14ac:dyDescent="0.3">
      <c r="A1927" s="18" t="s">
        <v>116</v>
      </c>
      <c r="B1927" s="12" t="s">
        <v>98</v>
      </c>
      <c r="C1927" s="12" t="s">
        <v>77</v>
      </c>
      <c r="D1927" s="13">
        <v>41001</v>
      </c>
      <c r="E1927" s="12" t="s">
        <v>29</v>
      </c>
      <c r="F1927" s="14">
        <v>9.65</v>
      </c>
      <c r="G1927" s="19">
        <v>4</v>
      </c>
    </row>
    <row r="1928" spans="1:7" x14ac:dyDescent="0.3">
      <c r="A1928" s="18" t="s">
        <v>110</v>
      </c>
      <c r="B1928" s="12" t="s">
        <v>111</v>
      </c>
      <c r="C1928" s="12" t="s">
        <v>77</v>
      </c>
      <c r="D1928" s="13">
        <v>41006</v>
      </c>
      <c r="E1928" s="12" t="s">
        <v>62</v>
      </c>
      <c r="F1928" s="14">
        <v>10</v>
      </c>
      <c r="G1928" s="19">
        <v>65</v>
      </c>
    </row>
    <row r="1929" spans="1:7" x14ac:dyDescent="0.3">
      <c r="A1929" s="18" t="s">
        <v>110</v>
      </c>
      <c r="B1929" s="12" t="s">
        <v>111</v>
      </c>
      <c r="C1929" s="12" t="s">
        <v>77</v>
      </c>
      <c r="D1929" s="13">
        <v>41006</v>
      </c>
      <c r="E1929" s="12" t="s">
        <v>57</v>
      </c>
      <c r="F1929" s="14">
        <v>14</v>
      </c>
      <c r="G1929" s="19">
        <v>60</v>
      </c>
    </row>
    <row r="1930" spans="1:7" x14ac:dyDescent="0.3">
      <c r="A1930" s="18" t="s">
        <v>110</v>
      </c>
      <c r="B1930" s="12" t="s">
        <v>111</v>
      </c>
      <c r="C1930" s="12" t="s">
        <v>77</v>
      </c>
      <c r="D1930" s="13">
        <v>41006</v>
      </c>
      <c r="E1930" s="12" t="s">
        <v>46</v>
      </c>
      <c r="F1930" s="14">
        <v>24</v>
      </c>
      <c r="G1930" s="19">
        <v>65</v>
      </c>
    </row>
    <row r="1931" spans="1:7" x14ac:dyDescent="0.3">
      <c r="A1931" s="18" t="s">
        <v>110</v>
      </c>
      <c r="B1931" s="12" t="s">
        <v>111</v>
      </c>
      <c r="C1931" s="12" t="s">
        <v>77</v>
      </c>
      <c r="D1931" s="13">
        <v>41006</v>
      </c>
      <c r="E1931" s="12" t="s">
        <v>63</v>
      </c>
      <c r="F1931" s="14">
        <v>28.5</v>
      </c>
      <c r="G1931" s="19">
        <v>66</v>
      </c>
    </row>
    <row r="1932" spans="1:7" x14ac:dyDescent="0.3">
      <c r="A1932" s="18" t="s">
        <v>127</v>
      </c>
      <c r="B1932" s="12" t="s">
        <v>123</v>
      </c>
      <c r="C1932" s="12" t="s">
        <v>83</v>
      </c>
      <c r="D1932" s="13">
        <v>41006</v>
      </c>
      <c r="E1932" s="12" t="s">
        <v>6</v>
      </c>
      <c r="F1932" s="14">
        <v>19</v>
      </c>
      <c r="G1932" s="19">
        <v>50</v>
      </c>
    </row>
    <row r="1933" spans="1:7" x14ac:dyDescent="0.3">
      <c r="A1933" s="18" t="s">
        <v>127</v>
      </c>
      <c r="B1933" s="12" t="s">
        <v>123</v>
      </c>
      <c r="C1933" s="12" t="s">
        <v>83</v>
      </c>
      <c r="D1933" s="13">
        <v>41006</v>
      </c>
      <c r="E1933" s="12" t="s">
        <v>45</v>
      </c>
      <c r="F1933" s="14">
        <v>15</v>
      </c>
      <c r="G1933" s="19">
        <v>20</v>
      </c>
    </row>
    <row r="1934" spans="1:7" x14ac:dyDescent="0.3">
      <c r="A1934" s="18" t="s">
        <v>127</v>
      </c>
      <c r="B1934" s="12" t="s">
        <v>123</v>
      </c>
      <c r="C1934" s="12" t="s">
        <v>83</v>
      </c>
      <c r="D1934" s="13">
        <v>41006</v>
      </c>
      <c r="E1934" s="12" t="s">
        <v>31</v>
      </c>
      <c r="F1934" s="14">
        <v>18</v>
      </c>
      <c r="G1934" s="19">
        <v>90</v>
      </c>
    </row>
    <row r="1935" spans="1:7" x14ac:dyDescent="0.3">
      <c r="A1935" s="18" t="s">
        <v>149</v>
      </c>
      <c r="B1935" s="12" t="s">
        <v>115</v>
      </c>
      <c r="C1935" s="12" t="s">
        <v>83</v>
      </c>
      <c r="D1935" s="13">
        <v>41002</v>
      </c>
      <c r="E1935" s="12" t="s">
        <v>40</v>
      </c>
      <c r="F1935" s="14">
        <v>34.799999999999997</v>
      </c>
      <c r="G1935" s="19">
        <v>2</v>
      </c>
    </row>
    <row r="1936" spans="1:7" x14ac:dyDescent="0.3">
      <c r="A1936" s="18" t="s">
        <v>118</v>
      </c>
      <c r="B1936" s="12" t="s">
        <v>119</v>
      </c>
      <c r="C1936" s="12" t="s">
        <v>84</v>
      </c>
      <c r="D1936" s="13">
        <v>41009</v>
      </c>
      <c r="E1936" s="12" t="s">
        <v>68</v>
      </c>
      <c r="F1936" s="14">
        <v>123.79</v>
      </c>
      <c r="G1936" s="19">
        <v>50</v>
      </c>
    </row>
    <row r="1937" spans="1:7" x14ac:dyDescent="0.3">
      <c r="A1937" s="18" t="s">
        <v>118</v>
      </c>
      <c r="B1937" s="12" t="s">
        <v>119</v>
      </c>
      <c r="C1937" s="12" t="s">
        <v>84</v>
      </c>
      <c r="D1937" s="13">
        <v>41009</v>
      </c>
      <c r="E1937" s="12" t="s">
        <v>29</v>
      </c>
      <c r="F1937" s="14">
        <v>9.65</v>
      </c>
      <c r="G1937" s="19">
        <v>35</v>
      </c>
    </row>
    <row r="1938" spans="1:7" x14ac:dyDescent="0.3">
      <c r="A1938" s="18" t="s">
        <v>173</v>
      </c>
      <c r="B1938" s="12" t="s">
        <v>163</v>
      </c>
      <c r="C1938" s="12" t="s">
        <v>77</v>
      </c>
      <c r="D1938" s="13">
        <v>41008</v>
      </c>
      <c r="E1938" s="12" t="s">
        <v>51</v>
      </c>
      <c r="F1938" s="14">
        <v>55</v>
      </c>
      <c r="G1938" s="19">
        <v>18</v>
      </c>
    </row>
    <row r="1939" spans="1:7" x14ac:dyDescent="0.3">
      <c r="A1939" s="18" t="s">
        <v>152</v>
      </c>
      <c r="B1939" s="12" t="s">
        <v>113</v>
      </c>
      <c r="C1939" s="12" t="s">
        <v>83</v>
      </c>
      <c r="D1939" s="13">
        <v>41005</v>
      </c>
      <c r="E1939" s="12" t="s">
        <v>36</v>
      </c>
      <c r="F1939" s="14">
        <v>53</v>
      </c>
      <c r="G1939" s="19">
        <v>20</v>
      </c>
    </row>
    <row r="1940" spans="1:7" x14ac:dyDescent="0.3">
      <c r="A1940" s="18" t="s">
        <v>152</v>
      </c>
      <c r="B1940" s="12" t="s">
        <v>113</v>
      </c>
      <c r="C1940" s="12" t="s">
        <v>83</v>
      </c>
      <c r="D1940" s="13">
        <v>41005</v>
      </c>
      <c r="E1940" s="12" t="s">
        <v>3</v>
      </c>
      <c r="F1940" s="14">
        <v>34</v>
      </c>
      <c r="G1940" s="19">
        <v>4</v>
      </c>
    </row>
    <row r="1941" spans="1:7" x14ac:dyDescent="0.3">
      <c r="A1941" s="18" t="s">
        <v>127</v>
      </c>
      <c r="B1941" s="12" t="s">
        <v>123</v>
      </c>
      <c r="C1941" s="12" t="s">
        <v>81</v>
      </c>
      <c r="D1941" s="13">
        <v>41009</v>
      </c>
      <c r="E1941" s="12" t="s">
        <v>60</v>
      </c>
      <c r="F1941" s="14">
        <v>14</v>
      </c>
      <c r="G1941" s="19">
        <v>40</v>
      </c>
    </row>
    <row r="1942" spans="1:7" x14ac:dyDescent="0.3">
      <c r="A1942" s="18" t="s">
        <v>137</v>
      </c>
      <c r="B1942" s="12" t="s">
        <v>109</v>
      </c>
      <c r="C1942" s="12" t="s">
        <v>80</v>
      </c>
      <c r="D1942" s="13">
        <v>41012</v>
      </c>
      <c r="E1942" s="12" t="s">
        <v>37</v>
      </c>
      <c r="F1942" s="14">
        <v>32</v>
      </c>
      <c r="G1942" s="19">
        <v>50</v>
      </c>
    </row>
    <row r="1943" spans="1:7" x14ac:dyDescent="0.3">
      <c r="A1943" s="18" t="s">
        <v>137</v>
      </c>
      <c r="B1943" s="12" t="s">
        <v>109</v>
      </c>
      <c r="C1943" s="12" t="s">
        <v>80</v>
      </c>
      <c r="D1943" s="13">
        <v>41012</v>
      </c>
      <c r="E1943" s="12" t="s">
        <v>64</v>
      </c>
      <c r="F1943" s="14">
        <v>12</v>
      </c>
      <c r="G1943" s="19">
        <v>20</v>
      </c>
    </row>
    <row r="1944" spans="1:7" x14ac:dyDescent="0.3">
      <c r="A1944" s="18" t="s">
        <v>137</v>
      </c>
      <c r="B1944" s="12" t="s">
        <v>109</v>
      </c>
      <c r="C1944" s="12" t="s">
        <v>80</v>
      </c>
      <c r="D1944" s="13">
        <v>41012</v>
      </c>
      <c r="E1944" s="12" t="s">
        <v>13</v>
      </c>
      <c r="F1944" s="14">
        <v>7</v>
      </c>
      <c r="G1944" s="19">
        <v>20</v>
      </c>
    </row>
    <row r="1945" spans="1:7" x14ac:dyDescent="0.3">
      <c r="A1945" s="18" t="s">
        <v>175</v>
      </c>
      <c r="B1945" s="12" t="s">
        <v>176</v>
      </c>
      <c r="C1945" s="12" t="s">
        <v>80</v>
      </c>
      <c r="D1945" s="13">
        <v>41016</v>
      </c>
      <c r="E1945" s="12" t="s">
        <v>21</v>
      </c>
      <c r="F1945" s="14">
        <v>4.5</v>
      </c>
      <c r="G1945" s="19">
        <v>12</v>
      </c>
    </row>
    <row r="1946" spans="1:7" x14ac:dyDescent="0.3">
      <c r="A1946" s="18" t="s">
        <v>175</v>
      </c>
      <c r="B1946" s="12" t="s">
        <v>176</v>
      </c>
      <c r="C1946" s="12" t="s">
        <v>80</v>
      </c>
      <c r="D1946" s="13">
        <v>41016</v>
      </c>
      <c r="E1946" s="12" t="s">
        <v>63</v>
      </c>
      <c r="F1946" s="14">
        <v>28.5</v>
      </c>
      <c r="G1946" s="19">
        <v>7</v>
      </c>
    </row>
    <row r="1947" spans="1:7" x14ac:dyDescent="0.3">
      <c r="A1947" s="18" t="s">
        <v>175</v>
      </c>
      <c r="B1947" s="12" t="s">
        <v>176</v>
      </c>
      <c r="C1947" s="12" t="s">
        <v>80</v>
      </c>
      <c r="D1947" s="13">
        <v>41016</v>
      </c>
      <c r="E1947" s="12" t="s">
        <v>33</v>
      </c>
      <c r="F1947" s="14">
        <v>10</v>
      </c>
      <c r="G1947" s="19">
        <v>20</v>
      </c>
    </row>
    <row r="1948" spans="1:7" x14ac:dyDescent="0.3">
      <c r="A1948" s="18" t="s">
        <v>175</v>
      </c>
      <c r="B1948" s="12" t="s">
        <v>176</v>
      </c>
      <c r="C1948" s="12" t="s">
        <v>80</v>
      </c>
      <c r="D1948" s="13">
        <v>41016</v>
      </c>
      <c r="E1948" s="12" t="s">
        <v>53</v>
      </c>
      <c r="F1948" s="14">
        <v>7.75</v>
      </c>
      <c r="G1948" s="19">
        <v>30</v>
      </c>
    </row>
    <row r="1949" spans="1:7" x14ac:dyDescent="0.3">
      <c r="A1949" s="18" t="s">
        <v>182</v>
      </c>
      <c r="B1949" s="12" t="s">
        <v>123</v>
      </c>
      <c r="C1949" s="12" t="s">
        <v>82</v>
      </c>
      <c r="D1949" s="13">
        <v>41009</v>
      </c>
      <c r="E1949" s="12" t="s">
        <v>29</v>
      </c>
      <c r="F1949" s="14">
        <v>9.65</v>
      </c>
      <c r="G1949" s="19">
        <v>20</v>
      </c>
    </row>
    <row r="1950" spans="1:7" x14ac:dyDescent="0.3">
      <c r="A1950" s="18" t="s">
        <v>182</v>
      </c>
      <c r="B1950" s="12" t="s">
        <v>123</v>
      </c>
      <c r="C1950" s="12" t="s">
        <v>82</v>
      </c>
      <c r="D1950" s="13">
        <v>41009</v>
      </c>
      <c r="E1950" s="12" t="s">
        <v>36</v>
      </c>
      <c r="F1950" s="14">
        <v>53</v>
      </c>
      <c r="G1950" s="19">
        <v>15</v>
      </c>
    </row>
    <row r="1951" spans="1:7" x14ac:dyDescent="0.3">
      <c r="A1951" s="18" t="s">
        <v>182</v>
      </c>
      <c r="B1951" s="12" t="s">
        <v>123</v>
      </c>
      <c r="C1951" s="12" t="s">
        <v>82</v>
      </c>
      <c r="D1951" s="13">
        <v>41009</v>
      </c>
      <c r="E1951" s="12" t="s">
        <v>44</v>
      </c>
      <c r="F1951" s="14">
        <v>13</v>
      </c>
      <c r="G1951" s="19">
        <v>21</v>
      </c>
    </row>
    <row r="1952" spans="1:7" x14ac:dyDescent="0.3">
      <c r="A1952" s="18" t="s">
        <v>117</v>
      </c>
      <c r="B1952" s="12" t="s">
        <v>115</v>
      </c>
      <c r="C1952" s="12" t="s">
        <v>77</v>
      </c>
      <c r="D1952" s="13">
        <v>41013</v>
      </c>
      <c r="E1952" s="12" t="s">
        <v>8</v>
      </c>
      <c r="F1952" s="14">
        <v>22</v>
      </c>
      <c r="G1952" s="19">
        <v>25</v>
      </c>
    </row>
    <row r="1953" spans="1:7" x14ac:dyDescent="0.3">
      <c r="A1953" s="18" t="s">
        <v>117</v>
      </c>
      <c r="B1953" s="12" t="s">
        <v>115</v>
      </c>
      <c r="C1953" s="12" t="s">
        <v>77</v>
      </c>
      <c r="D1953" s="13">
        <v>41013</v>
      </c>
      <c r="E1953" s="12" t="s">
        <v>21</v>
      </c>
      <c r="F1953" s="14">
        <v>4.5</v>
      </c>
      <c r="G1953" s="19">
        <v>30</v>
      </c>
    </row>
    <row r="1954" spans="1:7" x14ac:dyDescent="0.3">
      <c r="A1954" s="18" t="s">
        <v>117</v>
      </c>
      <c r="B1954" s="12" t="s">
        <v>115</v>
      </c>
      <c r="C1954" s="12" t="s">
        <v>77</v>
      </c>
      <c r="D1954" s="13">
        <v>41013</v>
      </c>
      <c r="E1954" s="12" t="s">
        <v>44</v>
      </c>
      <c r="F1954" s="14">
        <v>13</v>
      </c>
      <c r="G1954" s="19">
        <v>30</v>
      </c>
    </row>
    <row r="1955" spans="1:7" x14ac:dyDescent="0.3">
      <c r="A1955" s="18" t="s">
        <v>118</v>
      </c>
      <c r="B1955" s="12" t="s">
        <v>119</v>
      </c>
      <c r="C1955" s="12" t="s">
        <v>77</v>
      </c>
      <c r="D1955" s="13">
        <v>41013</v>
      </c>
      <c r="E1955" s="12" t="s">
        <v>72</v>
      </c>
      <c r="F1955" s="14">
        <v>30</v>
      </c>
      <c r="G1955" s="19">
        <v>60</v>
      </c>
    </row>
    <row r="1956" spans="1:7" x14ac:dyDescent="0.3">
      <c r="A1956" s="18" t="s">
        <v>118</v>
      </c>
      <c r="B1956" s="12" t="s">
        <v>119</v>
      </c>
      <c r="C1956" s="12" t="s">
        <v>77</v>
      </c>
      <c r="D1956" s="13">
        <v>41013</v>
      </c>
      <c r="E1956" s="12" t="s">
        <v>25</v>
      </c>
      <c r="F1956" s="14">
        <v>21</v>
      </c>
      <c r="G1956" s="19">
        <v>25</v>
      </c>
    </row>
    <row r="1957" spans="1:7" x14ac:dyDescent="0.3">
      <c r="A1957" s="18" t="s">
        <v>118</v>
      </c>
      <c r="B1957" s="12" t="s">
        <v>119</v>
      </c>
      <c r="C1957" s="12" t="s">
        <v>77</v>
      </c>
      <c r="D1957" s="13">
        <v>41013</v>
      </c>
      <c r="E1957" s="12" t="s">
        <v>64</v>
      </c>
      <c r="F1957" s="14">
        <v>12</v>
      </c>
      <c r="G1957" s="19">
        <v>25</v>
      </c>
    </row>
    <row r="1958" spans="1:7" x14ac:dyDescent="0.3">
      <c r="A1958" s="18" t="s">
        <v>118</v>
      </c>
      <c r="B1958" s="12" t="s">
        <v>119</v>
      </c>
      <c r="C1958" s="12" t="s">
        <v>77</v>
      </c>
      <c r="D1958" s="13">
        <v>41013</v>
      </c>
      <c r="E1958" s="12" t="s">
        <v>46</v>
      </c>
      <c r="F1958" s="14">
        <v>24</v>
      </c>
      <c r="G1958" s="19">
        <v>6</v>
      </c>
    </row>
    <row r="1959" spans="1:7" x14ac:dyDescent="0.3">
      <c r="A1959" s="18" t="s">
        <v>154</v>
      </c>
      <c r="B1959" s="12" t="s">
        <v>115</v>
      </c>
      <c r="C1959" s="12" t="s">
        <v>81</v>
      </c>
      <c r="D1959" s="13">
        <v>41015</v>
      </c>
      <c r="E1959" s="12" t="s">
        <v>30</v>
      </c>
      <c r="F1959" s="14">
        <v>6</v>
      </c>
      <c r="G1959" s="19">
        <v>56</v>
      </c>
    </row>
    <row r="1960" spans="1:7" x14ac:dyDescent="0.3">
      <c r="A1960" s="18" t="s">
        <v>154</v>
      </c>
      <c r="B1960" s="12" t="s">
        <v>115</v>
      </c>
      <c r="C1960" s="12" t="s">
        <v>81</v>
      </c>
      <c r="D1960" s="13">
        <v>41015</v>
      </c>
      <c r="E1960" s="12" t="s">
        <v>65</v>
      </c>
      <c r="F1960" s="14">
        <v>18</v>
      </c>
      <c r="G1960" s="19">
        <v>15</v>
      </c>
    </row>
    <row r="1961" spans="1:7" x14ac:dyDescent="0.3">
      <c r="A1961" s="18" t="s">
        <v>154</v>
      </c>
      <c r="B1961" s="12" t="s">
        <v>115</v>
      </c>
      <c r="C1961" s="12" t="s">
        <v>81</v>
      </c>
      <c r="D1961" s="13">
        <v>41015</v>
      </c>
      <c r="E1961" s="12" t="s">
        <v>60</v>
      </c>
      <c r="F1961" s="14">
        <v>14</v>
      </c>
      <c r="G1961" s="19">
        <v>24</v>
      </c>
    </row>
    <row r="1962" spans="1:7" x14ac:dyDescent="0.3">
      <c r="A1962" s="18" t="s">
        <v>154</v>
      </c>
      <c r="B1962" s="12" t="s">
        <v>115</v>
      </c>
      <c r="C1962" s="12" t="s">
        <v>81</v>
      </c>
      <c r="D1962" s="13">
        <v>41015</v>
      </c>
      <c r="E1962" s="12" t="s">
        <v>46</v>
      </c>
      <c r="F1962" s="14">
        <v>24</v>
      </c>
      <c r="G1962" s="19">
        <v>40</v>
      </c>
    </row>
    <row r="1963" spans="1:7" x14ac:dyDescent="0.3">
      <c r="A1963" s="18" t="s">
        <v>200</v>
      </c>
      <c r="B1963" s="12" t="s">
        <v>115</v>
      </c>
      <c r="C1963" s="12" t="s">
        <v>79</v>
      </c>
      <c r="D1963" s="13">
        <v>41007</v>
      </c>
      <c r="E1963" s="12" t="s">
        <v>5</v>
      </c>
      <c r="F1963" s="14">
        <v>18</v>
      </c>
      <c r="G1963" s="19">
        <v>4</v>
      </c>
    </row>
    <row r="1964" spans="1:7" x14ac:dyDescent="0.3">
      <c r="A1964" s="18" t="s">
        <v>200</v>
      </c>
      <c r="B1964" s="12" t="s">
        <v>115</v>
      </c>
      <c r="C1964" s="12" t="s">
        <v>79</v>
      </c>
      <c r="D1964" s="13">
        <v>41007</v>
      </c>
      <c r="E1964" s="12" t="s">
        <v>2</v>
      </c>
      <c r="F1964" s="14">
        <v>18.399999999999999</v>
      </c>
      <c r="G1964" s="19">
        <v>10</v>
      </c>
    </row>
    <row r="1965" spans="1:7" x14ac:dyDescent="0.3">
      <c r="A1965" s="18" t="s">
        <v>200</v>
      </c>
      <c r="B1965" s="12" t="s">
        <v>115</v>
      </c>
      <c r="C1965" s="12" t="s">
        <v>79</v>
      </c>
      <c r="D1965" s="13">
        <v>41007</v>
      </c>
      <c r="E1965" s="12" t="s">
        <v>13</v>
      </c>
      <c r="F1965" s="14">
        <v>7</v>
      </c>
      <c r="G1965" s="19">
        <v>10</v>
      </c>
    </row>
    <row r="1966" spans="1:7" x14ac:dyDescent="0.3">
      <c r="A1966" s="18" t="s">
        <v>197</v>
      </c>
      <c r="B1966" s="12" t="s">
        <v>103</v>
      </c>
      <c r="C1966" s="12" t="s">
        <v>79</v>
      </c>
      <c r="D1966" s="13">
        <v>41019</v>
      </c>
      <c r="E1966" s="12" t="s">
        <v>24</v>
      </c>
      <c r="F1966" s="14">
        <v>31.23</v>
      </c>
      <c r="G1966" s="19">
        <v>6</v>
      </c>
    </row>
    <row r="1967" spans="1:7" x14ac:dyDescent="0.3">
      <c r="A1967" s="18" t="s">
        <v>197</v>
      </c>
      <c r="B1967" s="12" t="s">
        <v>103</v>
      </c>
      <c r="C1967" s="12" t="s">
        <v>79</v>
      </c>
      <c r="D1967" s="13">
        <v>41019</v>
      </c>
      <c r="E1967" s="12" t="s">
        <v>31</v>
      </c>
      <c r="F1967" s="14">
        <v>18</v>
      </c>
      <c r="G1967" s="19">
        <v>6</v>
      </c>
    </row>
    <row r="1968" spans="1:7" x14ac:dyDescent="0.3">
      <c r="A1968" s="18" t="s">
        <v>95</v>
      </c>
      <c r="B1968" s="12" t="s">
        <v>96</v>
      </c>
      <c r="C1968" s="12" t="s">
        <v>77</v>
      </c>
      <c r="D1968" s="13">
        <v>41009</v>
      </c>
      <c r="E1968" s="12" t="s">
        <v>5</v>
      </c>
      <c r="F1968" s="14">
        <v>18</v>
      </c>
      <c r="G1968" s="19">
        <v>2</v>
      </c>
    </row>
    <row r="1969" spans="1:7" x14ac:dyDescent="0.3">
      <c r="A1969" s="18" t="s">
        <v>95</v>
      </c>
      <c r="B1969" s="12" t="s">
        <v>96</v>
      </c>
      <c r="C1969" s="12" t="s">
        <v>77</v>
      </c>
      <c r="D1969" s="13">
        <v>41009</v>
      </c>
      <c r="E1969" s="12" t="s">
        <v>51</v>
      </c>
      <c r="F1969" s="14">
        <v>55</v>
      </c>
      <c r="G1969" s="19">
        <v>10</v>
      </c>
    </row>
    <row r="1970" spans="1:7" x14ac:dyDescent="0.3">
      <c r="A1970" s="18" t="s">
        <v>196</v>
      </c>
      <c r="B1970" s="12" t="s">
        <v>115</v>
      </c>
      <c r="C1970" s="12" t="s">
        <v>79</v>
      </c>
      <c r="D1970" s="13">
        <v>41014</v>
      </c>
      <c r="E1970" s="12" t="s">
        <v>5</v>
      </c>
      <c r="F1970" s="14">
        <v>18</v>
      </c>
      <c r="G1970" s="19">
        <v>8</v>
      </c>
    </row>
    <row r="1971" spans="1:7" x14ac:dyDescent="0.3">
      <c r="A1971" s="18" t="s">
        <v>196</v>
      </c>
      <c r="B1971" s="12" t="s">
        <v>115</v>
      </c>
      <c r="C1971" s="12" t="s">
        <v>79</v>
      </c>
      <c r="D1971" s="13">
        <v>41014</v>
      </c>
      <c r="E1971" s="12" t="s">
        <v>68</v>
      </c>
      <c r="F1971" s="14">
        <v>123.79</v>
      </c>
      <c r="G1971" s="19">
        <v>2</v>
      </c>
    </row>
    <row r="1972" spans="1:7" x14ac:dyDescent="0.3">
      <c r="A1972" s="18" t="s">
        <v>161</v>
      </c>
      <c r="B1972" s="12" t="s">
        <v>157</v>
      </c>
      <c r="C1972" s="12" t="s">
        <v>80</v>
      </c>
      <c r="D1972" s="13">
        <v>41012</v>
      </c>
      <c r="E1972" s="12" t="s">
        <v>42</v>
      </c>
      <c r="F1972" s="14">
        <v>40</v>
      </c>
      <c r="G1972" s="19">
        <v>30</v>
      </c>
    </row>
    <row r="1973" spans="1:7" x14ac:dyDescent="0.3">
      <c r="A1973" s="18" t="s">
        <v>161</v>
      </c>
      <c r="B1973" s="12" t="s">
        <v>157</v>
      </c>
      <c r="C1973" s="12" t="s">
        <v>80</v>
      </c>
      <c r="D1973" s="13">
        <v>41012</v>
      </c>
      <c r="E1973" s="12" t="s">
        <v>68</v>
      </c>
      <c r="F1973" s="14">
        <v>123.79</v>
      </c>
      <c r="G1973" s="19">
        <v>10</v>
      </c>
    </row>
    <row r="1974" spans="1:7" x14ac:dyDescent="0.3">
      <c r="A1974" s="18" t="s">
        <v>161</v>
      </c>
      <c r="B1974" s="12" t="s">
        <v>157</v>
      </c>
      <c r="C1974" s="12" t="s">
        <v>80</v>
      </c>
      <c r="D1974" s="13">
        <v>41012</v>
      </c>
      <c r="E1974" s="12" t="s">
        <v>60</v>
      </c>
      <c r="F1974" s="14">
        <v>14</v>
      </c>
      <c r="G1974" s="19">
        <v>14</v>
      </c>
    </row>
    <row r="1975" spans="1:7" x14ac:dyDescent="0.3">
      <c r="A1975" s="18" t="s">
        <v>146</v>
      </c>
      <c r="B1975" s="12" t="s">
        <v>136</v>
      </c>
      <c r="C1975" s="12" t="s">
        <v>77</v>
      </c>
      <c r="D1975" s="13">
        <v>41009</v>
      </c>
      <c r="E1975" s="12" t="s">
        <v>21</v>
      </c>
      <c r="F1975" s="14">
        <v>4.5</v>
      </c>
      <c r="G1975" s="19">
        <v>12</v>
      </c>
    </row>
    <row r="1976" spans="1:7" x14ac:dyDescent="0.3">
      <c r="A1976" s="18" t="s">
        <v>146</v>
      </c>
      <c r="B1976" s="12" t="s">
        <v>136</v>
      </c>
      <c r="C1976" s="12" t="s">
        <v>77</v>
      </c>
      <c r="D1976" s="13">
        <v>41009</v>
      </c>
      <c r="E1976" s="12" t="s">
        <v>27</v>
      </c>
      <c r="F1976" s="14">
        <v>19</v>
      </c>
      <c r="G1976" s="19">
        <v>18</v>
      </c>
    </row>
    <row r="1977" spans="1:7" x14ac:dyDescent="0.3">
      <c r="A1977" s="18" t="s">
        <v>146</v>
      </c>
      <c r="B1977" s="12" t="s">
        <v>136</v>
      </c>
      <c r="C1977" s="12" t="s">
        <v>77</v>
      </c>
      <c r="D1977" s="13">
        <v>41009</v>
      </c>
      <c r="E1977" s="12" t="s">
        <v>3</v>
      </c>
      <c r="F1977" s="14">
        <v>34</v>
      </c>
      <c r="G1977" s="19">
        <v>9</v>
      </c>
    </row>
    <row r="1978" spans="1:7" x14ac:dyDescent="0.3">
      <c r="A1978" s="18" t="s">
        <v>139</v>
      </c>
      <c r="B1978" s="12" t="s">
        <v>130</v>
      </c>
      <c r="C1978" s="12" t="s">
        <v>77</v>
      </c>
      <c r="D1978" s="13">
        <v>41020</v>
      </c>
      <c r="E1978" s="12" t="s">
        <v>72</v>
      </c>
      <c r="F1978" s="14">
        <v>30</v>
      </c>
      <c r="G1978" s="19">
        <v>20</v>
      </c>
    </row>
    <row r="1979" spans="1:7" x14ac:dyDescent="0.3">
      <c r="A1979" s="18" t="s">
        <v>139</v>
      </c>
      <c r="B1979" s="12" t="s">
        <v>130</v>
      </c>
      <c r="C1979" s="12" t="s">
        <v>77</v>
      </c>
      <c r="D1979" s="13">
        <v>41020</v>
      </c>
      <c r="E1979" s="12" t="s">
        <v>21</v>
      </c>
      <c r="F1979" s="14">
        <v>4.5</v>
      </c>
      <c r="G1979" s="19">
        <v>10</v>
      </c>
    </row>
    <row r="1980" spans="1:7" x14ac:dyDescent="0.3">
      <c r="A1980" s="18" t="s">
        <v>201</v>
      </c>
      <c r="B1980" s="12" t="s">
        <v>123</v>
      </c>
      <c r="C1980" s="12" t="s">
        <v>79</v>
      </c>
      <c r="D1980" s="13">
        <v>41012</v>
      </c>
      <c r="E1980" s="12" t="s">
        <v>12</v>
      </c>
      <c r="F1980" s="14">
        <v>13.25</v>
      </c>
      <c r="G1980" s="19">
        <v>40</v>
      </c>
    </row>
    <row r="1981" spans="1:7" x14ac:dyDescent="0.3">
      <c r="A1981" s="18" t="s">
        <v>201</v>
      </c>
      <c r="B1981" s="12" t="s">
        <v>123</v>
      </c>
      <c r="C1981" s="12" t="s">
        <v>79</v>
      </c>
      <c r="D1981" s="13">
        <v>41012</v>
      </c>
      <c r="E1981" s="12" t="s">
        <v>14</v>
      </c>
      <c r="F1981" s="14">
        <v>21.5</v>
      </c>
      <c r="G1981" s="19">
        <v>20</v>
      </c>
    </row>
    <row r="1982" spans="1:7" x14ac:dyDescent="0.3">
      <c r="A1982" s="18" t="s">
        <v>122</v>
      </c>
      <c r="B1982" s="12" t="s">
        <v>123</v>
      </c>
      <c r="C1982" s="12" t="s">
        <v>83</v>
      </c>
      <c r="D1982" s="13">
        <v>41016</v>
      </c>
      <c r="E1982" s="12" t="s">
        <v>67</v>
      </c>
      <c r="F1982" s="14">
        <v>9.1999999999999993</v>
      </c>
      <c r="G1982" s="19">
        <v>50</v>
      </c>
    </row>
    <row r="1983" spans="1:7" x14ac:dyDescent="0.3">
      <c r="A1983" s="18" t="s">
        <v>122</v>
      </c>
      <c r="B1983" s="12" t="s">
        <v>123</v>
      </c>
      <c r="C1983" s="12" t="s">
        <v>83</v>
      </c>
      <c r="D1983" s="13">
        <v>41016</v>
      </c>
      <c r="E1983" s="12" t="s">
        <v>3</v>
      </c>
      <c r="F1983" s="14">
        <v>34</v>
      </c>
      <c r="G1983" s="19">
        <v>36</v>
      </c>
    </row>
    <row r="1984" spans="1:7" x14ac:dyDescent="0.3">
      <c r="A1984" s="18" t="s">
        <v>122</v>
      </c>
      <c r="B1984" s="12" t="s">
        <v>123</v>
      </c>
      <c r="C1984" s="12" t="s">
        <v>83</v>
      </c>
      <c r="D1984" s="13">
        <v>41016</v>
      </c>
      <c r="E1984" s="12" t="s">
        <v>14</v>
      </c>
      <c r="F1984" s="14">
        <v>21.5</v>
      </c>
      <c r="G1984" s="19">
        <v>60</v>
      </c>
    </row>
    <row r="1985" spans="1:7" x14ac:dyDescent="0.3">
      <c r="A1985" s="18" t="s">
        <v>135</v>
      </c>
      <c r="B1985" s="12" t="s">
        <v>136</v>
      </c>
      <c r="C1985" s="12" t="s">
        <v>77</v>
      </c>
      <c r="D1985" s="13">
        <v>41009</v>
      </c>
      <c r="E1985" s="12" t="s">
        <v>71</v>
      </c>
      <c r="F1985" s="14">
        <v>9</v>
      </c>
      <c r="G1985" s="19">
        <v>10</v>
      </c>
    </row>
    <row r="1986" spans="1:7" x14ac:dyDescent="0.3">
      <c r="A1986" s="18" t="s">
        <v>135</v>
      </c>
      <c r="B1986" s="12" t="s">
        <v>136</v>
      </c>
      <c r="C1986" s="12" t="s">
        <v>77</v>
      </c>
      <c r="D1986" s="13">
        <v>41009</v>
      </c>
      <c r="E1986" s="12" t="s">
        <v>60</v>
      </c>
      <c r="F1986" s="14">
        <v>14</v>
      </c>
      <c r="G1986" s="19">
        <v>4</v>
      </c>
    </row>
    <row r="1987" spans="1:7" x14ac:dyDescent="0.3">
      <c r="A1987" s="18" t="s">
        <v>135</v>
      </c>
      <c r="B1987" s="12" t="s">
        <v>136</v>
      </c>
      <c r="C1987" s="12" t="s">
        <v>77</v>
      </c>
      <c r="D1987" s="13">
        <v>41009</v>
      </c>
      <c r="E1987" s="12" t="s">
        <v>55</v>
      </c>
      <c r="F1987" s="14">
        <v>9.5</v>
      </c>
      <c r="G1987" s="19">
        <v>20</v>
      </c>
    </row>
    <row r="1988" spans="1:7" x14ac:dyDescent="0.3">
      <c r="A1988" s="18" t="s">
        <v>135</v>
      </c>
      <c r="B1988" s="12" t="s">
        <v>136</v>
      </c>
      <c r="C1988" s="12" t="s">
        <v>77</v>
      </c>
      <c r="D1988" s="13">
        <v>41009</v>
      </c>
      <c r="E1988" s="12" t="s">
        <v>59</v>
      </c>
      <c r="F1988" s="14">
        <v>12.5</v>
      </c>
      <c r="G1988" s="19">
        <v>2</v>
      </c>
    </row>
    <row r="1989" spans="1:7" x14ac:dyDescent="0.3">
      <c r="A1989" s="18" t="s">
        <v>181</v>
      </c>
      <c r="B1989" s="12" t="s">
        <v>109</v>
      </c>
      <c r="C1989" s="12" t="s">
        <v>77</v>
      </c>
      <c r="D1989" s="13">
        <v>41014</v>
      </c>
      <c r="E1989" s="12" t="s">
        <v>29</v>
      </c>
      <c r="F1989" s="14">
        <v>9.65</v>
      </c>
      <c r="G1989" s="19">
        <v>28</v>
      </c>
    </row>
    <row r="1990" spans="1:7" x14ac:dyDescent="0.3">
      <c r="A1990" s="18" t="s">
        <v>178</v>
      </c>
      <c r="B1990" s="12" t="s">
        <v>179</v>
      </c>
      <c r="C1990" s="12" t="s">
        <v>77</v>
      </c>
      <c r="D1990" s="13">
        <v>41019</v>
      </c>
      <c r="E1990" s="12" t="s">
        <v>41</v>
      </c>
      <c r="F1990" s="14">
        <v>25.89</v>
      </c>
      <c r="G1990" s="19">
        <v>15</v>
      </c>
    </row>
    <row r="1991" spans="1:7" x14ac:dyDescent="0.3">
      <c r="A1991" s="18" t="s">
        <v>178</v>
      </c>
      <c r="B1991" s="12" t="s">
        <v>179</v>
      </c>
      <c r="C1991" s="12" t="s">
        <v>77</v>
      </c>
      <c r="D1991" s="13">
        <v>41019</v>
      </c>
      <c r="E1991" s="12" t="s">
        <v>44</v>
      </c>
      <c r="F1991" s="14">
        <v>13</v>
      </c>
      <c r="G1991" s="19">
        <v>18</v>
      </c>
    </row>
    <row r="1992" spans="1:7" x14ac:dyDescent="0.3">
      <c r="A1992" s="18" t="s">
        <v>167</v>
      </c>
      <c r="B1992" s="12" t="s">
        <v>141</v>
      </c>
      <c r="C1992" s="12" t="s">
        <v>78</v>
      </c>
      <c r="D1992" s="13">
        <v>41012</v>
      </c>
      <c r="E1992" s="12" t="s">
        <v>18</v>
      </c>
      <c r="F1992" s="14">
        <v>12.5</v>
      </c>
      <c r="G1992" s="19">
        <v>15</v>
      </c>
    </row>
    <row r="1993" spans="1:7" x14ac:dyDescent="0.3">
      <c r="A1993" s="18" t="s">
        <v>167</v>
      </c>
      <c r="B1993" s="12" t="s">
        <v>141</v>
      </c>
      <c r="C1993" s="12" t="s">
        <v>78</v>
      </c>
      <c r="D1993" s="13">
        <v>41012</v>
      </c>
      <c r="E1993" s="12" t="s">
        <v>27</v>
      </c>
      <c r="F1993" s="14">
        <v>19</v>
      </c>
      <c r="G1993" s="19">
        <v>16</v>
      </c>
    </row>
    <row r="1994" spans="1:7" x14ac:dyDescent="0.3">
      <c r="A1994" s="18" t="s">
        <v>110</v>
      </c>
      <c r="B1994" s="12" t="s">
        <v>111</v>
      </c>
      <c r="C1994" s="12" t="s">
        <v>78</v>
      </c>
      <c r="D1994" s="13">
        <v>41019</v>
      </c>
      <c r="E1994" s="12" t="s">
        <v>1</v>
      </c>
      <c r="F1994" s="14">
        <v>10</v>
      </c>
      <c r="G1994" s="19">
        <v>25</v>
      </c>
    </row>
    <row r="1995" spans="1:7" x14ac:dyDescent="0.3">
      <c r="A1995" s="18" t="s">
        <v>110</v>
      </c>
      <c r="B1995" s="12" t="s">
        <v>111</v>
      </c>
      <c r="C1995" s="12" t="s">
        <v>78</v>
      </c>
      <c r="D1995" s="13">
        <v>41019</v>
      </c>
      <c r="E1995" s="12" t="s">
        <v>51</v>
      </c>
      <c r="F1995" s="14">
        <v>55</v>
      </c>
      <c r="G1995" s="19">
        <v>110</v>
      </c>
    </row>
    <row r="1996" spans="1:7" x14ac:dyDescent="0.3">
      <c r="A1996" s="18" t="s">
        <v>110</v>
      </c>
      <c r="B1996" s="12" t="s">
        <v>111</v>
      </c>
      <c r="C1996" s="12" t="s">
        <v>78</v>
      </c>
      <c r="D1996" s="13">
        <v>41019</v>
      </c>
      <c r="E1996" s="12" t="s">
        <v>45</v>
      </c>
      <c r="F1996" s="14">
        <v>15</v>
      </c>
      <c r="G1996" s="19">
        <v>30</v>
      </c>
    </row>
    <row r="1997" spans="1:7" x14ac:dyDescent="0.3">
      <c r="A1997" s="18" t="s">
        <v>147</v>
      </c>
      <c r="B1997" s="12" t="s">
        <v>115</v>
      </c>
      <c r="C1997" s="12" t="s">
        <v>81</v>
      </c>
      <c r="D1997" s="13">
        <v>41015</v>
      </c>
      <c r="E1997" s="12" t="s">
        <v>50</v>
      </c>
      <c r="F1997" s="14">
        <v>38</v>
      </c>
      <c r="G1997" s="19">
        <v>20</v>
      </c>
    </row>
    <row r="1998" spans="1:7" x14ac:dyDescent="0.3">
      <c r="A1998" s="18" t="s">
        <v>147</v>
      </c>
      <c r="B1998" s="12" t="s">
        <v>115</v>
      </c>
      <c r="C1998" s="12" t="s">
        <v>81</v>
      </c>
      <c r="D1998" s="13">
        <v>41015</v>
      </c>
      <c r="E1998" s="12" t="s">
        <v>4</v>
      </c>
      <c r="F1998" s="14">
        <v>62.5</v>
      </c>
      <c r="G1998" s="19">
        <v>10</v>
      </c>
    </row>
    <row r="1999" spans="1:7" x14ac:dyDescent="0.3">
      <c r="A1999" s="18" t="s">
        <v>147</v>
      </c>
      <c r="B1999" s="12" t="s">
        <v>115</v>
      </c>
      <c r="C1999" s="12" t="s">
        <v>81</v>
      </c>
      <c r="D1999" s="13">
        <v>41015</v>
      </c>
      <c r="E1999" s="12" t="s">
        <v>17</v>
      </c>
      <c r="F1999" s="14">
        <v>38</v>
      </c>
      <c r="G1999" s="19">
        <v>5</v>
      </c>
    </row>
    <row r="2000" spans="1:7" x14ac:dyDescent="0.3">
      <c r="A2000" s="18" t="s">
        <v>182</v>
      </c>
      <c r="B2000" s="12" t="s">
        <v>123</v>
      </c>
      <c r="C2000" s="12" t="s">
        <v>77</v>
      </c>
      <c r="D2000" s="13">
        <v>41015</v>
      </c>
      <c r="E2000" s="12" t="s">
        <v>26</v>
      </c>
      <c r="F2000" s="14">
        <v>31</v>
      </c>
      <c r="G2000" s="19">
        <v>24</v>
      </c>
    </row>
    <row r="2001" spans="1:7" x14ac:dyDescent="0.3">
      <c r="A2001" s="18" t="s">
        <v>127</v>
      </c>
      <c r="B2001" s="12" t="s">
        <v>123</v>
      </c>
      <c r="C2001" s="12" t="s">
        <v>79</v>
      </c>
      <c r="D2001" s="13">
        <v>41020</v>
      </c>
      <c r="E2001" s="12" t="s">
        <v>6</v>
      </c>
      <c r="F2001" s="14">
        <v>19</v>
      </c>
      <c r="G2001" s="19">
        <v>11</v>
      </c>
    </row>
    <row r="2002" spans="1:7" x14ac:dyDescent="0.3">
      <c r="A2002" s="18" t="s">
        <v>127</v>
      </c>
      <c r="B2002" s="12" t="s">
        <v>123</v>
      </c>
      <c r="C2002" s="12" t="s">
        <v>79</v>
      </c>
      <c r="D2002" s="13">
        <v>41020</v>
      </c>
      <c r="E2002" s="12" t="s">
        <v>61</v>
      </c>
      <c r="F2002" s="14">
        <v>81</v>
      </c>
      <c r="G2002" s="19">
        <v>15</v>
      </c>
    </row>
    <row r="2003" spans="1:7" x14ac:dyDescent="0.3">
      <c r="A2003" s="18" t="s">
        <v>127</v>
      </c>
      <c r="B2003" s="12" t="s">
        <v>123</v>
      </c>
      <c r="C2003" s="12" t="s">
        <v>79</v>
      </c>
      <c r="D2003" s="13">
        <v>41020</v>
      </c>
      <c r="E2003" s="12" t="s">
        <v>24</v>
      </c>
      <c r="F2003" s="14">
        <v>31.23</v>
      </c>
      <c r="G2003" s="19">
        <v>63</v>
      </c>
    </row>
    <row r="2004" spans="1:7" x14ac:dyDescent="0.3">
      <c r="A2004" s="18" t="s">
        <v>127</v>
      </c>
      <c r="B2004" s="12" t="s">
        <v>123</v>
      </c>
      <c r="C2004" s="12" t="s">
        <v>79</v>
      </c>
      <c r="D2004" s="13">
        <v>41020</v>
      </c>
      <c r="E2004" s="12" t="s">
        <v>36</v>
      </c>
      <c r="F2004" s="14">
        <v>53</v>
      </c>
      <c r="G2004" s="19">
        <v>44</v>
      </c>
    </row>
    <row r="2005" spans="1:7" x14ac:dyDescent="0.3">
      <c r="A2005" s="18" t="s">
        <v>127</v>
      </c>
      <c r="B2005" s="12" t="s">
        <v>123</v>
      </c>
      <c r="C2005" s="12" t="s">
        <v>79</v>
      </c>
      <c r="D2005" s="13">
        <v>41020</v>
      </c>
      <c r="E2005" s="12" t="s">
        <v>40</v>
      </c>
      <c r="F2005" s="14">
        <v>34.799999999999997</v>
      </c>
      <c r="G2005" s="19">
        <v>35</v>
      </c>
    </row>
    <row r="2006" spans="1:7" x14ac:dyDescent="0.3">
      <c r="A2006" s="18" t="s">
        <v>99</v>
      </c>
      <c r="B2006" s="12" t="s">
        <v>98</v>
      </c>
      <c r="C2006" s="12" t="s">
        <v>78</v>
      </c>
      <c r="D2006" s="13">
        <v>41033</v>
      </c>
      <c r="E2006" s="12" t="s">
        <v>67</v>
      </c>
      <c r="F2006" s="14">
        <v>9.1999999999999993</v>
      </c>
      <c r="G2006" s="19">
        <v>35</v>
      </c>
    </row>
    <row r="2007" spans="1:7" x14ac:dyDescent="0.3">
      <c r="A2007" s="18" t="s">
        <v>99</v>
      </c>
      <c r="B2007" s="12" t="s">
        <v>98</v>
      </c>
      <c r="C2007" s="12" t="s">
        <v>78</v>
      </c>
      <c r="D2007" s="13">
        <v>41033</v>
      </c>
      <c r="E2007" s="12" t="s">
        <v>22</v>
      </c>
      <c r="F2007" s="14">
        <v>36</v>
      </c>
      <c r="G2007" s="19">
        <v>30</v>
      </c>
    </row>
    <row r="2008" spans="1:7" x14ac:dyDescent="0.3">
      <c r="A2008" s="18" t="s">
        <v>140</v>
      </c>
      <c r="B2008" s="12" t="s">
        <v>141</v>
      </c>
      <c r="C2008" s="12" t="s">
        <v>83</v>
      </c>
      <c r="D2008" s="13">
        <v>41023</v>
      </c>
      <c r="E2008" s="12" t="s">
        <v>72</v>
      </c>
      <c r="F2008" s="14">
        <v>30</v>
      </c>
      <c r="G2008" s="19">
        <v>4</v>
      </c>
    </row>
    <row r="2009" spans="1:7" x14ac:dyDescent="0.3">
      <c r="A2009" s="18" t="s">
        <v>140</v>
      </c>
      <c r="B2009" s="12" t="s">
        <v>141</v>
      </c>
      <c r="C2009" s="12" t="s">
        <v>83</v>
      </c>
      <c r="D2009" s="13">
        <v>41023</v>
      </c>
      <c r="E2009" s="12" t="s">
        <v>28</v>
      </c>
      <c r="F2009" s="14">
        <v>46</v>
      </c>
      <c r="G2009" s="19">
        <v>30</v>
      </c>
    </row>
    <row r="2010" spans="1:7" x14ac:dyDescent="0.3">
      <c r="A2010" s="18" t="s">
        <v>170</v>
      </c>
      <c r="B2010" s="12" t="s">
        <v>141</v>
      </c>
      <c r="C2010" s="12" t="s">
        <v>81</v>
      </c>
      <c r="D2010" s="13">
        <v>41019</v>
      </c>
      <c r="E2010" s="12" t="s">
        <v>24</v>
      </c>
      <c r="F2010" s="14">
        <v>31.23</v>
      </c>
      <c r="G2010" s="19">
        <v>12</v>
      </c>
    </row>
    <row r="2011" spans="1:7" x14ac:dyDescent="0.3">
      <c r="A2011" s="18" t="s">
        <v>170</v>
      </c>
      <c r="B2011" s="12" t="s">
        <v>141</v>
      </c>
      <c r="C2011" s="12" t="s">
        <v>81</v>
      </c>
      <c r="D2011" s="13">
        <v>41019</v>
      </c>
      <c r="E2011" s="12" t="s">
        <v>15</v>
      </c>
      <c r="F2011" s="14">
        <v>2.5</v>
      </c>
      <c r="G2011" s="19">
        <v>30</v>
      </c>
    </row>
    <row r="2012" spans="1:7" x14ac:dyDescent="0.3">
      <c r="A2012" s="18" t="s">
        <v>170</v>
      </c>
      <c r="B2012" s="12" t="s">
        <v>141</v>
      </c>
      <c r="C2012" s="12" t="s">
        <v>81</v>
      </c>
      <c r="D2012" s="13">
        <v>41019</v>
      </c>
      <c r="E2012" s="12" t="s">
        <v>34</v>
      </c>
      <c r="F2012" s="14">
        <v>21.05</v>
      </c>
      <c r="G2012" s="19">
        <v>21</v>
      </c>
    </row>
    <row r="2013" spans="1:7" x14ac:dyDescent="0.3">
      <c r="A2013" s="18" t="s">
        <v>170</v>
      </c>
      <c r="B2013" s="12" t="s">
        <v>141</v>
      </c>
      <c r="C2013" s="12" t="s">
        <v>81</v>
      </c>
      <c r="D2013" s="13">
        <v>41019</v>
      </c>
      <c r="E2013" s="12" t="s">
        <v>14</v>
      </c>
      <c r="F2013" s="14">
        <v>21.5</v>
      </c>
      <c r="G2013" s="19">
        <v>50</v>
      </c>
    </row>
    <row r="2014" spans="1:7" x14ac:dyDescent="0.3">
      <c r="A2014" s="18" t="s">
        <v>121</v>
      </c>
      <c r="B2014" s="12" t="s">
        <v>96</v>
      </c>
      <c r="C2014" s="12" t="s">
        <v>82</v>
      </c>
      <c r="D2014" s="13">
        <v>41023</v>
      </c>
      <c r="E2014" s="12" t="s">
        <v>5</v>
      </c>
      <c r="F2014" s="14">
        <v>18</v>
      </c>
      <c r="G2014" s="19">
        <v>10</v>
      </c>
    </row>
    <row r="2015" spans="1:7" x14ac:dyDescent="0.3">
      <c r="A2015" s="18" t="s">
        <v>121</v>
      </c>
      <c r="B2015" s="12" t="s">
        <v>96</v>
      </c>
      <c r="C2015" s="12" t="s">
        <v>82</v>
      </c>
      <c r="D2015" s="13">
        <v>41023</v>
      </c>
      <c r="E2015" s="12" t="s">
        <v>30</v>
      </c>
      <c r="F2015" s="14">
        <v>6</v>
      </c>
      <c r="G2015" s="19">
        <v>20</v>
      </c>
    </row>
    <row r="2016" spans="1:7" x14ac:dyDescent="0.3">
      <c r="A2016" s="18" t="s">
        <v>186</v>
      </c>
      <c r="B2016" s="12" t="s">
        <v>130</v>
      </c>
      <c r="C2016" s="12" t="s">
        <v>81</v>
      </c>
      <c r="D2016" s="13">
        <v>41027</v>
      </c>
      <c r="E2016" s="12" t="s">
        <v>4</v>
      </c>
      <c r="F2016" s="14">
        <v>62.5</v>
      </c>
      <c r="G2016" s="19">
        <v>8</v>
      </c>
    </row>
    <row r="2017" spans="1:7" x14ac:dyDescent="0.3">
      <c r="A2017" s="18" t="s">
        <v>186</v>
      </c>
      <c r="B2017" s="12" t="s">
        <v>130</v>
      </c>
      <c r="C2017" s="12" t="s">
        <v>81</v>
      </c>
      <c r="D2017" s="13">
        <v>41027</v>
      </c>
      <c r="E2017" s="12" t="s">
        <v>36</v>
      </c>
      <c r="F2017" s="14">
        <v>53</v>
      </c>
      <c r="G2017" s="19">
        <v>10</v>
      </c>
    </row>
    <row r="2018" spans="1:7" x14ac:dyDescent="0.3">
      <c r="A2018" s="18" t="s">
        <v>180</v>
      </c>
      <c r="B2018" s="12" t="s">
        <v>160</v>
      </c>
      <c r="C2018" s="12" t="s">
        <v>83</v>
      </c>
      <c r="D2018" s="13">
        <v>41019</v>
      </c>
      <c r="E2018" s="12" t="s">
        <v>21</v>
      </c>
      <c r="F2018" s="14">
        <v>4.5</v>
      </c>
      <c r="G2018" s="19">
        <v>30</v>
      </c>
    </row>
    <row r="2019" spans="1:7" x14ac:dyDescent="0.3">
      <c r="A2019" s="18" t="s">
        <v>180</v>
      </c>
      <c r="B2019" s="12" t="s">
        <v>160</v>
      </c>
      <c r="C2019" s="12" t="s">
        <v>83</v>
      </c>
      <c r="D2019" s="13">
        <v>41019</v>
      </c>
      <c r="E2019" s="12" t="s">
        <v>66</v>
      </c>
      <c r="F2019" s="14">
        <v>49.3</v>
      </c>
      <c r="G2019" s="19">
        <v>21</v>
      </c>
    </row>
    <row r="2020" spans="1:7" x14ac:dyDescent="0.3">
      <c r="A2020" s="18" t="s">
        <v>153</v>
      </c>
      <c r="B2020" s="12" t="s">
        <v>123</v>
      </c>
      <c r="C2020" s="12" t="s">
        <v>77</v>
      </c>
      <c r="D2020" s="13">
        <v>41021</v>
      </c>
      <c r="E2020" s="12" t="s">
        <v>46</v>
      </c>
      <c r="F2020" s="14">
        <v>24</v>
      </c>
      <c r="G2020" s="19">
        <v>35</v>
      </c>
    </row>
    <row r="2021" spans="1:7" x14ac:dyDescent="0.3">
      <c r="A2021" s="18" t="s">
        <v>153</v>
      </c>
      <c r="B2021" s="12" t="s">
        <v>123</v>
      </c>
      <c r="C2021" s="12" t="s">
        <v>77</v>
      </c>
      <c r="D2021" s="13">
        <v>41021</v>
      </c>
      <c r="E2021" s="12" t="s">
        <v>51</v>
      </c>
      <c r="F2021" s="14">
        <v>55</v>
      </c>
      <c r="G2021" s="19">
        <v>24</v>
      </c>
    </row>
    <row r="2022" spans="1:7" x14ac:dyDescent="0.3">
      <c r="A2022" s="18" t="s">
        <v>104</v>
      </c>
      <c r="B2022" s="12" t="s">
        <v>105</v>
      </c>
      <c r="C2022" s="12" t="s">
        <v>81</v>
      </c>
      <c r="D2022" s="13">
        <v>41026</v>
      </c>
      <c r="E2022" s="12" t="s">
        <v>17</v>
      </c>
      <c r="F2022" s="14">
        <v>38</v>
      </c>
      <c r="G2022" s="19">
        <v>20</v>
      </c>
    </row>
    <row r="2023" spans="1:7" x14ac:dyDescent="0.3">
      <c r="A2023" s="18" t="s">
        <v>104</v>
      </c>
      <c r="B2023" s="12" t="s">
        <v>105</v>
      </c>
      <c r="C2023" s="12" t="s">
        <v>81</v>
      </c>
      <c r="D2023" s="13">
        <v>41026</v>
      </c>
      <c r="E2023" s="12" t="s">
        <v>74</v>
      </c>
      <c r="F2023" s="14">
        <v>43.9</v>
      </c>
      <c r="G2023" s="19">
        <v>12</v>
      </c>
    </row>
    <row r="2024" spans="1:7" x14ac:dyDescent="0.3">
      <c r="A2024" s="18" t="s">
        <v>154</v>
      </c>
      <c r="B2024" s="12" t="s">
        <v>115</v>
      </c>
      <c r="C2024" s="12" t="s">
        <v>84</v>
      </c>
      <c r="D2024" s="13">
        <v>41026</v>
      </c>
      <c r="E2024" s="12" t="s">
        <v>6</v>
      </c>
      <c r="F2024" s="14">
        <v>19</v>
      </c>
      <c r="G2024" s="19">
        <v>100</v>
      </c>
    </row>
    <row r="2025" spans="1:7" x14ac:dyDescent="0.3">
      <c r="A2025" s="18" t="s">
        <v>154</v>
      </c>
      <c r="B2025" s="12" t="s">
        <v>115</v>
      </c>
      <c r="C2025" s="12" t="s">
        <v>84</v>
      </c>
      <c r="D2025" s="13">
        <v>41026</v>
      </c>
      <c r="E2025" s="12" t="s">
        <v>9</v>
      </c>
      <c r="F2025" s="14">
        <v>21.35</v>
      </c>
      <c r="G2025" s="19">
        <v>70</v>
      </c>
    </row>
    <row r="2026" spans="1:7" x14ac:dyDescent="0.3">
      <c r="A2026" s="18" t="s">
        <v>154</v>
      </c>
      <c r="B2026" s="12" t="s">
        <v>115</v>
      </c>
      <c r="C2026" s="12" t="s">
        <v>84</v>
      </c>
      <c r="D2026" s="13">
        <v>41026</v>
      </c>
      <c r="E2026" s="12" t="s">
        <v>68</v>
      </c>
      <c r="F2026" s="14">
        <v>123.79</v>
      </c>
      <c r="G2026" s="19">
        <v>60</v>
      </c>
    </row>
    <row r="2027" spans="1:7" x14ac:dyDescent="0.3">
      <c r="A2027" s="18" t="s">
        <v>154</v>
      </c>
      <c r="B2027" s="12" t="s">
        <v>115</v>
      </c>
      <c r="C2027" s="12" t="s">
        <v>84</v>
      </c>
      <c r="D2027" s="13">
        <v>41026</v>
      </c>
      <c r="E2027" s="12" t="s">
        <v>51</v>
      </c>
      <c r="F2027" s="14">
        <v>55</v>
      </c>
      <c r="G2027" s="19">
        <v>100</v>
      </c>
    </row>
    <row r="2028" spans="1:7" x14ac:dyDescent="0.3">
      <c r="A2028" s="18" t="s">
        <v>154</v>
      </c>
      <c r="B2028" s="12" t="s">
        <v>115</v>
      </c>
      <c r="C2028" s="12" t="s">
        <v>82</v>
      </c>
      <c r="D2028" s="13">
        <v>41023</v>
      </c>
      <c r="E2028" s="12" t="s">
        <v>5</v>
      </c>
      <c r="F2028" s="14">
        <v>18</v>
      </c>
      <c r="G2028" s="19">
        <v>45</v>
      </c>
    </row>
    <row r="2029" spans="1:7" x14ac:dyDescent="0.3">
      <c r="A2029" s="18" t="s">
        <v>154</v>
      </c>
      <c r="B2029" s="12" t="s">
        <v>115</v>
      </c>
      <c r="C2029" s="12" t="s">
        <v>82</v>
      </c>
      <c r="D2029" s="13">
        <v>41023</v>
      </c>
      <c r="E2029" s="12" t="s">
        <v>30</v>
      </c>
      <c r="F2029" s="14">
        <v>6</v>
      </c>
      <c r="G2029" s="19">
        <v>80</v>
      </c>
    </row>
    <row r="2030" spans="1:7" x14ac:dyDescent="0.3">
      <c r="A2030" s="18" t="s">
        <v>154</v>
      </c>
      <c r="B2030" s="12" t="s">
        <v>115</v>
      </c>
      <c r="C2030" s="12" t="s">
        <v>82</v>
      </c>
      <c r="D2030" s="13">
        <v>41023</v>
      </c>
      <c r="E2030" s="12" t="s">
        <v>21</v>
      </c>
      <c r="F2030" s="14">
        <v>4.5</v>
      </c>
      <c r="G2030" s="19">
        <v>21</v>
      </c>
    </row>
    <row r="2031" spans="1:7" x14ac:dyDescent="0.3">
      <c r="A2031" s="18" t="s">
        <v>154</v>
      </c>
      <c r="B2031" s="12" t="s">
        <v>115</v>
      </c>
      <c r="C2031" s="12" t="s">
        <v>82</v>
      </c>
      <c r="D2031" s="13">
        <v>41023</v>
      </c>
      <c r="E2031" s="12" t="s">
        <v>75</v>
      </c>
      <c r="F2031" s="14">
        <v>33.25</v>
      </c>
      <c r="G2031" s="19">
        <v>20</v>
      </c>
    </row>
    <row r="2032" spans="1:7" x14ac:dyDescent="0.3">
      <c r="A2032" s="18" t="s">
        <v>154</v>
      </c>
      <c r="B2032" s="12" t="s">
        <v>115</v>
      </c>
      <c r="C2032" s="12" t="s">
        <v>82</v>
      </c>
      <c r="D2032" s="13">
        <v>41023</v>
      </c>
      <c r="E2032" s="12" t="s">
        <v>14</v>
      </c>
      <c r="F2032" s="14">
        <v>21.5</v>
      </c>
      <c r="G2032" s="19">
        <v>16</v>
      </c>
    </row>
    <row r="2033" spans="1:7" x14ac:dyDescent="0.3">
      <c r="A2033" s="18" t="s">
        <v>125</v>
      </c>
      <c r="B2033" s="12" t="s">
        <v>115</v>
      </c>
      <c r="C2033" s="12" t="s">
        <v>77</v>
      </c>
      <c r="D2033" s="13">
        <v>41022</v>
      </c>
      <c r="E2033" s="12" t="s">
        <v>27</v>
      </c>
      <c r="F2033" s="14">
        <v>19</v>
      </c>
      <c r="G2033" s="19">
        <v>35</v>
      </c>
    </row>
    <row r="2034" spans="1:7" x14ac:dyDescent="0.3">
      <c r="A2034" s="18" t="s">
        <v>125</v>
      </c>
      <c r="B2034" s="12" t="s">
        <v>115</v>
      </c>
      <c r="C2034" s="12" t="s">
        <v>77</v>
      </c>
      <c r="D2034" s="13">
        <v>41022</v>
      </c>
      <c r="E2034" s="12" t="s">
        <v>11</v>
      </c>
      <c r="F2034" s="14">
        <v>263.5</v>
      </c>
      <c r="G2034" s="19">
        <v>25</v>
      </c>
    </row>
    <row r="2035" spans="1:7" x14ac:dyDescent="0.3">
      <c r="A2035" s="18" t="s">
        <v>125</v>
      </c>
      <c r="B2035" s="12" t="s">
        <v>115</v>
      </c>
      <c r="C2035" s="12" t="s">
        <v>77</v>
      </c>
      <c r="D2035" s="13">
        <v>41022</v>
      </c>
      <c r="E2035" s="12" t="s">
        <v>51</v>
      </c>
      <c r="F2035" s="14">
        <v>55</v>
      </c>
      <c r="G2035" s="19">
        <v>30</v>
      </c>
    </row>
    <row r="2036" spans="1:7" x14ac:dyDescent="0.3">
      <c r="A2036" s="18" t="s">
        <v>106</v>
      </c>
      <c r="B2036" s="12" t="s">
        <v>105</v>
      </c>
      <c r="C2036" s="12" t="s">
        <v>84</v>
      </c>
      <c r="D2036" s="13">
        <v>41022</v>
      </c>
      <c r="E2036" s="12" t="s">
        <v>48</v>
      </c>
      <c r="F2036" s="14">
        <v>32.799999999999997</v>
      </c>
      <c r="G2036" s="19">
        <v>70</v>
      </c>
    </row>
    <row r="2037" spans="1:7" x14ac:dyDescent="0.3">
      <c r="A2037" s="18" t="s">
        <v>106</v>
      </c>
      <c r="B2037" s="12" t="s">
        <v>105</v>
      </c>
      <c r="C2037" s="12" t="s">
        <v>84</v>
      </c>
      <c r="D2037" s="13">
        <v>41022</v>
      </c>
      <c r="E2037" s="12" t="s">
        <v>22</v>
      </c>
      <c r="F2037" s="14">
        <v>36</v>
      </c>
      <c r="G2037" s="19">
        <v>36</v>
      </c>
    </row>
    <row r="2038" spans="1:7" x14ac:dyDescent="0.3">
      <c r="A2038" s="18" t="s">
        <v>114</v>
      </c>
      <c r="B2038" s="12" t="s">
        <v>115</v>
      </c>
      <c r="C2038" s="12" t="s">
        <v>80</v>
      </c>
      <c r="D2038" s="13">
        <v>41026</v>
      </c>
      <c r="E2038" s="12" t="s">
        <v>62</v>
      </c>
      <c r="F2038" s="14">
        <v>10</v>
      </c>
      <c r="G2038" s="19">
        <v>15</v>
      </c>
    </row>
    <row r="2039" spans="1:7" x14ac:dyDescent="0.3">
      <c r="A2039" s="18" t="s">
        <v>114</v>
      </c>
      <c r="B2039" s="12" t="s">
        <v>115</v>
      </c>
      <c r="C2039" s="12" t="s">
        <v>80</v>
      </c>
      <c r="D2039" s="13">
        <v>41026</v>
      </c>
      <c r="E2039" s="12" t="s">
        <v>23</v>
      </c>
      <c r="F2039" s="14">
        <v>19.45</v>
      </c>
      <c r="G2039" s="19">
        <v>12</v>
      </c>
    </row>
    <row r="2040" spans="1:7" x14ac:dyDescent="0.3">
      <c r="A2040" s="18" t="s">
        <v>114</v>
      </c>
      <c r="B2040" s="12" t="s">
        <v>115</v>
      </c>
      <c r="C2040" s="12" t="s">
        <v>80</v>
      </c>
      <c r="D2040" s="13">
        <v>41026</v>
      </c>
      <c r="E2040" s="12" t="s">
        <v>63</v>
      </c>
      <c r="F2040" s="14">
        <v>28.5</v>
      </c>
      <c r="G2040" s="19">
        <v>6</v>
      </c>
    </row>
    <row r="2041" spans="1:7" x14ac:dyDescent="0.3">
      <c r="A2041" s="18" t="s">
        <v>102</v>
      </c>
      <c r="B2041" s="12" t="s">
        <v>103</v>
      </c>
      <c r="C2041" s="12" t="s">
        <v>77</v>
      </c>
      <c r="D2041" s="13">
        <v>41023</v>
      </c>
      <c r="E2041" s="12" t="s">
        <v>5</v>
      </c>
      <c r="F2041" s="14">
        <v>18</v>
      </c>
      <c r="G2041" s="19">
        <v>10</v>
      </c>
    </row>
    <row r="2042" spans="1:7" x14ac:dyDescent="0.3">
      <c r="A2042" s="18" t="s">
        <v>102</v>
      </c>
      <c r="B2042" s="12" t="s">
        <v>103</v>
      </c>
      <c r="C2042" s="12" t="s">
        <v>77</v>
      </c>
      <c r="D2042" s="13">
        <v>41023</v>
      </c>
      <c r="E2042" s="12" t="s">
        <v>65</v>
      </c>
      <c r="F2042" s="14">
        <v>18</v>
      </c>
      <c r="G2042" s="19">
        <v>60</v>
      </c>
    </row>
    <row r="2043" spans="1:7" x14ac:dyDescent="0.3">
      <c r="A2043" s="18" t="s">
        <v>102</v>
      </c>
      <c r="B2043" s="12" t="s">
        <v>103</v>
      </c>
      <c r="C2043" s="12" t="s">
        <v>77</v>
      </c>
      <c r="D2043" s="13">
        <v>41023</v>
      </c>
      <c r="E2043" s="12" t="s">
        <v>60</v>
      </c>
      <c r="F2043" s="14">
        <v>14</v>
      </c>
      <c r="G2043" s="19">
        <v>30</v>
      </c>
    </row>
    <row r="2044" spans="1:7" x14ac:dyDescent="0.3">
      <c r="A2044" s="18" t="s">
        <v>102</v>
      </c>
      <c r="B2044" s="12" t="s">
        <v>103</v>
      </c>
      <c r="C2044" s="12" t="s">
        <v>77</v>
      </c>
      <c r="D2044" s="13">
        <v>41023</v>
      </c>
      <c r="E2044" s="12" t="s">
        <v>70</v>
      </c>
      <c r="F2044" s="14">
        <v>7.45</v>
      </c>
      <c r="G2044" s="19">
        <v>10</v>
      </c>
    </row>
    <row r="2045" spans="1:7" x14ac:dyDescent="0.3">
      <c r="A2045" s="18" t="s">
        <v>169</v>
      </c>
      <c r="B2045" s="12" t="s">
        <v>123</v>
      </c>
      <c r="C2045" s="12" t="s">
        <v>80</v>
      </c>
      <c r="D2045" s="13">
        <v>41021</v>
      </c>
      <c r="E2045" s="12" t="s">
        <v>30</v>
      </c>
      <c r="F2045" s="14">
        <v>6</v>
      </c>
      <c r="G2045" s="19">
        <v>7</v>
      </c>
    </row>
    <row r="2046" spans="1:7" x14ac:dyDescent="0.3">
      <c r="A2046" s="18" t="s">
        <v>169</v>
      </c>
      <c r="B2046" s="12" t="s">
        <v>123</v>
      </c>
      <c r="C2046" s="12" t="s">
        <v>80</v>
      </c>
      <c r="D2046" s="13">
        <v>41021</v>
      </c>
      <c r="E2046" s="12" t="s">
        <v>51</v>
      </c>
      <c r="F2046" s="14">
        <v>55</v>
      </c>
      <c r="G2046" s="19">
        <v>30</v>
      </c>
    </row>
    <row r="2047" spans="1:7" x14ac:dyDescent="0.3">
      <c r="A2047" s="18" t="s">
        <v>146</v>
      </c>
      <c r="B2047" s="12" t="s">
        <v>136</v>
      </c>
      <c r="C2047" s="12" t="s">
        <v>84</v>
      </c>
      <c r="D2047" s="13">
        <v>41026</v>
      </c>
      <c r="E2047" s="12" t="s">
        <v>45</v>
      </c>
      <c r="F2047" s="14">
        <v>15</v>
      </c>
      <c r="G2047" s="19">
        <v>4</v>
      </c>
    </row>
    <row r="2048" spans="1:7" x14ac:dyDescent="0.3">
      <c r="A2048" s="18" t="s">
        <v>102</v>
      </c>
      <c r="B2048" s="12" t="s">
        <v>103</v>
      </c>
      <c r="C2048" s="12" t="s">
        <v>83</v>
      </c>
      <c r="D2048" s="13">
        <v>41029</v>
      </c>
      <c r="E2048" s="12" t="s">
        <v>2</v>
      </c>
      <c r="F2048" s="14">
        <v>18.399999999999999</v>
      </c>
      <c r="G2048" s="19">
        <v>5</v>
      </c>
    </row>
    <row r="2049" spans="1:7" x14ac:dyDescent="0.3">
      <c r="A2049" s="18" t="s">
        <v>102</v>
      </c>
      <c r="B2049" s="12" t="s">
        <v>103</v>
      </c>
      <c r="C2049" s="12" t="s">
        <v>83</v>
      </c>
      <c r="D2049" s="13">
        <v>41029</v>
      </c>
      <c r="E2049" s="12" t="s">
        <v>13</v>
      </c>
      <c r="F2049" s="14">
        <v>7</v>
      </c>
      <c r="G2049" s="19">
        <v>2</v>
      </c>
    </row>
    <row r="2050" spans="1:7" x14ac:dyDescent="0.3">
      <c r="A2050" s="18" t="s">
        <v>102</v>
      </c>
      <c r="B2050" s="12" t="s">
        <v>103</v>
      </c>
      <c r="C2050" s="12" t="s">
        <v>83</v>
      </c>
      <c r="D2050" s="13">
        <v>41029</v>
      </c>
      <c r="E2050" s="12" t="s">
        <v>14</v>
      </c>
      <c r="F2050" s="14">
        <v>21.5</v>
      </c>
      <c r="G2050" s="19">
        <v>30</v>
      </c>
    </row>
    <row r="2051" spans="1:7" x14ac:dyDescent="0.3">
      <c r="A2051" s="18" t="s">
        <v>104</v>
      </c>
      <c r="B2051" s="12" t="s">
        <v>105</v>
      </c>
      <c r="C2051" s="12" t="s">
        <v>79</v>
      </c>
      <c r="D2051" s="13">
        <v>41027</v>
      </c>
      <c r="E2051" s="12" t="s">
        <v>6</v>
      </c>
      <c r="F2051" s="14">
        <v>19</v>
      </c>
      <c r="G2051" s="19">
        <v>30</v>
      </c>
    </row>
    <row r="2052" spans="1:7" x14ac:dyDescent="0.3">
      <c r="A2052" s="18" t="s">
        <v>104</v>
      </c>
      <c r="B2052" s="12" t="s">
        <v>105</v>
      </c>
      <c r="C2052" s="12" t="s">
        <v>79</v>
      </c>
      <c r="D2052" s="13">
        <v>41027</v>
      </c>
      <c r="E2052" s="12" t="s">
        <v>74</v>
      </c>
      <c r="F2052" s="14">
        <v>43.9</v>
      </c>
      <c r="G2052" s="19">
        <v>30</v>
      </c>
    </row>
    <row r="2053" spans="1:7" x14ac:dyDescent="0.3">
      <c r="A2053" s="18" t="s">
        <v>142</v>
      </c>
      <c r="B2053" s="12" t="s">
        <v>98</v>
      </c>
      <c r="C2053" s="12" t="s">
        <v>77</v>
      </c>
      <c r="D2053" s="13">
        <v>41030</v>
      </c>
      <c r="E2053" s="12" t="s">
        <v>23</v>
      </c>
      <c r="F2053" s="14">
        <v>19.45</v>
      </c>
      <c r="G2053" s="19">
        <v>15</v>
      </c>
    </row>
    <row r="2054" spans="1:7" x14ac:dyDescent="0.3">
      <c r="A2054" s="18" t="s">
        <v>142</v>
      </c>
      <c r="B2054" s="12" t="s">
        <v>98</v>
      </c>
      <c r="C2054" s="12" t="s">
        <v>77</v>
      </c>
      <c r="D2054" s="13">
        <v>41030</v>
      </c>
      <c r="E2054" s="12" t="s">
        <v>63</v>
      </c>
      <c r="F2054" s="14">
        <v>28.5</v>
      </c>
      <c r="G2054" s="19">
        <v>4</v>
      </c>
    </row>
    <row r="2055" spans="1:7" x14ac:dyDescent="0.3">
      <c r="A2055" s="18" t="s">
        <v>203</v>
      </c>
      <c r="B2055" s="12" t="s">
        <v>101</v>
      </c>
      <c r="C2055" s="12" t="s">
        <v>85</v>
      </c>
      <c r="D2055" s="13">
        <v>41028</v>
      </c>
      <c r="E2055" s="12" t="s">
        <v>49</v>
      </c>
      <c r="F2055" s="14">
        <v>21</v>
      </c>
      <c r="G2055" s="19">
        <v>10</v>
      </c>
    </row>
    <row r="2056" spans="1:7" x14ac:dyDescent="0.3">
      <c r="A2056" s="18" t="s">
        <v>175</v>
      </c>
      <c r="B2056" s="12" t="s">
        <v>176</v>
      </c>
      <c r="C2056" s="12" t="s">
        <v>81</v>
      </c>
      <c r="D2056" s="13">
        <v>41030</v>
      </c>
      <c r="E2056" s="12" t="s">
        <v>66</v>
      </c>
      <c r="F2056" s="14">
        <v>49.3</v>
      </c>
      <c r="G2056" s="19">
        <v>12</v>
      </c>
    </row>
    <row r="2057" spans="1:7" x14ac:dyDescent="0.3">
      <c r="A2057" s="18" t="s">
        <v>145</v>
      </c>
      <c r="B2057" s="12" t="s">
        <v>123</v>
      </c>
      <c r="C2057" s="12" t="s">
        <v>80</v>
      </c>
      <c r="D2057" s="13">
        <v>41023</v>
      </c>
      <c r="E2057" s="12" t="s">
        <v>50</v>
      </c>
      <c r="F2057" s="14">
        <v>38</v>
      </c>
      <c r="G2057" s="19">
        <v>20</v>
      </c>
    </row>
    <row r="2058" spans="1:7" x14ac:dyDescent="0.3">
      <c r="A2058" s="18" t="s">
        <v>145</v>
      </c>
      <c r="B2058" s="12" t="s">
        <v>123</v>
      </c>
      <c r="C2058" s="12" t="s">
        <v>80</v>
      </c>
      <c r="D2058" s="13">
        <v>41023</v>
      </c>
      <c r="E2058" s="12" t="s">
        <v>37</v>
      </c>
      <c r="F2058" s="14">
        <v>32</v>
      </c>
      <c r="G2058" s="19">
        <v>15</v>
      </c>
    </row>
    <row r="2059" spans="1:7" x14ac:dyDescent="0.3">
      <c r="A2059" s="18" t="s">
        <v>145</v>
      </c>
      <c r="B2059" s="12" t="s">
        <v>123</v>
      </c>
      <c r="C2059" s="12" t="s">
        <v>80</v>
      </c>
      <c r="D2059" s="13">
        <v>41023</v>
      </c>
      <c r="E2059" s="12" t="s">
        <v>65</v>
      </c>
      <c r="F2059" s="14">
        <v>18</v>
      </c>
      <c r="G2059" s="19">
        <v>18</v>
      </c>
    </row>
    <row r="2060" spans="1:7" x14ac:dyDescent="0.3">
      <c r="A2060" s="18" t="s">
        <v>170</v>
      </c>
      <c r="B2060" s="12" t="s">
        <v>141</v>
      </c>
      <c r="C2060" s="12" t="s">
        <v>84</v>
      </c>
      <c r="D2060" s="13">
        <v>41030</v>
      </c>
      <c r="E2060" s="12" t="s">
        <v>5</v>
      </c>
      <c r="F2060" s="14">
        <v>18</v>
      </c>
      <c r="G2060" s="19">
        <v>25</v>
      </c>
    </row>
    <row r="2061" spans="1:7" x14ac:dyDescent="0.3">
      <c r="A2061" s="18" t="s">
        <v>170</v>
      </c>
      <c r="B2061" s="12" t="s">
        <v>141</v>
      </c>
      <c r="C2061" s="12" t="s">
        <v>84</v>
      </c>
      <c r="D2061" s="13">
        <v>41030</v>
      </c>
      <c r="E2061" s="12" t="s">
        <v>9</v>
      </c>
      <c r="F2061" s="14">
        <v>21.35</v>
      </c>
      <c r="G2061" s="19">
        <v>30</v>
      </c>
    </row>
    <row r="2062" spans="1:7" x14ac:dyDescent="0.3">
      <c r="A2062" s="18" t="s">
        <v>180</v>
      </c>
      <c r="B2062" s="12" t="s">
        <v>160</v>
      </c>
      <c r="C2062" s="12" t="s">
        <v>84</v>
      </c>
      <c r="D2062" s="13">
        <v>41029</v>
      </c>
      <c r="E2062" s="12" t="s">
        <v>59</v>
      </c>
      <c r="F2062" s="14">
        <v>12.5</v>
      </c>
      <c r="G2062" s="19">
        <v>42</v>
      </c>
    </row>
    <row r="2063" spans="1:7" x14ac:dyDescent="0.3">
      <c r="A2063" s="18" t="s">
        <v>187</v>
      </c>
      <c r="B2063" s="12" t="s">
        <v>98</v>
      </c>
      <c r="C2063" s="12" t="s">
        <v>79</v>
      </c>
      <c r="D2063" s="13">
        <v>41033</v>
      </c>
      <c r="E2063" s="12" t="s">
        <v>6</v>
      </c>
      <c r="F2063" s="14">
        <v>19</v>
      </c>
      <c r="G2063" s="19">
        <v>10</v>
      </c>
    </row>
    <row r="2064" spans="1:7" x14ac:dyDescent="0.3">
      <c r="A2064" s="18" t="s">
        <v>187</v>
      </c>
      <c r="B2064" s="12" t="s">
        <v>98</v>
      </c>
      <c r="C2064" s="12" t="s">
        <v>79</v>
      </c>
      <c r="D2064" s="13">
        <v>41033</v>
      </c>
      <c r="E2064" s="12" t="s">
        <v>50</v>
      </c>
      <c r="F2064" s="14">
        <v>38</v>
      </c>
      <c r="G2064" s="19">
        <v>4</v>
      </c>
    </row>
    <row r="2065" spans="1:7" x14ac:dyDescent="0.3">
      <c r="A2065" s="18" t="s">
        <v>118</v>
      </c>
      <c r="B2065" s="12" t="s">
        <v>119</v>
      </c>
      <c r="C2065" s="12" t="s">
        <v>80</v>
      </c>
      <c r="D2065" s="13">
        <v>41034</v>
      </c>
      <c r="E2065" s="12" t="s">
        <v>31</v>
      </c>
      <c r="F2065" s="14">
        <v>18</v>
      </c>
      <c r="G2065" s="19">
        <v>50</v>
      </c>
    </row>
    <row r="2066" spans="1:7" x14ac:dyDescent="0.3">
      <c r="A2066" s="18" t="s">
        <v>99</v>
      </c>
      <c r="B2066" s="12" t="s">
        <v>98</v>
      </c>
      <c r="C2066" s="12" t="s">
        <v>79</v>
      </c>
      <c r="D2066" s="13">
        <v>41030</v>
      </c>
      <c r="E2066" s="12" t="s">
        <v>28</v>
      </c>
      <c r="F2066" s="14">
        <v>46</v>
      </c>
      <c r="G2066" s="19">
        <v>30</v>
      </c>
    </row>
    <row r="2067" spans="1:7" x14ac:dyDescent="0.3">
      <c r="A2067" s="18" t="s">
        <v>99</v>
      </c>
      <c r="B2067" s="12" t="s">
        <v>98</v>
      </c>
      <c r="C2067" s="12" t="s">
        <v>79</v>
      </c>
      <c r="D2067" s="13">
        <v>41030</v>
      </c>
      <c r="E2067" s="12" t="s">
        <v>63</v>
      </c>
      <c r="F2067" s="14">
        <v>28.5</v>
      </c>
      <c r="G2067" s="19">
        <v>10</v>
      </c>
    </row>
    <row r="2068" spans="1:7" x14ac:dyDescent="0.3">
      <c r="A2068" s="18" t="s">
        <v>166</v>
      </c>
      <c r="B2068" s="12" t="s">
        <v>111</v>
      </c>
      <c r="C2068" s="12" t="s">
        <v>77</v>
      </c>
      <c r="D2068" s="13">
        <v>41028</v>
      </c>
      <c r="E2068" s="12" t="s">
        <v>4</v>
      </c>
      <c r="F2068" s="14">
        <v>62.5</v>
      </c>
      <c r="G2068" s="19">
        <v>35</v>
      </c>
    </row>
    <row r="2069" spans="1:7" x14ac:dyDescent="0.3">
      <c r="A2069" s="18" t="s">
        <v>166</v>
      </c>
      <c r="B2069" s="12" t="s">
        <v>111</v>
      </c>
      <c r="C2069" s="12" t="s">
        <v>77</v>
      </c>
      <c r="D2069" s="13">
        <v>41028</v>
      </c>
      <c r="E2069" s="12" t="s">
        <v>37</v>
      </c>
      <c r="F2069" s="14">
        <v>32</v>
      </c>
      <c r="G2069" s="19">
        <v>20</v>
      </c>
    </row>
    <row r="2070" spans="1:7" x14ac:dyDescent="0.3">
      <c r="A2070" s="18" t="s">
        <v>166</v>
      </c>
      <c r="B2070" s="12" t="s">
        <v>111</v>
      </c>
      <c r="C2070" s="12" t="s">
        <v>77</v>
      </c>
      <c r="D2070" s="13">
        <v>41028</v>
      </c>
      <c r="E2070" s="12" t="s">
        <v>75</v>
      </c>
      <c r="F2070" s="14">
        <v>33.25</v>
      </c>
      <c r="G2070" s="19">
        <v>25</v>
      </c>
    </row>
    <row r="2071" spans="1:7" x14ac:dyDescent="0.3">
      <c r="A2071" s="18" t="s">
        <v>108</v>
      </c>
      <c r="B2071" s="12" t="s">
        <v>109</v>
      </c>
      <c r="C2071" s="12" t="s">
        <v>84</v>
      </c>
      <c r="D2071" s="13">
        <v>41034</v>
      </c>
      <c r="E2071" s="12" t="s">
        <v>21</v>
      </c>
      <c r="F2071" s="14">
        <v>4.5</v>
      </c>
      <c r="G2071" s="19">
        <v>15</v>
      </c>
    </row>
    <row r="2072" spans="1:7" x14ac:dyDescent="0.3">
      <c r="A2072" s="18" t="s">
        <v>108</v>
      </c>
      <c r="B2072" s="12" t="s">
        <v>109</v>
      </c>
      <c r="C2072" s="12" t="s">
        <v>84</v>
      </c>
      <c r="D2072" s="13">
        <v>41034</v>
      </c>
      <c r="E2072" s="12" t="s">
        <v>43</v>
      </c>
      <c r="F2072" s="14">
        <v>14</v>
      </c>
      <c r="G2072" s="19">
        <v>15</v>
      </c>
    </row>
    <row r="2073" spans="1:7" x14ac:dyDescent="0.3">
      <c r="A2073" s="18" t="s">
        <v>108</v>
      </c>
      <c r="B2073" s="12" t="s">
        <v>109</v>
      </c>
      <c r="C2073" s="12" t="s">
        <v>84</v>
      </c>
      <c r="D2073" s="13">
        <v>41034</v>
      </c>
      <c r="E2073" s="12" t="s">
        <v>36</v>
      </c>
      <c r="F2073" s="14">
        <v>53</v>
      </c>
      <c r="G2073" s="19">
        <v>20</v>
      </c>
    </row>
    <row r="2074" spans="1:7" x14ac:dyDescent="0.3">
      <c r="A2074" s="18" t="s">
        <v>108</v>
      </c>
      <c r="B2074" s="12" t="s">
        <v>109</v>
      </c>
      <c r="C2074" s="12" t="s">
        <v>84</v>
      </c>
      <c r="D2074" s="13">
        <v>41034</v>
      </c>
      <c r="E2074" s="12" t="s">
        <v>52</v>
      </c>
      <c r="F2074" s="14">
        <v>19.5</v>
      </c>
      <c r="G2074" s="19">
        <v>20</v>
      </c>
    </row>
    <row r="2075" spans="1:7" x14ac:dyDescent="0.3">
      <c r="A2075" s="18" t="s">
        <v>170</v>
      </c>
      <c r="B2075" s="12" t="s">
        <v>141</v>
      </c>
      <c r="C2075" s="12" t="s">
        <v>80</v>
      </c>
      <c r="D2075" s="13">
        <v>41030</v>
      </c>
      <c r="E2075" s="12" t="s">
        <v>72</v>
      </c>
      <c r="F2075" s="14">
        <v>30</v>
      </c>
      <c r="G2075" s="19">
        <v>40</v>
      </c>
    </row>
    <row r="2076" spans="1:7" x14ac:dyDescent="0.3">
      <c r="A2076" s="18" t="s">
        <v>170</v>
      </c>
      <c r="B2076" s="12" t="s">
        <v>141</v>
      </c>
      <c r="C2076" s="12" t="s">
        <v>80</v>
      </c>
      <c r="D2076" s="13">
        <v>41030</v>
      </c>
      <c r="E2076" s="12" t="s">
        <v>46</v>
      </c>
      <c r="F2076" s="14">
        <v>24</v>
      </c>
      <c r="G2076" s="19">
        <v>35</v>
      </c>
    </row>
    <row r="2077" spans="1:7" x14ac:dyDescent="0.3">
      <c r="A2077" s="18" t="s">
        <v>170</v>
      </c>
      <c r="B2077" s="12" t="s">
        <v>141</v>
      </c>
      <c r="C2077" s="12" t="s">
        <v>80</v>
      </c>
      <c r="D2077" s="13">
        <v>41030</v>
      </c>
      <c r="E2077" s="12" t="s">
        <v>3</v>
      </c>
      <c r="F2077" s="14">
        <v>34</v>
      </c>
      <c r="G2077" s="19">
        <v>50</v>
      </c>
    </row>
    <row r="2078" spans="1:7" x14ac:dyDescent="0.3">
      <c r="A2078" s="18" t="s">
        <v>194</v>
      </c>
      <c r="B2078" s="12" t="s">
        <v>141</v>
      </c>
      <c r="C2078" s="12" t="s">
        <v>79</v>
      </c>
      <c r="D2078" s="13">
        <v>41030</v>
      </c>
      <c r="E2078" s="12" t="s">
        <v>45</v>
      </c>
      <c r="F2078" s="14">
        <v>15</v>
      </c>
      <c r="G2078" s="19">
        <v>3</v>
      </c>
    </row>
    <row r="2079" spans="1:7" x14ac:dyDescent="0.3">
      <c r="A2079" s="18" t="s">
        <v>186</v>
      </c>
      <c r="B2079" s="12" t="s">
        <v>130</v>
      </c>
      <c r="C2079" s="12" t="s">
        <v>77</v>
      </c>
      <c r="D2079" s="13">
        <v>41033</v>
      </c>
      <c r="E2079" s="12" t="s">
        <v>3</v>
      </c>
      <c r="F2079" s="14">
        <v>34</v>
      </c>
      <c r="G2079" s="19">
        <v>4</v>
      </c>
    </row>
    <row r="2080" spans="1:7" x14ac:dyDescent="0.3">
      <c r="A2080" s="18" t="s">
        <v>186</v>
      </c>
      <c r="B2080" s="12" t="s">
        <v>130</v>
      </c>
      <c r="C2080" s="12" t="s">
        <v>77</v>
      </c>
      <c r="D2080" s="13">
        <v>41033</v>
      </c>
      <c r="E2080" s="12" t="s">
        <v>44</v>
      </c>
      <c r="F2080" s="14">
        <v>13</v>
      </c>
      <c r="G2080" s="19">
        <v>10</v>
      </c>
    </row>
    <row r="2081" spans="1:7" x14ac:dyDescent="0.3">
      <c r="A2081" s="18" t="s">
        <v>143</v>
      </c>
      <c r="B2081" s="12" t="s">
        <v>144</v>
      </c>
      <c r="C2081" s="12" t="s">
        <v>79</v>
      </c>
      <c r="D2081" s="13">
        <v>41035</v>
      </c>
      <c r="E2081" s="12" t="s">
        <v>57</v>
      </c>
      <c r="F2081" s="14">
        <v>14</v>
      </c>
      <c r="G2081" s="19">
        <v>30</v>
      </c>
    </row>
    <row r="2082" spans="1:7" x14ac:dyDescent="0.3">
      <c r="A2082" s="18" t="s">
        <v>143</v>
      </c>
      <c r="B2082" s="12" t="s">
        <v>144</v>
      </c>
      <c r="C2082" s="12" t="s">
        <v>79</v>
      </c>
      <c r="D2082" s="13">
        <v>41035</v>
      </c>
      <c r="E2082" s="12" t="s">
        <v>2</v>
      </c>
      <c r="F2082" s="14">
        <v>18.399999999999999</v>
      </c>
      <c r="G2082" s="19">
        <v>40</v>
      </c>
    </row>
    <row r="2083" spans="1:7" x14ac:dyDescent="0.3">
      <c r="A2083" s="18" t="s">
        <v>143</v>
      </c>
      <c r="B2083" s="12" t="s">
        <v>144</v>
      </c>
      <c r="C2083" s="12" t="s">
        <v>79</v>
      </c>
      <c r="D2083" s="13">
        <v>41035</v>
      </c>
      <c r="E2083" s="12" t="s">
        <v>29</v>
      </c>
      <c r="F2083" s="14">
        <v>9.65</v>
      </c>
      <c r="G2083" s="19">
        <v>30</v>
      </c>
    </row>
    <row r="2084" spans="1:7" x14ac:dyDescent="0.3">
      <c r="A2084" s="18" t="s">
        <v>154</v>
      </c>
      <c r="B2084" s="12" t="s">
        <v>115</v>
      </c>
      <c r="C2084" s="12" t="s">
        <v>83</v>
      </c>
      <c r="D2084" s="13">
        <v>41033</v>
      </c>
      <c r="E2084" s="12" t="s">
        <v>0</v>
      </c>
      <c r="F2084" s="14">
        <v>39</v>
      </c>
      <c r="G2084" s="19">
        <v>77</v>
      </c>
    </row>
    <row r="2085" spans="1:7" x14ac:dyDescent="0.3">
      <c r="A2085" s="18" t="s">
        <v>154</v>
      </c>
      <c r="B2085" s="12" t="s">
        <v>115</v>
      </c>
      <c r="C2085" s="12" t="s">
        <v>83</v>
      </c>
      <c r="D2085" s="13">
        <v>41033</v>
      </c>
      <c r="E2085" s="12" t="s">
        <v>29</v>
      </c>
      <c r="F2085" s="14">
        <v>9.65</v>
      </c>
      <c r="G2085" s="19">
        <v>12</v>
      </c>
    </row>
    <row r="2086" spans="1:7" x14ac:dyDescent="0.3">
      <c r="A2086" s="18" t="s">
        <v>154</v>
      </c>
      <c r="B2086" s="12" t="s">
        <v>115</v>
      </c>
      <c r="C2086" s="12" t="s">
        <v>83</v>
      </c>
      <c r="D2086" s="13">
        <v>41033</v>
      </c>
      <c r="E2086" s="12" t="s">
        <v>48</v>
      </c>
      <c r="F2086" s="14">
        <v>32.799999999999997</v>
      </c>
      <c r="G2086" s="19">
        <v>25</v>
      </c>
    </row>
    <row r="2087" spans="1:7" x14ac:dyDescent="0.3">
      <c r="A2087" s="18" t="s">
        <v>154</v>
      </c>
      <c r="B2087" s="12" t="s">
        <v>115</v>
      </c>
      <c r="C2087" s="12" t="s">
        <v>83</v>
      </c>
      <c r="D2087" s="13">
        <v>41033</v>
      </c>
      <c r="E2087" s="12" t="s">
        <v>46</v>
      </c>
      <c r="F2087" s="14">
        <v>24</v>
      </c>
      <c r="G2087" s="19">
        <v>4</v>
      </c>
    </row>
    <row r="2088" spans="1:7" x14ac:dyDescent="0.3">
      <c r="A2088" s="18" t="s">
        <v>154</v>
      </c>
      <c r="B2088" s="12" t="s">
        <v>115</v>
      </c>
      <c r="C2088" s="12" t="s">
        <v>83</v>
      </c>
      <c r="D2088" s="13">
        <v>41033</v>
      </c>
      <c r="E2088" s="12" t="s">
        <v>59</v>
      </c>
      <c r="F2088" s="14">
        <v>12.5</v>
      </c>
      <c r="G2088" s="19">
        <v>55</v>
      </c>
    </row>
    <row r="2089" spans="1:7" x14ac:dyDescent="0.3">
      <c r="A2089" s="18" t="s">
        <v>125</v>
      </c>
      <c r="B2089" s="12" t="s">
        <v>115</v>
      </c>
      <c r="C2089" s="12" t="s">
        <v>84</v>
      </c>
      <c r="D2089" s="13">
        <v>41033</v>
      </c>
      <c r="E2089" s="12" t="s">
        <v>47</v>
      </c>
      <c r="F2089" s="14">
        <v>17.45</v>
      </c>
      <c r="G2089" s="19">
        <v>3</v>
      </c>
    </row>
    <row r="2090" spans="1:7" x14ac:dyDescent="0.3">
      <c r="A2090" s="18" t="s">
        <v>125</v>
      </c>
      <c r="B2090" s="12" t="s">
        <v>115</v>
      </c>
      <c r="C2090" s="12" t="s">
        <v>84</v>
      </c>
      <c r="D2090" s="13">
        <v>41033</v>
      </c>
      <c r="E2090" s="12" t="s">
        <v>67</v>
      </c>
      <c r="F2090" s="14">
        <v>9.1999999999999993</v>
      </c>
      <c r="G2090" s="19">
        <v>42</v>
      </c>
    </row>
    <row r="2091" spans="1:7" x14ac:dyDescent="0.3">
      <c r="A2091" s="18" t="s">
        <v>125</v>
      </c>
      <c r="B2091" s="12" t="s">
        <v>115</v>
      </c>
      <c r="C2091" s="12" t="s">
        <v>84</v>
      </c>
      <c r="D2091" s="13">
        <v>41033</v>
      </c>
      <c r="E2091" s="12" t="s">
        <v>57</v>
      </c>
      <c r="F2091" s="14">
        <v>14</v>
      </c>
      <c r="G2091" s="19">
        <v>35</v>
      </c>
    </row>
    <row r="2092" spans="1:7" x14ac:dyDescent="0.3">
      <c r="A2092" s="18" t="s">
        <v>169</v>
      </c>
      <c r="B2092" s="12" t="s">
        <v>123</v>
      </c>
      <c r="C2092" s="12" t="s">
        <v>83</v>
      </c>
      <c r="D2092" s="13">
        <v>41035</v>
      </c>
      <c r="E2092" s="12" t="s">
        <v>29</v>
      </c>
      <c r="F2092" s="14">
        <v>9.65</v>
      </c>
      <c r="G2092" s="19">
        <v>9</v>
      </c>
    </row>
    <row r="2093" spans="1:7" ht="15" thickBot="1" x14ac:dyDescent="0.35">
      <c r="A2093" s="20" t="s">
        <v>131</v>
      </c>
      <c r="B2093" s="21" t="s">
        <v>113</v>
      </c>
      <c r="C2093" s="21" t="s">
        <v>83</v>
      </c>
      <c r="D2093" s="22">
        <v>41035</v>
      </c>
      <c r="E2093" s="21" t="s">
        <v>7</v>
      </c>
      <c r="F2093" s="23">
        <v>18</v>
      </c>
      <c r="G2093" s="24">
        <v>20</v>
      </c>
    </row>
  </sheetData>
  <autoFilter ref="A11:G2093" xr:uid="{00000000-0001-0000-0000-000000000000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43"/>
  <sheetViews>
    <sheetView showGridLines="0" tabSelected="1" topLeftCell="A166" zoomScale="70" zoomScaleNormal="70" workbookViewId="0">
      <selection activeCell="S199" sqref="S199"/>
    </sheetView>
  </sheetViews>
  <sheetFormatPr baseColWidth="10" defaultColWidth="0" defaultRowHeight="15.6" x14ac:dyDescent="0.3"/>
  <cols>
    <col min="1" max="1" width="13.33203125" style="26" bestFit="1" customWidth="1"/>
    <col min="2" max="2" width="22.6640625" style="26" customWidth="1"/>
    <col min="3" max="3" width="18.6640625" style="26" bestFit="1" customWidth="1"/>
    <col min="4" max="4" width="19" style="26" bestFit="1" customWidth="1"/>
    <col min="5" max="7" width="12.5546875" style="26" customWidth="1"/>
    <col min="8" max="8" width="14.44140625" style="26" customWidth="1"/>
    <col min="9" max="29" width="12.5546875" style="26" customWidth="1"/>
    <col min="30" max="16384" width="12.5546875" style="26" hidden="1"/>
  </cols>
  <sheetData>
    <row r="1" spans="1:29" ht="14.4" customHeight="1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29" ht="14.4" customHeight="1" x14ac:dyDescent="0.35">
      <c r="A2" s="27"/>
      <c r="B2" s="25"/>
      <c r="C2" s="25"/>
      <c r="D2" s="25"/>
      <c r="F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29" ht="14.4" customHeigh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29" ht="14.4" customHeight="1" x14ac:dyDescent="0.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29" ht="14.4" customHeight="1" x14ac:dyDescent="0.3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29" x14ac:dyDescent="0.3">
      <c r="A6" s="25"/>
      <c r="B6" s="25"/>
      <c r="C6" s="25"/>
      <c r="D6" s="25"/>
      <c r="E6" s="81" t="s">
        <v>86</v>
      </c>
      <c r="F6" s="81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29" ht="25.8" x14ac:dyDescent="0.5">
      <c r="A7" s="25"/>
      <c r="B7" s="25"/>
      <c r="C7" s="25"/>
      <c r="D7" s="25"/>
      <c r="E7" s="25"/>
      <c r="F7" s="28" t="s">
        <v>205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</row>
    <row r="8" spans="1:29" ht="14.4" customHeight="1" thickBot="1" x14ac:dyDescent="0.35">
      <c r="A8" s="29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 ht="14.4" customHeight="1" thickTop="1" x14ac:dyDescent="0.3">
      <c r="A9" s="25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</row>
    <row r="10" spans="1:29" ht="14.4" customHeight="1" x14ac:dyDescent="0.3">
      <c r="A10" s="83" t="s">
        <v>206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32"/>
      <c r="Q10" s="31"/>
      <c r="R10" s="31"/>
      <c r="S10" s="31"/>
      <c r="T10" s="31"/>
      <c r="U10" s="31"/>
      <c r="V10" s="31"/>
      <c r="W10" s="31"/>
    </row>
    <row r="11" spans="1:29" ht="14.4" customHeight="1" x14ac:dyDescent="0.3">
      <c r="A11" s="33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1"/>
      <c r="R11" s="31"/>
      <c r="S11" s="31"/>
      <c r="T11" s="31"/>
      <c r="U11" s="31"/>
      <c r="V11" s="31"/>
      <c r="W11" s="31"/>
    </row>
    <row r="12" spans="1:29" ht="14.4" customHeight="1" x14ac:dyDescent="0.3">
      <c r="A12" s="84" t="s">
        <v>207</v>
      </c>
      <c r="B12" s="84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1"/>
      <c r="R12" s="31"/>
      <c r="S12" s="34"/>
      <c r="T12" s="34"/>
    </row>
    <row r="13" spans="1:29" ht="16.2" thickBot="1" x14ac:dyDescent="0.35">
      <c r="A13" s="85" t="s">
        <v>208</v>
      </c>
      <c r="B13" s="85"/>
      <c r="C13" s="85"/>
      <c r="D13" s="85"/>
      <c r="E13" s="85"/>
      <c r="F13" s="85"/>
      <c r="G13" s="85"/>
      <c r="H13" s="35"/>
      <c r="I13" s="35"/>
      <c r="J13" s="35"/>
      <c r="K13" s="36"/>
      <c r="L13" s="36"/>
      <c r="M13" s="36"/>
      <c r="N13" s="36"/>
      <c r="O13" s="36"/>
      <c r="P13" s="36"/>
    </row>
    <row r="14" spans="1:29" ht="16.2" thickBot="1" x14ac:dyDescent="0.35">
      <c r="A14" s="37"/>
      <c r="B14" s="38" t="s">
        <v>209</v>
      </c>
      <c r="C14" s="38" t="s">
        <v>210</v>
      </c>
      <c r="D14" s="38" t="s">
        <v>211</v>
      </c>
      <c r="E14" s="38" t="s">
        <v>212</v>
      </c>
      <c r="F14" s="38" t="s">
        <v>213</v>
      </c>
      <c r="G14" s="39" t="s">
        <v>214</v>
      </c>
      <c r="H14" s="35"/>
      <c r="I14" s="35"/>
      <c r="J14" s="35"/>
      <c r="K14" s="40" t="s">
        <v>215</v>
      </c>
      <c r="L14" s="41"/>
      <c r="M14" s="40" t="s">
        <v>216</v>
      </c>
      <c r="N14" s="35"/>
      <c r="O14" s="40" t="s">
        <v>217</v>
      </c>
      <c r="P14" s="35"/>
    </row>
    <row r="15" spans="1:29" x14ac:dyDescent="0.3">
      <c r="A15" s="42" t="s">
        <v>218</v>
      </c>
      <c r="B15" s="43">
        <v>-6</v>
      </c>
      <c r="C15" s="43">
        <v>-9</v>
      </c>
      <c r="D15" s="43">
        <v>-5</v>
      </c>
      <c r="E15" s="43">
        <v>-5</v>
      </c>
      <c r="F15" s="43">
        <v>2</v>
      </c>
      <c r="G15" s="44">
        <v>2</v>
      </c>
      <c r="H15" s="35"/>
      <c r="I15" s="35"/>
      <c r="J15" s="35"/>
      <c r="K15" s="45"/>
      <c r="L15" s="35"/>
      <c r="M15" s="45"/>
      <c r="N15" s="35"/>
      <c r="O15" s="45"/>
      <c r="P15" s="35"/>
    </row>
    <row r="16" spans="1:29" x14ac:dyDescent="0.3">
      <c r="A16" s="42" t="s">
        <v>219</v>
      </c>
      <c r="B16" s="43">
        <v>-1</v>
      </c>
      <c r="C16" s="43">
        <v>7</v>
      </c>
      <c r="D16" s="43">
        <v>8</v>
      </c>
      <c r="E16" s="43">
        <v>-2</v>
      </c>
      <c r="F16" s="43">
        <v>2</v>
      </c>
      <c r="G16" s="44">
        <v>7</v>
      </c>
      <c r="H16" s="35"/>
      <c r="I16" s="35"/>
      <c r="J16" s="35"/>
      <c r="K16" s="46"/>
      <c r="L16" s="35"/>
      <c r="M16" s="46"/>
      <c r="N16" s="35"/>
      <c r="O16" s="46"/>
      <c r="P16" s="35"/>
    </row>
    <row r="17" spans="1:16" x14ac:dyDescent="0.3">
      <c r="A17" s="42" t="s">
        <v>220</v>
      </c>
      <c r="B17" s="43">
        <v>10</v>
      </c>
      <c r="C17" s="43">
        <v>-1</v>
      </c>
      <c r="D17" s="43">
        <v>6</v>
      </c>
      <c r="E17" s="43">
        <v>-9</v>
      </c>
      <c r="F17" s="43">
        <v>-5</v>
      </c>
      <c r="G17" s="44">
        <v>7</v>
      </c>
      <c r="H17" s="35"/>
      <c r="I17" s="35"/>
      <c r="J17" s="35"/>
      <c r="K17" s="46"/>
      <c r="L17" s="35"/>
      <c r="M17" s="46"/>
      <c r="N17" s="35"/>
      <c r="O17" s="46"/>
      <c r="P17" s="35"/>
    </row>
    <row r="18" spans="1:16" x14ac:dyDescent="0.3">
      <c r="A18" s="42" t="s">
        <v>221</v>
      </c>
      <c r="B18" s="43">
        <v>-6</v>
      </c>
      <c r="C18" s="43">
        <v>2</v>
      </c>
      <c r="D18" s="43">
        <v>-2</v>
      </c>
      <c r="E18" s="43">
        <v>9</v>
      </c>
      <c r="F18" s="43">
        <v>-9</v>
      </c>
      <c r="G18" s="44">
        <v>-10</v>
      </c>
      <c r="H18" s="35"/>
      <c r="I18" s="35"/>
      <c r="J18" s="35"/>
      <c r="K18" s="46"/>
      <c r="L18" s="35"/>
      <c r="M18" s="46"/>
      <c r="N18" s="35"/>
      <c r="O18" s="46"/>
      <c r="P18" s="35"/>
    </row>
    <row r="19" spans="1:16" x14ac:dyDescent="0.3">
      <c r="A19" s="42" t="s">
        <v>222</v>
      </c>
      <c r="B19" s="43">
        <v>-2</v>
      </c>
      <c r="C19" s="43">
        <v>3</v>
      </c>
      <c r="D19" s="43">
        <v>-8</v>
      </c>
      <c r="E19" s="43">
        <v>-10</v>
      </c>
      <c r="F19" s="43">
        <v>9</v>
      </c>
      <c r="G19" s="44">
        <v>5</v>
      </c>
      <c r="H19" s="35"/>
      <c r="I19" s="35"/>
      <c r="J19" s="35"/>
      <c r="K19" s="46"/>
      <c r="L19" s="35"/>
      <c r="M19" s="46"/>
      <c r="N19" s="35"/>
      <c r="O19" s="46"/>
      <c r="P19" s="35"/>
    </row>
    <row r="20" spans="1:16" x14ac:dyDescent="0.3">
      <c r="A20" s="42" t="s">
        <v>223</v>
      </c>
      <c r="B20" s="43">
        <v>-3</v>
      </c>
      <c r="C20" s="43">
        <v>-6</v>
      </c>
      <c r="D20" s="43">
        <v>-9</v>
      </c>
      <c r="E20" s="43">
        <v>0</v>
      </c>
      <c r="F20" s="43">
        <v>5</v>
      </c>
      <c r="G20" s="44">
        <v>-3</v>
      </c>
      <c r="H20" s="35"/>
      <c r="I20" s="35"/>
      <c r="J20" s="35"/>
      <c r="K20" s="46"/>
      <c r="L20" s="35"/>
      <c r="M20" s="46"/>
      <c r="N20" s="35"/>
      <c r="O20" s="46"/>
      <c r="P20" s="35"/>
    </row>
    <row r="21" spans="1:16" x14ac:dyDescent="0.3">
      <c r="A21" s="42" t="s">
        <v>224</v>
      </c>
      <c r="B21" s="43">
        <v>-4</v>
      </c>
      <c r="C21" s="43">
        <v>-7</v>
      </c>
      <c r="D21" s="43">
        <v>-1</v>
      </c>
      <c r="E21" s="43">
        <v>-4</v>
      </c>
      <c r="F21" s="43">
        <v>-3</v>
      </c>
      <c r="G21" s="44">
        <v>-8</v>
      </c>
      <c r="H21" s="35"/>
      <c r="I21" s="35"/>
      <c r="J21" s="35"/>
      <c r="K21" s="46"/>
      <c r="L21" s="35"/>
      <c r="M21" s="46"/>
      <c r="N21" s="35"/>
      <c r="O21" s="46"/>
      <c r="P21" s="35"/>
    </row>
    <row r="22" spans="1:16" x14ac:dyDescent="0.3">
      <c r="A22" s="42" t="s">
        <v>225</v>
      </c>
      <c r="B22" s="43">
        <v>-6</v>
      </c>
      <c r="C22" s="43">
        <v>5</v>
      </c>
      <c r="D22" s="43">
        <v>4</v>
      </c>
      <c r="E22" s="43">
        <v>10</v>
      </c>
      <c r="F22" s="43">
        <v>1</v>
      </c>
      <c r="G22" s="44">
        <v>4</v>
      </c>
      <c r="H22" s="35"/>
      <c r="I22" s="35"/>
      <c r="J22" s="35"/>
      <c r="K22" s="46"/>
      <c r="L22" s="35"/>
      <c r="M22" s="46"/>
      <c r="N22" s="35"/>
      <c r="O22" s="46"/>
      <c r="P22" s="35"/>
    </row>
    <row r="23" spans="1:16" x14ac:dyDescent="0.3">
      <c r="A23" s="42" t="s">
        <v>226</v>
      </c>
      <c r="B23" s="43">
        <v>1</v>
      </c>
      <c r="C23" s="43">
        <v>-4</v>
      </c>
      <c r="D23" s="43">
        <v>-1</v>
      </c>
      <c r="E23" s="43">
        <v>-4</v>
      </c>
      <c r="F23" s="43">
        <v>10</v>
      </c>
      <c r="G23" s="44">
        <v>-6</v>
      </c>
      <c r="H23" s="35"/>
      <c r="I23" s="35"/>
      <c r="J23" s="35"/>
      <c r="K23" s="46"/>
      <c r="L23" s="35"/>
      <c r="M23" s="46"/>
      <c r="N23" s="35"/>
      <c r="O23" s="46"/>
      <c r="P23" s="35"/>
    </row>
    <row r="24" spans="1:16" x14ac:dyDescent="0.3">
      <c r="A24" s="42" t="s">
        <v>227</v>
      </c>
      <c r="B24" s="43">
        <v>5</v>
      </c>
      <c r="C24" s="43">
        <v>-7</v>
      </c>
      <c r="D24" s="43">
        <v>-5</v>
      </c>
      <c r="E24" s="43">
        <v>-10</v>
      </c>
      <c r="F24" s="43">
        <v>0</v>
      </c>
      <c r="G24" s="44">
        <v>-8</v>
      </c>
      <c r="H24" s="35"/>
      <c r="I24" s="35"/>
      <c r="J24" s="35"/>
      <c r="K24" s="46"/>
      <c r="L24" s="35"/>
      <c r="M24" s="46"/>
      <c r="N24" s="35"/>
      <c r="O24" s="46"/>
      <c r="P24" s="35"/>
    </row>
    <row r="25" spans="1:16" x14ac:dyDescent="0.3">
      <c r="A25" s="42" t="s">
        <v>228</v>
      </c>
      <c r="B25" s="43">
        <v>-7</v>
      </c>
      <c r="C25" s="43">
        <v>10</v>
      </c>
      <c r="D25" s="43">
        <v>9</v>
      </c>
      <c r="E25" s="43">
        <v>-1</v>
      </c>
      <c r="F25" s="43">
        <v>-2</v>
      </c>
      <c r="G25" s="44">
        <v>-5</v>
      </c>
      <c r="H25" s="35"/>
      <c r="I25" s="35"/>
      <c r="J25" s="35"/>
      <c r="K25" s="46"/>
      <c r="L25" s="35"/>
      <c r="M25" s="46"/>
      <c r="N25" s="35"/>
      <c r="O25" s="46"/>
      <c r="P25" s="35"/>
    </row>
    <row r="26" spans="1:16" x14ac:dyDescent="0.3">
      <c r="A26" s="42" t="s">
        <v>229</v>
      </c>
      <c r="B26" s="43">
        <v>-3</v>
      </c>
      <c r="C26" s="43">
        <v>4</v>
      </c>
      <c r="D26" s="43">
        <v>5</v>
      </c>
      <c r="E26" s="43">
        <v>9</v>
      </c>
      <c r="F26" s="43">
        <v>-3</v>
      </c>
      <c r="G26" s="44">
        <v>-10</v>
      </c>
      <c r="H26" s="35"/>
      <c r="I26" s="35"/>
      <c r="J26" s="35"/>
      <c r="K26" s="46"/>
      <c r="L26" s="35"/>
      <c r="M26" s="46"/>
      <c r="N26" s="35"/>
      <c r="O26" s="46"/>
      <c r="P26" s="35"/>
    </row>
    <row r="27" spans="1:16" x14ac:dyDescent="0.3">
      <c r="A27" s="42" t="s">
        <v>230</v>
      </c>
      <c r="B27" s="43">
        <v>9</v>
      </c>
      <c r="C27" s="43">
        <v>0</v>
      </c>
      <c r="D27" s="43">
        <v>-2</v>
      </c>
      <c r="E27" s="43">
        <v>2</v>
      </c>
      <c r="F27" s="43">
        <v>-10</v>
      </c>
      <c r="G27" s="44">
        <v>-1</v>
      </c>
      <c r="H27" s="35"/>
      <c r="I27" s="35"/>
      <c r="J27" s="35"/>
      <c r="K27" s="46"/>
      <c r="L27" s="35"/>
      <c r="M27" s="46"/>
      <c r="N27" s="35"/>
      <c r="O27" s="46"/>
      <c r="P27" s="35"/>
    </row>
    <row r="28" spans="1:16" x14ac:dyDescent="0.3">
      <c r="A28" s="42" t="s">
        <v>231</v>
      </c>
      <c r="B28" s="43">
        <v>-9</v>
      </c>
      <c r="C28" s="43">
        <v>-7</v>
      </c>
      <c r="D28" s="43">
        <v>-9</v>
      </c>
      <c r="E28" s="43">
        <v>-6</v>
      </c>
      <c r="F28" s="43">
        <v>-5</v>
      </c>
      <c r="G28" s="44">
        <v>5</v>
      </c>
      <c r="H28" s="35"/>
      <c r="I28" s="35"/>
      <c r="J28" s="35"/>
      <c r="K28" s="46"/>
      <c r="L28" s="35"/>
      <c r="M28" s="46"/>
      <c r="N28" s="35"/>
      <c r="O28" s="46"/>
      <c r="P28" s="35"/>
    </row>
    <row r="29" spans="1:16" x14ac:dyDescent="0.3">
      <c r="A29" s="42" t="s">
        <v>232</v>
      </c>
      <c r="B29" s="43">
        <v>9</v>
      </c>
      <c r="C29" s="43">
        <v>-3</v>
      </c>
      <c r="D29" s="43">
        <v>-5</v>
      </c>
      <c r="E29" s="43">
        <v>1</v>
      </c>
      <c r="F29" s="43">
        <v>-4</v>
      </c>
      <c r="G29" s="44">
        <v>7</v>
      </c>
      <c r="H29" s="35"/>
      <c r="I29" s="35"/>
      <c r="J29" s="35"/>
      <c r="K29" s="46"/>
      <c r="L29" s="35"/>
      <c r="M29" s="46"/>
      <c r="N29" s="35"/>
      <c r="O29" s="46"/>
      <c r="P29" s="35"/>
    </row>
    <row r="30" spans="1:16" x14ac:dyDescent="0.3">
      <c r="A30" s="42" t="s">
        <v>233</v>
      </c>
      <c r="B30" s="43">
        <v>-2</v>
      </c>
      <c r="C30" s="43">
        <v>-9</v>
      </c>
      <c r="D30" s="43">
        <v>2</v>
      </c>
      <c r="E30" s="43">
        <v>-5</v>
      </c>
      <c r="F30" s="43">
        <v>8</v>
      </c>
      <c r="G30" s="44">
        <v>6</v>
      </c>
      <c r="H30" s="35"/>
      <c r="I30" s="35"/>
      <c r="J30" s="35"/>
      <c r="K30" s="46"/>
      <c r="L30" s="35"/>
      <c r="M30" s="46"/>
      <c r="N30" s="35"/>
      <c r="O30" s="46"/>
      <c r="P30" s="35"/>
    </row>
    <row r="31" spans="1:16" x14ac:dyDescent="0.3">
      <c r="A31" s="42" t="s">
        <v>234</v>
      </c>
      <c r="B31" s="43">
        <v>6</v>
      </c>
      <c r="C31" s="43">
        <v>6</v>
      </c>
      <c r="D31" s="43">
        <v>-4</v>
      </c>
      <c r="E31" s="43">
        <v>0</v>
      </c>
      <c r="F31" s="43">
        <v>0</v>
      </c>
      <c r="G31" s="44">
        <v>5</v>
      </c>
      <c r="H31" s="35"/>
      <c r="I31" s="35"/>
      <c r="J31" s="35"/>
      <c r="K31" s="46"/>
      <c r="L31" s="35"/>
      <c r="M31" s="46"/>
      <c r="N31" s="35"/>
      <c r="O31" s="46"/>
      <c r="P31" s="35"/>
    </row>
    <row r="32" spans="1:16" ht="16.2" thickBot="1" x14ac:dyDescent="0.35">
      <c r="A32" s="47" t="s">
        <v>235</v>
      </c>
      <c r="B32" s="48">
        <v>5</v>
      </c>
      <c r="C32" s="48">
        <v>2</v>
      </c>
      <c r="D32" s="48">
        <v>-5</v>
      </c>
      <c r="E32" s="48">
        <v>-6</v>
      </c>
      <c r="F32" s="48">
        <v>4</v>
      </c>
      <c r="G32" s="49">
        <v>-7</v>
      </c>
      <c r="H32" s="35"/>
      <c r="I32" s="35"/>
      <c r="J32" s="35"/>
      <c r="K32" s="50"/>
      <c r="L32" s="35"/>
      <c r="M32" s="50"/>
      <c r="N32" s="35"/>
      <c r="O32" s="50"/>
      <c r="P32" s="35"/>
    </row>
    <row r="33" spans="1:16" x14ac:dyDescent="0.3">
      <c r="A33" s="51"/>
      <c r="B33" s="52"/>
      <c r="C33" s="52"/>
      <c r="D33" s="52"/>
      <c r="E33" s="52"/>
      <c r="F33" s="53"/>
      <c r="G33" s="53"/>
      <c r="H33" s="35"/>
      <c r="I33" s="35"/>
      <c r="J33" s="35"/>
      <c r="K33" s="35"/>
      <c r="L33" s="35"/>
      <c r="M33" s="35"/>
      <c r="N33" s="35"/>
      <c r="O33" s="35"/>
      <c r="P33" s="35"/>
    </row>
    <row r="34" spans="1:16" x14ac:dyDescent="0.3">
      <c r="A34" s="84" t="s">
        <v>236</v>
      </c>
      <c r="B34" s="84"/>
      <c r="C34" s="84"/>
      <c r="D34" s="84"/>
      <c r="E34" s="84"/>
      <c r="F34" s="53"/>
      <c r="G34" s="53"/>
      <c r="H34" s="35"/>
      <c r="I34" s="35"/>
      <c r="J34" s="35"/>
      <c r="K34" s="35"/>
      <c r="L34" s="35"/>
      <c r="M34" s="35"/>
      <c r="N34" s="35"/>
      <c r="O34" s="35"/>
      <c r="P34" s="35"/>
    </row>
    <row r="35" spans="1:16" x14ac:dyDescent="0.3">
      <c r="A35" s="51"/>
      <c r="B35" s="52"/>
      <c r="C35" s="52"/>
      <c r="D35" s="52"/>
      <c r="E35" s="52"/>
      <c r="F35" s="53"/>
      <c r="G35" s="53"/>
      <c r="H35" s="35"/>
      <c r="I35" s="35"/>
      <c r="J35" s="35"/>
      <c r="K35" s="35"/>
      <c r="L35" s="35"/>
      <c r="M35" s="35"/>
      <c r="N35" s="35"/>
      <c r="O35" s="35"/>
      <c r="P35" s="35"/>
    </row>
    <row r="36" spans="1:16" x14ac:dyDescent="0.3">
      <c r="A36" s="51"/>
      <c r="B36" s="52"/>
      <c r="C36" s="52"/>
      <c r="D36" s="52"/>
      <c r="E36" s="52"/>
      <c r="F36" s="53"/>
      <c r="G36" s="53"/>
      <c r="H36" s="35"/>
      <c r="I36" s="35"/>
      <c r="J36" s="35"/>
      <c r="K36" s="35"/>
      <c r="L36" s="35"/>
      <c r="M36" s="35"/>
      <c r="N36" s="35"/>
      <c r="O36" s="35"/>
      <c r="P36" s="35"/>
    </row>
    <row r="37" spans="1:16" x14ac:dyDescent="0.3">
      <c r="A37" s="51"/>
      <c r="B37" s="52"/>
      <c r="C37" s="52"/>
      <c r="D37" s="52"/>
      <c r="E37" s="52"/>
      <c r="F37" s="53"/>
      <c r="G37" s="53"/>
      <c r="H37" s="35"/>
      <c r="I37" s="35"/>
      <c r="J37" s="35"/>
      <c r="K37" s="35"/>
      <c r="L37" s="35"/>
      <c r="M37" s="35"/>
      <c r="N37" s="35"/>
      <c r="O37" s="35"/>
      <c r="P37" s="35"/>
    </row>
    <row r="38" spans="1:16" x14ac:dyDescent="0.3">
      <c r="A38" s="51"/>
      <c r="B38" s="52"/>
      <c r="C38" s="52"/>
      <c r="D38" s="52"/>
      <c r="E38" s="52"/>
      <c r="F38" s="53"/>
      <c r="G38" s="53"/>
      <c r="H38" s="35"/>
      <c r="I38" s="35"/>
      <c r="J38" s="35"/>
      <c r="K38" s="35"/>
      <c r="L38" s="35"/>
      <c r="M38" s="35"/>
      <c r="N38" s="35"/>
      <c r="O38" s="35"/>
      <c r="P38" s="35"/>
    </row>
    <row r="39" spans="1:16" x14ac:dyDescent="0.3">
      <c r="A39" s="51"/>
      <c r="B39" s="52"/>
      <c r="C39" s="52"/>
      <c r="D39" s="52"/>
      <c r="E39" s="52"/>
      <c r="F39" s="53"/>
      <c r="G39" s="53"/>
      <c r="H39" s="35"/>
      <c r="I39" s="35"/>
      <c r="J39" s="35"/>
      <c r="K39" s="35"/>
      <c r="L39" s="35"/>
      <c r="M39" s="35"/>
      <c r="N39" s="35"/>
      <c r="O39" s="35"/>
      <c r="P39" s="35"/>
    </row>
    <row r="40" spans="1:16" x14ac:dyDescent="0.3">
      <c r="A40" s="51"/>
      <c r="B40" s="52"/>
      <c r="C40" s="52"/>
      <c r="D40" s="52"/>
      <c r="E40" s="52"/>
      <c r="F40" s="53"/>
      <c r="G40" s="53"/>
      <c r="H40" s="35"/>
      <c r="I40" s="35"/>
      <c r="J40" s="35"/>
      <c r="K40" s="35"/>
      <c r="L40" s="35"/>
      <c r="M40" s="35"/>
      <c r="N40" s="35"/>
      <c r="O40" s="35"/>
      <c r="P40" s="35"/>
    </row>
    <row r="41" spans="1:16" x14ac:dyDescent="0.3">
      <c r="A41" s="51"/>
      <c r="B41" s="52"/>
      <c r="C41" s="52"/>
      <c r="D41" s="52"/>
      <c r="E41" s="52"/>
      <c r="F41" s="53"/>
      <c r="G41" s="53"/>
      <c r="H41" s="35"/>
      <c r="I41" s="35"/>
      <c r="J41" s="35"/>
      <c r="K41" s="35"/>
      <c r="L41" s="35"/>
      <c r="M41" s="35"/>
      <c r="N41" s="35"/>
      <c r="O41" s="35"/>
      <c r="P41" s="35"/>
    </row>
    <row r="42" spans="1:16" x14ac:dyDescent="0.3">
      <c r="A42" s="51"/>
      <c r="B42" s="52"/>
      <c r="C42" s="52"/>
      <c r="D42" s="52"/>
      <c r="E42" s="52"/>
      <c r="F42" s="53"/>
      <c r="G42" s="53"/>
      <c r="H42" s="35"/>
      <c r="I42" s="35"/>
      <c r="J42" s="35"/>
      <c r="K42" s="35"/>
      <c r="L42" s="35"/>
      <c r="M42" s="35"/>
      <c r="N42" s="35"/>
      <c r="O42" s="35"/>
      <c r="P42" s="35"/>
    </row>
    <row r="43" spans="1:16" x14ac:dyDescent="0.3">
      <c r="A43" s="51"/>
      <c r="B43" s="52"/>
      <c r="C43" s="52"/>
      <c r="D43" s="52"/>
      <c r="E43" s="52"/>
      <c r="F43" s="53"/>
      <c r="G43" s="53"/>
      <c r="H43" s="35"/>
      <c r="I43" s="35"/>
      <c r="J43" s="35"/>
      <c r="K43" s="35"/>
      <c r="L43" s="35"/>
      <c r="M43" s="35"/>
      <c r="N43" s="35"/>
      <c r="O43" s="35"/>
      <c r="P43" s="35"/>
    </row>
    <row r="44" spans="1:16" x14ac:dyDescent="0.3">
      <c r="A44" s="51"/>
      <c r="B44" s="52"/>
      <c r="C44" s="52"/>
      <c r="D44" s="52"/>
      <c r="E44" s="52"/>
      <c r="F44" s="53"/>
      <c r="G44" s="53"/>
      <c r="H44" s="35"/>
      <c r="I44" s="35"/>
      <c r="J44" s="35"/>
      <c r="K44" s="35"/>
      <c r="L44" s="35"/>
      <c r="M44" s="35"/>
      <c r="N44" s="35"/>
      <c r="O44" s="35"/>
      <c r="P44" s="35"/>
    </row>
    <row r="45" spans="1:16" x14ac:dyDescent="0.3">
      <c r="A45" s="51"/>
      <c r="B45" s="52"/>
      <c r="C45" s="52"/>
      <c r="D45" s="52"/>
      <c r="E45" s="52"/>
      <c r="F45" s="53"/>
      <c r="G45" s="53"/>
      <c r="H45" s="35"/>
      <c r="I45" s="35"/>
      <c r="J45" s="35"/>
      <c r="K45" s="35"/>
      <c r="L45" s="35"/>
      <c r="M45" s="35"/>
      <c r="N45" s="35"/>
      <c r="O45" s="35"/>
      <c r="P45" s="35"/>
    </row>
    <row r="46" spans="1:16" x14ac:dyDescent="0.3">
      <c r="A46" s="51"/>
      <c r="B46" s="52"/>
      <c r="C46" s="52"/>
      <c r="D46" s="52"/>
      <c r="E46" s="52"/>
      <c r="F46" s="53"/>
      <c r="G46" s="53"/>
      <c r="H46" s="35"/>
      <c r="I46" s="35"/>
      <c r="J46" s="35"/>
      <c r="K46" s="35"/>
      <c r="L46" s="35"/>
      <c r="M46" s="35"/>
      <c r="N46" s="35"/>
      <c r="O46" s="35"/>
      <c r="P46" s="35"/>
    </row>
    <row r="47" spans="1:16" x14ac:dyDescent="0.3">
      <c r="A47" s="51"/>
      <c r="B47" s="52"/>
      <c r="C47" s="52"/>
      <c r="D47" s="52"/>
      <c r="E47" s="52"/>
      <c r="F47" s="53"/>
      <c r="G47" s="53"/>
      <c r="H47" s="35"/>
      <c r="I47" s="35"/>
      <c r="J47" s="35"/>
      <c r="K47" s="35"/>
      <c r="L47" s="35"/>
      <c r="M47" s="35"/>
      <c r="N47" s="35"/>
      <c r="O47" s="35"/>
      <c r="P47" s="35"/>
    </row>
    <row r="48" spans="1:16" x14ac:dyDescent="0.3">
      <c r="A48" s="51"/>
      <c r="B48" s="52"/>
      <c r="C48" s="52"/>
      <c r="D48" s="52"/>
      <c r="E48" s="52"/>
      <c r="F48" s="53"/>
      <c r="G48" s="53"/>
      <c r="H48" s="35"/>
      <c r="I48" s="35"/>
      <c r="J48" s="35"/>
      <c r="K48" s="35"/>
      <c r="L48" s="35"/>
      <c r="M48" s="35"/>
      <c r="N48" s="35"/>
      <c r="O48" s="35"/>
      <c r="P48" s="35"/>
    </row>
    <row r="49" spans="1:16" x14ac:dyDescent="0.3">
      <c r="A49" s="51"/>
      <c r="B49" s="52"/>
      <c r="C49" s="52"/>
      <c r="D49" s="52"/>
      <c r="E49" s="52"/>
      <c r="F49" s="53"/>
      <c r="G49" s="53"/>
      <c r="H49" s="35"/>
      <c r="I49" s="35"/>
      <c r="J49" s="35"/>
      <c r="K49" s="35"/>
      <c r="L49" s="35"/>
      <c r="M49" s="35"/>
      <c r="N49" s="35"/>
      <c r="O49" s="35"/>
      <c r="P49" s="35"/>
    </row>
    <row r="50" spans="1:16" x14ac:dyDescent="0.3">
      <c r="A50" s="51"/>
      <c r="B50" s="52"/>
      <c r="C50" s="52"/>
      <c r="D50" s="52"/>
      <c r="E50" s="52"/>
      <c r="F50" s="53"/>
      <c r="G50" s="53"/>
      <c r="H50" s="35"/>
      <c r="I50" s="35"/>
      <c r="J50" s="35"/>
      <c r="K50" s="35"/>
      <c r="L50" s="35"/>
      <c r="M50" s="35"/>
      <c r="N50" s="35"/>
      <c r="O50" s="35"/>
      <c r="P50" s="35"/>
    </row>
    <row r="51" spans="1:16" x14ac:dyDescent="0.3">
      <c r="A51" s="51"/>
      <c r="B51" s="52"/>
      <c r="C51" s="52"/>
      <c r="D51" s="52"/>
      <c r="E51" s="52"/>
      <c r="F51" s="53"/>
      <c r="G51" s="53"/>
      <c r="H51" s="35"/>
      <c r="I51" s="35"/>
      <c r="J51" s="35"/>
      <c r="K51" s="35"/>
      <c r="L51" s="35"/>
      <c r="M51" s="35"/>
      <c r="N51" s="35"/>
      <c r="O51" s="35"/>
      <c r="P51" s="35"/>
    </row>
    <row r="52" spans="1:16" x14ac:dyDescent="0.3">
      <c r="A52" s="51"/>
      <c r="B52" s="52"/>
      <c r="C52" s="52"/>
      <c r="D52" s="52"/>
      <c r="E52" s="52"/>
      <c r="F52" s="53"/>
      <c r="G52" s="53"/>
      <c r="H52" s="35"/>
      <c r="I52" s="35"/>
      <c r="J52" s="35"/>
      <c r="K52" s="35"/>
      <c r="L52" s="35"/>
      <c r="M52" s="35"/>
      <c r="N52" s="35"/>
      <c r="O52" s="35"/>
      <c r="P52" s="35"/>
    </row>
    <row r="53" spans="1:16" x14ac:dyDescent="0.3">
      <c r="A53" s="51"/>
      <c r="B53" s="52"/>
      <c r="C53" s="52"/>
      <c r="D53" s="52"/>
      <c r="E53" s="52"/>
      <c r="F53" s="53"/>
      <c r="G53" s="53"/>
      <c r="H53" s="35"/>
      <c r="I53" s="35"/>
      <c r="J53" s="35"/>
      <c r="K53" s="35"/>
      <c r="L53" s="35"/>
      <c r="M53" s="35"/>
      <c r="N53" s="35"/>
      <c r="O53" s="35"/>
      <c r="P53" s="35"/>
    </row>
    <row r="54" spans="1:16" x14ac:dyDescent="0.3">
      <c r="A54" s="51"/>
      <c r="B54" s="52"/>
      <c r="C54" s="52"/>
      <c r="D54" s="52"/>
      <c r="E54" s="52"/>
      <c r="F54" s="53"/>
      <c r="G54" s="53"/>
      <c r="H54" s="35"/>
      <c r="I54" s="35"/>
      <c r="J54" s="35"/>
      <c r="K54" s="35"/>
      <c r="L54" s="35"/>
      <c r="M54" s="35"/>
      <c r="N54" s="35"/>
      <c r="O54" s="35"/>
      <c r="P54" s="35"/>
    </row>
    <row r="55" spans="1:16" x14ac:dyDescent="0.3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x14ac:dyDescent="0.3">
      <c r="A56" s="84" t="s">
        <v>237</v>
      </c>
      <c r="B56" s="84"/>
      <c r="C56" s="84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ht="16.2" thickBot="1" x14ac:dyDescent="0.35">
      <c r="A57" s="82" t="s">
        <v>238</v>
      </c>
      <c r="B57" s="82"/>
      <c r="C57" s="35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5"/>
    </row>
    <row r="58" spans="1:16" x14ac:dyDescent="0.3">
      <c r="A58" s="37" t="s">
        <v>239</v>
      </c>
      <c r="B58" s="39" t="s">
        <v>240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</row>
    <row r="59" spans="1:16" x14ac:dyDescent="0.3">
      <c r="A59" s="54" t="s">
        <v>185</v>
      </c>
      <c r="B59" s="44">
        <v>1425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</row>
    <row r="60" spans="1:16" x14ac:dyDescent="0.3">
      <c r="A60" s="54" t="s">
        <v>241</v>
      </c>
      <c r="B60" s="44">
        <v>1244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</row>
    <row r="61" spans="1:16" x14ac:dyDescent="0.3">
      <c r="A61" s="54" t="s">
        <v>242</v>
      </c>
      <c r="B61" s="44">
        <v>1226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</row>
    <row r="62" spans="1:16" x14ac:dyDescent="0.3">
      <c r="A62" s="54" t="s">
        <v>243</v>
      </c>
      <c r="B62" s="44">
        <v>1218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</row>
    <row r="63" spans="1:16" x14ac:dyDescent="0.3">
      <c r="A63" s="54" t="s">
        <v>244</v>
      </c>
      <c r="B63" s="44">
        <v>1186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</row>
    <row r="64" spans="1:16" x14ac:dyDescent="0.3">
      <c r="A64" s="54" t="s">
        <v>157</v>
      </c>
      <c r="B64" s="44">
        <v>1177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</row>
    <row r="65" spans="1:16" x14ac:dyDescent="0.3">
      <c r="A65" s="54" t="s">
        <v>245</v>
      </c>
      <c r="B65" s="44">
        <v>1166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</row>
    <row r="66" spans="1:16" x14ac:dyDescent="0.3">
      <c r="A66" s="54" t="s">
        <v>246</v>
      </c>
      <c r="B66" s="44">
        <v>1157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</row>
    <row r="67" spans="1:16" x14ac:dyDescent="0.3">
      <c r="A67" s="54" t="s">
        <v>247</v>
      </c>
      <c r="B67" s="44">
        <v>1155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</row>
    <row r="68" spans="1:16" ht="16.2" thickBot="1" x14ac:dyDescent="0.35">
      <c r="A68" s="55" t="s">
        <v>248</v>
      </c>
      <c r="B68" s="49">
        <v>1124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</row>
    <row r="69" spans="1:16" x14ac:dyDescent="0.3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</row>
    <row r="70" spans="1:16" x14ac:dyDescent="0.3">
      <c r="A70" s="86" t="s">
        <v>236</v>
      </c>
      <c r="B70" s="86"/>
      <c r="C70" s="86"/>
      <c r="D70" s="86"/>
      <c r="E70" s="36"/>
      <c r="F70" s="36"/>
      <c r="G70" s="35"/>
      <c r="H70" s="35"/>
      <c r="I70" s="35"/>
      <c r="J70" s="35"/>
      <c r="K70" s="35"/>
      <c r="L70" s="35"/>
      <c r="M70" s="35"/>
      <c r="N70" s="35"/>
      <c r="O70" s="35"/>
      <c r="P70" s="35"/>
    </row>
    <row r="71" spans="1:16" x14ac:dyDescent="0.3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</row>
    <row r="72" spans="1:16" x14ac:dyDescent="0.3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</row>
    <row r="73" spans="1:16" x14ac:dyDescent="0.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</row>
    <row r="74" spans="1:16" x14ac:dyDescent="0.3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</row>
    <row r="75" spans="1:16" x14ac:dyDescent="0.3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</row>
    <row r="76" spans="1:16" x14ac:dyDescent="0.3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</row>
    <row r="77" spans="1:16" x14ac:dyDescent="0.3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</row>
    <row r="78" spans="1:16" x14ac:dyDescent="0.3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</row>
    <row r="79" spans="1:16" x14ac:dyDescent="0.3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</row>
    <row r="80" spans="1:16" x14ac:dyDescent="0.3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</row>
    <row r="81" spans="1:23" x14ac:dyDescent="0.3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</row>
    <row r="82" spans="1:23" x14ac:dyDescent="0.3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</row>
    <row r="83" spans="1:23" x14ac:dyDescent="0.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</row>
    <row r="84" spans="1:23" x14ac:dyDescent="0.3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</row>
    <row r="85" spans="1:23" x14ac:dyDescent="0.3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</row>
    <row r="86" spans="1:23" x14ac:dyDescent="0.3">
      <c r="A86" s="84" t="s">
        <v>249</v>
      </c>
      <c r="B86" s="84"/>
      <c r="C86" s="84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</row>
    <row r="87" spans="1:23" ht="16.2" thickBot="1" x14ac:dyDescent="0.35">
      <c r="A87" s="85" t="s">
        <v>250</v>
      </c>
      <c r="B87" s="85"/>
      <c r="C87" s="85"/>
      <c r="D87" s="85"/>
      <c r="E87" s="3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W87" s="56"/>
    </row>
    <row r="88" spans="1:23" x14ac:dyDescent="0.3">
      <c r="A88" s="37" t="s">
        <v>251</v>
      </c>
      <c r="B88" s="38" t="s">
        <v>252</v>
      </c>
      <c r="C88" s="38" t="s">
        <v>253</v>
      </c>
      <c r="D88" s="39" t="s">
        <v>254</v>
      </c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</row>
    <row r="89" spans="1:23" x14ac:dyDescent="0.3">
      <c r="A89" s="54" t="s">
        <v>255</v>
      </c>
      <c r="B89" s="43">
        <v>17674</v>
      </c>
      <c r="C89" s="43">
        <v>11246</v>
      </c>
      <c r="D89" s="44">
        <v>9199</v>
      </c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</row>
    <row r="90" spans="1:23" x14ac:dyDescent="0.3">
      <c r="A90" s="54" t="s">
        <v>256</v>
      </c>
      <c r="B90" s="43">
        <v>18938</v>
      </c>
      <c r="C90" s="43">
        <v>13112</v>
      </c>
      <c r="D90" s="44">
        <v>5754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</row>
    <row r="91" spans="1:23" x14ac:dyDescent="0.3">
      <c r="A91" s="54" t="s">
        <v>257</v>
      </c>
      <c r="B91" s="43">
        <v>16334</v>
      </c>
      <c r="C91" s="43">
        <v>12960</v>
      </c>
      <c r="D91" s="44">
        <v>7775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</row>
    <row r="92" spans="1:23" x14ac:dyDescent="0.3">
      <c r="A92" s="54" t="s">
        <v>258</v>
      </c>
      <c r="B92" s="43">
        <v>11671</v>
      </c>
      <c r="C92" s="43">
        <v>11627</v>
      </c>
      <c r="D92" s="44">
        <v>8883</v>
      </c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</row>
    <row r="93" spans="1:23" x14ac:dyDescent="0.3">
      <c r="A93" s="54" t="s">
        <v>259</v>
      </c>
      <c r="B93" s="43">
        <v>19372</v>
      </c>
      <c r="C93" s="43">
        <v>12892</v>
      </c>
      <c r="D93" s="44">
        <v>6542</v>
      </c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</row>
    <row r="94" spans="1:23" x14ac:dyDescent="0.3">
      <c r="A94" s="54" t="s">
        <v>260</v>
      </c>
      <c r="B94" s="43">
        <v>15768</v>
      </c>
      <c r="C94" s="43">
        <v>12583</v>
      </c>
      <c r="D94" s="44">
        <v>9425</v>
      </c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</row>
    <row r="95" spans="1:23" ht="16.2" thickBot="1" x14ac:dyDescent="0.35">
      <c r="A95" s="55" t="s">
        <v>261</v>
      </c>
      <c r="B95" s="48">
        <v>14674</v>
      </c>
      <c r="C95" s="48">
        <v>14293</v>
      </c>
      <c r="D95" s="49">
        <v>7554</v>
      </c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</row>
    <row r="96" spans="1:23" x14ac:dyDescent="0.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</row>
    <row r="97" spans="1:16" x14ac:dyDescent="0.3">
      <c r="A97" s="86" t="s">
        <v>236</v>
      </c>
      <c r="B97" s="86"/>
      <c r="C97" s="86"/>
      <c r="D97" s="86"/>
      <c r="E97" s="86"/>
      <c r="F97" s="36"/>
      <c r="G97" s="35"/>
      <c r="H97" s="35"/>
      <c r="I97" s="35"/>
      <c r="J97" s="35"/>
      <c r="K97" s="35"/>
      <c r="L97" s="35"/>
      <c r="M97" s="35"/>
      <c r="N97" s="35"/>
      <c r="O97" s="35"/>
      <c r="P97" s="35"/>
    </row>
    <row r="98" spans="1:16" x14ac:dyDescent="0.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</row>
    <row r="99" spans="1:16" x14ac:dyDescent="0.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</row>
    <row r="100" spans="1:16" x14ac:dyDescent="0.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</row>
    <row r="101" spans="1:16" x14ac:dyDescent="0.3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</row>
    <row r="102" spans="1:16" x14ac:dyDescent="0.3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</row>
    <row r="103" spans="1:16" x14ac:dyDescent="0.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</row>
    <row r="104" spans="1:16" x14ac:dyDescent="0.3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</row>
    <row r="105" spans="1:16" x14ac:dyDescent="0.3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</row>
    <row r="106" spans="1:16" x14ac:dyDescent="0.3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</row>
    <row r="107" spans="1:16" x14ac:dyDescent="0.3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</row>
    <row r="108" spans="1:16" x14ac:dyDescent="0.3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</row>
    <row r="109" spans="1:16" x14ac:dyDescent="0.3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</row>
    <row r="110" spans="1:16" x14ac:dyDescent="0.3">
      <c r="A110" s="33"/>
      <c r="B110" s="33"/>
      <c r="C110" s="33"/>
      <c r="D110" s="33"/>
      <c r="E110" s="33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</row>
    <row r="111" spans="1:16" x14ac:dyDescent="0.3">
      <c r="A111" s="33"/>
      <c r="B111" s="33"/>
      <c r="C111" s="33"/>
      <c r="D111" s="33"/>
      <c r="E111" s="33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</row>
    <row r="112" spans="1:16" x14ac:dyDescent="0.3">
      <c r="A112" s="33"/>
      <c r="B112" s="33"/>
      <c r="C112" s="33"/>
      <c r="D112" s="33"/>
      <c r="E112" s="33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</row>
    <row r="113" spans="1:23" x14ac:dyDescent="0.3">
      <c r="A113" s="84" t="s">
        <v>262</v>
      </c>
      <c r="B113" s="84"/>
      <c r="C113" s="84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</row>
    <row r="114" spans="1:23" ht="16.2" thickBot="1" x14ac:dyDescent="0.35">
      <c r="A114" s="82" t="s">
        <v>263</v>
      </c>
      <c r="B114" s="82"/>
      <c r="C114" s="82"/>
      <c r="D114" s="82"/>
      <c r="E114" s="82"/>
      <c r="F114" s="82"/>
      <c r="G114" s="35"/>
      <c r="H114" s="85"/>
      <c r="I114" s="85"/>
      <c r="J114" s="85"/>
      <c r="K114" s="85"/>
      <c r="L114" s="85"/>
      <c r="M114" s="85"/>
      <c r="N114" s="85"/>
      <c r="O114" s="85"/>
      <c r="P114" s="85"/>
      <c r="Q114" s="56"/>
      <c r="W114" s="56"/>
    </row>
    <row r="115" spans="1:23" x14ac:dyDescent="0.3">
      <c r="A115" s="37" t="s">
        <v>264</v>
      </c>
      <c r="B115" s="38" t="s">
        <v>265</v>
      </c>
      <c r="C115" s="38" t="s">
        <v>266</v>
      </c>
      <c r="D115" s="38" t="s">
        <v>267</v>
      </c>
      <c r="E115" s="38" t="s">
        <v>268</v>
      </c>
      <c r="F115" s="39" t="s">
        <v>269</v>
      </c>
      <c r="G115" s="35"/>
      <c r="H115" s="35"/>
      <c r="I115" s="35"/>
      <c r="J115" s="35"/>
      <c r="K115" s="35"/>
      <c r="L115" s="35"/>
      <c r="M115" s="35"/>
      <c r="N115" s="35"/>
      <c r="O115" s="35"/>
      <c r="P115" s="35"/>
    </row>
    <row r="116" spans="1:23" x14ac:dyDescent="0.3">
      <c r="A116" s="57">
        <v>41640</v>
      </c>
      <c r="B116" s="58">
        <v>2121</v>
      </c>
      <c r="C116" s="58">
        <v>216</v>
      </c>
      <c r="D116" s="58">
        <v>72</v>
      </c>
      <c r="E116" s="59">
        <f>SUM(B116:D116)</f>
        <v>2409</v>
      </c>
      <c r="F116" s="60">
        <f t="shared" ref="F116:F128" si="0">E116/$E$128</f>
        <v>6.4346386024894495E-2</v>
      </c>
      <c r="G116" s="35"/>
      <c r="H116" s="35"/>
      <c r="I116" s="35"/>
      <c r="J116" s="35"/>
      <c r="K116" s="35"/>
      <c r="L116" s="35"/>
      <c r="M116" s="35"/>
      <c r="N116" s="35"/>
      <c r="O116" s="35"/>
      <c r="P116" s="35"/>
    </row>
    <row r="117" spans="1:23" x14ac:dyDescent="0.3">
      <c r="A117" s="57">
        <v>41671</v>
      </c>
      <c r="B117" s="58">
        <v>1346</v>
      </c>
      <c r="C117" s="58">
        <v>299</v>
      </c>
      <c r="D117" s="58">
        <v>67</v>
      </c>
      <c r="E117" s="43">
        <f t="shared" ref="E117:E126" si="1">SUM(B117:D117)</f>
        <v>1712</v>
      </c>
      <c r="F117" s="60">
        <f t="shared" si="0"/>
        <v>4.5728938511672632E-2</v>
      </c>
      <c r="G117" s="35"/>
      <c r="H117" s="35"/>
      <c r="I117" s="35"/>
      <c r="J117" s="35"/>
      <c r="K117" s="35"/>
      <c r="L117" s="35"/>
      <c r="M117" s="35"/>
      <c r="N117" s="35"/>
      <c r="O117" s="35"/>
      <c r="P117" s="35"/>
    </row>
    <row r="118" spans="1:23" x14ac:dyDescent="0.3">
      <c r="A118" s="57">
        <v>41699</v>
      </c>
      <c r="B118" s="58">
        <v>1888</v>
      </c>
      <c r="C118" s="58">
        <v>205</v>
      </c>
      <c r="D118" s="58">
        <v>77</v>
      </c>
      <c r="E118" s="43">
        <f t="shared" si="1"/>
        <v>2170</v>
      </c>
      <c r="F118" s="60">
        <f t="shared" si="0"/>
        <v>5.7962497996687859E-2</v>
      </c>
      <c r="G118" s="35"/>
      <c r="H118" s="35"/>
      <c r="I118" s="35"/>
      <c r="J118" s="35"/>
      <c r="K118" s="35"/>
      <c r="L118" s="35"/>
      <c r="M118" s="35"/>
      <c r="N118" s="35"/>
      <c r="O118" s="35"/>
      <c r="P118" s="35"/>
    </row>
    <row r="119" spans="1:23" x14ac:dyDescent="0.3">
      <c r="A119" s="57">
        <v>41730</v>
      </c>
      <c r="B119" s="58">
        <v>1084</v>
      </c>
      <c r="C119" s="58">
        <v>231</v>
      </c>
      <c r="D119" s="58">
        <v>60</v>
      </c>
      <c r="E119" s="43">
        <f t="shared" si="1"/>
        <v>1375</v>
      </c>
      <c r="F119" s="60">
        <f t="shared" si="0"/>
        <v>3.6727389283615575E-2</v>
      </c>
      <c r="G119" s="35"/>
      <c r="H119" s="35"/>
      <c r="I119" s="35"/>
      <c r="J119" s="35"/>
      <c r="K119" s="35"/>
      <c r="L119" s="35"/>
      <c r="M119" s="35"/>
      <c r="N119" s="35"/>
      <c r="O119" s="35"/>
      <c r="P119" s="35"/>
    </row>
    <row r="120" spans="1:23" x14ac:dyDescent="0.3">
      <c r="A120" s="57">
        <v>41760</v>
      </c>
      <c r="B120" s="58">
        <v>3488</v>
      </c>
      <c r="C120" s="58">
        <v>220</v>
      </c>
      <c r="D120" s="58">
        <v>10</v>
      </c>
      <c r="E120" s="43">
        <f t="shared" si="1"/>
        <v>3718</v>
      </c>
      <c r="F120" s="60">
        <f t="shared" si="0"/>
        <v>9.9310860622896527E-2</v>
      </c>
      <c r="G120" s="35"/>
      <c r="H120" s="35"/>
      <c r="I120" s="35"/>
      <c r="J120" s="35"/>
      <c r="K120" s="35"/>
      <c r="L120" s="35"/>
      <c r="M120" s="35"/>
      <c r="N120" s="35"/>
      <c r="O120" s="35"/>
      <c r="P120" s="35"/>
    </row>
    <row r="121" spans="1:23" x14ac:dyDescent="0.3">
      <c r="A121" s="57">
        <v>41791</v>
      </c>
      <c r="B121" s="58">
        <v>2683</v>
      </c>
      <c r="C121" s="58">
        <v>279</v>
      </c>
      <c r="D121" s="58">
        <v>97</v>
      </c>
      <c r="E121" s="43">
        <f t="shared" si="1"/>
        <v>3059</v>
      </c>
      <c r="F121" s="60">
        <f t="shared" si="0"/>
        <v>8.1708424595330953E-2</v>
      </c>
      <c r="G121" s="35"/>
      <c r="H121" s="35"/>
      <c r="I121" s="35"/>
      <c r="J121" s="35"/>
      <c r="K121" s="35"/>
      <c r="L121" s="35"/>
      <c r="M121" s="35"/>
      <c r="N121" s="35"/>
      <c r="O121" s="35"/>
      <c r="P121" s="35"/>
    </row>
    <row r="122" spans="1:23" x14ac:dyDescent="0.3">
      <c r="A122" s="57">
        <v>41821</v>
      </c>
      <c r="B122" s="58">
        <v>4248</v>
      </c>
      <c r="C122" s="58">
        <v>263</v>
      </c>
      <c r="D122" s="58">
        <v>39</v>
      </c>
      <c r="E122" s="43">
        <f t="shared" si="1"/>
        <v>4550</v>
      </c>
      <c r="F122" s="60">
        <f t="shared" si="0"/>
        <v>0.12153426999305518</v>
      </c>
      <c r="G122" s="35"/>
      <c r="H122" s="35"/>
      <c r="I122" s="35"/>
      <c r="J122" s="35"/>
      <c r="K122" s="35"/>
      <c r="L122" s="35"/>
      <c r="M122" s="35"/>
      <c r="N122" s="35"/>
      <c r="O122" s="35"/>
      <c r="P122" s="35"/>
    </row>
    <row r="123" spans="1:23" x14ac:dyDescent="0.3">
      <c r="A123" s="57">
        <v>41852</v>
      </c>
      <c r="B123" s="58">
        <v>3247</v>
      </c>
      <c r="C123" s="58">
        <v>217</v>
      </c>
      <c r="D123" s="58">
        <v>17</v>
      </c>
      <c r="E123" s="43">
        <f t="shared" si="1"/>
        <v>3481</v>
      </c>
      <c r="F123" s="60">
        <f t="shared" si="0"/>
        <v>9.298039425182969E-2</v>
      </c>
      <c r="G123" s="35"/>
      <c r="H123" s="35"/>
      <c r="I123" s="35"/>
      <c r="J123" s="35"/>
      <c r="K123" s="35"/>
      <c r="L123" s="35"/>
      <c r="M123" s="35"/>
      <c r="N123" s="35"/>
      <c r="O123" s="35"/>
      <c r="P123" s="35"/>
    </row>
    <row r="124" spans="1:23" x14ac:dyDescent="0.3">
      <c r="A124" s="57">
        <v>41883</v>
      </c>
      <c r="B124" s="58">
        <v>2113</v>
      </c>
      <c r="C124" s="58">
        <v>264</v>
      </c>
      <c r="D124" s="58">
        <v>33</v>
      </c>
      <c r="E124" s="43">
        <f t="shared" si="1"/>
        <v>2410</v>
      </c>
      <c r="F124" s="60">
        <f t="shared" si="0"/>
        <v>6.4373096853464401E-2</v>
      </c>
      <c r="G124" s="35"/>
      <c r="H124" s="35"/>
      <c r="I124" s="35"/>
      <c r="J124" s="35"/>
      <c r="K124" s="35"/>
      <c r="L124" s="35"/>
      <c r="M124" s="35"/>
      <c r="N124" s="35"/>
      <c r="O124" s="35"/>
      <c r="P124" s="35"/>
    </row>
    <row r="125" spans="1:23" x14ac:dyDescent="0.3">
      <c r="A125" s="57">
        <v>41913</v>
      </c>
      <c r="B125" s="58">
        <v>4659</v>
      </c>
      <c r="C125" s="58">
        <v>263</v>
      </c>
      <c r="D125" s="58">
        <v>94</v>
      </c>
      <c r="E125" s="43">
        <f t="shared" si="1"/>
        <v>5016</v>
      </c>
      <c r="F125" s="60">
        <f t="shared" si="0"/>
        <v>0.13398151610662962</v>
      </c>
      <c r="G125" s="35"/>
      <c r="H125" s="35"/>
      <c r="I125" s="35"/>
      <c r="J125" s="35"/>
      <c r="K125" s="35"/>
      <c r="L125" s="35"/>
      <c r="M125" s="35"/>
      <c r="N125" s="35"/>
      <c r="O125" s="35"/>
      <c r="P125" s="35"/>
    </row>
    <row r="126" spans="1:23" x14ac:dyDescent="0.3">
      <c r="A126" s="57">
        <v>41944</v>
      </c>
      <c r="B126" s="58">
        <v>3317</v>
      </c>
      <c r="C126" s="58">
        <v>296</v>
      </c>
      <c r="D126" s="58">
        <v>56</v>
      </c>
      <c r="E126" s="43">
        <f t="shared" si="1"/>
        <v>3669</v>
      </c>
      <c r="F126" s="60">
        <f t="shared" si="0"/>
        <v>9.8002030022971309E-2</v>
      </c>
      <c r="G126" s="35"/>
      <c r="H126" s="35"/>
      <c r="I126" s="35"/>
      <c r="J126" s="35"/>
      <c r="K126" s="35"/>
      <c r="L126" s="35"/>
      <c r="M126" s="35"/>
      <c r="N126" s="35"/>
      <c r="O126" s="35"/>
      <c r="P126" s="35"/>
    </row>
    <row r="127" spans="1:23" ht="16.2" thickBot="1" x14ac:dyDescent="0.35">
      <c r="A127" s="61">
        <v>41974</v>
      </c>
      <c r="B127" s="62">
        <v>3488</v>
      </c>
      <c r="C127" s="62">
        <v>293</v>
      </c>
      <c r="D127" s="62">
        <v>88</v>
      </c>
      <c r="E127" s="48">
        <f>SUM(B127:D127)</f>
        <v>3869</v>
      </c>
      <c r="F127" s="63">
        <f t="shared" si="0"/>
        <v>0.10334419573695176</v>
      </c>
      <c r="G127" s="35"/>
      <c r="H127" s="35"/>
      <c r="I127" s="35"/>
      <c r="J127" s="35"/>
      <c r="K127" s="35"/>
      <c r="L127" s="35"/>
      <c r="M127" s="35"/>
      <c r="N127" s="35"/>
      <c r="O127" s="35"/>
      <c r="P127" s="35"/>
    </row>
    <row r="128" spans="1:23" ht="16.2" thickBot="1" x14ac:dyDescent="0.35">
      <c r="A128" s="35"/>
      <c r="B128" s="35"/>
      <c r="C128" s="35"/>
      <c r="D128" s="35"/>
      <c r="E128" s="64">
        <f>SUM(E116:E127)</f>
        <v>37438</v>
      </c>
      <c r="F128" s="65">
        <f t="shared" si="0"/>
        <v>1</v>
      </c>
      <c r="G128" s="35"/>
      <c r="H128" s="35"/>
      <c r="I128" s="35"/>
      <c r="J128" s="35"/>
      <c r="K128" s="35"/>
      <c r="L128" s="35"/>
      <c r="M128" s="35"/>
      <c r="N128" s="35"/>
      <c r="O128" s="35"/>
      <c r="P128" s="35"/>
    </row>
    <row r="129" spans="1:16" x14ac:dyDescent="0.3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</row>
    <row r="130" spans="1:16" x14ac:dyDescent="0.3">
      <c r="A130" s="86" t="s">
        <v>236</v>
      </c>
      <c r="B130" s="86"/>
      <c r="C130" s="86"/>
      <c r="D130" s="86"/>
      <c r="E130" s="86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</row>
    <row r="131" spans="1:16" x14ac:dyDescent="0.3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</row>
    <row r="132" spans="1:16" x14ac:dyDescent="0.3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</row>
    <row r="133" spans="1:16" x14ac:dyDescent="0.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</row>
    <row r="134" spans="1:16" x14ac:dyDescent="0.3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</row>
    <row r="135" spans="1:16" x14ac:dyDescent="0.3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</row>
    <row r="136" spans="1:16" x14ac:dyDescent="0.3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</row>
    <row r="137" spans="1:16" x14ac:dyDescent="0.3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</row>
    <row r="138" spans="1:16" x14ac:dyDescent="0.3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</row>
    <row r="139" spans="1:16" x14ac:dyDescent="0.3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</row>
    <row r="140" spans="1:16" x14ac:dyDescent="0.3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</row>
    <row r="141" spans="1:16" x14ac:dyDescent="0.3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</row>
    <row r="142" spans="1:16" x14ac:dyDescent="0.3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</row>
    <row r="143" spans="1:16" x14ac:dyDescent="0.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</row>
    <row r="144" spans="1:16" x14ac:dyDescent="0.3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</row>
    <row r="145" spans="1:16" x14ac:dyDescent="0.3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</row>
    <row r="146" spans="1:16" x14ac:dyDescent="0.3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</row>
    <row r="147" spans="1:16" x14ac:dyDescent="0.3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</row>
    <row r="148" spans="1:16" x14ac:dyDescent="0.3">
      <c r="A148" s="86" t="s">
        <v>270</v>
      </c>
      <c r="B148" s="86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</row>
    <row r="149" spans="1:16" ht="16.2" thickBot="1" x14ac:dyDescent="0.35">
      <c r="A149" s="85" t="s">
        <v>271</v>
      </c>
      <c r="B149" s="85"/>
      <c r="C149" s="8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</row>
    <row r="150" spans="1:16" x14ac:dyDescent="0.3">
      <c r="A150" s="37" t="s">
        <v>239</v>
      </c>
      <c r="B150" s="38" t="s">
        <v>272</v>
      </c>
      <c r="C150" s="39" t="s">
        <v>273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</row>
    <row r="151" spans="1:16" x14ac:dyDescent="0.3">
      <c r="A151" s="66" t="s">
        <v>274</v>
      </c>
      <c r="B151" s="67">
        <v>40760</v>
      </c>
      <c r="C151" s="68">
        <v>3.5</v>
      </c>
      <c r="L151" s="35"/>
      <c r="M151" s="35"/>
      <c r="N151" s="35"/>
      <c r="O151" s="35"/>
      <c r="P151" s="35"/>
    </row>
    <row r="152" spans="1:16" x14ac:dyDescent="0.3">
      <c r="A152" s="66" t="s">
        <v>275</v>
      </c>
      <c r="B152" s="67">
        <v>40774</v>
      </c>
      <c r="C152" s="68">
        <v>6</v>
      </c>
      <c r="L152" s="35"/>
      <c r="M152" s="35"/>
      <c r="N152" s="35"/>
      <c r="O152" s="35"/>
      <c r="P152" s="35"/>
    </row>
    <row r="153" spans="1:16" x14ac:dyDescent="0.3">
      <c r="A153" s="66" t="s">
        <v>276</v>
      </c>
      <c r="B153" s="67">
        <v>40802</v>
      </c>
      <c r="C153" s="68">
        <v>3</v>
      </c>
      <c r="L153" s="35"/>
      <c r="M153" s="35"/>
      <c r="N153" s="35"/>
      <c r="O153" s="35"/>
      <c r="P153" s="35"/>
    </row>
    <row r="154" spans="1:16" x14ac:dyDescent="0.3">
      <c r="A154" s="66" t="s">
        <v>277</v>
      </c>
      <c r="B154" s="67">
        <v>40851</v>
      </c>
      <c r="C154" s="68">
        <v>2.5</v>
      </c>
      <c r="L154" s="35"/>
      <c r="M154" s="35"/>
      <c r="N154" s="35"/>
      <c r="O154" s="35"/>
      <c r="P154" s="35"/>
    </row>
    <row r="155" spans="1:16" x14ac:dyDescent="0.3">
      <c r="A155" s="66" t="s">
        <v>278</v>
      </c>
      <c r="B155" s="67">
        <v>40809</v>
      </c>
      <c r="C155" s="68">
        <v>10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</row>
    <row r="156" spans="1:16" ht="16.2" thickBot="1" x14ac:dyDescent="0.35">
      <c r="A156" s="69" t="s">
        <v>279</v>
      </c>
      <c r="B156" s="70">
        <v>40845</v>
      </c>
      <c r="C156" s="71">
        <v>8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</row>
    <row r="157" spans="1:16" x14ac:dyDescent="0.3">
      <c r="A157" s="35"/>
      <c r="B157" s="35"/>
      <c r="C157" s="35"/>
      <c r="D157" s="35"/>
      <c r="E157" s="35"/>
      <c r="F157" s="35"/>
      <c r="M157" s="35"/>
      <c r="N157" s="35"/>
      <c r="O157" s="35"/>
      <c r="P157" s="35"/>
    </row>
    <row r="158" spans="1:16" x14ac:dyDescent="0.3">
      <c r="A158" s="86" t="s">
        <v>236</v>
      </c>
      <c r="B158" s="86"/>
      <c r="C158" s="86"/>
      <c r="D158" s="86"/>
      <c r="E158" s="86"/>
      <c r="F158" s="35"/>
      <c r="M158" s="35"/>
      <c r="N158" s="35"/>
      <c r="O158" s="35"/>
      <c r="P158" s="35"/>
    </row>
    <row r="159" spans="1:16" x14ac:dyDescent="0.3">
      <c r="A159" s="35"/>
      <c r="B159" s="35"/>
      <c r="C159" s="35"/>
      <c r="D159" s="35"/>
      <c r="E159" s="35"/>
      <c r="F159" s="35"/>
      <c r="M159" s="35"/>
      <c r="N159" s="35"/>
      <c r="O159" s="35"/>
      <c r="P159" s="35"/>
    </row>
    <row r="160" spans="1:16" x14ac:dyDescent="0.3">
      <c r="A160" s="35"/>
      <c r="B160" s="35"/>
      <c r="C160" s="35"/>
      <c r="D160" s="35"/>
      <c r="E160" s="35"/>
      <c r="F160" s="35"/>
      <c r="M160" s="35"/>
      <c r="N160" s="35"/>
      <c r="O160" s="35"/>
      <c r="P160" s="35"/>
    </row>
    <row r="161" spans="1:18" x14ac:dyDescent="0.3">
      <c r="A161" s="35"/>
      <c r="B161" s="35"/>
      <c r="C161" s="35"/>
      <c r="D161" s="35"/>
      <c r="E161" s="35"/>
      <c r="F161" s="35"/>
      <c r="M161" s="35"/>
      <c r="N161" s="35"/>
      <c r="O161" s="35"/>
      <c r="P161" s="35"/>
    </row>
    <row r="162" spans="1:18" x14ac:dyDescent="0.3">
      <c r="A162" s="35"/>
      <c r="B162" s="35"/>
      <c r="C162" s="35"/>
      <c r="D162" s="35"/>
      <c r="E162" s="35"/>
      <c r="F162" s="35"/>
      <c r="M162" s="35"/>
      <c r="N162" s="35"/>
      <c r="O162" s="35"/>
      <c r="P162" s="35"/>
    </row>
    <row r="163" spans="1:18" x14ac:dyDescent="0.3">
      <c r="A163" s="35"/>
      <c r="B163" s="35"/>
      <c r="C163" s="35"/>
      <c r="D163" s="35"/>
      <c r="E163" s="35"/>
      <c r="F163" s="35"/>
      <c r="M163" s="35"/>
      <c r="N163" s="35"/>
      <c r="O163" s="35"/>
      <c r="P163" s="35"/>
    </row>
    <row r="164" spans="1:18" x14ac:dyDescent="0.3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</row>
    <row r="165" spans="1:18" x14ac:dyDescent="0.3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</row>
    <row r="166" spans="1:18" x14ac:dyDescent="0.3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</row>
    <row r="167" spans="1:18" x14ac:dyDescent="0.3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</row>
    <row r="168" spans="1:18" x14ac:dyDescent="0.3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</row>
    <row r="169" spans="1:18" x14ac:dyDescent="0.3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</row>
    <row r="170" spans="1:18" x14ac:dyDescent="0.3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</row>
    <row r="171" spans="1:18" x14ac:dyDescent="0.3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</row>
    <row r="172" spans="1:18" x14ac:dyDescent="0.3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</row>
    <row r="173" spans="1:18" x14ac:dyDescent="0.3">
      <c r="A173" s="86" t="s">
        <v>280</v>
      </c>
      <c r="B173" s="86"/>
      <c r="C173" s="86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</row>
    <row r="174" spans="1:18" ht="16.2" thickBot="1" x14ac:dyDescent="0.35">
      <c r="A174" s="85" t="s">
        <v>281</v>
      </c>
      <c r="B174" s="85"/>
      <c r="C174" s="85"/>
      <c r="D174" s="85"/>
      <c r="E174" s="85"/>
      <c r="F174" s="85"/>
      <c r="G174" s="85"/>
      <c r="H174" s="85"/>
      <c r="I174" s="85"/>
      <c r="J174" s="85"/>
      <c r="K174" s="35"/>
      <c r="L174" s="35"/>
      <c r="M174" s="35"/>
      <c r="N174" s="35"/>
      <c r="O174" s="35"/>
      <c r="P174" s="35"/>
    </row>
    <row r="175" spans="1:18" ht="28.8" x14ac:dyDescent="0.3">
      <c r="A175" s="37"/>
      <c r="B175" s="38" t="s">
        <v>282</v>
      </c>
      <c r="C175" s="38" t="s">
        <v>283</v>
      </c>
      <c r="D175" s="38" t="s">
        <v>284</v>
      </c>
      <c r="E175" s="38" t="s">
        <v>285</v>
      </c>
      <c r="F175" s="38" t="s">
        <v>286</v>
      </c>
      <c r="G175" s="38" t="s">
        <v>287</v>
      </c>
      <c r="H175" s="38" t="s">
        <v>288</v>
      </c>
      <c r="I175" s="38" t="s">
        <v>289</v>
      </c>
      <c r="J175" s="39" t="s">
        <v>290</v>
      </c>
      <c r="K175" s="35"/>
      <c r="L175" s="96" t="s">
        <v>336</v>
      </c>
      <c r="M175" s="96" t="s">
        <v>337</v>
      </c>
      <c r="N175" s="96" t="s">
        <v>338</v>
      </c>
      <c r="O175" s="96" t="s">
        <v>339</v>
      </c>
      <c r="P175" s="96" t="s">
        <v>340</v>
      </c>
      <c r="Q175" s="96" t="s">
        <v>341</v>
      </c>
      <c r="R175" s="96" t="s">
        <v>342</v>
      </c>
    </row>
    <row r="176" spans="1:18" x14ac:dyDescent="0.3">
      <c r="A176" s="42" t="s">
        <v>218</v>
      </c>
      <c r="B176" s="43">
        <v>287</v>
      </c>
      <c r="C176" s="43">
        <v>200</v>
      </c>
      <c r="D176" s="43">
        <v>270</v>
      </c>
      <c r="E176" s="43">
        <v>282</v>
      </c>
      <c r="F176" s="43">
        <v>248</v>
      </c>
      <c r="G176" s="43">
        <v>200</v>
      </c>
      <c r="H176" s="43">
        <v>184</v>
      </c>
      <c r="I176" s="43">
        <v>156</v>
      </c>
      <c r="J176" s="44">
        <f>AVERAGE(B176:I176)</f>
        <v>228.375</v>
      </c>
      <c r="K176" s="35"/>
      <c r="L176" s="96" t="s">
        <v>282</v>
      </c>
      <c r="M176" s="96">
        <v>287</v>
      </c>
      <c r="N176" s="96"/>
      <c r="O176" s="96">
        <v>325</v>
      </c>
      <c r="P176" s="96"/>
      <c r="Q176" s="96">
        <v>253</v>
      </c>
      <c r="R176" s="96"/>
    </row>
    <row r="177" spans="1:18" x14ac:dyDescent="0.3">
      <c r="A177" s="42" t="s">
        <v>219</v>
      </c>
      <c r="B177" s="43">
        <v>325</v>
      </c>
      <c r="C177" s="43">
        <v>400</v>
      </c>
      <c r="D177" s="43">
        <v>390</v>
      </c>
      <c r="E177" s="43">
        <v>306</v>
      </c>
      <c r="F177" s="43">
        <v>292</v>
      </c>
      <c r="G177" s="43">
        <v>300</v>
      </c>
      <c r="H177" s="43">
        <v>279</v>
      </c>
      <c r="I177" s="43">
        <v>368</v>
      </c>
      <c r="J177" s="44">
        <f t="shared" ref="J177:J178" si="2">AVERAGE(B177:I177)</f>
        <v>332.5</v>
      </c>
      <c r="K177" s="35"/>
      <c r="L177" s="96" t="s">
        <v>283</v>
      </c>
      <c r="M177" s="96">
        <v>200</v>
      </c>
      <c r="N177" s="96"/>
      <c r="O177" s="96">
        <v>400</v>
      </c>
      <c r="P177" s="96"/>
      <c r="Q177" s="96">
        <v>258</v>
      </c>
      <c r="R177" s="96"/>
    </row>
    <row r="178" spans="1:18" ht="16.2" thickBot="1" x14ac:dyDescent="0.35">
      <c r="A178" s="47" t="s">
        <v>220</v>
      </c>
      <c r="B178" s="48">
        <v>253</v>
      </c>
      <c r="C178" s="48">
        <v>258</v>
      </c>
      <c r="D178" s="48">
        <v>283</v>
      </c>
      <c r="E178" s="48">
        <v>294</v>
      </c>
      <c r="F178" s="48">
        <v>305</v>
      </c>
      <c r="G178" s="48">
        <v>324</v>
      </c>
      <c r="H178" s="48">
        <v>372</v>
      </c>
      <c r="I178" s="48">
        <v>328</v>
      </c>
      <c r="J178" s="49">
        <f t="shared" si="2"/>
        <v>302.125</v>
      </c>
      <c r="K178" s="35"/>
      <c r="L178" s="96" t="s">
        <v>284</v>
      </c>
      <c r="M178" s="96">
        <v>270</v>
      </c>
      <c r="N178" s="96"/>
      <c r="O178" s="96">
        <v>390</v>
      </c>
      <c r="P178" s="96"/>
      <c r="Q178" s="96">
        <v>283</v>
      </c>
      <c r="R178" s="96"/>
    </row>
    <row r="179" spans="1:18" x14ac:dyDescent="0.3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96" t="s">
        <v>285</v>
      </c>
      <c r="M179" s="96">
        <v>282</v>
      </c>
      <c r="N179" s="96"/>
      <c r="O179" s="96">
        <v>306</v>
      </c>
      <c r="P179" s="96"/>
      <c r="Q179" s="96">
        <v>294</v>
      </c>
      <c r="R179" s="96"/>
    </row>
    <row r="180" spans="1:18" x14ac:dyDescent="0.3">
      <c r="A180" s="86" t="s">
        <v>236</v>
      </c>
      <c r="B180" s="86"/>
      <c r="C180" s="86"/>
      <c r="D180" s="86"/>
      <c r="E180" s="86"/>
      <c r="F180" s="35"/>
      <c r="G180" s="35"/>
      <c r="H180" s="35"/>
      <c r="I180" s="35"/>
      <c r="J180" s="35"/>
      <c r="K180" s="35"/>
      <c r="L180" s="96" t="s">
        <v>286</v>
      </c>
      <c r="M180" s="96">
        <v>248</v>
      </c>
      <c r="N180" s="96"/>
      <c r="O180" s="96">
        <v>292</v>
      </c>
      <c r="P180" s="96"/>
      <c r="Q180" s="96">
        <v>305</v>
      </c>
      <c r="R180" s="96"/>
    </row>
    <row r="181" spans="1:18" x14ac:dyDescent="0.3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96" t="s">
        <v>287</v>
      </c>
      <c r="M181" s="96">
        <v>200</v>
      </c>
      <c r="N181" s="96"/>
      <c r="O181" s="96">
        <v>300</v>
      </c>
      <c r="P181" s="96"/>
      <c r="Q181" s="96">
        <v>324</v>
      </c>
      <c r="R181" s="96"/>
    </row>
    <row r="182" spans="1:18" x14ac:dyDescent="0.3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96" t="s">
        <v>288</v>
      </c>
      <c r="M182" s="96">
        <v>184</v>
      </c>
      <c r="N182" s="96"/>
      <c r="O182" s="96">
        <v>279</v>
      </c>
      <c r="P182" s="96"/>
      <c r="Q182" s="96">
        <v>372</v>
      </c>
      <c r="R182" s="96"/>
    </row>
    <row r="183" spans="1:18" x14ac:dyDescent="0.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96" t="s">
        <v>289</v>
      </c>
      <c r="M183" s="96">
        <v>156</v>
      </c>
      <c r="N183" s="96"/>
      <c r="O183" s="96">
        <v>368</v>
      </c>
      <c r="P183" s="96"/>
      <c r="Q183" s="96">
        <v>328</v>
      </c>
      <c r="R183" s="96"/>
    </row>
    <row r="184" spans="1:18" x14ac:dyDescent="0.3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97" t="s">
        <v>343</v>
      </c>
      <c r="M184" s="96"/>
      <c r="N184" s="97">
        <v>228.375</v>
      </c>
      <c r="O184" s="96"/>
      <c r="P184" s="96"/>
      <c r="Q184" s="96"/>
      <c r="R184" s="96"/>
    </row>
    <row r="185" spans="1:18" x14ac:dyDescent="0.3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97" t="s">
        <v>344</v>
      </c>
      <c r="M185" s="96"/>
      <c r="N185" s="96"/>
      <c r="O185" s="96"/>
      <c r="P185" s="97">
        <v>332.5</v>
      </c>
      <c r="Q185" s="96"/>
      <c r="R185" s="96"/>
    </row>
    <row r="186" spans="1:18" x14ac:dyDescent="0.3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97" t="s">
        <v>345</v>
      </c>
      <c r="M186" s="96"/>
      <c r="N186" s="96"/>
      <c r="O186" s="96"/>
      <c r="P186" s="96"/>
      <c r="Q186" s="96"/>
      <c r="R186" s="97">
        <v>302.125</v>
      </c>
    </row>
    <row r="187" spans="1:18" x14ac:dyDescent="0.3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</row>
    <row r="188" spans="1:18" x14ac:dyDescent="0.3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</row>
    <row r="189" spans="1:18" x14ac:dyDescent="0.3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</row>
    <row r="190" spans="1:18" x14ac:dyDescent="0.3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</row>
    <row r="191" spans="1:18" x14ac:dyDescent="0.3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</row>
    <row r="192" spans="1:18" x14ac:dyDescent="0.3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</row>
    <row r="193" spans="1:16" x14ac:dyDescent="0.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</row>
    <row r="194" spans="1:16" x14ac:dyDescent="0.3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</row>
    <row r="195" spans="1:16" x14ac:dyDescent="0.3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</row>
    <row r="196" spans="1:16" x14ac:dyDescent="0.3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</row>
    <row r="197" spans="1:16" x14ac:dyDescent="0.3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</row>
    <row r="198" spans="1:16" x14ac:dyDescent="0.3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</row>
    <row r="199" spans="1:16" x14ac:dyDescent="0.3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</row>
    <row r="200" spans="1:16" x14ac:dyDescent="0.3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</row>
    <row r="201" spans="1:16" x14ac:dyDescent="0.3">
      <c r="A201" s="89" t="s">
        <v>291</v>
      </c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35"/>
    </row>
    <row r="203" spans="1:16" x14ac:dyDescent="0.3">
      <c r="A203" s="72"/>
      <c r="B203" s="73" t="s">
        <v>292</v>
      </c>
      <c r="C203" s="73" t="s">
        <v>293</v>
      </c>
      <c r="D203" s="73" t="s">
        <v>294</v>
      </c>
    </row>
    <row r="204" spans="1:16" x14ac:dyDescent="0.3">
      <c r="A204" s="73" t="s">
        <v>295</v>
      </c>
      <c r="B204" s="74">
        <v>400000</v>
      </c>
      <c r="C204" s="74">
        <v>200</v>
      </c>
      <c r="D204" s="74">
        <v>200</v>
      </c>
    </row>
    <row r="205" spans="1:16" x14ac:dyDescent="0.3">
      <c r="A205" s="73" t="s">
        <v>296</v>
      </c>
      <c r="B205" s="74">
        <v>500000</v>
      </c>
      <c r="C205" s="74">
        <v>100</v>
      </c>
      <c r="D205" s="74">
        <v>400</v>
      </c>
    </row>
    <row r="206" spans="1:16" x14ac:dyDescent="0.3">
      <c r="A206" s="73" t="s">
        <v>297</v>
      </c>
      <c r="B206" s="74">
        <v>300000</v>
      </c>
      <c r="C206" s="74">
        <v>200</v>
      </c>
      <c r="D206" s="74">
        <v>100</v>
      </c>
    </row>
    <row r="207" spans="1:16" x14ac:dyDescent="0.3">
      <c r="A207" s="73" t="s">
        <v>298</v>
      </c>
      <c r="B207" s="74">
        <v>200000</v>
      </c>
      <c r="C207" s="74">
        <v>150</v>
      </c>
      <c r="D207" s="74">
        <v>50</v>
      </c>
    </row>
    <row r="209" spans="1:15" x14ac:dyDescent="0.3">
      <c r="A209" s="86" t="s">
        <v>236</v>
      </c>
      <c r="B209" s="86"/>
      <c r="C209" s="86"/>
      <c r="D209" s="86"/>
      <c r="E209" s="86"/>
    </row>
    <row r="223" spans="1:15" x14ac:dyDescent="0.3">
      <c r="A223" s="87" t="s">
        <v>299</v>
      </c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</row>
    <row r="224" spans="1:15" x14ac:dyDescent="0.3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</row>
    <row r="225" spans="1:15" x14ac:dyDescent="0.3">
      <c r="A225" s="75" t="s">
        <v>300</v>
      </c>
      <c r="B225" s="76" t="s">
        <v>301</v>
      </c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</row>
    <row r="226" spans="1:15" x14ac:dyDescent="0.3">
      <c r="A226" s="77" t="s">
        <v>302</v>
      </c>
      <c r="B226" s="78">
        <v>0.45</v>
      </c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</row>
    <row r="227" spans="1:15" x14ac:dyDescent="0.3">
      <c r="A227" s="77" t="s">
        <v>303</v>
      </c>
      <c r="B227" s="78">
        <v>0.55000000000000004</v>
      </c>
      <c r="C227" s="88"/>
      <c r="D227" s="88"/>
      <c r="E227" s="88"/>
      <c r="F227" s="88"/>
      <c r="G227" s="79"/>
      <c r="H227" s="79"/>
      <c r="I227" s="79"/>
      <c r="J227" s="79"/>
      <c r="K227" s="79"/>
      <c r="L227" s="79"/>
      <c r="M227" s="79"/>
      <c r="N227" s="79"/>
      <c r="O227" s="79"/>
    </row>
    <row r="228" spans="1:15" x14ac:dyDescent="0.3">
      <c r="A228" s="77" t="s">
        <v>268</v>
      </c>
      <c r="B228" s="78">
        <v>1</v>
      </c>
      <c r="C228" s="88"/>
      <c r="D228" s="88"/>
      <c r="E228" s="88"/>
      <c r="F228" s="88"/>
      <c r="G228" s="79"/>
      <c r="H228" s="79"/>
      <c r="I228" s="79"/>
      <c r="J228" s="79"/>
      <c r="K228" s="79"/>
      <c r="L228" s="79"/>
      <c r="M228" s="79"/>
      <c r="N228" s="79"/>
      <c r="O228" s="79"/>
    </row>
    <row r="229" spans="1:15" x14ac:dyDescent="0.3">
      <c r="A229" s="79"/>
      <c r="B229" s="79"/>
      <c r="C229" s="88"/>
      <c r="D229" s="88"/>
      <c r="E229" s="88"/>
      <c r="F229" s="88"/>
      <c r="G229" s="79"/>
      <c r="H229" s="79"/>
      <c r="I229" s="79"/>
      <c r="J229" s="79"/>
      <c r="K229" s="79"/>
      <c r="L229" s="79"/>
      <c r="M229" s="79"/>
      <c r="N229" s="79"/>
      <c r="O229" s="79"/>
    </row>
    <row r="230" spans="1:15" x14ac:dyDescent="0.3">
      <c r="A230" s="79"/>
      <c r="B230" s="79"/>
      <c r="C230" s="88"/>
      <c r="D230" s="88"/>
      <c r="E230" s="88"/>
      <c r="F230" s="88"/>
      <c r="G230" s="79"/>
      <c r="H230" s="79"/>
      <c r="I230" s="79"/>
      <c r="J230" s="79"/>
      <c r="K230" s="79"/>
      <c r="L230" s="79"/>
      <c r="M230" s="79"/>
      <c r="N230" s="79"/>
      <c r="O230" s="79"/>
    </row>
    <row r="231" spans="1:15" x14ac:dyDescent="0.3">
      <c r="A231" s="79"/>
      <c r="B231" s="79"/>
      <c r="C231" s="88"/>
      <c r="D231" s="88"/>
      <c r="E231" s="88"/>
      <c r="F231" s="88"/>
      <c r="G231" s="79"/>
      <c r="H231" s="79"/>
      <c r="I231" s="79"/>
      <c r="J231" s="79"/>
      <c r="K231" s="79"/>
      <c r="L231" s="79"/>
      <c r="M231" s="79"/>
      <c r="N231" s="79"/>
      <c r="O231" s="79"/>
    </row>
    <row r="232" spans="1:15" x14ac:dyDescent="0.3">
      <c r="C232" s="88"/>
      <c r="D232" s="88"/>
      <c r="E232" s="88"/>
      <c r="F232" s="88"/>
      <c r="G232" s="79"/>
      <c r="H232" s="79"/>
      <c r="I232" s="79"/>
      <c r="J232" s="79"/>
      <c r="K232" s="79"/>
      <c r="L232" s="79"/>
      <c r="M232" s="79"/>
      <c r="N232" s="79"/>
      <c r="O232" s="79"/>
    </row>
    <row r="233" spans="1:15" x14ac:dyDescent="0.3">
      <c r="A233" s="80"/>
      <c r="B233" s="75" t="s">
        <v>304</v>
      </c>
      <c r="C233" s="88"/>
      <c r="D233" s="88"/>
      <c r="E233" s="88"/>
      <c r="F233" s="88"/>
      <c r="G233" s="79"/>
      <c r="H233" s="79"/>
      <c r="I233" s="79"/>
      <c r="J233" s="79"/>
      <c r="K233" s="79"/>
      <c r="L233" s="79"/>
      <c r="M233" s="79"/>
      <c r="N233" s="79"/>
      <c r="O233" s="79"/>
    </row>
    <row r="234" spans="1:15" x14ac:dyDescent="0.3">
      <c r="A234" s="75" t="s">
        <v>305</v>
      </c>
      <c r="B234" s="78">
        <v>0.47</v>
      </c>
      <c r="C234" s="88"/>
      <c r="D234" s="88"/>
      <c r="E234" s="88"/>
      <c r="F234" s="88"/>
      <c r="G234" s="79"/>
      <c r="H234" s="79"/>
      <c r="I234" s="79"/>
      <c r="J234" s="79"/>
      <c r="K234" s="79"/>
      <c r="L234" s="79"/>
      <c r="M234" s="79"/>
      <c r="N234" s="79"/>
      <c r="O234" s="79"/>
    </row>
    <row r="235" spans="1:15" x14ac:dyDescent="0.3">
      <c r="A235" s="77" t="s">
        <v>306</v>
      </c>
      <c r="B235" s="78">
        <v>1</v>
      </c>
      <c r="C235" s="88"/>
      <c r="D235" s="88"/>
      <c r="E235" s="88"/>
      <c r="F235" s="88"/>
      <c r="G235" s="79"/>
      <c r="H235" s="79"/>
      <c r="I235" s="79"/>
      <c r="J235" s="79"/>
      <c r="K235" s="79"/>
      <c r="L235" s="79"/>
      <c r="M235" s="79"/>
      <c r="N235" s="79"/>
      <c r="O235" s="79"/>
    </row>
    <row r="236" spans="1:15" x14ac:dyDescent="0.3">
      <c r="A236" s="79"/>
      <c r="B236" s="79"/>
      <c r="C236" s="88"/>
      <c r="D236" s="88"/>
      <c r="E236" s="88"/>
      <c r="F236" s="88"/>
      <c r="G236" s="79"/>
      <c r="H236" s="79"/>
      <c r="I236" s="79"/>
      <c r="J236" s="79"/>
      <c r="K236" s="79"/>
      <c r="L236" s="79"/>
      <c r="M236" s="79"/>
      <c r="N236" s="79"/>
      <c r="O236" s="79"/>
    </row>
    <row r="237" spans="1:15" x14ac:dyDescent="0.3">
      <c r="A237" s="79"/>
      <c r="B237" s="79"/>
      <c r="C237" s="88"/>
      <c r="D237" s="88"/>
      <c r="E237" s="88"/>
      <c r="F237" s="88"/>
      <c r="G237" s="79"/>
      <c r="H237" s="79"/>
      <c r="I237" s="79"/>
      <c r="J237" s="79"/>
      <c r="K237" s="79"/>
      <c r="L237" s="79"/>
      <c r="M237" s="79"/>
      <c r="N237" s="79"/>
      <c r="O237" s="79"/>
    </row>
    <row r="238" spans="1:15" x14ac:dyDescent="0.3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</row>
    <row r="239" spans="1:15" x14ac:dyDescent="0.3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</row>
    <row r="240" spans="1:15" x14ac:dyDescent="0.3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</row>
    <row r="241" spans="1:15" x14ac:dyDescent="0.3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</row>
    <row r="242" spans="1:15" x14ac:dyDescent="0.3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</row>
    <row r="243" spans="1:15" x14ac:dyDescent="0.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</row>
  </sheetData>
  <mergeCells count="24">
    <mergeCell ref="A223:O223"/>
    <mergeCell ref="C227:F237"/>
    <mergeCell ref="A174:J174"/>
    <mergeCell ref="A180:E180"/>
    <mergeCell ref="A201:O201"/>
    <mergeCell ref="A209:E209"/>
    <mergeCell ref="H114:P114"/>
    <mergeCell ref="A130:E130"/>
    <mergeCell ref="A148:B148"/>
    <mergeCell ref="A149:C149"/>
    <mergeCell ref="A158:E158"/>
    <mergeCell ref="A173:C173"/>
    <mergeCell ref="A114:F114"/>
    <mergeCell ref="A70:D70"/>
    <mergeCell ref="A86:C86"/>
    <mergeCell ref="A87:D87"/>
    <mergeCell ref="A97:E97"/>
    <mergeCell ref="A113:C113"/>
    <mergeCell ref="A57:B57"/>
    <mergeCell ref="A10:O10"/>
    <mergeCell ref="A12:B12"/>
    <mergeCell ref="A13:G13"/>
    <mergeCell ref="A34:E34"/>
    <mergeCell ref="A56:C56"/>
  </mergeCells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5C0A1ADC-9CCA-4570-93CA-00FCFB8F7303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Gráficos!A32:G32</xm:f>
              <xm:sqref>M32</xm:sqref>
            </x14:sparkline>
          </x14:sparklines>
        </x14:sparklineGroup>
        <x14:sparklineGroup type="column" displayEmptyCellsAs="gap" xr2:uid="{1B74FE20-0B08-486D-A1E7-82491BCBD6CC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Gráficos!A31:G31</xm:f>
              <xm:sqref>M31</xm:sqref>
            </x14:sparkline>
          </x14:sparklines>
        </x14:sparklineGroup>
        <x14:sparklineGroup type="column" displayEmptyCellsAs="gap" xr2:uid="{E84822ED-C4E2-4DEC-A780-F96D606861CB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Gráficos!A30:G30</xm:f>
              <xm:sqref>M30</xm:sqref>
            </x14:sparkline>
          </x14:sparklines>
        </x14:sparklineGroup>
        <x14:sparklineGroup type="column" displayEmptyCellsAs="gap" xr2:uid="{4F1E5349-BF7B-4DA9-9DAA-FF5666CACCFE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Gráficos!A29:G29</xm:f>
              <xm:sqref>M29</xm:sqref>
            </x14:sparkline>
          </x14:sparklines>
        </x14:sparklineGroup>
        <x14:sparklineGroup type="column" displayEmptyCellsAs="gap" xr2:uid="{9CE92F76-18A6-43E8-9713-B6117B063877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Gráficos!A28:G28</xm:f>
              <xm:sqref>M28</xm:sqref>
            </x14:sparkline>
          </x14:sparklines>
        </x14:sparklineGroup>
        <x14:sparklineGroup type="column" displayEmptyCellsAs="gap" xr2:uid="{F79CCF6D-8A9B-449F-AE7D-45A99E271229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Gráficos!A27:G27</xm:f>
              <xm:sqref>M27</xm:sqref>
            </x14:sparkline>
          </x14:sparklines>
        </x14:sparklineGroup>
        <x14:sparklineGroup type="column" displayEmptyCellsAs="gap" xr2:uid="{DEB36796-5351-41FE-B982-CFCB5095DF22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Gráficos!A26:G26</xm:f>
              <xm:sqref>M26</xm:sqref>
            </x14:sparkline>
          </x14:sparklines>
        </x14:sparklineGroup>
        <x14:sparklineGroup type="column" displayEmptyCellsAs="gap" xr2:uid="{BA2C8E79-A5AD-4916-AB95-C0B0AFC3B065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Gráficos!A25:G25</xm:f>
              <xm:sqref>M25</xm:sqref>
            </x14:sparkline>
          </x14:sparklines>
        </x14:sparklineGroup>
        <x14:sparklineGroup type="column" displayEmptyCellsAs="gap" xr2:uid="{49CA8327-F7CB-427E-8ABE-65C77F7CD383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Gráficos!A24:G24</xm:f>
              <xm:sqref>M24</xm:sqref>
            </x14:sparkline>
          </x14:sparklines>
        </x14:sparklineGroup>
        <x14:sparklineGroup type="column" displayEmptyCellsAs="gap" xr2:uid="{6E68F5B2-1E73-41EC-8094-C92D68B34A45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Gráficos!A23:G23</xm:f>
              <xm:sqref>M23</xm:sqref>
            </x14:sparkline>
          </x14:sparklines>
        </x14:sparklineGroup>
        <x14:sparklineGroup type="column" displayEmptyCellsAs="gap" xr2:uid="{359D65C7-FDCE-4A48-80CF-0764C2AD7242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Gráficos!A22:G22</xm:f>
              <xm:sqref>M22</xm:sqref>
            </x14:sparkline>
          </x14:sparklines>
        </x14:sparklineGroup>
        <x14:sparklineGroup type="column" displayEmptyCellsAs="gap" xr2:uid="{7CC16037-87D3-4AA8-9B79-3895F157D06D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Gráficos!A21:G21</xm:f>
              <xm:sqref>M21</xm:sqref>
            </x14:sparkline>
          </x14:sparklines>
        </x14:sparklineGroup>
        <x14:sparklineGroup type="column" displayEmptyCellsAs="gap" xr2:uid="{D058007D-CDD8-4AA3-B8AD-41BDB492A5A3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Gráficos!A20:G20</xm:f>
              <xm:sqref>M20</xm:sqref>
            </x14:sparkline>
          </x14:sparklines>
        </x14:sparklineGroup>
        <x14:sparklineGroup type="column" displayEmptyCellsAs="gap" xr2:uid="{208B57B8-A63A-4157-846B-083FC2C521A5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Gráficos!A19:G19</xm:f>
              <xm:sqref>M19</xm:sqref>
            </x14:sparkline>
          </x14:sparklines>
        </x14:sparklineGroup>
        <x14:sparklineGroup type="column" displayEmptyCellsAs="gap" xr2:uid="{D146D038-A687-44B2-AA36-B4FAFD0DA6A8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Gráficos!A18:G18</xm:f>
              <xm:sqref>M18</xm:sqref>
            </x14:sparkline>
          </x14:sparklines>
        </x14:sparklineGroup>
        <x14:sparklineGroup type="column" displayEmptyCellsAs="gap" xr2:uid="{CAA7F1D1-C418-4811-9425-EB7B4BFD59ED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Gráficos!A17:G17</xm:f>
              <xm:sqref>M17</xm:sqref>
            </x14:sparkline>
          </x14:sparklines>
        </x14:sparklineGroup>
        <x14:sparklineGroup type="column" displayEmptyCellsAs="gap" xr2:uid="{354363B1-C4F5-42AE-A9A6-0989790216E2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Gráficos!A16:G16</xm:f>
              <xm:sqref>M16</xm:sqref>
            </x14:sparkline>
          </x14:sparklines>
        </x14:sparklineGroup>
        <x14:sparklineGroup type="column" displayEmptyCellsAs="gap" xr2:uid="{C7A56E4B-E278-4A86-AC5F-4EC4B2301531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Gráficos!A15:G15</xm:f>
              <xm:sqref>M15</xm:sqref>
            </x14:sparkline>
          </x14:sparklines>
        </x14:sparklineGroup>
        <x14:sparklineGroup type="stacked" displayEmptyCellsAs="gap" negative="1" xr2:uid="{E5010AC6-F52F-4934-9CE2-444656FC4630}">
          <x14:colorSeries theme="4"/>
          <x14:colorNegative theme="5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Gráficos!A15:G15</xm:f>
              <xm:sqref>O15</xm:sqref>
            </x14:sparkline>
            <x14:sparkline>
              <xm:f>Gráficos!A16:G16</xm:f>
              <xm:sqref>O16</xm:sqref>
            </x14:sparkline>
            <x14:sparkline>
              <xm:f>Gráficos!A17:G17</xm:f>
              <xm:sqref>O17</xm:sqref>
            </x14:sparkline>
            <x14:sparkline>
              <xm:f>Gráficos!A18:G18</xm:f>
              <xm:sqref>O18</xm:sqref>
            </x14:sparkline>
            <x14:sparkline>
              <xm:f>Gráficos!A19:G19</xm:f>
              <xm:sqref>O19</xm:sqref>
            </x14:sparkline>
            <x14:sparkline>
              <xm:f>Gráficos!A20:G20</xm:f>
              <xm:sqref>O20</xm:sqref>
            </x14:sparkline>
            <x14:sparkline>
              <xm:f>Gráficos!A21:G21</xm:f>
              <xm:sqref>O21</xm:sqref>
            </x14:sparkline>
            <x14:sparkline>
              <xm:f>Gráficos!A22:G22</xm:f>
              <xm:sqref>O22</xm:sqref>
            </x14:sparkline>
            <x14:sparkline>
              <xm:f>Gráficos!A23:G23</xm:f>
              <xm:sqref>O23</xm:sqref>
            </x14:sparkline>
            <x14:sparkline>
              <xm:f>Gráficos!A24:G24</xm:f>
              <xm:sqref>O24</xm:sqref>
            </x14:sparkline>
            <x14:sparkline>
              <xm:f>Gráficos!A25:G25</xm:f>
              <xm:sqref>O25</xm:sqref>
            </x14:sparkline>
            <x14:sparkline>
              <xm:f>Gráficos!A26:G26</xm:f>
              <xm:sqref>O26</xm:sqref>
            </x14:sparkline>
            <x14:sparkline>
              <xm:f>Gráficos!A27:G27</xm:f>
              <xm:sqref>O27</xm:sqref>
            </x14:sparkline>
            <x14:sparkline>
              <xm:f>Gráficos!A28:G28</xm:f>
              <xm:sqref>O28</xm:sqref>
            </x14:sparkline>
            <x14:sparkline>
              <xm:f>Gráficos!A29:G29</xm:f>
              <xm:sqref>O29</xm:sqref>
            </x14:sparkline>
            <x14:sparkline>
              <xm:f>Gráficos!A30:G30</xm:f>
              <xm:sqref>O30</xm:sqref>
            </x14:sparkline>
            <x14:sparkline>
              <xm:f>Gráficos!A31:G31</xm:f>
              <xm:sqref>O31</xm:sqref>
            </x14:sparkline>
            <x14:sparkline>
              <xm:f>Gráficos!A32:G32</xm:f>
              <xm:sqref>O32</xm:sqref>
            </x14:sparkline>
          </x14:sparklines>
        </x14:sparklineGroup>
        <x14:sparklineGroup displayEmptyCellsAs="gap" markers="1" xr2:uid="{8212CD31-1F65-41BF-ABEE-5D6C4BB7ADB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Gráficos!A15:G15</xm:f>
              <xm:sqref>K15</xm:sqref>
            </x14:sparkline>
            <x14:sparkline>
              <xm:f>Gráficos!A16:G16</xm:f>
              <xm:sqref>K16</xm:sqref>
            </x14:sparkline>
            <x14:sparkline>
              <xm:f>Gráficos!A17:G17</xm:f>
              <xm:sqref>K17</xm:sqref>
            </x14:sparkline>
            <x14:sparkline>
              <xm:f>Gráficos!A18:G18</xm:f>
              <xm:sqref>K18</xm:sqref>
            </x14:sparkline>
            <x14:sparkline>
              <xm:f>Gráficos!A19:G19</xm:f>
              <xm:sqref>K19</xm:sqref>
            </x14:sparkline>
            <x14:sparkline>
              <xm:f>Gráficos!A20:G20</xm:f>
              <xm:sqref>K20</xm:sqref>
            </x14:sparkline>
            <x14:sparkline>
              <xm:f>Gráficos!A21:G21</xm:f>
              <xm:sqref>K21</xm:sqref>
            </x14:sparkline>
            <x14:sparkline>
              <xm:f>Gráficos!A22:G22</xm:f>
              <xm:sqref>K22</xm:sqref>
            </x14:sparkline>
            <x14:sparkline>
              <xm:f>Gráficos!A23:G23</xm:f>
              <xm:sqref>K23</xm:sqref>
            </x14:sparkline>
            <x14:sparkline>
              <xm:f>Gráficos!A24:G24</xm:f>
              <xm:sqref>K24</xm:sqref>
            </x14:sparkline>
            <x14:sparkline>
              <xm:f>Gráficos!A25:G25</xm:f>
              <xm:sqref>K25</xm:sqref>
            </x14:sparkline>
            <x14:sparkline>
              <xm:f>Gráficos!A26:G26</xm:f>
              <xm:sqref>K26</xm:sqref>
            </x14:sparkline>
            <x14:sparkline>
              <xm:f>Gráficos!A27:G27</xm:f>
              <xm:sqref>K27</xm:sqref>
            </x14:sparkline>
            <x14:sparkline>
              <xm:f>Gráficos!A28:G28</xm:f>
              <xm:sqref>K28</xm:sqref>
            </x14:sparkline>
            <x14:sparkline>
              <xm:f>Gráficos!A29:G29</xm:f>
              <xm:sqref>K29</xm:sqref>
            </x14:sparkline>
            <x14:sparkline>
              <xm:f>Gráficos!A30:G30</xm:f>
              <xm:sqref>K30</xm:sqref>
            </x14:sparkline>
            <x14:sparkline>
              <xm:f>Gráficos!A31:G31</xm:f>
              <xm:sqref>K31</xm:sqref>
            </x14:sparkline>
            <x14:sparkline>
              <xm:f>Gráficos!A32:G32</xm:f>
              <xm:sqref>K32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ACC0-DE5A-49A7-8807-6E4926C5C15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e187d6d-71cf-4345-a05c-1ad4336251df">
      <UserInfo>
        <DisplayName/>
        <AccountId xsi:nil="true"/>
        <AccountType/>
      </UserInfo>
    </SharedWithUsers>
    <MediaLengthInSeconds xmlns="d87bfc22-b946-4a27-992e-b569612e2370" xsi:nil="true"/>
    <TaxCatchAll xmlns="8e187d6d-71cf-4345-a05c-1ad4336251df" xsi:nil="true"/>
    <lcf76f155ced4ddcb4097134ff3c332f xmlns="d87bfc22-b946-4a27-992e-b569612e237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76F077D8BAE846B1BC71F9ACADFD43" ma:contentTypeVersion="18" ma:contentTypeDescription="Crear nuevo documento." ma:contentTypeScope="" ma:versionID="1c45dc80752e809aedc6f0db5c7a762f">
  <xsd:schema xmlns:xsd="http://www.w3.org/2001/XMLSchema" xmlns:xs="http://www.w3.org/2001/XMLSchema" xmlns:p="http://schemas.microsoft.com/office/2006/metadata/properties" xmlns:ns2="d87bfc22-b946-4a27-992e-b569612e2370" xmlns:ns3="8e187d6d-71cf-4345-a05c-1ad4336251df" targetNamespace="http://schemas.microsoft.com/office/2006/metadata/properties" ma:root="true" ma:fieldsID="e74f33a9aa747f96a19cee971891333d" ns2:_="" ns3:_="">
    <xsd:import namespace="d87bfc22-b946-4a27-992e-b569612e2370"/>
    <xsd:import namespace="8e187d6d-71cf-4345-a05c-1ad4336251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bfc22-b946-4a27-992e-b569612e23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87d6d-71cf-4345-a05c-1ad4336251d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cdefce6-cd2c-4b03-9764-5f947de3a291}" ma:internalName="TaxCatchAll" ma:showField="CatchAllData" ma:web="8e187d6d-71cf-4345-a05c-1ad4336251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DE7062-3472-46D5-9132-023B418C9414}">
  <ds:schemaRefs>
    <ds:schemaRef ds:uri="http://schemas.microsoft.com/office/2006/metadata/properties"/>
    <ds:schemaRef ds:uri="http://schemas.microsoft.com/office/infopath/2007/PartnerControls"/>
    <ds:schemaRef ds:uri="8e187d6d-71cf-4345-a05c-1ad4336251df"/>
    <ds:schemaRef ds:uri="d87bfc22-b946-4a27-992e-b569612e2370"/>
  </ds:schemaRefs>
</ds:datastoreItem>
</file>

<file path=customXml/itemProps2.xml><?xml version="1.0" encoding="utf-8"?>
<ds:datastoreItem xmlns:ds="http://schemas.openxmlformats.org/officeDocument/2006/customXml" ds:itemID="{BCDF7399-5AA5-4B0C-BFDF-FBEE6471A5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7bfc22-b946-4a27-992e-b569612e2370"/>
    <ds:schemaRef ds:uri="8e187d6d-71cf-4345-a05c-1ad4336251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6B4124-FA79-4E1C-B2CD-7A0FD8BF0A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Ej. 1</vt:lpstr>
      <vt:lpstr>Ej.2</vt:lpstr>
      <vt:lpstr>Ej3</vt:lpstr>
      <vt:lpstr>Ej 4.</vt:lpstr>
      <vt:lpstr>Ej.5</vt:lpstr>
      <vt:lpstr>Transactions</vt:lpstr>
      <vt:lpstr>Gráficos</vt:lpstr>
      <vt:lpstr>Hoja7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Quintero Rojas</dc:creator>
  <cp:keywords/>
  <dc:description/>
  <cp:lastModifiedBy>Mariana Velez Rivera</cp:lastModifiedBy>
  <cp:revision/>
  <dcterms:created xsi:type="dcterms:W3CDTF">2015-08-23T18:33:42Z</dcterms:created>
  <dcterms:modified xsi:type="dcterms:W3CDTF">2025-10-08T00:16:08Z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0x010100DD76F077D8BAE846B1BC71F9ACADFD43</vt:lpwstr>
  </property>
  <property fmtid="{D5CDD505-2E9C-101B-9397-08002B2CF9AE}" pid="3" name="Order">
    <vt:r8>217800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