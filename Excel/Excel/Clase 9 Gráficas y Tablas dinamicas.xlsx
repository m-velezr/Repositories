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58" documentId="13_ncr:1_{E36357C9-26CB-4682-B075-4D13522657C5}" xr6:coauthVersionLast="47" xr6:coauthVersionMax="47" xr10:uidLastSave="{69A60C59-BF6E-432D-8DA7-FC187D650B46}"/>
  <bookViews>
    <workbookView xWindow="-108" yWindow="-108" windowWidth="23256" windowHeight="12456" firstSheet="3" activeTab="7" xr2:uid="{00000000-000D-0000-FFFF-FFFF00000000}"/>
  </bookViews>
  <sheets>
    <sheet name="Datos Introducción" sheetId="1" r:id="rId1"/>
    <sheet name="Introducción" sheetId="10" r:id="rId2"/>
    <sheet name="Gráficos no tan comunes" sheetId="11" r:id="rId3"/>
    <sheet name="Hoja4" sheetId="17" r:id="rId4"/>
    <sheet name="Hoja5" sheetId="18" r:id="rId5"/>
    <sheet name="Hoja6" sheetId="19" r:id="rId6"/>
    <sheet name="Practica" sheetId="20" r:id="rId7"/>
    <sheet name="Dinámicos" sheetId="13" r:id="rId8"/>
    <sheet name="Hoja1" sheetId="14" r:id="rId9"/>
    <sheet name="Hoja3" sheetId="16" r:id="rId10"/>
  </sheets>
  <definedNames>
    <definedName name="_xlnm._FilterDatabase" localSheetId="0" hidden="1">'Datos Introducción'!$A$1:$H$585</definedName>
    <definedName name="_xlnm._FilterDatabase" localSheetId="2" hidden="1">'Gráficos no tan comunes'!$B$4:$D$15</definedName>
    <definedName name="Gráfico">CHOOSE(#REF!,rango1,rango2)</definedName>
    <definedName name="rango1">#REF!</definedName>
    <definedName name="rango2">#REF!</definedName>
    <definedName name="SegmentaciónDeDatos_Estado">#N/A</definedName>
  </definedNames>
  <calcPr calcId="191029"/>
  <pivotCaches>
    <pivotCache cacheId="0" r:id="rId11"/>
    <pivotCache cacheId="7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0" l="1" a="1"/>
  <c r="E16" i="10" s="1"/>
  <c r="E17" i="10" a="1"/>
  <c r="E17" i="10" s="1"/>
  <c r="E18" i="10" a="1"/>
  <c r="E18" i="10"/>
  <c r="E19" i="10" a="1"/>
  <c r="E19" i="10" s="1"/>
  <c r="E20" i="10" a="1"/>
  <c r="E20" i="10" s="1"/>
  <c r="E21" i="10" a="1"/>
  <c r="E21" i="10"/>
  <c r="E22" i="10" a="1"/>
  <c r="E22" i="10" s="1"/>
  <c r="E23" i="10" a="1"/>
  <c r="E23" i="10"/>
  <c r="E24" i="10" a="1"/>
  <c r="E24" i="10"/>
  <c r="E25" i="10" a="1"/>
  <c r="E25" i="10" s="1"/>
  <c r="E26" i="10" a="1"/>
  <c r="E26" i="10"/>
  <c r="E15" i="10" a="1"/>
  <c r="E15" i="10" s="1"/>
  <c r="D16" i="10" a="1"/>
  <c r="D16" i="10" s="1"/>
  <c r="D17" i="10" a="1"/>
  <c r="D17" i="10"/>
  <c r="D18" i="10" a="1"/>
  <c r="D18" i="10" s="1"/>
  <c r="D19" i="10" a="1"/>
  <c r="D19" i="10" s="1"/>
  <c r="D20" i="10" a="1"/>
  <c r="D20" i="10" s="1"/>
  <c r="D21" i="10" a="1"/>
  <c r="D21" i="10" s="1"/>
  <c r="D22" i="10" a="1"/>
  <c r="D22" i="10" s="1"/>
  <c r="D23" i="10" a="1"/>
  <c r="D23" i="10" s="1"/>
  <c r="D24" i="10" a="1"/>
  <c r="D24" i="10" s="1"/>
  <c r="D25" i="10" a="1"/>
  <c r="D25" i="10" s="1"/>
  <c r="D26" i="10" a="1"/>
  <c r="D26" i="10" s="1"/>
  <c r="D15" i="10" a="1"/>
  <c r="D15" i="10" s="1"/>
  <c r="C16" i="10" a="1"/>
  <c r="C16" i="10" s="1"/>
  <c r="C17" i="10" a="1"/>
  <c r="C17" i="10"/>
  <c r="C18" i="10" a="1"/>
  <c r="C18" i="10" s="1"/>
  <c r="C19" i="10" a="1"/>
  <c r="C19" i="10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25" i="10" a="1"/>
  <c r="C25" i="10" s="1"/>
  <c r="C26" i="10" a="1"/>
  <c r="C26" i="10" s="1"/>
  <c r="C15" i="10" a="1"/>
  <c r="C15" i="10" s="1"/>
  <c r="I2" i="1"/>
  <c r="D6" i="10"/>
  <c r="C6" i="10"/>
  <c r="D7" i="10"/>
  <c r="D8" i="10"/>
  <c r="D9" i="10"/>
  <c r="C7" i="10"/>
  <c r="C8" i="10"/>
  <c r="C9" i="10"/>
  <c r="G16" i="13" l="1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<sst xmlns="http://schemas.openxmlformats.org/spreadsheetml/2006/main" count="2005" uniqueCount="178">
  <si>
    <t>llantas</t>
  </si>
  <si>
    <t>aceite1</t>
  </si>
  <si>
    <t>aceite2</t>
  </si>
  <si>
    <t>aceite3</t>
  </si>
  <si>
    <t>gasolina1</t>
  </si>
  <si>
    <t>gasolina2</t>
  </si>
  <si>
    <t>gasolina3</t>
  </si>
  <si>
    <t>producto</t>
  </si>
  <si>
    <t>alineación</t>
  </si>
  <si>
    <t>balanceo</t>
  </si>
  <si>
    <t>servicio</t>
  </si>
  <si>
    <t>cambio aceite</t>
  </si>
  <si>
    <t>cambio llantas</t>
  </si>
  <si>
    <t>Tipo</t>
  </si>
  <si>
    <t>Mecánico</t>
  </si>
  <si>
    <t>Calificación</t>
  </si>
  <si>
    <t>Mes</t>
  </si>
  <si>
    <t>Alemania</t>
  </si>
  <si>
    <t>Francia</t>
  </si>
  <si>
    <t>Fecha ini</t>
  </si>
  <si>
    <t>Duración</t>
  </si>
  <si>
    <t>Peso</t>
  </si>
  <si>
    <t>Gatos</t>
  </si>
  <si>
    <t>Perros</t>
  </si>
  <si>
    <t>45-50</t>
  </si>
  <si>
    <t>40-45</t>
  </si>
  <si>
    <t>35-40</t>
  </si>
  <si>
    <t>30-35</t>
  </si>
  <si>
    <t>25-30</t>
  </si>
  <si>
    <t>20-25</t>
  </si>
  <si>
    <t>15-20</t>
  </si>
  <si>
    <t>10-15</t>
  </si>
  <si>
    <t>5-10</t>
  </si>
  <si>
    <t>0-5</t>
  </si>
  <si>
    <t>50-inf</t>
  </si>
  <si>
    <t>Para realizar gráficos se debe tener primero los datos</t>
  </si>
  <si>
    <t>Total propinas</t>
  </si>
  <si>
    <t>Fecha</t>
  </si>
  <si>
    <t>Prod/Serv</t>
  </si>
  <si>
    <t>Tiempo [min]</t>
  </si>
  <si>
    <t>Precio [COP]</t>
  </si>
  <si>
    <t>Propina [COP]</t>
  </si>
  <si>
    <t>2. Realice un gráfico de barras del total de propinas anuales para cada mecánico.</t>
  </si>
  <si>
    <t>Dispersión</t>
  </si>
  <si>
    <t>Calificación Prom Oper</t>
  </si>
  <si>
    <t>1. Obtener los datos necesarios</t>
  </si>
  <si>
    <t>2. Realice un gráfico de disperción (rectas) mostrando las tres series de datos, use dos ejes verticales</t>
  </si>
  <si>
    <t>3. Use un gráfico combinado</t>
  </si>
  <si>
    <t>4. Agregue títulos títulos</t>
  </si>
  <si>
    <t>Jerárquicos</t>
  </si>
  <si>
    <t>Prod o Serv</t>
  </si>
  <si>
    <t>Sin Fórmula</t>
  </si>
  <si>
    <t>Con Fórmula</t>
  </si>
  <si>
    <t>Total ventas [$]</t>
  </si>
  <si>
    <t>2. Gráfico jerárquico rectángulos</t>
  </si>
  <si>
    <t>3. Gráfico jerárquico círculos</t>
  </si>
  <si>
    <t>Torta</t>
  </si>
  <si>
    <t>Territorio</t>
  </si>
  <si>
    <t>PIB</t>
  </si>
  <si>
    <t>Estados Unidos</t>
  </si>
  <si>
    <t>Unión Europea</t>
  </si>
  <si>
    <t>China</t>
  </si>
  <si>
    <t>Japón</t>
  </si>
  <si>
    <t>Reino Unido</t>
  </si>
  <si>
    <t>Otros</t>
  </si>
  <si>
    <t>Radial</t>
  </si>
  <si>
    <t>Cualidad</t>
  </si>
  <si>
    <t>Animales</t>
  </si>
  <si>
    <t>Perro</t>
  </si>
  <si>
    <t>Gato</t>
  </si>
  <si>
    <t>Cuy</t>
  </si>
  <si>
    <t>Ternura</t>
  </si>
  <si>
    <t>Agresividad</t>
  </si>
  <si>
    <t>Sabor</t>
  </si>
  <si>
    <t>Independencia</t>
  </si>
  <si>
    <t>Inteligencia</t>
  </si>
  <si>
    <t>Replicar imágenes</t>
  </si>
  <si>
    <t>Barras - Gant</t>
  </si>
  <si>
    <t>Actividad</t>
  </si>
  <si>
    <t>ac1</t>
  </si>
  <si>
    <t>ac2</t>
  </si>
  <si>
    <t>ac3</t>
  </si>
  <si>
    <t>ac4</t>
  </si>
  <si>
    <t>ac5</t>
  </si>
  <si>
    <t>ac6</t>
  </si>
  <si>
    <t>ac7</t>
  </si>
  <si>
    <t>ac8</t>
  </si>
  <si>
    <t>Barras - Pirámide</t>
  </si>
  <si>
    <t>Perros mod</t>
  </si>
  <si>
    <t>4. Agrege un nuevo eje, títulos y juegue con los colores.</t>
  </si>
  <si>
    <t>3. En el mismo gráfico adicione la serie de calificación promedio</t>
  </si>
  <si>
    <t>Juan</t>
  </si>
  <si>
    <t>Pepe</t>
  </si>
  <si>
    <t>María</t>
  </si>
  <si>
    <t>Laura</t>
  </si>
  <si>
    <t>1. Obtener los datos a partir de la hoja "Datos Introducción"</t>
  </si>
  <si>
    <t>1. Obtenga los datos necesarios (total propinas año y calificación promedio).</t>
  </si>
  <si>
    <t>Tiempo Prom [min]</t>
  </si>
  <si>
    <t>Calificación Prom</t>
  </si>
  <si>
    <t>Propina Prom [$]</t>
  </si>
  <si>
    <t>5. Probar escala logarítmica</t>
  </si>
  <si>
    <t>6. Quitar ceros de las etiquetas del eje</t>
  </si>
  <si>
    <t>¿Es un buen gráfico?</t>
  </si>
  <si>
    <t>5. Títulos desde celdas</t>
  </si>
  <si>
    <t>Columnas</t>
  </si>
  <si>
    <t>Producto</t>
  </si>
  <si>
    <t>Estado</t>
  </si>
  <si>
    <t>Color</t>
  </si>
  <si>
    <t>Precio unitario [COP]</t>
  </si>
  <si>
    <t>Unidades</t>
  </si>
  <si>
    <t>Total</t>
  </si>
  <si>
    <t>unos</t>
  </si>
  <si>
    <t>Insertar -&gt; Tabla dinámica</t>
  </si>
  <si>
    <t>silla</t>
  </si>
  <si>
    <t>nuevo</t>
  </si>
  <si>
    <t>verde</t>
  </si>
  <si>
    <t>Insertar -&gt; Gráfico dinámico</t>
  </si>
  <si>
    <t>usado</t>
  </si>
  <si>
    <t>amarillo</t>
  </si>
  <si>
    <t>no se sabe</t>
  </si>
  <si>
    <t>INTRODUCCIÓN</t>
  </si>
  <si>
    <t>azul</t>
  </si>
  <si>
    <t>1. Crear tabla dinámica.</t>
  </si>
  <si>
    <t>mesa</t>
  </si>
  <si>
    <t>negro</t>
  </si>
  <si>
    <t>2. Filas -&gt; Producto</t>
  </si>
  <si>
    <t>cama</t>
  </si>
  <si>
    <t>3. Columnas -&gt; Color</t>
  </si>
  <si>
    <t>4. Valores -&gt; suma de unidades</t>
  </si>
  <si>
    <t>5. Filtro -&gt; Estado</t>
  </si>
  <si>
    <t>6. Cambiar un dato en la tabla original y ver el efecto en la tabla dinámica</t>
  </si>
  <si>
    <t>7. Actualizar tabla dinámica</t>
  </si>
  <si>
    <t>8. Agrupe las sillas y las mesas</t>
  </si>
  <si>
    <t>9. Cambiarle el nombre al grupo (F2)</t>
  </si>
  <si>
    <t>10. Organice los colores de Z -&gt; A.</t>
  </si>
  <si>
    <t>TABLAS DINÁMICAS -&gt; Segmentación de datos</t>
  </si>
  <si>
    <t>1. Crear tabla dinámica que muestre en filas el producto con su color y en columnas muestre el mes. En valores ponga la suma de unidades</t>
  </si>
  <si>
    <t>2. Adicione en valores la cantidad de unidades mostrada como porcentaje de total de filas</t>
  </si>
  <si>
    <t>3. Cambie los meses por trimestres</t>
  </si>
  <si>
    <t>4. No muestre los productos de color azul, tampoco los productos mesa</t>
  </si>
  <si>
    <t>5. Haga un filtro por el Estado de los objetos</t>
  </si>
  <si>
    <t>6. Elimine el filtro y realice una segmentación con el estado de los objetos</t>
  </si>
  <si>
    <t>7. Ordene las filas en orden descendente por la suma de unidades</t>
  </si>
  <si>
    <t>8. Ocultar botones, encabezados y lista de campos</t>
  </si>
  <si>
    <t>9. Eliminar subtotales y totales generales</t>
  </si>
  <si>
    <t>TABLAS DINÁMICAS -&gt; campo calculado</t>
  </si>
  <si>
    <t>1. Cree una tabla dinámica. En fila coloque los productos y en valores coloque precio unitario, cantidad de productos y el total de ventas</t>
  </si>
  <si>
    <t>2. Cree un nuevo campo calculado que sea la multiplicación de la cantidad con el precio unitario</t>
  </si>
  <si>
    <t>3. En valores adicione las unidades vendidas promedio</t>
  </si>
  <si>
    <t>4. Haga un campo calculado para obtener 10 veces el valor del promedio de unidades.</t>
  </si>
  <si>
    <t>GRÁFICO DINÁMICO</t>
  </si>
  <si>
    <t>1. Cree un gráfico dinámico. En las filas ponga el producto y el color y que solo sea una columan asociado al número de unidades</t>
  </si>
  <si>
    <t>2. ponga un filtro por estado</t>
  </si>
  <si>
    <t>3. Cree una segmentación por mes</t>
  </si>
  <si>
    <t>4. Cambie el gráfico a uno de líneas y luego a uno de áreas.</t>
  </si>
  <si>
    <t>5. Adicione en valores el promedio del precio y muestrelo en un segundo plano vertical</t>
  </si>
  <si>
    <t>mi tiru</t>
  </si>
  <si>
    <t>Etiquetas de fila</t>
  </si>
  <si>
    <t>Total general</t>
  </si>
  <si>
    <t>Suma de Unidades</t>
  </si>
  <si>
    <t>Etiquetas de columna</t>
  </si>
  <si>
    <t>(Todas)</t>
  </si>
  <si>
    <t>para visualizar -&gt; diseño tabla din-&gt; mostrar</t>
  </si>
  <si>
    <t>no se actuliza automaticamente -&gt; entonces click derecho -&gt; actualizar</t>
  </si>
  <si>
    <t>Click derecho -&gt; Agrupar o desagruoar (jerarquias)</t>
  </si>
  <si>
    <t>ene</t>
  </si>
  <si>
    <t>mar</t>
  </si>
  <si>
    <t>abr</t>
  </si>
  <si>
    <t>may</t>
  </si>
  <si>
    <t>Segmentacion de datos -&gt; en una celda-&gt; analizar-&gt; insertar segmentacion</t>
  </si>
  <si>
    <t>Diseño -&gt; Subtotales -&gt;</t>
  </si>
  <si>
    <t>Meses (Fecha)</t>
  </si>
  <si>
    <t>Promedio de Precio unitario [COP]</t>
  </si>
  <si>
    <t>Suma de Total</t>
  </si>
  <si>
    <t>Suma de Campo1</t>
  </si>
  <si>
    <t>Calcular -&gt;Anlaizar datos -&gt; calculos-&gt; calculos, elemetos</t>
  </si>
  <si>
    <t>Suma de ampo</t>
  </si>
  <si>
    <t>Me paro en la tabla con mis datos originales y selecciono -&gt; insertar-&gt; graficos dinamicos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</si>
</sst>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[$$-409]* #,##0_ ;_-[$$-409]* \-#,##0\ ;_-[$$-409]* &quot;-&quot;??_ ;_-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65" fontId="0" fillId="4" borderId="1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4" borderId="1" xfId="1" applyNumberFormat="1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0" xfId="0" applyFont="1"/>
    <xf numFmtId="0" fontId="0" fillId="0" borderId="0" xfId="0" pivotButton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Introducción!$M$5</c:f>
          <c:strCache>
            <c:ptCount val="1"/>
            <c:pt idx="0">
              <c:v>mi tiru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Introducción!$C$5</c:f>
              <c:strCache>
                <c:ptCount val="1"/>
                <c:pt idx="0">
                  <c:v>Total propinas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Introducción!$B$6:$B$9</c:f>
              <c:strCache>
                <c:ptCount val="4"/>
                <c:pt idx="0">
                  <c:v>Laura</c:v>
                </c:pt>
                <c:pt idx="1">
                  <c:v>Pepe</c:v>
                </c:pt>
                <c:pt idx="2">
                  <c:v>Juan</c:v>
                </c:pt>
                <c:pt idx="3">
                  <c:v>María</c:v>
                </c:pt>
              </c:strCache>
            </c:strRef>
          </c:cat>
          <c:val>
            <c:numRef>
              <c:f>Introducción!$C$6:$C$9</c:f>
              <c:numCache>
                <c:formatCode>General</c:formatCode>
                <c:ptCount val="4"/>
                <c:pt idx="0">
                  <c:v>308100</c:v>
                </c:pt>
                <c:pt idx="1">
                  <c:v>314800</c:v>
                </c:pt>
                <c:pt idx="2">
                  <c:v>343000</c:v>
                </c:pt>
                <c:pt idx="3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B-4688-B960-DB4D999E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257888"/>
        <c:axId val="185491328"/>
      </c:barChart>
      <c:barChart>
        <c:barDir val="col"/>
        <c:grouping val="clustered"/>
        <c:varyColors val="0"/>
        <c:ser>
          <c:idx val="1"/>
          <c:order val="1"/>
          <c:tx>
            <c:strRef>
              <c:f>Introducción!$D$5</c:f>
              <c:strCache>
                <c:ptCount val="1"/>
                <c:pt idx="0">
                  <c:v>Calificación Prom Oper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Introducción!$B$6:$B$9</c:f>
              <c:strCache>
                <c:ptCount val="4"/>
                <c:pt idx="0">
                  <c:v>Laura</c:v>
                </c:pt>
                <c:pt idx="1">
                  <c:v>Pepe</c:v>
                </c:pt>
                <c:pt idx="2">
                  <c:v>Juan</c:v>
                </c:pt>
                <c:pt idx="3">
                  <c:v>María</c:v>
                </c:pt>
              </c:strCache>
            </c:strRef>
          </c:cat>
          <c:val>
            <c:numRef>
              <c:f>Introducción!$D$6:$D$9</c:f>
              <c:numCache>
                <c:formatCode>General</c:formatCode>
                <c:ptCount val="4"/>
                <c:pt idx="0">
                  <c:v>5.1472868217054266</c:v>
                </c:pt>
                <c:pt idx="1">
                  <c:v>4.7744360902255636</c:v>
                </c:pt>
                <c:pt idx="2">
                  <c:v>4.8366013071895422</c:v>
                </c:pt>
                <c:pt idx="3">
                  <c:v>5.2485207100591715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B-4688-B960-DB4D999E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4602000"/>
        <c:axId val="233903504"/>
      </c:barChart>
      <c:catAx>
        <c:axId val="18425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491328"/>
        <c:crosses val="autoZero"/>
        <c:auto val="1"/>
        <c:lblAlgn val="ctr"/>
        <c:lblOffset val="100"/>
        <c:noMultiLvlLbl val="0"/>
      </c:catAx>
      <c:valAx>
        <c:axId val="18549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57888"/>
        <c:crosses val="autoZero"/>
        <c:crossBetween val="between"/>
      </c:valAx>
      <c:valAx>
        <c:axId val="2339035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4602000"/>
        <c:crosses val="max"/>
        <c:crossBetween val="between"/>
      </c:valAx>
      <c:catAx>
        <c:axId val="234602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903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4458787195088"/>
          <c:y val="7.5555548945271306E-2"/>
          <c:w val="0.81086722633128849"/>
          <c:h val="0.838508194356238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Introducción!$C$5</c:f>
              <c:strCache>
                <c:ptCount val="1"/>
                <c:pt idx="0">
                  <c:v>Total propinas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Introducción!$B$6:$B$9</c:f>
              <c:strCache>
                <c:ptCount val="4"/>
                <c:pt idx="0">
                  <c:v>Laura</c:v>
                </c:pt>
                <c:pt idx="1">
                  <c:v>Pepe</c:v>
                </c:pt>
                <c:pt idx="2">
                  <c:v>Juan</c:v>
                </c:pt>
                <c:pt idx="3">
                  <c:v>María</c:v>
                </c:pt>
              </c:strCache>
            </c:strRef>
          </c:cat>
          <c:val>
            <c:numRef>
              <c:f>Introducción!$C$6:$C$9</c:f>
              <c:numCache>
                <c:formatCode>General</c:formatCode>
                <c:ptCount val="4"/>
                <c:pt idx="0">
                  <c:v>308100</c:v>
                </c:pt>
                <c:pt idx="1">
                  <c:v>314800</c:v>
                </c:pt>
                <c:pt idx="2">
                  <c:v>343000</c:v>
                </c:pt>
                <c:pt idx="3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C-4990-B40F-C7FC9BDEA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5885215"/>
        <c:axId val="2055909215"/>
      </c:barChart>
      <c:barChart>
        <c:barDir val="col"/>
        <c:grouping val="stacked"/>
        <c:varyColors val="0"/>
        <c:ser>
          <c:idx val="1"/>
          <c:order val="1"/>
          <c:tx>
            <c:strRef>
              <c:f>Introducción!$D$5</c:f>
              <c:strCache>
                <c:ptCount val="1"/>
                <c:pt idx="0">
                  <c:v>Calificación Prom Oper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Introducción!$D$6:$D$9</c:f>
              <c:numCache>
                <c:formatCode>General</c:formatCode>
                <c:ptCount val="4"/>
                <c:pt idx="0">
                  <c:v>5.1472868217054266</c:v>
                </c:pt>
                <c:pt idx="1">
                  <c:v>4.7744360902255636</c:v>
                </c:pt>
                <c:pt idx="2">
                  <c:v>4.8366013071895422</c:v>
                </c:pt>
                <c:pt idx="3">
                  <c:v>5.2485207100591715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3C-4990-B40F-C7FC9BDEA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7320656"/>
        <c:axId val="1887316336"/>
      </c:barChart>
      <c:catAx>
        <c:axId val="205588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5909215"/>
        <c:crosses val="autoZero"/>
        <c:auto val="1"/>
        <c:lblAlgn val="ctr"/>
        <c:lblOffset val="100"/>
        <c:noMultiLvlLbl val="0"/>
      </c:catAx>
      <c:valAx>
        <c:axId val="205590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5885215"/>
        <c:crosses val="autoZero"/>
        <c:crossBetween val="between"/>
      </c:valAx>
      <c:valAx>
        <c:axId val="18873163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7320656"/>
        <c:crosses val="max"/>
        <c:crossBetween val="between"/>
      </c:valAx>
      <c:catAx>
        <c:axId val="18873206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873163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580317274785056"/>
          <c:y val="0.16708333333333336"/>
          <c:w val="0.86486348750295006"/>
          <c:h val="0.7208876494604841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Introducción!$C$14</c:f>
              <c:strCache>
                <c:ptCount val="1"/>
                <c:pt idx="0">
                  <c:v>Tiempo Prom [min]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Introducción!$B$15:$B$26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Introducción!$C$15:$C$26</c:f>
              <c:numCache>
                <c:formatCode>General</c:formatCode>
                <c:ptCount val="12"/>
                <c:pt idx="0">
                  <c:v>39.551724137931032</c:v>
                </c:pt>
                <c:pt idx="1">
                  <c:v>37</c:v>
                </c:pt>
                <c:pt idx="2">
                  <c:v>63.108695652173914</c:v>
                </c:pt>
                <c:pt idx="3">
                  <c:v>59.46551724137931</c:v>
                </c:pt>
                <c:pt idx="4">
                  <c:v>35.212765957446805</c:v>
                </c:pt>
                <c:pt idx="5">
                  <c:v>60.625</c:v>
                </c:pt>
                <c:pt idx="6">
                  <c:v>33.477272727272727</c:v>
                </c:pt>
                <c:pt idx="7">
                  <c:v>57.75</c:v>
                </c:pt>
                <c:pt idx="8">
                  <c:v>36.511111111111113</c:v>
                </c:pt>
                <c:pt idx="9">
                  <c:v>47.434782608695649</c:v>
                </c:pt>
                <c:pt idx="10">
                  <c:v>57.863636363636367</c:v>
                </c:pt>
                <c:pt idx="11">
                  <c:v>49.733333333333334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5-4056-9AC0-E0F9ACDB9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5895295"/>
        <c:axId val="2055893375"/>
      </c:barChart>
      <c:lineChart>
        <c:grouping val="standard"/>
        <c:varyColors val="0"/>
        <c:ser>
          <c:idx val="2"/>
          <c:order val="1"/>
          <c:tx>
            <c:strRef>
              <c:f>Introducción!$D$14</c:f>
              <c:strCache>
                <c:ptCount val="1"/>
                <c:pt idx="0">
                  <c:v>Calificación Prom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Introducción!$B$15:$B$26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Introducción!$D$15:$D$26</c:f>
              <c:numCache>
                <c:formatCode>General</c:formatCode>
                <c:ptCount val="12"/>
                <c:pt idx="0">
                  <c:v>5.1034482758620694</c:v>
                </c:pt>
                <c:pt idx="1">
                  <c:v>5.25</c:v>
                </c:pt>
                <c:pt idx="2">
                  <c:v>4.3913043478260869</c:v>
                </c:pt>
                <c:pt idx="3">
                  <c:v>5</c:v>
                </c:pt>
                <c:pt idx="4">
                  <c:v>5.2978723404255321</c:v>
                </c:pt>
                <c:pt idx="5">
                  <c:v>4.8</c:v>
                </c:pt>
                <c:pt idx="6">
                  <c:v>4.9772727272727275</c:v>
                </c:pt>
                <c:pt idx="7">
                  <c:v>4.8</c:v>
                </c:pt>
                <c:pt idx="8">
                  <c:v>4.6444444444444448</c:v>
                </c:pt>
                <c:pt idx="9">
                  <c:v>5.3043478260869561</c:v>
                </c:pt>
                <c:pt idx="10">
                  <c:v>5.1363636363636367</c:v>
                </c:pt>
                <c:pt idx="11">
                  <c:v>5.3666666666666663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35-4056-9AC0-E0F9ACDB9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895295"/>
        <c:axId val="2055893375"/>
      </c:lineChart>
      <c:lineChart>
        <c:grouping val="standard"/>
        <c:varyColors val="0"/>
        <c:ser>
          <c:idx val="3"/>
          <c:order val="2"/>
          <c:tx>
            <c:strRef>
              <c:f>Introducción!$E$14</c:f>
              <c:strCache>
                <c:ptCount val="1"/>
                <c:pt idx="0">
                  <c:v>Propina Prom [$]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Introducción!$B$15:$B$26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Introducción!$E$15:$E$26</c:f>
              <c:numCache>
                <c:formatCode>General</c:formatCode>
                <c:ptCount val="12"/>
                <c:pt idx="0">
                  <c:v>2672.4137931034484</c:v>
                </c:pt>
                <c:pt idx="1">
                  <c:v>1902.7777777777778</c:v>
                </c:pt>
                <c:pt idx="2">
                  <c:v>2589.1304347826085</c:v>
                </c:pt>
                <c:pt idx="3">
                  <c:v>1803.4482758620691</c:v>
                </c:pt>
                <c:pt idx="4">
                  <c:v>2176.5957446808511</c:v>
                </c:pt>
                <c:pt idx="5">
                  <c:v>2587.5</c:v>
                </c:pt>
                <c:pt idx="6">
                  <c:v>2706.818181818182</c:v>
                </c:pt>
                <c:pt idx="7">
                  <c:v>2168.3333333333335</c:v>
                </c:pt>
                <c:pt idx="8">
                  <c:v>2060</c:v>
                </c:pt>
                <c:pt idx="9">
                  <c:v>2330.4347826086955</c:v>
                </c:pt>
                <c:pt idx="10">
                  <c:v>3015.909090909091</c:v>
                </c:pt>
                <c:pt idx="11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35-4056-9AC0-E0F9ACDB9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828432"/>
        <c:axId val="290831792"/>
      </c:lineChart>
      <c:catAx>
        <c:axId val="205589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5893375"/>
        <c:crosses val="autoZero"/>
        <c:auto val="1"/>
        <c:lblAlgn val="ctr"/>
        <c:lblOffset val="100"/>
        <c:noMultiLvlLbl val="0"/>
      </c:catAx>
      <c:valAx>
        <c:axId val="2055893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5895295"/>
        <c:crosses val="autoZero"/>
        <c:crossBetween val="between"/>
      </c:valAx>
      <c:valAx>
        <c:axId val="290831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0828432"/>
        <c:crosses val="max"/>
        <c:crossBetween val="between"/>
      </c:valAx>
      <c:catAx>
        <c:axId val="290828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08317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82122540160833"/>
          <c:y val="8.2556494528556443E-2"/>
          <c:w val="0.19019960739055733"/>
          <c:h val="0.18823955834957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9 Gráficas y Tablas dinamicas.xlsx]Hoja5!TablaDinámica3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Hoja5!$A$4:$A$17</c:f>
              <c:multiLvlStrCache>
                <c:ptCount val="10"/>
                <c:lvl>
                  <c:pt idx="0">
                    <c:v>amarillo</c:v>
                  </c:pt>
                  <c:pt idx="1">
                    <c:v>azul</c:v>
                  </c:pt>
                  <c:pt idx="2">
                    <c:v>negro</c:v>
                  </c:pt>
                  <c:pt idx="3">
                    <c:v>amarillo</c:v>
                  </c:pt>
                  <c:pt idx="4">
                    <c:v>azul</c:v>
                  </c:pt>
                  <c:pt idx="5">
                    <c:v>negro</c:v>
                  </c:pt>
                  <c:pt idx="6">
                    <c:v>verde</c:v>
                  </c:pt>
                  <c:pt idx="7">
                    <c:v>amarillo</c:v>
                  </c:pt>
                  <c:pt idx="8">
                    <c:v>azul</c:v>
                  </c:pt>
                  <c:pt idx="9">
                    <c:v>verde</c:v>
                  </c:pt>
                </c:lvl>
                <c:lvl>
                  <c:pt idx="0">
                    <c:v>cama</c:v>
                  </c:pt>
                  <c:pt idx="3">
                    <c:v>mesa</c:v>
                  </c:pt>
                  <c:pt idx="7">
                    <c:v>silla</c:v>
                  </c:pt>
                </c:lvl>
              </c:multiLvlStrCache>
            </c:multiLvlStrRef>
          </c:cat>
          <c:val>
            <c:numRef>
              <c:f>Hoja5!$B$4:$B$17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D-48FE-B948-06D383368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932704"/>
        <c:axId val="404100672"/>
      </c:barChart>
      <c:catAx>
        <c:axId val="4039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4100672"/>
        <c:crosses val="autoZero"/>
        <c:auto val="1"/>
        <c:lblAlgn val="ctr"/>
        <c:lblOffset val="100"/>
        <c:noMultiLvlLbl val="0"/>
      </c:catAx>
      <c:valAx>
        <c:axId val="4041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39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9 Gráficas y Tablas dinamicas.xlsx]Hoja6!TablaDinámica4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937504"/>
        <c:axId val="220749920"/>
      </c:barChart>
      <c:catAx>
        <c:axId val="403937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0749920"/>
        <c:crosses val="autoZero"/>
        <c:auto val="1"/>
        <c:lblAlgn val="ctr"/>
        <c:lblOffset val="100"/>
        <c:noMultiLvlLbl val="0"/>
      </c:catAx>
      <c:valAx>
        <c:axId val="2207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393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778249</xdr:colOff>
      <xdr:row>4</xdr:row>
      <xdr:rowOff>108697</xdr:rowOff>
    </xdr:from>
    <xdr:to>
      <xdr:col>19</xdr:col>
      <xdr:colOff>778249</xdr:colOff>
      <xdr:row>19</xdr:row>
      <xdr:rowOff>2017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C0F756-9B80-8516-8310-69600166B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227703</xdr:colOff>
      <xdr:row>22</xdr:row>
      <xdr:rowOff>30256</xdr:rowOff>
    </xdr:from>
    <xdr:to>
      <xdr:col>20</xdr:col>
      <xdr:colOff>90543</xdr:colOff>
      <xdr:row>37</xdr:row>
      <xdr:rowOff>30257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E7204D-2995-EB80-E8FD-4EE43B8B5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779929</xdr:colOff>
      <xdr:row>20</xdr:row>
      <xdr:rowOff>152401</xdr:rowOff>
    </xdr:from>
    <xdr:to>
      <xdr:col>12</xdr:col>
      <xdr:colOff>757516</xdr:colOff>
      <xdr:row>39</xdr:row>
      <xdr:rowOff>161364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4D2A6E-364E-BA1A-30F5-4FDF669EA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6</xdr:row>
      <xdr:rowOff>47625</xdr:rowOff>
    </xdr:from>
    <xdr:to>
      <xdr:col>11</xdr:col>
      <xdr:colOff>666096</xdr:colOff>
      <xdr:row>20</xdr:row>
      <xdr:rowOff>142530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2475" y="1190625"/>
          <a:ext cx="5228571" cy="27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523421</xdr:colOff>
      <xdr:row>9</xdr:row>
      <xdr:rowOff>130628</xdr:rowOff>
    </xdr:from>
    <xdr:to>
      <xdr:col>19</xdr:col>
      <xdr:colOff>522850</xdr:colOff>
      <xdr:row>24</xdr:row>
      <xdr:rowOff>6008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7064" y="1763485"/>
          <a:ext cx="4734715" cy="2596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11</xdr:col>
      <xdr:colOff>28000</xdr:colOff>
      <xdr:row>38</xdr:row>
      <xdr:rowOff>75857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6275" y="4381500"/>
          <a:ext cx="4600000" cy="27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11</xdr:col>
      <xdr:colOff>742381</xdr:colOff>
      <xdr:row>55</xdr:row>
      <xdr:rowOff>47286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48275" y="7620000"/>
          <a:ext cx="4552381" cy="271428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11</xdr:col>
      <xdr:colOff>742381</xdr:colOff>
      <xdr:row>71</xdr:row>
      <xdr:rowOff>47286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14950" y="11239500"/>
          <a:ext cx="4552381" cy="27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27215</xdr:colOff>
      <xdr:row>40</xdr:row>
      <xdr:rowOff>99785</xdr:rowOff>
    </xdr:from>
    <xdr:to>
      <xdr:col>19</xdr:col>
      <xdr:colOff>1698</xdr:colOff>
      <xdr:row>54</xdr:row>
      <xdr:rowOff>166118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30858" y="7356928"/>
          <a:ext cx="4709769" cy="260633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10</xdr:col>
      <xdr:colOff>723333</xdr:colOff>
      <xdr:row>90</xdr:row>
      <xdr:rowOff>37762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52950" y="18097500"/>
          <a:ext cx="4533333" cy="27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0</xdr:rowOff>
    </xdr:from>
    <xdr:to>
      <xdr:col>9</xdr:col>
      <xdr:colOff>342900</xdr:colOff>
      <xdr:row>18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A0E9E2-2A11-471D-C35E-60A97494B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57AB93-3E11-2DF6-FA19-C96FCFF0F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476250</xdr:colOff>
      <xdr:row>8</xdr:row>
      <xdr:rowOff>123825</xdr:rowOff>
    </xdr:from>
    <xdr:to>
      <xdr:col>10</xdr:col>
      <xdr:colOff>104775</xdr:colOff>
      <xdr:row>21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stado">
              <a:extLst>
                <a:ext uri="{FF2B5EF4-FFF2-40B4-BE49-F238E27FC236}">
                  <a16:creationId xmlns:a16="http://schemas.microsoft.com/office/drawing/2014/main" id="{532500FA-1B45-C404-F68B-F79E89B6BA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1875" y="16478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345.340406828705" createdVersion="8" refreshedVersion="8" minRefreshableVersion="3" recordCount="15" xr:uid="{6BE95EEA-B683-47E9-B08F-4F490D7A9051}">
  <cacheSource type="worksheet">
    <worksheetSource ref="A1:H16" sheet="Dinámicos"/>
  </cacheSource>
  <cacheFields count="11">
    <cacheField name="Fecha" numFmtId="14">
      <sharedItems containsSemiMixedTypes="0" containsNonDate="0" containsDate="1" containsString="0" minDate="2020-01-09T00:00:00" maxDate="2020-06-29T00:00:00" count="15">
        <d v="2020-01-09T00:00:00"/>
        <d v="2020-01-17T00:00:00"/>
        <d v="2020-01-23T00:00:00"/>
        <d v="2020-01-24T00:00:00"/>
        <d v="2020-02-18T00:00:00"/>
        <d v="2020-02-22T00:00:00"/>
        <d v="2020-03-14T00:00:00"/>
        <d v="2020-04-01T00:00:00"/>
        <d v="2020-04-13T00:00:00"/>
        <d v="2020-04-14T00:00:00"/>
        <d v="2020-04-27T00:00:00"/>
        <d v="2020-05-21T00:00:00"/>
        <d v="2020-05-23T00:00:00"/>
        <d v="2020-06-25T00:00:00"/>
        <d v="2020-06-28T00:00:00"/>
      </sharedItems>
      <fieldGroup par="8"/>
    </cacheField>
    <cacheField name="Producto" numFmtId="0">
      <sharedItems count="3">
        <s v="silla"/>
        <s v="mesa"/>
        <s v="cama"/>
      </sharedItems>
    </cacheField>
    <cacheField name="Estado" numFmtId="0">
      <sharedItems count="3">
        <s v="nuevo"/>
        <s v="usado"/>
        <s v="no se sabe"/>
      </sharedItems>
    </cacheField>
    <cacheField name="Color" numFmtId="0">
      <sharedItems count="4">
        <s v="verde"/>
        <s v="amarillo"/>
        <s v="azul"/>
        <s v="negro"/>
      </sharedItems>
    </cacheField>
    <cacheField name="Precio unitario [COP]" numFmtId="165">
      <sharedItems containsSemiMixedTypes="0" containsString="0" containsNumber="1" containsInteger="1" minValue="15000" maxValue="400000"/>
    </cacheField>
    <cacheField name="Unidades" numFmtId="0">
      <sharedItems containsSemiMixedTypes="0" containsString="0" containsNumber="1" containsInteger="1" minValue="1" maxValue="5"/>
    </cacheField>
    <cacheField name="Total" numFmtId="165">
      <sharedItems containsSemiMixedTypes="0" containsString="0" containsNumber="1" containsInteger="1" minValue="30000" maxValue="2000000"/>
    </cacheField>
    <cacheField name="unos" numFmtId="0">
      <sharedItems containsSemiMixedTypes="0" containsString="0" containsNumber="1" containsInteger="1" minValue="1" maxValue="1"/>
    </cacheField>
    <cacheField name="Meses (Fecha)" numFmtId="0" databaseField="0">
      <fieldGroup base="0">
        <rangePr groupBy="months" startDate="2020-01-09T00:00:00" endDate="2020-06-29T00:00:00"/>
        <groupItems count="14">
          <s v="&lt;9/01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9/06/2020"/>
        </groupItems>
      </fieldGroup>
    </cacheField>
    <cacheField name="Campo1" numFmtId="0" formula="Unidades*'Precio unitario [COP]'" databaseField="0"/>
    <cacheField name="ampo" numFmtId="0" formula=" 10*Unidades/unos" databaseField="0"/>
  </cacheFields>
  <extLst>
    <ext xmlns:x14="http://schemas.microsoft.com/office/spreadsheetml/2009/9/main" uri="{725AE2AE-9491-48be-B2B4-4EB974FC3084}">
      <x14:pivotCacheDefinition pivotCacheId="67252734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36.546036689811" createdVersion="8" refreshedVersion="8" minRefreshableVersion="3" recordCount="15" xr:uid="{C942F5FC-C457-48C3-8248-FF0FD3917AAE}">
  <cacheSource type="worksheet">
    <worksheetSource ref="C1:H16" sheet="Dinámicos"/>
  </cacheSource>
  <cacheFields count="6">
    <cacheField name="Estado" numFmtId="0">
      <sharedItems/>
    </cacheField>
    <cacheField name="Color" numFmtId="0">
      <sharedItems count="4">
        <s v="verde"/>
        <s v="amarillo"/>
        <s v="azul"/>
        <s v="negro"/>
      </sharedItems>
    </cacheField>
    <cacheField name="Precio unitario [COP]" numFmtId="165">
      <sharedItems containsSemiMixedTypes="0" containsString="0" containsNumber="1" containsInteger="1" minValue="15000" maxValue="400000"/>
    </cacheField>
    <cacheField name="Unidades" numFmtId="0">
      <sharedItems containsSemiMixedTypes="0" containsString="0" containsNumber="1" containsInteger="1" minValue="1" maxValue="5"/>
    </cacheField>
    <cacheField name="Total" numFmtId="165">
      <sharedItems containsSemiMixedTypes="0" containsString="0" containsNumber="1" containsInteger="1" minValue="30000" maxValue="2000000"/>
    </cacheField>
    <cacheField name="uno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n v="15000"/>
    <n v="2"/>
    <n v="30000"/>
    <n v="1"/>
  </r>
  <r>
    <x v="1"/>
    <x v="0"/>
    <x v="1"/>
    <x v="1"/>
    <n v="15000"/>
    <n v="4"/>
    <n v="60000"/>
    <n v="1"/>
  </r>
  <r>
    <x v="2"/>
    <x v="0"/>
    <x v="2"/>
    <x v="1"/>
    <n v="15000"/>
    <n v="3"/>
    <n v="45000"/>
    <n v="1"/>
  </r>
  <r>
    <x v="3"/>
    <x v="0"/>
    <x v="2"/>
    <x v="2"/>
    <n v="15000"/>
    <n v="5"/>
    <n v="75000"/>
    <n v="1"/>
  </r>
  <r>
    <x v="4"/>
    <x v="1"/>
    <x v="1"/>
    <x v="3"/>
    <n v="80000"/>
    <n v="3"/>
    <n v="240000"/>
    <n v="1"/>
  </r>
  <r>
    <x v="5"/>
    <x v="2"/>
    <x v="2"/>
    <x v="1"/>
    <n v="400000"/>
    <n v="2"/>
    <n v="800000"/>
    <n v="1"/>
  </r>
  <r>
    <x v="6"/>
    <x v="2"/>
    <x v="0"/>
    <x v="2"/>
    <n v="400000"/>
    <n v="4"/>
    <n v="1600000"/>
    <n v="1"/>
  </r>
  <r>
    <x v="7"/>
    <x v="1"/>
    <x v="2"/>
    <x v="1"/>
    <n v="80000"/>
    <n v="4"/>
    <n v="320000"/>
    <n v="1"/>
  </r>
  <r>
    <x v="8"/>
    <x v="0"/>
    <x v="1"/>
    <x v="0"/>
    <n v="15000"/>
    <n v="3"/>
    <n v="45000"/>
    <n v="1"/>
  </r>
  <r>
    <x v="9"/>
    <x v="2"/>
    <x v="0"/>
    <x v="2"/>
    <n v="400000"/>
    <n v="1"/>
    <n v="400000"/>
    <n v="1"/>
  </r>
  <r>
    <x v="10"/>
    <x v="1"/>
    <x v="1"/>
    <x v="0"/>
    <n v="80000"/>
    <n v="2"/>
    <n v="160000"/>
    <n v="1"/>
  </r>
  <r>
    <x v="11"/>
    <x v="2"/>
    <x v="1"/>
    <x v="3"/>
    <n v="400000"/>
    <n v="5"/>
    <n v="2000000"/>
    <n v="1"/>
  </r>
  <r>
    <x v="12"/>
    <x v="2"/>
    <x v="0"/>
    <x v="1"/>
    <n v="400000"/>
    <n v="3"/>
    <n v="1200000"/>
    <n v="1"/>
  </r>
  <r>
    <x v="13"/>
    <x v="1"/>
    <x v="2"/>
    <x v="2"/>
    <n v="80000"/>
    <n v="3"/>
    <n v="240000"/>
    <n v="1"/>
  </r>
  <r>
    <x v="14"/>
    <x v="2"/>
    <x v="1"/>
    <x v="3"/>
    <n v="400000"/>
    <n v="5"/>
    <n v="200000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nuevo"/>
    <x v="0"/>
    <n v="15000"/>
    <n v="2"/>
    <n v="30000"/>
    <n v="1"/>
  </r>
  <r>
    <s v="usado"/>
    <x v="1"/>
    <n v="15000"/>
    <n v="4"/>
    <n v="60000"/>
    <n v="1"/>
  </r>
  <r>
    <s v="no se sabe"/>
    <x v="1"/>
    <n v="15000"/>
    <n v="3"/>
    <n v="45000"/>
    <n v="1"/>
  </r>
  <r>
    <s v="no se sabe"/>
    <x v="2"/>
    <n v="15000"/>
    <n v="5"/>
    <n v="75000"/>
    <n v="1"/>
  </r>
  <r>
    <s v="usado"/>
    <x v="3"/>
    <n v="80000"/>
    <n v="3"/>
    <n v="240000"/>
    <n v="1"/>
  </r>
  <r>
    <s v="no se sabe"/>
    <x v="1"/>
    <n v="400000"/>
    <n v="2"/>
    <n v="800000"/>
    <n v="1"/>
  </r>
  <r>
    <s v="nuevo"/>
    <x v="2"/>
    <n v="400000"/>
    <n v="4"/>
    <n v="1600000"/>
    <n v="1"/>
  </r>
  <r>
    <s v="no se sabe"/>
    <x v="1"/>
    <n v="80000"/>
    <n v="4"/>
    <n v="320000"/>
    <n v="1"/>
  </r>
  <r>
    <s v="usado"/>
    <x v="0"/>
    <n v="15000"/>
    <n v="3"/>
    <n v="45000"/>
    <n v="1"/>
  </r>
  <r>
    <s v="nuevo"/>
    <x v="2"/>
    <n v="400000"/>
    <n v="1"/>
    <n v="400000"/>
    <n v="1"/>
  </r>
  <r>
    <s v="usado"/>
    <x v="0"/>
    <n v="80000"/>
    <n v="2"/>
    <n v="160000"/>
    <n v="1"/>
  </r>
  <r>
    <s v="usado"/>
    <x v="3"/>
    <n v="400000"/>
    <n v="5"/>
    <n v="2000000"/>
    <n v="1"/>
  </r>
  <r>
    <s v="nuevo"/>
    <x v="1"/>
    <n v="400000"/>
    <n v="3"/>
    <n v="1200000"/>
    <n v="1"/>
  </r>
  <r>
    <s v="no se sabe"/>
    <x v="2"/>
    <n v="80000"/>
    <n v="3"/>
    <n v="240000"/>
    <n v="1"/>
  </r>
  <r>
    <s v="usado"/>
    <x v="3"/>
    <n v="400000"/>
    <n v="5"/>
    <n v="20000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C3594-2974-4584-8820-9DD9DC20BB3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7" firstHeaderRow="0" firstDataRow="1" firstDataCol="1"/>
  <pivotFields count="11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numFmtId="165" showAll="0"/>
    <pivotField dataField="1" showAll="0"/>
    <pivotField dataField="1" numFmtId="165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Unidades" fld="5" baseField="0" baseItem="0"/>
    <dataField name="Promedio de Precio unitario [COP]" fld="4" subtotal="average" baseField="1" baseItem="0"/>
    <dataField name="Suma de Total" fld="6" baseField="0" baseItem="0"/>
    <dataField name="Suma de Campo1" fld="9" baseField="0" baseItem="0"/>
    <dataField name="Suma de amp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3AFE2-24B4-4164-B93B-151F0E20746B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17" firstHeaderRow="1" firstDataRow="1" firstDataCol="1"/>
  <pivotFields count="11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numFmtId="165" showAll="0"/>
    <pivotField dataField="1" showAll="0"/>
    <pivotField numFmtId="165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</pivotFields>
  <rowFields count="2">
    <field x="1"/>
    <field x="3"/>
  </rowFields>
  <rowItems count="1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 t="grand">
      <x/>
    </i>
  </rowItems>
  <colItems count="1">
    <i/>
  </colItems>
  <dataFields count="1">
    <dataField name="Suma de Unidad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76CC4-000F-4920-B7C3-C3AF2DF0496B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11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numFmtId="165" showAll="0"/>
    <pivotField showAll="0"/>
    <pivotField numFmtId="165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8C3DC-E8C9-4237-AB5D-54C73CA72DE9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4" firstHeaderRow="1" firstDataRow="2" firstDataCol="0"/>
  <pivotFields count="6">
    <pivotField showAll="0"/>
    <pivotField axis="axisCol" showAll="0">
      <items count="5">
        <item x="1"/>
        <item x="2"/>
        <item x="3"/>
        <item x="0"/>
        <item t="default"/>
      </items>
    </pivotField>
    <pivotField numFmtId="165" showAll="0"/>
    <pivotField showAll="0"/>
    <pivotField numFmtId="165" showAll="0"/>
    <pivotField showAll="0"/>
  </pivotFields>
  <rowItems count="1">
    <i/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0310D-8F93-443E-8CF2-90FF259E26F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8" firstHeaderRow="1" firstDataRow="2" firstDataCol="1" rowPageCount="1" colPageCount="1"/>
  <pivotFields count="11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2"/>
        <item x="0"/>
        <item x="1"/>
        <item t="default"/>
      </items>
    </pivotField>
    <pivotField axis="axisCol" showAll="0" sortType="descending">
      <items count="5">
        <item x="0"/>
        <item x="3"/>
        <item x="2"/>
        <item x="1"/>
        <item t="default"/>
      </items>
    </pivotField>
    <pivotField numFmtId="165" showAll="0"/>
    <pivotField dataField="1" showAll="0"/>
    <pivotField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">
    <i>
      <x v="1"/>
    </i>
    <i>
      <x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a de Unidades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B6219-FABE-43CA-83F1-29BED8C5735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outline="1" outlineData="1" compactData="0" multipleFieldFilters="0">
  <location ref="A3:G10" firstHeaderRow="1" firstDataRow="2" firstDataCol="2" rowPageCount="1" colPageCount="1"/>
  <pivotFields count="11">
    <pivotField compact="0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axis="axisPage" compact="0" showAll="0">
      <items count="4">
        <item x="2"/>
        <item x="0"/>
        <item x="1"/>
        <item t="default"/>
      </items>
    </pivotField>
    <pivotField axis="axisRow" compact="0" showAll="0">
      <items count="5">
        <item x="1"/>
        <item x="2"/>
        <item x="3"/>
        <item x="0"/>
        <item t="default"/>
      </items>
    </pivotField>
    <pivotField compact="0" numFmtId="165" showAll="0"/>
    <pivotField dataField="1" compact="0" showAll="0"/>
    <pivotField compact="0" numFmtId="165" showAll="0"/>
    <pivotField compact="0" showAll="0"/>
    <pivotField axis="axisCol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ubtotalTop="0" dragToRow="0" dragToCol="0" dragToPage="0" showAll="0" defaultSubtotal="0"/>
    <pivotField compact="0" subtotalTop="0" dragToRow="0" dragToCol="0" dragToPage="0" showAll="0" defaultSubtotal="0"/>
  </pivotFields>
  <rowFields count="2">
    <field x="1"/>
    <field x="3"/>
  </rowFields>
  <rowItems count="6">
    <i>
      <x/>
    </i>
    <i r="1">
      <x/>
    </i>
    <i r="1">
      <x v="1"/>
    </i>
    <i>
      <x v="2"/>
    </i>
    <i r="1">
      <x v="3"/>
    </i>
    <i t="grand">
      <x/>
    </i>
  </rowItems>
  <colFields count="1">
    <field x="8"/>
  </colFields>
  <colItems count="5">
    <i>
      <x v="1"/>
    </i>
    <i>
      <x v="3"/>
    </i>
    <i>
      <x v="4"/>
    </i>
    <i>
      <x v="5"/>
    </i>
    <i t="grand">
      <x/>
    </i>
  </colItems>
  <pageFields count="1">
    <pageField fld="2" item="1" hier="-1"/>
  </pageFields>
  <dataFields count="1">
    <dataField name="Suma de Unidad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A738022D-48E5-426E-AC6D-0C21A7A1A3BB}" sourceName="Estado">
  <pivotTables>
    <pivotTable tabId="16" name="TablaDinámica1"/>
  </pivotTables>
  <data>
    <tabular pivotCacheId="672527343">
      <items count="3">
        <i x="2"/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" xr10:uid="{39DBF31B-F3B4-45DA-9D24-85E73728388A}" cache="SegmentaciónDeDatos_Estado" caption="Estado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5"/>
  <sheetViews>
    <sheetView showGridLines="0" topLeftCell="A559" workbookViewId="0">
      <selection activeCell="I3" sqref="I3"/>
    </sheetView>
  </sheetViews>
  <sheetFormatPr baseColWidth="10" defaultColWidth="9.109375" defaultRowHeight="14.4" x14ac:dyDescent="0.3"/>
  <cols>
    <col min="1" max="1" width="10.6640625" style="4" bestFit="1" customWidth="1"/>
    <col min="2" max="2" width="14.44140625" style="4" bestFit="1" customWidth="1"/>
    <col min="3" max="3" width="9.44140625" style="4" bestFit="1" customWidth="1"/>
    <col min="4" max="4" width="16.6640625" style="4" bestFit="1" customWidth="1"/>
    <col min="5" max="5" width="14.109375" style="4" bestFit="1" customWidth="1"/>
    <col min="6" max="6" width="17.5546875" style="4" bestFit="1" customWidth="1"/>
    <col min="7" max="7" width="18" style="2" bestFit="1" customWidth="1"/>
    <col min="8" max="8" width="15.6640625" style="2" bestFit="1" customWidth="1"/>
    <col min="9" max="9" width="11.88671875" style="2" bestFit="1" customWidth="1"/>
    <col min="10" max="16384" width="9.109375" style="2"/>
  </cols>
  <sheetData>
    <row r="1" spans="1:9" x14ac:dyDescent="0.3">
      <c r="A1" s="1" t="s">
        <v>37</v>
      </c>
      <c r="B1" s="1" t="s">
        <v>38</v>
      </c>
      <c r="C1" s="1" t="s">
        <v>13</v>
      </c>
      <c r="D1" s="1" t="s">
        <v>40</v>
      </c>
      <c r="E1" s="1" t="s">
        <v>14</v>
      </c>
      <c r="F1" s="1" t="s">
        <v>39</v>
      </c>
      <c r="G1" s="1" t="s">
        <v>41</v>
      </c>
      <c r="H1" s="1" t="s">
        <v>15</v>
      </c>
    </row>
    <row r="2" spans="1:9" x14ac:dyDescent="0.3">
      <c r="A2" s="3">
        <v>43646</v>
      </c>
      <c r="B2" s="3" t="s">
        <v>8</v>
      </c>
      <c r="C2" s="3" t="s">
        <v>10</v>
      </c>
      <c r="D2" s="3">
        <v>30000</v>
      </c>
      <c r="E2" s="3" t="s">
        <v>94</v>
      </c>
      <c r="F2" s="3">
        <v>39</v>
      </c>
      <c r="G2" s="3">
        <v>1100</v>
      </c>
      <c r="H2" s="3">
        <v>5</v>
      </c>
      <c r="I2" s="2">
        <f>MONTH(A2)</f>
        <v>6</v>
      </c>
    </row>
    <row r="3" spans="1:9" x14ac:dyDescent="0.3">
      <c r="A3" s="3">
        <v>43690</v>
      </c>
      <c r="B3" s="3" t="s">
        <v>9</v>
      </c>
      <c r="C3" s="3" t="s">
        <v>10</v>
      </c>
      <c r="D3" s="3">
        <v>25000</v>
      </c>
      <c r="E3" s="3" t="s">
        <v>92</v>
      </c>
      <c r="F3" s="3">
        <v>54</v>
      </c>
      <c r="G3" s="3">
        <v>3700</v>
      </c>
      <c r="H3" s="3">
        <v>10</v>
      </c>
    </row>
    <row r="4" spans="1:9" x14ac:dyDescent="0.3">
      <c r="A4" s="3">
        <v>43658</v>
      </c>
      <c r="B4" s="3" t="s">
        <v>2</v>
      </c>
      <c r="C4" s="3" t="s">
        <v>7</v>
      </c>
      <c r="D4" s="3">
        <v>30000</v>
      </c>
      <c r="E4" s="3" t="s">
        <v>91</v>
      </c>
      <c r="F4" s="3">
        <v>6</v>
      </c>
      <c r="G4" s="3">
        <v>2600</v>
      </c>
      <c r="H4" s="3">
        <v>9</v>
      </c>
    </row>
    <row r="5" spans="1:9" x14ac:dyDescent="0.3">
      <c r="A5" s="3">
        <v>43481</v>
      </c>
      <c r="B5" s="3" t="s">
        <v>6</v>
      </c>
      <c r="C5" s="3" t="s">
        <v>7</v>
      </c>
      <c r="D5" s="3">
        <v>13000</v>
      </c>
      <c r="E5" s="3" t="s">
        <v>93</v>
      </c>
      <c r="F5" s="3">
        <v>8</v>
      </c>
      <c r="G5" s="3">
        <v>400</v>
      </c>
      <c r="H5" s="3">
        <v>8</v>
      </c>
    </row>
    <row r="6" spans="1:9" x14ac:dyDescent="0.3">
      <c r="A6" s="3">
        <v>43778</v>
      </c>
      <c r="B6" s="3" t="s">
        <v>12</v>
      </c>
      <c r="C6" s="3" t="s">
        <v>10</v>
      </c>
      <c r="D6" s="3">
        <v>10000</v>
      </c>
      <c r="E6" s="3" t="s">
        <v>92</v>
      </c>
      <c r="F6" s="3">
        <v>148</v>
      </c>
      <c r="G6" s="3">
        <v>1000</v>
      </c>
      <c r="H6" s="3">
        <v>9</v>
      </c>
    </row>
    <row r="7" spans="1:9" x14ac:dyDescent="0.3">
      <c r="A7" s="3">
        <v>43609</v>
      </c>
      <c r="B7" s="3" t="s">
        <v>2</v>
      </c>
      <c r="C7" s="3" t="s">
        <v>7</v>
      </c>
      <c r="D7" s="3">
        <v>30000</v>
      </c>
      <c r="E7" s="3" t="s">
        <v>91</v>
      </c>
      <c r="F7" s="3">
        <v>6</v>
      </c>
      <c r="G7" s="3">
        <v>4100</v>
      </c>
      <c r="H7" s="3">
        <v>10</v>
      </c>
    </row>
    <row r="8" spans="1:9" x14ac:dyDescent="0.3">
      <c r="A8" s="3">
        <v>43499</v>
      </c>
      <c r="B8" s="3" t="s">
        <v>2</v>
      </c>
      <c r="C8" s="3" t="s">
        <v>7</v>
      </c>
      <c r="D8" s="3">
        <v>30000</v>
      </c>
      <c r="E8" s="3" t="s">
        <v>94</v>
      </c>
      <c r="F8" s="3">
        <v>5</v>
      </c>
      <c r="G8" s="3">
        <v>1300</v>
      </c>
      <c r="H8" s="3">
        <v>8</v>
      </c>
    </row>
    <row r="9" spans="1:9" x14ac:dyDescent="0.3">
      <c r="A9" s="3">
        <v>43743</v>
      </c>
      <c r="B9" s="3" t="s">
        <v>9</v>
      </c>
      <c r="C9" s="3" t="s">
        <v>10</v>
      </c>
      <c r="D9" s="3">
        <v>25000</v>
      </c>
      <c r="E9" s="3" t="s">
        <v>93</v>
      </c>
      <c r="F9" s="3">
        <v>51</v>
      </c>
      <c r="G9" s="3">
        <v>800</v>
      </c>
      <c r="H9" s="3">
        <v>8</v>
      </c>
    </row>
    <row r="10" spans="1:9" x14ac:dyDescent="0.3">
      <c r="A10" s="3">
        <v>43469</v>
      </c>
      <c r="B10" s="3" t="s">
        <v>11</v>
      </c>
      <c r="C10" s="3" t="s">
        <v>10</v>
      </c>
      <c r="D10" s="3">
        <v>35000</v>
      </c>
      <c r="E10" s="3" t="s">
        <v>94</v>
      </c>
      <c r="F10" s="3">
        <v>213</v>
      </c>
      <c r="G10" s="3">
        <v>3300</v>
      </c>
      <c r="H10" s="3">
        <v>7</v>
      </c>
    </row>
    <row r="11" spans="1:9" x14ac:dyDescent="0.3">
      <c r="A11" s="3">
        <v>43777</v>
      </c>
      <c r="B11" s="3" t="s">
        <v>8</v>
      </c>
      <c r="C11" s="3" t="s">
        <v>10</v>
      </c>
      <c r="D11" s="3">
        <v>30000</v>
      </c>
      <c r="E11" s="3" t="s">
        <v>94</v>
      </c>
      <c r="F11" s="3">
        <v>40</v>
      </c>
      <c r="G11" s="3">
        <v>1200</v>
      </c>
      <c r="H11" s="3">
        <v>8</v>
      </c>
    </row>
    <row r="12" spans="1:9" x14ac:dyDescent="0.3">
      <c r="A12" s="3">
        <v>43701</v>
      </c>
      <c r="B12" s="3" t="s">
        <v>11</v>
      </c>
      <c r="C12" s="3" t="s">
        <v>10</v>
      </c>
      <c r="D12" s="3">
        <v>35000</v>
      </c>
      <c r="E12" s="3" t="s">
        <v>94</v>
      </c>
      <c r="F12" s="3">
        <v>188</v>
      </c>
      <c r="G12" s="3">
        <v>1500</v>
      </c>
      <c r="H12" s="3">
        <v>4</v>
      </c>
    </row>
    <row r="13" spans="1:9" x14ac:dyDescent="0.3">
      <c r="A13" s="3">
        <v>43783</v>
      </c>
      <c r="B13" s="3" t="s">
        <v>9</v>
      </c>
      <c r="C13" s="3" t="s">
        <v>10</v>
      </c>
      <c r="D13" s="3">
        <v>25000</v>
      </c>
      <c r="E13" s="3" t="s">
        <v>94</v>
      </c>
      <c r="F13" s="3">
        <v>48</v>
      </c>
      <c r="G13" s="3">
        <v>700</v>
      </c>
      <c r="H13" s="3">
        <v>7</v>
      </c>
    </row>
    <row r="14" spans="1:9" x14ac:dyDescent="0.3">
      <c r="A14" s="3">
        <v>43513</v>
      </c>
      <c r="B14" s="3" t="s">
        <v>1</v>
      </c>
      <c r="C14" s="3" t="s">
        <v>7</v>
      </c>
      <c r="D14" s="3">
        <v>40000</v>
      </c>
      <c r="E14" s="3" t="s">
        <v>91</v>
      </c>
      <c r="F14" s="3">
        <v>6</v>
      </c>
      <c r="G14" s="3">
        <v>3200</v>
      </c>
      <c r="H14" s="3">
        <v>10</v>
      </c>
    </row>
    <row r="15" spans="1:9" x14ac:dyDescent="0.3">
      <c r="A15" s="3">
        <v>43516</v>
      </c>
      <c r="B15" s="3" t="s">
        <v>12</v>
      </c>
      <c r="C15" s="3" t="s">
        <v>10</v>
      </c>
      <c r="D15" s="3">
        <v>10000</v>
      </c>
      <c r="E15" s="3" t="s">
        <v>92</v>
      </c>
      <c r="F15" s="3">
        <v>144</v>
      </c>
      <c r="G15" s="3">
        <v>1200</v>
      </c>
      <c r="H15" s="3">
        <v>8</v>
      </c>
    </row>
    <row r="16" spans="1:9" x14ac:dyDescent="0.3">
      <c r="A16" s="3">
        <v>43718</v>
      </c>
      <c r="B16" s="3" t="s">
        <v>12</v>
      </c>
      <c r="C16" s="3" t="s">
        <v>10</v>
      </c>
      <c r="D16" s="3">
        <v>10000</v>
      </c>
      <c r="E16" s="3" t="s">
        <v>93</v>
      </c>
      <c r="F16" s="3">
        <v>149</v>
      </c>
      <c r="G16" s="3">
        <v>1000</v>
      </c>
      <c r="H16" s="3">
        <v>6</v>
      </c>
    </row>
    <row r="17" spans="1:8" x14ac:dyDescent="0.3">
      <c r="A17" s="3">
        <v>43677</v>
      </c>
      <c r="B17" s="3" t="s">
        <v>11</v>
      </c>
      <c r="C17" s="3" t="s">
        <v>10</v>
      </c>
      <c r="D17" s="3">
        <v>35000</v>
      </c>
      <c r="E17" s="3" t="s">
        <v>94</v>
      </c>
      <c r="F17" s="3">
        <v>186</v>
      </c>
      <c r="G17" s="3">
        <v>3800</v>
      </c>
      <c r="H17" s="3">
        <v>3</v>
      </c>
    </row>
    <row r="18" spans="1:8" x14ac:dyDescent="0.3">
      <c r="A18" s="3">
        <v>43743</v>
      </c>
      <c r="B18" s="3" t="s">
        <v>5</v>
      </c>
      <c r="C18" s="3" t="s">
        <v>7</v>
      </c>
      <c r="D18" s="3">
        <v>15000</v>
      </c>
      <c r="E18" s="3" t="s">
        <v>94</v>
      </c>
      <c r="F18" s="3">
        <v>9</v>
      </c>
      <c r="G18" s="3">
        <v>300</v>
      </c>
      <c r="H18" s="3">
        <v>8</v>
      </c>
    </row>
    <row r="19" spans="1:8" x14ac:dyDescent="0.3">
      <c r="A19" s="3">
        <v>43496</v>
      </c>
      <c r="B19" s="3" t="s">
        <v>5</v>
      </c>
      <c r="C19" s="3" t="s">
        <v>7</v>
      </c>
      <c r="D19" s="3">
        <v>15000</v>
      </c>
      <c r="E19" s="3" t="s">
        <v>93</v>
      </c>
      <c r="F19" s="3">
        <v>9</v>
      </c>
      <c r="G19" s="3">
        <v>800</v>
      </c>
      <c r="H19" s="3">
        <v>10</v>
      </c>
    </row>
    <row r="20" spans="1:8" x14ac:dyDescent="0.3">
      <c r="A20" s="3">
        <v>43618</v>
      </c>
      <c r="B20" s="3" t="s">
        <v>12</v>
      </c>
      <c r="C20" s="3" t="s">
        <v>10</v>
      </c>
      <c r="D20" s="3">
        <v>10000</v>
      </c>
      <c r="E20" s="3" t="s">
        <v>91</v>
      </c>
      <c r="F20" s="3">
        <v>120</v>
      </c>
      <c r="G20" s="3">
        <v>1000</v>
      </c>
      <c r="H20" s="3">
        <v>9</v>
      </c>
    </row>
    <row r="21" spans="1:8" x14ac:dyDescent="0.3">
      <c r="A21" s="3">
        <v>43543</v>
      </c>
      <c r="B21" s="3" t="s">
        <v>11</v>
      </c>
      <c r="C21" s="3" t="s">
        <v>10</v>
      </c>
      <c r="D21" s="3">
        <v>35000</v>
      </c>
      <c r="E21" s="3" t="s">
        <v>92</v>
      </c>
      <c r="F21" s="3">
        <v>211</v>
      </c>
      <c r="G21" s="3">
        <v>900</v>
      </c>
      <c r="H21" s="3">
        <v>2</v>
      </c>
    </row>
    <row r="22" spans="1:8" x14ac:dyDescent="0.3">
      <c r="A22" s="3">
        <v>43784</v>
      </c>
      <c r="B22" s="3" t="s">
        <v>5</v>
      </c>
      <c r="C22" s="3" t="s">
        <v>7</v>
      </c>
      <c r="D22" s="3">
        <v>15000</v>
      </c>
      <c r="E22" s="3" t="s">
        <v>91</v>
      </c>
      <c r="F22" s="3">
        <v>8</v>
      </c>
      <c r="G22" s="3">
        <v>2100</v>
      </c>
      <c r="H22" s="3">
        <v>7</v>
      </c>
    </row>
    <row r="23" spans="1:8" x14ac:dyDescent="0.3">
      <c r="A23" s="3">
        <v>43752</v>
      </c>
      <c r="B23" s="3" t="s">
        <v>11</v>
      </c>
      <c r="C23" s="3" t="s">
        <v>10</v>
      </c>
      <c r="D23" s="3">
        <v>35000</v>
      </c>
      <c r="E23" s="3" t="s">
        <v>94</v>
      </c>
      <c r="F23" s="3">
        <v>213</v>
      </c>
      <c r="G23" s="3">
        <v>3000</v>
      </c>
      <c r="H23" s="3">
        <v>0</v>
      </c>
    </row>
    <row r="24" spans="1:8" x14ac:dyDescent="0.3">
      <c r="A24" s="3">
        <v>43823</v>
      </c>
      <c r="B24" s="3" t="s">
        <v>2</v>
      </c>
      <c r="C24" s="3" t="s">
        <v>7</v>
      </c>
      <c r="D24" s="3">
        <v>30000</v>
      </c>
      <c r="E24" s="3" t="s">
        <v>91</v>
      </c>
      <c r="F24" s="3">
        <v>6</v>
      </c>
      <c r="G24" s="3">
        <v>3800</v>
      </c>
      <c r="H24" s="3">
        <v>7</v>
      </c>
    </row>
    <row r="25" spans="1:8" x14ac:dyDescent="0.3">
      <c r="A25" s="3">
        <v>43630</v>
      </c>
      <c r="B25" s="3" t="s">
        <v>0</v>
      </c>
      <c r="C25" s="3" t="s">
        <v>7</v>
      </c>
      <c r="D25" s="3">
        <v>125000</v>
      </c>
      <c r="E25" s="3" t="s">
        <v>91</v>
      </c>
      <c r="F25" s="3">
        <v>56</v>
      </c>
      <c r="G25" s="3">
        <v>6900</v>
      </c>
      <c r="H25" s="3">
        <v>5</v>
      </c>
    </row>
    <row r="26" spans="1:8" x14ac:dyDescent="0.3">
      <c r="A26" s="3">
        <v>43603</v>
      </c>
      <c r="B26" s="3" t="s">
        <v>3</v>
      </c>
      <c r="C26" s="3" t="s">
        <v>7</v>
      </c>
      <c r="D26" s="3">
        <v>20000</v>
      </c>
      <c r="E26" s="3" t="s">
        <v>91</v>
      </c>
      <c r="F26" s="3">
        <v>6</v>
      </c>
      <c r="G26" s="3">
        <v>1500</v>
      </c>
      <c r="H26" s="3">
        <v>7</v>
      </c>
    </row>
    <row r="27" spans="1:8" x14ac:dyDescent="0.3">
      <c r="A27" s="3">
        <v>43639</v>
      </c>
      <c r="B27" s="3" t="s">
        <v>11</v>
      </c>
      <c r="C27" s="3" t="s">
        <v>10</v>
      </c>
      <c r="D27" s="3">
        <v>35000</v>
      </c>
      <c r="E27" s="3" t="s">
        <v>91</v>
      </c>
      <c r="F27" s="3">
        <v>190</v>
      </c>
      <c r="G27" s="3">
        <v>100</v>
      </c>
      <c r="H27" s="3">
        <v>4</v>
      </c>
    </row>
    <row r="28" spans="1:8" x14ac:dyDescent="0.3">
      <c r="A28" s="3">
        <v>43826</v>
      </c>
      <c r="B28" s="3" t="s">
        <v>1</v>
      </c>
      <c r="C28" s="3" t="s">
        <v>7</v>
      </c>
      <c r="D28" s="3">
        <v>40000</v>
      </c>
      <c r="E28" s="3" t="s">
        <v>91</v>
      </c>
      <c r="F28" s="3">
        <v>7</v>
      </c>
      <c r="G28" s="3">
        <v>2900</v>
      </c>
      <c r="H28" s="3">
        <v>7</v>
      </c>
    </row>
    <row r="29" spans="1:8" x14ac:dyDescent="0.3">
      <c r="A29" s="3">
        <v>43505</v>
      </c>
      <c r="B29" s="3" t="s">
        <v>5</v>
      </c>
      <c r="C29" s="3" t="s">
        <v>7</v>
      </c>
      <c r="D29" s="3">
        <v>15000</v>
      </c>
      <c r="E29" s="3" t="s">
        <v>92</v>
      </c>
      <c r="F29" s="3">
        <v>9</v>
      </c>
      <c r="G29" s="3">
        <v>2000</v>
      </c>
      <c r="H29" s="3">
        <v>7</v>
      </c>
    </row>
    <row r="30" spans="1:8" x14ac:dyDescent="0.3">
      <c r="A30" s="3">
        <v>43616</v>
      </c>
      <c r="B30" s="3" t="s">
        <v>9</v>
      </c>
      <c r="C30" s="3" t="s">
        <v>10</v>
      </c>
      <c r="D30" s="3">
        <v>25000</v>
      </c>
      <c r="E30" s="3" t="s">
        <v>94</v>
      </c>
      <c r="F30" s="3">
        <v>41</v>
      </c>
      <c r="G30" s="3">
        <v>2000</v>
      </c>
      <c r="H30" s="3">
        <v>6</v>
      </c>
    </row>
    <row r="31" spans="1:8" x14ac:dyDescent="0.3">
      <c r="A31" s="3">
        <v>43644</v>
      </c>
      <c r="B31" s="3" t="s">
        <v>11</v>
      </c>
      <c r="C31" s="3" t="s">
        <v>10</v>
      </c>
      <c r="D31" s="3">
        <v>35000</v>
      </c>
      <c r="E31" s="3" t="s">
        <v>91</v>
      </c>
      <c r="F31" s="3">
        <v>219</v>
      </c>
      <c r="G31" s="3">
        <v>3800</v>
      </c>
      <c r="H31" s="3">
        <v>9</v>
      </c>
    </row>
    <row r="32" spans="1:8" x14ac:dyDescent="0.3">
      <c r="A32" s="3">
        <v>43730</v>
      </c>
      <c r="B32" s="3" t="s">
        <v>9</v>
      </c>
      <c r="C32" s="3" t="s">
        <v>10</v>
      </c>
      <c r="D32" s="3">
        <v>25000</v>
      </c>
      <c r="E32" s="3" t="s">
        <v>92</v>
      </c>
      <c r="F32" s="3">
        <v>54</v>
      </c>
      <c r="G32" s="3">
        <v>1300</v>
      </c>
      <c r="H32" s="3">
        <v>3</v>
      </c>
    </row>
    <row r="33" spans="1:8" x14ac:dyDescent="0.3">
      <c r="A33" s="3">
        <v>43588</v>
      </c>
      <c r="B33" s="3" t="s">
        <v>12</v>
      </c>
      <c r="C33" s="3" t="s">
        <v>10</v>
      </c>
      <c r="D33" s="3">
        <v>10000</v>
      </c>
      <c r="E33" s="3" t="s">
        <v>91</v>
      </c>
      <c r="F33" s="3">
        <v>142</v>
      </c>
      <c r="G33" s="3">
        <v>800</v>
      </c>
      <c r="H33" s="3">
        <v>0</v>
      </c>
    </row>
    <row r="34" spans="1:8" x14ac:dyDescent="0.3">
      <c r="A34" s="3">
        <v>43705</v>
      </c>
      <c r="B34" s="3" t="s">
        <v>9</v>
      </c>
      <c r="C34" s="3" t="s">
        <v>10</v>
      </c>
      <c r="D34" s="3">
        <v>25000</v>
      </c>
      <c r="E34" s="3" t="s">
        <v>94</v>
      </c>
      <c r="F34" s="3">
        <v>42</v>
      </c>
      <c r="G34" s="3">
        <v>2500</v>
      </c>
      <c r="H34" s="3">
        <v>5</v>
      </c>
    </row>
    <row r="35" spans="1:8" x14ac:dyDescent="0.3">
      <c r="A35" s="3">
        <v>43764</v>
      </c>
      <c r="B35" s="3" t="s">
        <v>11</v>
      </c>
      <c r="C35" s="3" t="s">
        <v>10</v>
      </c>
      <c r="D35" s="3">
        <v>35000</v>
      </c>
      <c r="E35" s="3" t="s">
        <v>94</v>
      </c>
      <c r="F35" s="3">
        <v>193</v>
      </c>
      <c r="G35" s="3">
        <v>3200</v>
      </c>
      <c r="H35" s="3">
        <v>3</v>
      </c>
    </row>
    <row r="36" spans="1:8" x14ac:dyDescent="0.3">
      <c r="A36" s="3">
        <v>43490</v>
      </c>
      <c r="B36" s="3" t="s">
        <v>3</v>
      </c>
      <c r="C36" s="3" t="s">
        <v>7</v>
      </c>
      <c r="D36" s="3">
        <v>20000</v>
      </c>
      <c r="E36" s="3" t="s">
        <v>93</v>
      </c>
      <c r="F36" s="3">
        <v>5</v>
      </c>
      <c r="G36" s="3">
        <v>2600</v>
      </c>
      <c r="H36" s="3">
        <v>10</v>
      </c>
    </row>
    <row r="37" spans="1:8" x14ac:dyDescent="0.3">
      <c r="A37" s="3">
        <v>43615</v>
      </c>
      <c r="B37" s="3" t="s">
        <v>3</v>
      </c>
      <c r="C37" s="3" t="s">
        <v>7</v>
      </c>
      <c r="D37" s="3">
        <v>20000</v>
      </c>
      <c r="E37" s="3" t="s">
        <v>94</v>
      </c>
      <c r="F37" s="3">
        <v>6</v>
      </c>
      <c r="G37" s="3">
        <v>2200</v>
      </c>
      <c r="H37" s="3">
        <v>3</v>
      </c>
    </row>
    <row r="38" spans="1:8" x14ac:dyDescent="0.3">
      <c r="A38" s="3">
        <v>43702</v>
      </c>
      <c r="B38" s="3" t="s">
        <v>4</v>
      </c>
      <c r="C38" s="3" t="s">
        <v>7</v>
      </c>
      <c r="D38" s="3">
        <v>18000</v>
      </c>
      <c r="E38" s="3" t="s">
        <v>92</v>
      </c>
      <c r="F38" s="3">
        <v>8</v>
      </c>
      <c r="G38" s="3">
        <v>500</v>
      </c>
      <c r="H38" s="3">
        <v>3</v>
      </c>
    </row>
    <row r="39" spans="1:8" x14ac:dyDescent="0.3">
      <c r="A39" s="3">
        <v>43686</v>
      </c>
      <c r="B39" s="3" t="s">
        <v>3</v>
      </c>
      <c r="C39" s="3" t="s">
        <v>7</v>
      </c>
      <c r="D39" s="3">
        <v>20000</v>
      </c>
      <c r="E39" s="3" t="s">
        <v>92</v>
      </c>
      <c r="F39" s="3">
        <v>5</v>
      </c>
      <c r="G39" s="3">
        <v>900</v>
      </c>
      <c r="H39" s="3">
        <v>1</v>
      </c>
    </row>
    <row r="40" spans="1:8" x14ac:dyDescent="0.3">
      <c r="A40" s="3">
        <v>43599</v>
      </c>
      <c r="B40" s="3" t="s">
        <v>9</v>
      </c>
      <c r="C40" s="3" t="s">
        <v>10</v>
      </c>
      <c r="D40" s="3">
        <v>25000</v>
      </c>
      <c r="E40" s="3" t="s">
        <v>94</v>
      </c>
      <c r="F40" s="3">
        <v>52</v>
      </c>
      <c r="G40" s="3">
        <v>1200</v>
      </c>
      <c r="H40" s="3">
        <v>3</v>
      </c>
    </row>
    <row r="41" spans="1:8" x14ac:dyDescent="0.3">
      <c r="A41" s="3">
        <v>43760</v>
      </c>
      <c r="B41" s="3" t="s">
        <v>3</v>
      </c>
      <c r="C41" s="3" t="s">
        <v>7</v>
      </c>
      <c r="D41" s="3">
        <v>20000</v>
      </c>
      <c r="E41" s="3" t="s">
        <v>91</v>
      </c>
      <c r="F41" s="3">
        <v>5</v>
      </c>
      <c r="G41" s="3">
        <v>1600</v>
      </c>
      <c r="H41" s="3">
        <v>8</v>
      </c>
    </row>
    <row r="42" spans="1:8" x14ac:dyDescent="0.3">
      <c r="A42" s="3">
        <v>43829</v>
      </c>
      <c r="B42" s="3" t="s">
        <v>0</v>
      </c>
      <c r="C42" s="3" t="s">
        <v>7</v>
      </c>
      <c r="D42" s="3">
        <v>125000</v>
      </c>
      <c r="E42" s="3" t="s">
        <v>93</v>
      </c>
      <c r="F42" s="3">
        <v>62</v>
      </c>
      <c r="G42" s="3">
        <v>3300</v>
      </c>
      <c r="H42" s="3">
        <v>6</v>
      </c>
    </row>
    <row r="43" spans="1:8" x14ac:dyDescent="0.3">
      <c r="A43" s="3">
        <v>43784</v>
      </c>
      <c r="B43" s="3" t="s">
        <v>0</v>
      </c>
      <c r="C43" s="3" t="s">
        <v>7</v>
      </c>
      <c r="D43" s="3">
        <v>125000</v>
      </c>
      <c r="E43" s="3" t="s">
        <v>94</v>
      </c>
      <c r="F43" s="3">
        <v>45</v>
      </c>
      <c r="G43" s="3">
        <v>13500</v>
      </c>
      <c r="H43" s="3">
        <v>8</v>
      </c>
    </row>
    <row r="44" spans="1:8" x14ac:dyDescent="0.3">
      <c r="A44" s="3">
        <v>43484</v>
      </c>
      <c r="B44" s="3" t="s">
        <v>9</v>
      </c>
      <c r="C44" s="3" t="s">
        <v>10</v>
      </c>
      <c r="D44" s="3">
        <v>25000</v>
      </c>
      <c r="E44" s="3" t="s">
        <v>91</v>
      </c>
      <c r="F44" s="3">
        <v>53</v>
      </c>
      <c r="G44" s="3">
        <v>600</v>
      </c>
      <c r="H44" s="3">
        <v>0</v>
      </c>
    </row>
    <row r="45" spans="1:8" x14ac:dyDescent="0.3">
      <c r="A45" s="3">
        <v>43561</v>
      </c>
      <c r="B45" s="3" t="s">
        <v>11</v>
      </c>
      <c r="C45" s="3" t="s">
        <v>10</v>
      </c>
      <c r="D45" s="3">
        <v>35000</v>
      </c>
      <c r="E45" s="3" t="s">
        <v>93</v>
      </c>
      <c r="F45" s="3">
        <v>206</v>
      </c>
      <c r="G45" s="3">
        <v>3600</v>
      </c>
      <c r="H45" s="3">
        <v>5</v>
      </c>
    </row>
    <row r="46" spans="1:8" x14ac:dyDescent="0.3">
      <c r="A46" s="3">
        <v>43495</v>
      </c>
      <c r="B46" s="3" t="s">
        <v>3</v>
      </c>
      <c r="C46" s="3" t="s">
        <v>7</v>
      </c>
      <c r="D46" s="3">
        <v>20000</v>
      </c>
      <c r="E46" s="3" t="s">
        <v>91</v>
      </c>
      <c r="F46" s="3">
        <v>7</v>
      </c>
      <c r="G46" s="3">
        <v>200</v>
      </c>
      <c r="H46" s="3">
        <v>10</v>
      </c>
    </row>
    <row r="47" spans="1:8" x14ac:dyDescent="0.3">
      <c r="A47" s="3">
        <v>43658</v>
      </c>
      <c r="B47" s="3" t="s">
        <v>4</v>
      </c>
      <c r="C47" s="3" t="s">
        <v>7</v>
      </c>
      <c r="D47" s="3">
        <v>18000</v>
      </c>
      <c r="E47" s="3" t="s">
        <v>91</v>
      </c>
      <c r="F47" s="3">
        <v>9</v>
      </c>
      <c r="G47" s="3">
        <v>700</v>
      </c>
      <c r="H47" s="3">
        <v>7</v>
      </c>
    </row>
    <row r="48" spans="1:8" x14ac:dyDescent="0.3">
      <c r="A48" s="3">
        <v>43747</v>
      </c>
      <c r="B48" s="3" t="s">
        <v>4</v>
      </c>
      <c r="C48" s="3" t="s">
        <v>7</v>
      </c>
      <c r="D48" s="3">
        <v>18000</v>
      </c>
      <c r="E48" s="3" t="s">
        <v>94</v>
      </c>
      <c r="F48" s="3">
        <v>8</v>
      </c>
      <c r="G48" s="3">
        <v>2400</v>
      </c>
      <c r="H48" s="3">
        <v>5</v>
      </c>
    </row>
    <row r="49" spans="1:8" x14ac:dyDescent="0.3">
      <c r="A49" s="3">
        <v>43609</v>
      </c>
      <c r="B49" s="3" t="s">
        <v>1</v>
      </c>
      <c r="C49" s="3" t="s">
        <v>7</v>
      </c>
      <c r="D49" s="3">
        <v>40000</v>
      </c>
      <c r="E49" s="3" t="s">
        <v>92</v>
      </c>
      <c r="F49" s="3">
        <v>6</v>
      </c>
      <c r="G49" s="3">
        <v>5200</v>
      </c>
      <c r="H49" s="3">
        <v>5</v>
      </c>
    </row>
    <row r="50" spans="1:8" x14ac:dyDescent="0.3">
      <c r="A50" s="3">
        <v>43688</v>
      </c>
      <c r="B50" s="3" t="s">
        <v>5</v>
      </c>
      <c r="C50" s="3" t="s">
        <v>7</v>
      </c>
      <c r="D50" s="3">
        <v>15000</v>
      </c>
      <c r="E50" s="3" t="s">
        <v>92</v>
      </c>
      <c r="F50" s="3">
        <v>8</v>
      </c>
      <c r="G50" s="3">
        <v>100</v>
      </c>
      <c r="H50" s="3">
        <v>1</v>
      </c>
    </row>
    <row r="51" spans="1:8" x14ac:dyDescent="0.3">
      <c r="A51" s="3">
        <v>43555</v>
      </c>
      <c r="B51" s="3" t="s">
        <v>12</v>
      </c>
      <c r="C51" s="3" t="s">
        <v>10</v>
      </c>
      <c r="D51" s="3">
        <v>10000</v>
      </c>
      <c r="E51" s="3" t="s">
        <v>93</v>
      </c>
      <c r="F51" s="3">
        <v>158</v>
      </c>
      <c r="G51" s="3">
        <v>600</v>
      </c>
      <c r="H51" s="3">
        <v>8</v>
      </c>
    </row>
    <row r="52" spans="1:8" x14ac:dyDescent="0.3">
      <c r="A52" s="3">
        <v>43650</v>
      </c>
      <c r="B52" s="3" t="s">
        <v>5</v>
      </c>
      <c r="C52" s="3" t="s">
        <v>7</v>
      </c>
      <c r="D52" s="3">
        <v>15000</v>
      </c>
      <c r="E52" s="3" t="s">
        <v>93</v>
      </c>
      <c r="F52" s="3">
        <v>9</v>
      </c>
      <c r="G52" s="3">
        <v>1500</v>
      </c>
      <c r="H52" s="3">
        <v>7</v>
      </c>
    </row>
    <row r="53" spans="1:8" x14ac:dyDescent="0.3">
      <c r="A53" s="3">
        <v>43686</v>
      </c>
      <c r="B53" s="3" t="s">
        <v>8</v>
      </c>
      <c r="C53" s="3" t="s">
        <v>10</v>
      </c>
      <c r="D53" s="3">
        <v>30000</v>
      </c>
      <c r="E53" s="3" t="s">
        <v>92</v>
      </c>
      <c r="F53" s="3">
        <v>40</v>
      </c>
      <c r="G53" s="3">
        <v>3500</v>
      </c>
      <c r="H53" s="3">
        <v>8</v>
      </c>
    </row>
    <row r="54" spans="1:8" x14ac:dyDescent="0.3">
      <c r="A54" s="3">
        <v>43550</v>
      </c>
      <c r="B54" s="3" t="s">
        <v>0</v>
      </c>
      <c r="C54" s="3" t="s">
        <v>7</v>
      </c>
      <c r="D54" s="3">
        <v>125000</v>
      </c>
      <c r="E54" s="3" t="s">
        <v>94</v>
      </c>
      <c r="F54" s="3">
        <v>61</v>
      </c>
      <c r="G54" s="3">
        <v>15600</v>
      </c>
      <c r="H54" s="3">
        <v>2</v>
      </c>
    </row>
    <row r="55" spans="1:8" x14ac:dyDescent="0.3">
      <c r="A55" s="3">
        <v>43711</v>
      </c>
      <c r="B55" s="3" t="s">
        <v>4</v>
      </c>
      <c r="C55" s="3" t="s">
        <v>7</v>
      </c>
      <c r="D55" s="3">
        <v>18000</v>
      </c>
      <c r="E55" s="3" t="s">
        <v>91</v>
      </c>
      <c r="F55" s="3">
        <v>8</v>
      </c>
      <c r="G55" s="3">
        <v>1500</v>
      </c>
      <c r="H55" s="3">
        <v>8</v>
      </c>
    </row>
    <row r="56" spans="1:8" x14ac:dyDescent="0.3">
      <c r="A56" s="3">
        <v>43765</v>
      </c>
      <c r="B56" s="3" t="s">
        <v>9</v>
      </c>
      <c r="C56" s="3" t="s">
        <v>10</v>
      </c>
      <c r="D56" s="3">
        <v>25000</v>
      </c>
      <c r="E56" s="3" t="s">
        <v>91</v>
      </c>
      <c r="F56" s="3">
        <v>42</v>
      </c>
      <c r="G56" s="3">
        <v>3600</v>
      </c>
      <c r="H56" s="3">
        <v>4</v>
      </c>
    </row>
    <row r="57" spans="1:8" x14ac:dyDescent="0.3">
      <c r="A57" s="3">
        <v>43555</v>
      </c>
      <c r="B57" s="3" t="s">
        <v>3</v>
      </c>
      <c r="C57" s="3" t="s">
        <v>7</v>
      </c>
      <c r="D57" s="3">
        <v>20000</v>
      </c>
      <c r="E57" s="3" t="s">
        <v>92</v>
      </c>
      <c r="F57" s="3">
        <v>6</v>
      </c>
      <c r="G57" s="3">
        <v>1500</v>
      </c>
      <c r="H57" s="3">
        <v>3</v>
      </c>
    </row>
    <row r="58" spans="1:8" x14ac:dyDescent="0.3">
      <c r="A58" s="3">
        <v>43649</v>
      </c>
      <c r="B58" s="3" t="s">
        <v>4</v>
      </c>
      <c r="C58" s="3" t="s">
        <v>7</v>
      </c>
      <c r="D58" s="3">
        <v>18000</v>
      </c>
      <c r="E58" s="3" t="s">
        <v>94</v>
      </c>
      <c r="F58" s="3">
        <v>8</v>
      </c>
      <c r="G58" s="3">
        <v>900</v>
      </c>
      <c r="H58" s="3">
        <v>7</v>
      </c>
    </row>
    <row r="59" spans="1:8" x14ac:dyDescent="0.3">
      <c r="A59" s="3">
        <v>43778</v>
      </c>
      <c r="B59" s="3" t="s">
        <v>5</v>
      </c>
      <c r="C59" s="3" t="s">
        <v>7</v>
      </c>
      <c r="D59" s="3">
        <v>15000</v>
      </c>
      <c r="E59" s="3" t="s">
        <v>93</v>
      </c>
      <c r="F59" s="3">
        <v>8</v>
      </c>
      <c r="G59" s="3">
        <v>2100</v>
      </c>
      <c r="H59" s="3">
        <v>7</v>
      </c>
    </row>
    <row r="60" spans="1:8" x14ac:dyDescent="0.3">
      <c r="A60" s="3">
        <v>43709</v>
      </c>
      <c r="B60" s="3" t="s">
        <v>1</v>
      </c>
      <c r="C60" s="3" t="s">
        <v>7</v>
      </c>
      <c r="D60" s="3">
        <v>40000</v>
      </c>
      <c r="E60" s="3" t="s">
        <v>93</v>
      </c>
      <c r="F60" s="3">
        <v>6</v>
      </c>
      <c r="G60" s="3">
        <v>300</v>
      </c>
      <c r="H60" s="3">
        <v>0</v>
      </c>
    </row>
    <row r="61" spans="1:8" x14ac:dyDescent="0.3">
      <c r="A61" s="3">
        <v>43729</v>
      </c>
      <c r="B61" s="3" t="s">
        <v>9</v>
      </c>
      <c r="C61" s="3" t="s">
        <v>10</v>
      </c>
      <c r="D61" s="3">
        <v>25000</v>
      </c>
      <c r="E61" s="3" t="s">
        <v>91</v>
      </c>
      <c r="F61" s="3">
        <v>51</v>
      </c>
      <c r="G61" s="3">
        <v>3400</v>
      </c>
      <c r="H61" s="3">
        <v>6</v>
      </c>
    </row>
    <row r="62" spans="1:8" x14ac:dyDescent="0.3">
      <c r="A62" s="3">
        <v>43550</v>
      </c>
      <c r="B62" s="3" t="s">
        <v>12</v>
      </c>
      <c r="C62" s="3" t="s">
        <v>10</v>
      </c>
      <c r="D62" s="3">
        <v>10000</v>
      </c>
      <c r="E62" s="3" t="s">
        <v>94</v>
      </c>
      <c r="F62" s="3">
        <v>145</v>
      </c>
      <c r="G62" s="3">
        <v>1000</v>
      </c>
      <c r="H62" s="3">
        <v>8</v>
      </c>
    </row>
    <row r="63" spans="1:8" x14ac:dyDescent="0.3">
      <c r="A63" s="3">
        <v>43663</v>
      </c>
      <c r="B63" s="3" t="s">
        <v>9</v>
      </c>
      <c r="C63" s="3" t="s">
        <v>10</v>
      </c>
      <c r="D63" s="3">
        <v>25000</v>
      </c>
      <c r="E63" s="3" t="s">
        <v>94</v>
      </c>
      <c r="F63" s="3">
        <v>48</v>
      </c>
      <c r="G63" s="3">
        <v>1500</v>
      </c>
      <c r="H63" s="3">
        <v>1</v>
      </c>
    </row>
    <row r="64" spans="1:8" x14ac:dyDescent="0.3">
      <c r="A64" s="3">
        <v>43601</v>
      </c>
      <c r="B64" s="3" t="s">
        <v>11</v>
      </c>
      <c r="C64" s="3" t="s">
        <v>10</v>
      </c>
      <c r="D64" s="3">
        <v>35000</v>
      </c>
      <c r="E64" s="3" t="s">
        <v>93</v>
      </c>
      <c r="F64" s="3">
        <v>206</v>
      </c>
      <c r="G64" s="3">
        <v>2300</v>
      </c>
      <c r="H64" s="3">
        <v>10</v>
      </c>
    </row>
    <row r="65" spans="1:8" x14ac:dyDescent="0.3">
      <c r="A65" s="3">
        <v>43526</v>
      </c>
      <c r="B65" s="3" t="s">
        <v>9</v>
      </c>
      <c r="C65" s="3" t="s">
        <v>10</v>
      </c>
      <c r="D65" s="3">
        <v>25000</v>
      </c>
      <c r="E65" s="3" t="s">
        <v>91</v>
      </c>
      <c r="F65" s="3">
        <v>46</v>
      </c>
      <c r="G65" s="3">
        <v>3600</v>
      </c>
      <c r="H65" s="3">
        <v>1</v>
      </c>
    </row>
    <row r="66" spans="1:8" x14ac:dyDescent="0.3">
      <c r="A66" s="3">
        <v>43686</v>
      </c>
      <c r="B66" s="3" t="s">
        <v>6</v>
      </c>
      <c r="C66" s="3" t="s">
        <v>7</v>
      </c>
      <c r="D66" s="3">
        <v>13000</v>
      </c>
      <c r="E66" s="3" t="s">
        <v>92</v>
      </c>
      <c r="F66" s="3">
        <v>7</v>
      </c>
      <c r="G66" s="3">
        <v>500</v>
      </c>
      <c r="H66" s="3">
        <v>4</v>
      </c>
    </row>
    <row r="67" spans="1:8" x14ac:dyDescent="0.3">
      <c r="A67" s="3">
        <v>43788</v>
      </c>
      <c r="B67" s="3" t="s">
        <v>8</v>
      </c>
      <c r="C67" s="3" t="s">
        <v>10</v>
      </c>
      <c r="D67" s="3">
        <v>30000</v>
      </c>
      <c r="E67" s="3" t="s">
        <v>93</v>
      </c>
      <c r="F67" s="3">
        <v>31</v>
      </c>
      <c r="G67" s="3">
        <v>3500</v>
      </c>
      <c r="H67" s="3">
        <v>7</v>
      </c>
    </row>
    <row r="68" spans="1:8" x14ac:dyDescent="0.3">
      <c r="A68" s="3">
        <v>43679</v>
      </c>
      <c r="B68" s="3" t="s">
        <v>1</v>
      </c>
      <c r="C68" s="3" t="s">
        <v>7</v>
      </c>
      <c r="D68" s="3">
        <v>40000</v>
      </c>
      <c r="E68" s="3" t="s">
        <v>92</v>
      </c>
      <c r="F68" s="3">
        <v>7</v>
      </c>
      <c r="G68" s="3">
        <v>5700</v>
      </c>
      <c r="H68" s="3">
        <v>7</v>
      </c>
    </row>
    <row r="69" spans="1:8" x14ac:dyDescent="0.3">
      <c r="A69" s="3">
        <v>43582</v>
      </c>
      <c r="B69" s="3" t="s">
        <v>4</v>
      </c>
      <c r="C69" s="3" t="s">
        <v>7</v>
      </c>
      <c r="D69" s="3">
        <v>18000</v>
      </c>
      <c r="E69" s="3" t="s">
        <v>92</v>
      </c>
      <c r="F69" s="3">
        <v>8</v>
      </c>
      <c r="G69" s="3">
        <v>2600</v>
      </c>
      <c r="H69" s="3">
        <v>3</v>
      </c>
    </row>
    <row r="70" spans="1:8" x14ac:dyDescent="0.3">
      <c r="A70" s="3">
        <v>43622</v>
      </c>
      <c r="B70" s="3" t="s">
        <v>0</v>
      </c>
      <c r="C70" s="3" t="s">
        <v>7</v>
      </c>
      <c r="D70" s="3">
        <v>125000</v>
      </c>
      <c r="E70" s="3" t="s">
        <v>93</v>
      </c>
      <c r="F70" s="3">
        <v>54</v>
      </c>
      <c r="G70" s="3">
        <v>18400</v>
      </c>
      <c r="H70" s="3">
        <v>4</v>
      </c>
    </row>
    <row r="71" spans="1:8" x14ac:dyDescent="0.3">
      <c r="A71" s="3">
        <v>43618</v>
      </c>
      <c r="B71" s="3" t="s">
        <v>5</v>
      </c>
      <c r="C71" s="3" t="s">
        <v>7</v>
      </c>
      <c r="D71" s="3">
        <v>15000</v>
      </c>
      <c r="E71" s="3" t="s">
        <v>93</v>
      </c>
      <c r="F71" s="3">
        <v>8</v>
      </c>
      <c r="G71" s="3">
        <v>2200</v>
      </c>
      <c r="H71" s="3">
        <v>4</v>
      </c>
    </row>
    <row r="72" spans="1:8" x14ac:dyDescent="0.3">
      <c r="A72" s="3">
        <v>43825</v>
      </c>
      <c r="B72" s="3" t="s">
        <v>8</v>
      </c>
      <c r="C72" s="3" t="s">
        <v>10</v>
      </c>
      <c r="D72" s="3">
        <v>30000</v>
      </c>
      <c r="E72" s="3" t="s">
        <v>91</v>
      </c>
      <c r="F72" s="3">
        <v>36</v>
      </c>
      <c r="G72" s="3">
        <v>900</v>
      </c>
      <c r="H72" s="3">
        <v>5</v>
      </c>
    </row>
    <row r="73" spans="1:8" x14ac:dyDescent="0.3">
      <c r="A73" s="3">
        <v>43495</v>
      </c>
      <c r="B73" s="3" t="s">
        <v>6</v>
      </c>
      <c r="C73" s="3" t="s">
        <v>7</v>
      </c>
      <c r="D73" s="3">
        <v>13000</v>
      </c>
      <c r="E73" s="3" t="s">
        <v>91</v>
      </c>
      <c r="F73" s="3">
        <v>9</v>
      </c>
      <c r="G73" s="3">
        <v>400</v>
      </c>
      <c r="H73" s="3">
        <v>4</v>
      </c>
    </row>
    <row r="74" spans="1:8" x14ac:dyDescent="0.3">
      <c r="A74" s="3">
        <v>43488</v>
      </c>
      <c r="B74" s="3" t="s">
        <v>4</v>
      </c>
      <c r="C74" s="3" t="s">
        <v>7</v>
      </c>
      <c r="D74" s="3">
        <v>18000</v>
      </c>
      <c r="E74" s="3" t="s">
        <v>93</v>
      </c>
      <c r="F74" s="3">
        <v>8</v>
      </c>
      <c r="G74" s="3">
        <v>1200</v>
      </c>
      <c r="H74" s="3">
        <v>2</v>
      </c>
    </row>
    <row r="75" spans="1:8" x14ac:dyDescent="0.3">
      <c r="A75" s="3">
        <v>43521</v>
      </c>
      <c r="B75" s="3" t="s">
        <v>2</v>
      </c>
      <c r="C75" s="3" t="s">
        <v>7</v>
      </c>
      <c r="D75" s="3">
        <v>30000</v>
      </c>
      <c r="E75" s="3" t="s">
        <v>93</v>
      </c>
      <c r="F75" s="3">
        <v>5</v>
      </c>
      <c r="G75" s="3">
        <v>500</v>
      </c>
      <c r="H75" s="3">
        <v>6</v>
      </c>
    </row>
    <row r="76" spans="1:8" x14ac:dyDescent="0.3">
      <c r="A76" s="3">
        <v>43709</v>
      </c>
      <c r="B76" s="3" t="s">
        <v>0</v>
      </c>
      <c r="C76" s="3" t="s">
        <v>7</v>
      </c>
      <c r="D76" s="3">
        <v>125000</v>
      </c>
      <c r="E76" s="3" t="s">
        <v>93</v>
      </c>
      <c r="F76" s="3">
        <v>60</v>
      </c>
      <c r="G76" s="3">
        <v>7400</v>
      </c>
      <c r="H76" s="3">
        <v>2</v>
      </c>
    </row>
    <row r="77" spans="1:8" x14ac:dyDescent="0.3">
      <c r="A77" s="3">
        <v>43826</v>
      </c>
      <c r="B77" s="3" t="s">
        <v>0</v>
      </c>
      <c r="C77" s="3" t="s">
        <v>7</v>
      </c>
      <c r="D77" s="3">
        <v>125000</v>
      </c>
      <c r="E77" s="3" t="s">
        <v>92</v>
      </c>
      <c r="F77" s="3">
        <v>50</v>
      </c>
      <c r="G77" s="3">
        <v>7000</v>
      </c>
      <c r="H77" s="3">
        <v>9</v>
      </c>
    </row>
    <row r="78" spans="1:8" x14ac:dyDescent="0.3">
      <c r="A78" s="3">
        <v>43803</v>
      </c>
      <c r="B78" s="3" t="s">
        <v>5</v>
      </c>
      <c r="C78" s="3" t="s">
        <v>7</v>
      </c>
      <c r="D78" s="3">
        <v>15000</v>
      </c>
      <c r="E78" s="3" t="s">
        <v>91</v>
      </c>
      <c r="F78" s="3">
        <v>8</v>
      </c>
      <c r="G78" s="3">
        <v>2000</v>
      </c>
      <c r="H78" s="3">
        <v>0</v>
      </c>
    </row>
    <row r="79" spans="1:8" x14ac:dyDescent="0.3">
      <c r="A79" s="3">
        <v>43813</v>
      </c>
      <c r="B79" s="3" t="s">
        <v>9</v>
      </c>
      <c r="C79" s="3" t="s">
        <v>10</v>
      </c>
      <c r="D79" s="3">
        <v>25000</v>
      </c>
      <c r="E79" s="3" t="s">
        <v>93</v>
      </c>
      <c r="F79" s="3">
        <v>45</v>
      </c>
      <c r="G79" s="3">
        <v>100</v>
      </c>
      <c r="H79" s="3">
        <v>7</v>
      </c>
    </row>
    <row r="80" spans="1:8" x14ac:dyDescent="0.3">
      <c r="A80" s="3">
        <v>43533</v>
      </c>
      <c r="B80" s="3" t="s">
        <v>4</v>
      </c>
      <c r="C80" s="3" t="s">
        <v>7</v>
      </c>
      <c r="D80" s="3">
        <v>18000</v>
      </c>
      <c r="E80" s="3" t="s">
        <v>94</v>
      </c>
      <c r="F80" s="3">
        <v>9</v>
      </c>
      <c r="G80" s="3">
        <v>500</v>
      </c>
      <c r="H80" s="3">
        <v>8</v>
      </c>
    </row>
    <row r="81" spans="1:8" x14ac:dyDescent="0.3">
      <c r="A81" s="3">
        <v>43818</v>
      </c>
      <c r="B81" s="3" t="s">
        <v>11</v>
      </c>
      <c r="C81" s="3" t="s">
        <v>10</v>
      </c>
      <c r="D81" s="3">
        <v>35000</v>
      </c>
      <c r="E81" s="3" t="s">
        <v>93</v>
      </c>
      <c r="F81" s="3">
        <v>179</v>
      </c>
      <c r="G81" s="3">
        <v>5200</v>
      </c>
      <c r="H81" s="3">
        <v>1</v>
      </c>
    </row>
    <row r="82" spans="1:8" x14ac:dyDescent="0.3">
      <c r="A82" s="3">
        <v>43472</v>
      </c>
      <c r="B82" s="3" t="s">
        <v>8</v>
      </c>
      <c r="C82" s="3" t="s">
        <v>10</v>
      </c>
      <c r="D82" s="3">
        <v>30000</v>
      </c>
      <c r="E82" s="3" t="s">
        <v>92</v>
      </c>
      <c r="F82" s="3">
        <v>32</v>
      </c>
      <c r="G82" s="3">
        <v>2700</v>
      </c>
      <c r="H82" s="3">
        <v>0</v>
      </c>
    </row>
    <row r="83" spans="1:8" x14ac:dyDescent="0.3">
      <c r="A83" s="3">
        <v>43789</v>
      </c>
      <c r="B83" s="3" t="s">
        <v>9</v>
      </c>
      <c r="C83" s="3" t="s">
        <v>10</v>
      </c>
      <c r="D83" s="3">
        <v>25000</v>
      </c>
      <c r="E83" s="3" t="s">
        <v>93</v>
      </c>
      <c r="F83" s="3">
        <v>46</v>
      </c>
      <c r="G83" s="3">
        <v>800</v>
      </c>
      <c r="H83" s="3">
        <v>6</v>
      </c>
    </row>
    <row r="84" spans="1:8" x14ac:dyDescent="0.3">
      <c r="A84" s="3">
        <v>43745</v>
      </c>
      <c r="B84" s="3" t="s">
        <v>5</v>
      </c>
      <c r="C84" s="3" t="s">
        <v>7</v>
      </c>
      <c r="D84" s="3">
        <v>15000</v>
      </c>
      <c r="E84" s="3" t="s">
        <v>91</v>
      </c>
      <c r="F84" s="3">
        <v>8</v>
      </c>
      <c r="G84" s="3">
        <v>1400</v>
      </c>
      <c r="H84" s="3">
        <v>10</v>
      </c>
    </row>
    <row r="85" spans="1:8" x14ac:dyDescent="0.3">
      <c r="A85" s="3">
        <v>43529</v>
      </c>
      <c r="B85" s="3" t="s">
        <v>4</v>
      </c>
      <c r="C85" s="3" t="s">
        <v>7</v>
      </c>
      <c r="D85" s="3">
        <v>18000</v>
      </c>
      <c r="E85" s="3" t="s">
        <v>92</v>
      </c>
      <c r="F85" s="3">
        <v>9</v>
      </c>
      <c r="G85" s="3">
        <v>2500</v>
      </c>
      <c r="H85" s="3">
        <v>5</v>
      </c>
    </row>
    <row r="86" spans="1:8" x14ac:dyDescent="0.3">
      <c r="A86" s="3">
        <v>43571</v>
      </c>
      <c r="B86" s="3" t="s">
        <v>5</v>
      </c>
      <c r="C86" s="3" t="s">
        <v>7</v>
      </c>
      <c r="D86" s="3">
        <v>15000</v>
      </c>
      <c r="E86" s="3" t="s">
        <v>92</v>
      </c>
      <c r="F86" s="3">
        <v>8</v>
      </c>
      <c r="G86" s="3">
        <v>1400</v>
      </c>
      <c r="H86" s="3">
        <v>4</v>
      </c>
    </row>
    <row r="87" spans="1:8" x14ac:dyDescent="0.3">
      <c r="A87" s="3">
        <v>43577</v>
      </c>
      <c r="B87" s="3" t="s">
        <v>2</v>
      </c>
      <c r="C87" s="3" t="s">
        <v>7</v>
      </c>
      <c r="D87" s="3">
        <v>30000</v>
      </c>
      <c r="E87" s="3" t="s">
        <v>92</v>
      </c>
      <c r="F87" s="3">
        <v>5</v>
      </c>
      <c r="G87" s="3">
        <v>1900</v>
      </c>
      <c r="H87" s="3">
        <v>9</v>
      </c>
    </row>
    <row r="88" spans="1:8" x14ac:dyDescent="0.3">
      <c r="A88" s="3">
        <v>43472</v>
      </c>
      <c r="B88" s="3" t="s">
        <v>2</v>
      </c>
      <c r="C88" s="3" t="s">
        <v>7</v>
      </c>
      <c r="D88" s="3">
        <v>30000</v>
      </c>
      <c r="E88" s="3" t="s">
        <v>93</v>
      </c>
      <c r="F88" s="3">
        <v>6</v>
      </c>
      <c r="G88" s="3">
        <v>1600</v>
      </c>
      <c r="H88" s="3">
        <v>6</v>
      </c>
    </row>
    <row r="89" spans="1:8" x14ac:dyDescent="0.3">
      <c r="A89" s="3">
        <v>43697</v>
      </c>
      <c r="B89" s="3" t="s">
        <v>6</v>
      </c>
      <c r="C89" s="3" t="s">
        <v>7</v>
      </c>
      <c r="D89" s="3">
        <v>13000</v>
      </c>
      <c r="E89" s="3" t="s">
        <v>94</v>
      </c>
      <c r="F89" s="3">
        <v>10</v>
      </c>
      <c r="G89" s="3">
        <v>600</v>
      </c>
      <c r="H89" s="3">
        <v>0</v>
      </c>
    </row>
    <row r="90" spans="1:8" x14ac:dyDescent="0.3">
      <c r="A90" s="3">
        <v>43705</v>
      </c>
      <c r="B90" s="3" t="s">
        <v>5</v>
      </c>
      <c r="C90" s="3" t="s">
        <v>7</v>
      </c>
      <c r="D90" s="3">
        <v>15000</v>
      </c>
      <c r="E90" s="3" t="s">
        <v>93</v>
      </c>
      <c r="F90" s="3">
        <v>7</v>
      </c>
      <c r="G90" s="3">
        <v>1300</v>
      </c>
      <c r="H90" s="3">
        <v>6</v>
      </c>
    </row>
    <row r="91" spans="1:8" x14ac:dyDescent="0.3">
      <c r="A91" s="3">
        <v>43818</v>
      </c>
      <c r="B91" s="3" t="s">
        <v>5</v>
      </c>
      <c r="C91" s="3" t="s">
        <v>7</v>
      </c>
      <c r="D91" s="3">
        <v>15000</v>
      </c>
      <c r="E91" s="3" t="s">
        <v>93</v>
      </c>
      <c r="F91" s="3">
        <v>10</v>
      </c>
      <c r="G91" s="3">
        <v>1800</v>
      </c>
      <c r="H91" s="3">
        <v>4</v>
      </c>
    </row>
    <row r="92" spans="1:8" x14ac:dyDescent="0.3">
      <c r="A92" s="3">
        <v>43817</v>
      </c>
      <c r="B92" s="3" t="s">
        <v>1</v>
      </c>
      <c r="C92" s="3" t="s">
        <v>7</v>
      </c>
      <c r="D92" s="3">
        <v>40000</v>
      </c>
      <c r="E92" s="3" t="s">
        <v>92</v>
      </c>
      <c r="F92" s="3">
        <v>7</v>
      </c>
      <c r="G92" s="3">
        <v>5800</v>
      </c>
      <c r="H92" s="3">
        <v>4</v>
      </c>
    </row>
    <row r="93" spans="1:8" x14ac:dyDescent="0.3">
      <c r="A93" s="3">
        <v>43554</v>
      </c>
      <c r="B93" s="3" t="s">
        <v>8</v>
      </c>
      <c r="C93" s="3" t="s">
        <v>10</v>
      </c>
      <c r="D93" s="3">
        <v>30000</v>
      </c>
      <c r="E93" s="3" t="s">
        <v>94</v>
      </c>
      <c r="F93" s="3">
        <v>33</v>
      </c>
      <c r="G93" s="3">
        <v>200</v>
      </c>
      <c r="H93" s="3">
        <v>6</v>
      </c>
    </row>
    <row r="94" spans="1:8" x14ac:dyDescent="0.3">
      <c r="A94" s="3">
        <v>43521</v>
      </c>
      <c r="B94" s="3" t="s">
        <v>3</v>
      </c>
      <c r="C94" s="3" t="s">
        <v>7</v>
      </c>
      <c r="D94" s="3">
        <v>20000</v>
      </c>
      <c r="E94" s="3" t="s">
        <v>92</v>
      </c>
      <c r="F94" s="3">
        <v>6</v>
      </c>
      <c r="G94" s="3">
        <v>400</v>
      </c>
      <c r="H94" s="3">
        <v>3</v>
      </c>
    </row>
    <row r="95" spans="1:8" x14ac:dyDescent="0.3">
      <c r="A95" s="3">
        <v>43485</v>
      </c>
      <c r="B95" s="3" t="s">
        <v>5</v>
      </c>
      <c r="C95" s="3" t="s">
        <v>7</v>
      </c>
      <c r="D95" s="3">
        <v>15000</v>
      </c>
      <c r="E95" s="3" t="s">
        <v>91</v>
      </c>
      <c r="F95" s="3">
        <v>8</v>
      </c>
      <c r="G95" s="3">
        <v>1400</v>
      </c>
      <c r="H95" s="3">
        <v>1</v>
      </c>
    </row>
    <row r="96" spans="1:8" x14ac:dyDescent="0.3">
      <c r="A96" s="3">
        <v>43742</v>
      </c>
      <c r="B96" s="3" t="s">
        <v>5</v>
      </c>
      <c r="C96" s="3" t="s">
        <v>7</v>
      </c>
      <c r="D96" s="3">
        <v>15000</v>
      </c>
      <c r="E96" s="3" t="s">
        <v>91</v>
      </c>
      <c r="F96" s="3">
        <v>8</v>
      </c>
      <c r="G96" s="3">
        <v>200</v>
      </c>
      <c r="H96" s="3">
        <v>9</v>
      </c>
    </row>
    <row r="97" spans="1:8" x14ac:dyDescent="0.3">
      <c r="A97" s="3">
        <v>43824</v>
      </c>
      <c r="B97" s="3" t="s">
        <v>12</v>
      </c>
      <c r="C97" s="3" t="s">
        <v>10</v>
      </c>
      <c r="D97" s="3">
        <v>10000</v>
      </c>
      <c r="E97" s="3" t="s">
        <v>92</v>
      </c>
      <c r="F97" s="3">
        <v>135</v>
      </c>
      <c r="G97" s="3">
        <v>200</v>
      </c>
      <c r="H97" s="3">
        <v>6</v>
      </c>
    </row>
    <row r="98" spans="1:8" x14ac:dyDescent="0.3">
      <c r="A98" s="3">
        <v>43822</v>
      </c>
      <c r="B98" s="3" t="s">
        <v>5</v>
      </c>
      <c r="C98" s="3" t="s">
        <v>7</v>
      </c>
      <c r="D98" s="3">
        <v>15000</v>
      </c>
      <c r="E98" s="3" t="s">
        <v>94</v>
      </c>
      <c r="F98" s="3">
        <v>8</v>
      </c>
      <c r="G98" s="3">
        <v>200</v>
      </c>
      <c r="H98" s="3">
        <v>6</v>
      </c>
    </row>
    <row r="99" spans="1:8" x14ac:dyDescent="0.3">
      <c r="A99" s="3">
        <v>43557</v>
      </c>
      <c r="B99" s="3" t="s">
        <v>2</v>
      </c>
      <c r="C99" s="3" t="s">
        <v>7</v>
      </c>
      <c r="D99" s="3">
        <v>30000</v>
      </c>
      <c r="E99" s="3" t="s">
        <v>94</v>
      </c>
      <c r="F99" s="3">
        <v>5</v>
      </c>
      <c r="G99" s="3">
        <v>3000</v>
      </c>
      <c r="H99" s="3">
        <v>4</v>
      </c>
    </row>
    <row r="100" spans="1:8" x14ac:dyDescent="0.3">
      <c r="A100" s="3">
        <v>43592</v>
      </c>
      <c r="B100" s="3" t="s">
        <v>5</v>
      </c>
      <c r="C100" s="3" t="s">
        <v>7</v>
      </c>
      <c r="D100" s="3">
        <v>15000</v>
      </c>
      <c r="E100" s="3" t="s">
        <v>94</v>
      </c>
      <c r="F100" s="3">
        <v>7</v>
      </c>
      <c r="G100" s="3">
        <v>2000</v>
      </c>
      <c r="H100" s="3">
        <v>8</v>
      </c>
    </row>
    <row r="101" spans="1:8" x14ac:dyDescent="0.3">
      <c r="A101" s="3">
        <v>43577</v>
      </c>
      <c r="B101" s="3" t="s">
        <v>11</v>
      </c>
      <c r="C101" s="3" t="s">
        <v>10</v>
      </c>
      <c r="D101" s="3">
        <v>35000</v>
      </c>
      <c r="E101" s="3" t="s">
        <v>94</v>
      </c>
      <c r="F101" s="3">
        <v>160</v>
      </c>
      <c r="G101" s="3">
        <v>200</v>
      </c>
      <c r="H101" s="3">
        <v>4</v>
      </c>
    </row>
    <row r="102" spans="1:8" x14ac:dyDescent="0.3">
      <c r="A102" s="3">
        <v>43683</v>
      </c>
      <c r="B102" s="3" t="s">
        <v>8</v>
      </c>
      <c r="C102" s="3" t="s">
        <v>10</v>
      </c>
      <c r="D102" s="3">
        <v>30000</v>
      </c>
      <c r="E102" s="3" t="s">
        <v>94</v>
      </c>
      <c r="F102" s="3">
        <v>37</v>
      </c>
      <c r="G102" s="3">
        <v>2400</v>
      </c>
      <c r="H102" s="3">
        <v>1</v>
      </c>
    </row>
    <row r="103" spans="1:8" x14ac:dyDescent="0.3">
      <c r="A103" s="3">
        <v>43741</v>
      </c>
      <c r="B103" s="3" t="s">
        <v>1</v>
      </c>
      <c r="C103" s="3" t="s">
        <v>7</v>
      </c>
      <c r="D103" s="3">
        <v>40000</v>
      </c>
      <c r="E103" s="3" t="s">
        <v>91</v>
      </c>
      <c r="F103" s="3">
        <v>5</v>
      </c>
      <c r="G103" s="3">
        <v>3900</v>
      </c>
      <c r="H103" s="3">
        <v>2</v>
      </c>
    </row>
    <row r="104" spans="1:8" x14ac:dyDescent="0.3">
      <c r="A104" s="3">
        <v>43740</v>
      </c>
      <c r="B104" s="3" t="s">
        <v>12</v>
      </c>
      <c r="C104" s="3" t="s">
        <v>10</v>
      </c>
      <c r="D104" s="3">
        <v>10000</v>
      </c>
      <c r="E104" s="3" t="s">
        <v>91</v>
      </c>
      <c r="F104" s="3">
        <v>126</v>
      </c>
      <c r="G104" s="3">
        <v>900</v>
      </c>
      <c r="H104" s="3">
        <v>7</v>
      </c>
    </row>
    <row r="105" spans="1:8" x14ac:dyDescent="0.3">
      <c r="A105" s="3">
        <v>43584</v>
      </c>
      <c r="B105" s="3" t="s">
        <v>6</v>
      </c>
      <c r="C105" s="3" t="s">
        <v>7</v>
      </c>
      <c r="D105" s="3">
        <v>13000</v>
      </c>
      <c r="E105" s="3" t="s">
        <v>94</v>
      </c>
      <c r="F105" s="3">
        <v>7</v>
      </c>
      <c r="G105" s="3">
        <v>1700</v>
      </c>
      <c r="H105" s="3">
        <v>5</v>
      </c>
    </row>
    <row r="106" spans="1:8" x14ac:dyDescent="0.3">
      <c r="A106" s="3">
        <v>43561</v>
      </c>
      <c r="B106" s="3" t="s">
        <v>6</v>
      </c>
      <c r="C106" s="3" t="s">
        <v>7</v>
      </c>
      <c r="D106" s="3">
        <v>13000</v>
      </c>
      <c r="E106" s="3" t="s">
        <v>93</v>
      </c>
      <c r="F106" s="3">
        <v>8</v>
      </c>
      <c r="G106" s="3">
        <v>900</v>
      </c>
      <c r="H106" s="3">
        <v>7</v>
      </c>
    </row>
    <row r="107" spans="1:8" x14ac:dyDescent="0.3">
      <c r="A107" s="3">
        <v>43616</v>
      </c>
      <c r="B107" s="3" t="s">
        <v>6</v>
      </c>
      <c r="C107" s="3" t="s">
        <v>7</v>
      </c>
      <c r="D107" s="3">
        <v>13000</v>
      </c>
      <c r="E107" s="3" t="s">
        <v>92</v>
      </c>
      <c r="F107" s="3">
        <v>7</v>
      </c>
      <c r="G107" s="3">
        <v>1900</v>
      </c>
      <c r="H107" s="3">
        <v>1</v>
      </c>
    </row>
    <row r="108" spans="1:8" x14ac:dyDescent="0.3">
      <c r="A108" s="3">
        <v>43506</v>
      </c>
      <c r="B108" s="3" t="s">
        <v>12</v>
      </c>
      <c r="C108" s="3" t="s">
        <v>10</v>
      </c>
      <c r="D108" s="3">
        <v>10000</v>
      </c>
      <c r="E108" s="3" t="s">
        <v>91</v>
      </c>
      <c r="F108" s="3">
        <v>121</v>
      </c>
      <c r="G108" s="3">
        <v>700</v>
      </c>
      <c r="H108" s="3">
        <v>2</v>
      </c>
    </row>
    <row r="109" spans="1:8" x14ac:dyDescent="0.3">
      <c r="A109" s="3">
        <v>43532</v>
      </c>
      <c r="B109" s="3" t="s">
        <v>12</v>
      </c>
      <c r="C109" s="3" t="s">
        <v>10</v>
      </c>
      <c r="D109" s="3">
        <v>10000</v>
      </c>
      <c r="E109" s="3" t="s">
        <v>93</v>
      </c>
      <c r="F109" s="3">
        <v>167</v>
      </c>
      <c r="G109" s="3">
        <v>1000</v>
      </c>
      <c r="H109" s="3">
        <v>0</v>
      </c>
    </row>
    <row r="110" spans="1:8" x14ac:dyDescent="0.3">
      <c r="A110" s="3">
        <v>43756</v>
      </c>
      <c r="B110" s="3" t="s">
        <v>9</v>
      </c>
      <c r="C110" s="3" t="s">
        <v>10</v>
      </c>
      <c r="D110" s="3">
        <v>25000</v>
      </c>
      <c r="E110" s="3" t="s">
        <v>92</v>
      </c>
      <c r="F110" s="3">
        <v>54</v>
      </c>
      <c r="G110" s="3">
        <v>3100</v>
      </c>
      <c r="H110" s="3">
        <v>6</v>
      </c>
    </row>
    <row r="111" spans="1:8" x14ac:dyDescent="0.3">
      <c r="A111" s="3">
        <v>43673</v>
      </c>
      <c r="B111" s="3" t="s">
        <v>4</v>
      </c>
      <c r="C111" s="3" t="s">
        <v>7</v>
      </c>
      <c r="D111" s="3">
        <v>18000</v>
      </c>
      <c r="E111" s="3" t="s">
        <v>91</v>
      </c>
      <c r="F111" s="3">
        <v>8</v>
      </c>
      <c r="G111" s="3">
        <v>1700</v>
      </c>
      <c r="H111" s="3">
        <v>7</v>
      </c>
    </row>
    <row r="112" spans="1:8" x14ac:dyDescent="0.3">
      <c r="A112" s="3">
        <v>43772</v>
      </c>
      <c r="B112" s="3" t="s">
        <v>6</v>
      </c>
      <c r="C112" s="3" t="s">
        <v>7</v>
      </c>
      <c r="D112" s="3">
        <v>13000</v>
      </c>
      <c r="E112" s="3" t="s">
        <v>93</v>
      </c>
      <c r="F112" s="3">
        <v>8</v>
      </c>
      <c r="G112" s="3">
        <v>500</v>
      </c>
      <c r="H112" s="3">
        <v>6</v>
      </c>
    </row>
    <row r="113" spans="1:8" x14ac:dyDescent="0.3">
      <c r="A113" s="3">
        <v>43815</v>
      </c>
      <c r="B113" s="3" t="s">
        <v>6</v>
      </c>
      <c r="C113" s="3" t="s">
        <v>7</v>
      </c>
      <c r="D113" s="3">
        <v>13000</v>
      </c>
      <c r="E113" s="3" t="s">
        <v>94</v>
      </c>
      <c r="F113" s="3">
        <v>8</v>
      </c>
      <c r="G113" s="3">
        <v>0</v>
      </c>
      <c r="H113" s="3">
        <v>9</v>
      </c>
    </row>
    <row r="114" spans="1:8" x14ac:dyDescent="0.3">
      <c r="A114" s="3">
        <v>43553</v>
      </c>
      <c r="B114" s="3" t="s">
        <v>2</v>
      </c>
      <c r="C114" s="3" t="s">
        <v>7</v>
      </c>
      <c r="D114" s="3">
        <v>30000</v>
      </c>
      <c r="E114" s="3" t="s">
        <v>93</v>
      </c>
      <c r="F114" s="3">
        <v>7</v>
      </c>
      <c r="G114" s="3">
        <v>3100</v>
      </c>
      <c r="H114" s="3">
        <v>1</v>
      </c>
    </row>
    <row r="115" spans="1:8" x14ac:dyDescent="0.3">
      <c r="A115" s="3">
        <v>43665</v>
      </c>
      <c r="B115" s="3" t="s">
        <v>5</v>
      </c>
      <c r="C115" s="3" t="s">
        <v>7</v>
      </c>
      <c r="D115" s="3">
        <v>15000</v>
      </c>
      <c r="E115" s="3" t="s">
        <v>94</v>
      </c>
      <c r="F115" s="3">
        <v>8</v>
      </c>
      <c r="G115" s="3">
        <v>2100</v>
      </c>
      <c r="H115" s="3">
        <v>2</v>
      </c>
    </row>
    <row r="116" spans="1:8" x14ac:dyDescent="0.3">
      <c r="A116" s="3">
        <v>43593</v>
      </c>
      <c r="B116" s="3" t="s">
        <v>1</v>
      </c>
      <c r="C116" s="3" t="s">
        <v>7</v>
      </c>
      <c r="D116" s="3">
        <v>40000</v>
      </c>
      <c r="E116" s="3" t="s">
        <v>94</v>
      </c>
      <c r="F116" s="3">
        <v>5</v>
      </c>
      <c r="G116" s="3">
        <v>5800</v>
      </c>
      <c r="H116" s="3">
        <v>7</v>
      </c>
    </row>
    <row r="117" spans="1:8" x14ac:dyDescent="0.3">
      <c r="A117" s="3">
        <v>43516</v>
      </c>
      <c r="B117" s="3" t="s">
        <v>2</v>
      </c>
      <c r="C117" s="3" t="s">
        <v>7</v>
      </c>
      <c r="D117" s="3">
        <v>30000</v>
      </c>
      <c r="E117" s="3" t="s">
        <v>92</v>
      </c>
      <c r="F117" s="3">
        <v>7</v>
      </c>
      <c r="G117" s="3">
        <v>100</v>
      </c>
      <c r="H117" s="3">
        <v>4</v>
      </c>
    </row>
    <row r="118" spans="1:8" x14ac:dyDescent="0.3">
      <c r="A118" s="3">
        <v>43615</v>
      </c>
      <c r="B118" s="3" t="s">
        <v>3</v>
      </c>
      <c r="C118" s="3" t="s">
        <v>7</v>
      </c>
      <c r="D118" s="3">
        <v>20000</v>
      </c>
      <c r="E118" s="3" t="s">
        <v>93</v>
      </c>
      <c r="F118" s="3">
        <v>7</v>
      </c>
      <c r="G118" s="3">
        <v>2000</v>
      </c>
      <c r="H118" s="3">
        <v>8</v>
      </c>
    </row>
    <row r="119" spans="1:8" x14ac:dyDescent="0.3">
      <c r="A119" s="3">
        <v>43806</v>
      </c>
      <c r="B119" s="3" t="s">
        <v>8</v>
      </c>
      <c r="C119" s="3" t="s">
        <v>10</v>
      </c>
      <c r="D119" s="3">
        <v>30000</v>
      </c>
      <c r="E119" s="3" t="s">
        <v>93</v>
      </c>
      <c r="F119" s="3">
        <v>31</v>
      </c>
      <c r="G119" s="3">
        <v>4300</v>
      </c>
      <c r="H119" s="3">
        <v>3</v>
      </c>
    </row>
    <row r="120" spans="1:8" x14ac:dyDescent="0.3">
      <c r="A120" s="3">
        <v>43779</v>
      </c>
      <c r="B120" s="3" t="s">
        <v>0</v>
      </c>
      <c r="C120" s="3" t="s">
        <v>7</v>
      </c>
      <c r="D120" s="3">
        <v>125000</v>
      </c>
      <c r="E120" s="3" t="s">
        <v>92</v>
      </c>
      <c r="F120" s="3">
        <v>58</v>
      </c>
      <c r="G120" s="3">
        <v>7100</v>
      </c>
      <c r="H120" s="3">
        <v>1</v>
      </c>
    </row>
    <row r="121" spans="1:8" x14ac:dyDescent="0.3">
      <c r="A121" s="3">
        <v>43690</v>
      </c>
      <c r="B121" s="3" t="s">
        <v>9</v>
      </c>
      <c r="C121" s="3" t="s">
        <v>10</v>
      </c>
      <c r="D121" s="3">
        <v>25000</v>
      </c>
      <c r="E121" s="3" t="s">
        <v>91</v>
      </c>
      <c r="F121" s="3">
        <v>56</v>
      </c>
      <c r="G121" s="3">
        <v>500</v>
      </c>
      <c r="H121" s="3">
        <v>5</v>
      </c>
    </row>
    <row r="122" spans="1:8" x14ac:dyDescent="0.3">
      <c r="A122" s="3">
        <v>43617</v>
      </c>
      <c r="B122" s="3" t="s">
        <v>5</v>
      </c>
      <c r="C122" s="3" t="s">
        <v>7</v>
      </c>
      <c r="D122" s="3">
        <v>15000</v>
      </c>
      <c r="E122" s="3" t="s">
        <v>93</v>
      </c>
      <c r="F122" s="3">
        <v>7</v>
      </c>
      <c r="G122" s="3">
        <v>1500</v>
      </c>
      <c r="H122" s="3">
        <v>4</v>
      </c>
    </row>
    <row r="123" spans="1:8" x14ac:dyDescent="0.3">
      <c r="A123" s="3">
        <v>43724</v>
      </c>
      <c r="B123" s="3" t="s">
        <v>12</v>
      </c>
      <c r="C123" s="3" t="s">
        <v>10</v>
      </c>
      <c r="D123" s="3">
        <v>10000</v>
      </c>
      <c r="E123" s="3" t="s">
        <v>92</v>
      </c>
      <c r="F123" s="3">
        <v>139</v>
      </c>
      <c r="G123" s="3">
        <v>600</v>
      </c>
      <c r="H123" s="3">
        <v>2</v>
      </c>
    </row>
    <row r="124" spans="1:8" x14ac:dyDescent="0.3">
      <c r="A124" s="3">
        <v>43800</v>
      </c>
      <c r="B124" s="3" t="s">
        <v>1</v>
      </c>
      <c r="C124" s="3" t="s">
        <v>7</v>
      </c>
      <c r="D124" s="3">
        <v>40000</v>
      </c>
      <c r="E124" s="3" t="s">
        <v>93</v>
      </c>
      <c r="F124" s="3">
        <v>6</v>
      </c>
      <c r="G124" s="3">
        <v>5500</v>
      </c>
      <c r="H124" s="3">
        <v>6</v>
      </c>
    </row>
    <row r="125" spans="1:8" x14ac:dyDescent="0.3">
      <c r="A125" s="3">
        <v>43813</v>
      </c>
      <c r="B125" s="3" t="s">
        <v>4</v>
      </c>
      <c r="C125" s="3" t="s">
        <v>7</v>
      </c>
      <c r="D125" s="3">
        <v>18000</v>
      </c>
      <c r="E125" s="3" t="s">
        <v>94</v>
      </c>
      <c r="F125" s="3">
        <v>10</v>
      </c>
      <c r="G125" s="3">
        <v>1000</v>
      </c>
      <c r="H125" s="3">
        <v>0</v>
      </c>
    </row>
    <row r="126" spans="1:8" x14ac:dyDescent="0.3">
      <c r="A126" s="3">
        <v>43489</v>
      </c>
      <c r="B126" s="3" t="s">
        <v>0</v>
      </c>
      <c r="C126" s="3" t="s">
        <v>7</v>
      </c>
      <c r="D126" s="3">
        <v>125000</v>
      </c>
      <c r="E126" s="3" t="s">
        <v>94</v>
      </c>
      <c r="F126" s="3">
        <v>55</v>
      </c>
      <c r="G126" s="3">
        <v>7600</v>
      </c>
      <c r="H126" s="3">
        <v>4</v>
      </c>
    </row>
    <row r="127" spans="1:8" x14ac:dyDescent="0.3">
      <c r="A127" s="3">
        <v>43593</v>
      </c>
      <c r="B127" s="3" t="s">
        <v>9</v>
      </c>
      <c r="C127" s="3" t="s">
        <v>10</v>
      </c>
      <c r="D127" s="3">
        <v>25000</v>
      </c>
      <c r="E127" s="3" t="s">
        <v>92</v>
      </c>
      <c r="F127" s="3">
        <v>50</v>
      </c>
      <c r="G127" s="3">
        <v>0</v>
      </c>
      <c r="H127" s="3">
        <v>5</v>
      </c>
    </row>
    <row r="128" spans="1:8" x14ac:dyDescent="0.3">
      <c r="A128" s="3">
        <v>43825</v>
      </c>
      <c r="B128" s="3" t="s">
        <v>4</v>
      </c>
      <c r="C128" s="3" t="s">
        <v>7</v>
      </c>
      <c r="D128" s="3">
        <v>18000</v>
      </c>
      <c r="E128" s="3" t="s">
        <v>94</v>
      </c>
      <c r="F128" s="3">
        <v>9</v>
      </c>
      <c r="G128" s="3">
        <v>500</v>
      </c>
      <c r="H128" s="3">
        <v>6</v>
      </c>
    </row>
    <row r="129" spans="1:8" x14ac:dyDescent="0.3">
      <c r="A129" s="3">
        <v>43780</v>
      </c>
      <c r="B129" s="3" t="s">
        <v>1</v>
      </c>
      <c r="C129" s="3" t="s">
        <v>7</v>
      </c>
      <c r="D129" s="3">
        <v>40000</v>
      </c>
      <c r="E129" s="3" t="s">
        <v>91</v>
      </c>
      <c r="F129" s="3">
        <v>6</v>
      </c>
      <c r="G129" s="3">
        <v>5000</v>
      </c>
      <c r="H129" s="3">
        <v>8</v>
      </c>
    </row>
    <row r="130" spans="1:8" x14ac:dyDescent="0.3">
      <c r="A130" s="3">
        <v>43538</v>
      </c>
      <c r="B130" s="3" t="s">
        <v>3</v>
      </c>
      <c r="C130" s="3" t="s">
        <v>7</v>
      </c>
      <c r="D130" s="3">
        <v>20000</v>
      </c>
      <c r="E130" s="3" t="s">
        <v>92</v>
      </c>
      <c r="F130" s="3">
        <v>7</v>
      </c>
      <c r="G130" s="3">
        <v>2300</v>
      </c>
      <c r="H130" s="3">
        <v>3</v>
      </c>
    </row>
    <row r="131" spans="1:8" x14ac:dyDescent="0.3">
      <c r="A131" s="3">
        <v>43608</v>
      </c>
      <c r="B131" s="3" t="s">
        <v>5</v>
      </c>
      <c r="C131" s="3" t="s">
        <v>7</v>
      </c>
      <c r="D131" s="3">
        <v>15000</v>
      </c>
      <c r="E131" s="3" t="s">
        <v>93</v>
      </c>
      <c r="F131" s="3">
        <v>8</v>
      </c>
      <c r="G131" s="3">
        <v>700</v>
      </c>
      <c r="H131" s="3">
        <v>1</v>
      </c>
    </row>
    <row r="132" spans="1:8" x14ac:dyDescent="0.3">
      <c r="A132" s="3">
        <v>43472</v>
      </c>
      <c r="B132" s="3" t="s">
        <v>0</v>
      </c>
      <c r="C132" s="3" t="s">
        <v>7</v>
      </c>
      <c r="D132" s="3">
        <v>125000</v>
      </c>
      <c r="E132" s="3" t="s">
        <v>92</v>
      </c>
      <c r="F132" s="3">
        <v>59</v>
      </c>
      <c r="G132" s="3">
        <v>6000</v>
      </c>
      <c r="H132" s="3">
        <v>5</v>
      </c>
    </row>
    <row r="133" spans="1:8" x14ac:dyDescent="0.3">
      <c r="A133" s="3">
        <v>43812</v>
      </c>
      <c r="B133" s="3" t="s">
        <v>8</v>
      </c>
      <c r="C133" s="3" t="s">
        <v>10</v>
      </c>
      <c r="D133" s="3">
        <v>30000</v>
      </c>
      <c r="E133" s="3" t="s">
        <v>93</v>
      </c>
      <c r="F133" s="3">
        <v>36</v>
      </c>
      <c r="G133" s="3">
        <v>1200</v>
      </c>
      <c r="H133" s="3">
        <v>9</v>
      </c>
    </row>
    <row r="134" spans="1:8" x14ac:dyDescent="0.3">
      <c r="A134" s="3">
        <v>43692</v>
      </c>
      <c r="B134" s="3" t="s">
        <v>3</v>
      </c>
      <c r="C134" s="3" t="s">
        <v>7</v>
      </c>
      <c r="D134" s="3">
        <v>20000</v>
      </c>
      <c r="E134" s="3" t="s">
        <v>92</v>
      </c>
      <c r="F134" s="3">
        <v>5</v>
      </c>
      <c r="G134" s="3">
        <v>2900</v>
      </c>
      <c r="H134" s="3">
        <v>6</v>
      </c>
    </row>
    <row r="135" spans="1:8" x14ac:dyDescent="0.3">
      <c r="A135" s="3">
        <v>43759</v>
      </c>
      <c r="B135" s="3" t="s">
        <v>5</v>
      </c>
      <c r="C135" s="3" t="s">
        <v>7</v>
      </c>
      <c r="D135" s="3">
        <v>15000</v>
      </c>
      <c r="E135" s="3" t="s">
        <v>94</v>
      </c>
      <c r="F135" s="3">
        <v>9</v>
      </c>
      <c r="G135" s="3">
        <v>1300</v>
      </c>
      <c r="H135" s="3">
        <v>0</v>
      </c>
    </row>
    <row r="136" spans="1:8" x14ac:dyDescent="0.3">
      <c r="A136" s="3">
        <v>43696</v>
      </c>
      <c r="B136" s="3" t="s">
        <v>2</v>
      </c>
      <c r="C136" s="3" t="s">
        <v>7</v>
      </c>
      <c r="D136" s="3">
        <v>30000</v>
      </c>
      <c r="E136" s="3" t="s">
        <v>93</v>
      </c>
      <c r="F136" s="3">
        <v>6</v>
      </c>
      <c r="G136" s="3">
        <v>900</v>
      </c>
      <c r="H136" s="3">
        <v>7</v>
      </c>
    </row>
    <row r="137" spans="1:8" x14ac:dyDescent="0.3">
      <c r="A137" s="3">
        <v>43547</v>
      </c>
      <c r="B137" s="3" t="s">
        <v>1</v>
      </c>
      <c r="C137" s="3" t="s">
        <v>7</v>
      </c>
      <c r="D137" s="3">
        <v>40000</v>
      </c>
      <c r="E137" s="3" t="s">
        <v>92</v>
      </c>
      <c r="F137" s="3">
        <v>7</v>
      </c>
      <c r="G137" s="3">
        <v>5600</v>
      </c>
      <c r="H137" s="3">
        <v>7</v>
      </c>
    </row>
    <row r="138" spans="1:8" x14ac:dyDescent="0.3">
      <c r="A138" s="3">
        <v>43735</v>
      </c>
      <c r="B138" s="3" t="s">
        <v>1</v>
      </c>
      <c r="C138" s="3" t="s">
        <v>7</v>
      </c>
      <c r="D138" s="3">
        <v>40000</v>
      </c>
      <c r="E138" s="3" t="s">
        <v>93</v>
      </c>
      <c r="F138" s="3">
        <v>6</v>
      </c>
      <c r="G138" s="3">
        <v>2900</v>
      </c>
      <c r="H138" s="3">
        <v>7</v>
      </c>
    </row>
    <row r="139" spans="1:8" x14ac:dyDescent="0.3">
      <c r="A139" s="3">
        <v>43621</v>
      </c>
      <c r="B139" s="3" t="s">
        <v>0</v>
      </c>
      <c r="C139" s="3" t="s">
        <v>7</v>
      </c>
      <c r="D139" s="3">
        <v>125000</v>
      </c>
      <c r="E139" s="3" t="s">
        <v>92</v>
      </c>
      <c r="F139" s="3">
        <v>49</v>
      </c>
      <c r="G139" s="3">
        <v>16400</v>
      </c>
      <c r="H139" s="3">
        <v>1</v>
      </c>
    </row>
    <row r="140" spans="1:8" x14ac:dyDescent="0.3">
      <c r="A140" s="3">
        <v>43664</v>
      </c>
      <c r="B140" s="3" t="s">
        <v>6</v>
      </c>
      <c r="C140" s="3" t="s">
        <v>7</v>
      </c>
      <c r="D140" s="3">
        <v>13000</v>
      </c>
      <c r="E140" s="3" t="s">
        <v>93</v>
      </c>
      <c r="F140" s="3">
        <v>8</v>
      </c>
      <c r="G140" s="3">
        <v>900</v>
      </c>
      <c r="H140" s="3">
        <v>2</v>
      </c>
    </row>
    <row r="141" spans="1:8" x14ac:dyDescent="0.3">
      <c r="A141" s="3">
        <v>43728</v>
      </c>
      <c r="B141" s="3" t="s">
        <v>4</v>
      </c>
      <c r="C141" s="3" t="s">
        <v>7</v>
      </c>
      <c r="D141" s="3">
        <v>18000</v>
      </c>
      <c r="E141" s="3" t="s">
        <v>92</v>
      </c>
      <c r="F141" s="3">
        <v>9</v>
      </c>
      <c r="G141" s="3">
        <v>100</v>
      </c>
      <c r="H141" s="3">
        <v>1</v>
      </c>
    </row>
    <row r="142" spans="1:8" x14ac:dyDescent="0.3">
      <c r="A142" s="3">
        <v>43657</v>
      </c>
      <c r="B142" s="3" t="s">
        <v>2</v>
      </c>
      <c r="C142" s="3" t="s">
        <v>7</v>
      </c>
      <c r="D142" s="3">
        <v>30000</v>
      </c>
      <c r="E142" s="3" t="s">
        <v>94</v>
      </c>
      <c r="F142" s="3">
        <v>7</v>
      </c>
      <c r="G142" s="3">
        <v>3400</v>
      </c>
      <c r="H142" s="3">
        <v>6</v>
      </c>
    </row>
    <row r="143" spans="1:8" x14ac:dyDescent="0.3">
      <c r="A143" s="3">
        <v>43692</v>
      </c>
      <c r="B143" s="3" t="s">
        <v>0</v>
      </c>
      <c r="C143" s="3" t="s">
        <v>7</v>
      </c>
      <c r="D143" s="3">
        <v>125000</v>
      </c>
      <c r="E143" s="3" t="s">
        <v>91</v>
      </c>
      <c r="F143" s="3">
        <v>54</v>
      </c>
      <c r="G143" s="3">
        <v>16200</v>
      </c>
      <c r="H143" s="3">
        <v>6</v>
      </c>
    </row>
    <row r="144" spans="1:8" x14ac:dyDescent="0.3">
      <c r="A144" s="3">
        <v>43785</v>
      </c>
      <c r="B144" s="3" t="s">
        <v>2</v>
      </c>
      <c r="C144" s="3" t="s">
        <v>7</v>
      </c>
      <c r="D144" s="3">
        <v>30000</v>
      </c>
      <c r="E144" s="3" t="s">
        <v>93</v>
      </c>
      <c r="F144" s="3">
        <v>6</v>
      </c>
      <c r="G144" s="3">
        <v>600</v>
      </c>
      <c r="H144" s="3">
        <v>7</v>
      </c>
    </row>
    <row r="145" spans="1:8" x14ac:dyDescent="0.3">
      <c r="A145" s="3">
        <v>43826</v>
      </c>
      <c r="B145" s="3" t="s">
        <v>8</v>
      </c>
      <c r="C145" s="3" t="s">
        <v>10</v>
      </c>
      <c r="D145" s="3">
        <v>30000</v>
      </c>
      <c r="E145" s="3" t="s">
        <v>92</v>
      </c>
      <c r="F145" s="3">
        <v>41</v>
      </c>
      <c r="G145" s="3">
        <v>400</v>
      </c>
      <c r="H145" s="3">
        <v>7</v>
      </c>
    </row>
    <row r="146" spans="1:8" x14ac:dyDescent="0.3">
      <c r="A146" s="3">
        <v>43767</v>
      </c>
      <c r="B146" s="3" t="s">
        <v>1</v>
      </c>
      <c r="C146" s="3" t="s">
        <v>7</v>
      </c>
      <c r="D146" s="3">
        <v>40000</v>
      </c>
      <c r="E146" s="3" t="s">
        <v>91</v>
      </c>
      <c r="F146" s="3">
        <v>5</v>
      </c>
      <c r="G146" s="3">
        <v>500</v>
      </c>
      <c r="H146" s="3">
        <v>9</v>
      </c>
    </row>
    <row r="147" spans="1:8" x14ac:dyDescent="0.3">
      <c r="A147" s="3">
        <v>43472</v>
      </c>
      <c r="B147" s="3" t="s">
        <v>6</v>
      </c>
      <c r="C147" s="3" t="s">
        <v>7</v>
      </c>
      <c r="D147" s="3">
        <v>13000</v>
      </c>
      <c r="E147" s="3" t="s">
        <v>92</v>
      </c>
      <c r="F147" s="3">
        <v>7</v>
      </c>
      <c r="G147" s="3">
        <v>100</v>
      </c>
      <c r="H147" s="3">
        <v>6</v>
      </c>
    </row>
    <row r="148" spans="1:8" x14ac:dyDescent="0.3">
      <c r="A148" s="3">
        <v>43789</v>
      </c>
      <c r="B148" s="3" t="s">
        <v>12</v>
      </c>
      <c r="C148" s="3" t="s">
        <v>10</v>
      </c>
      <c r="D148" s="3">
        <v>10000</v>
      </c>
      <c r="E148" s="3" t="s">
        <v>92</v>
      </c>
      <c r="F148" s="3">
        <v>157</v>
      </c>
      <c r="G148" s="3">
        <v>800</v>
      </c>
      <c r="H148" s="3">
        <v>0</v>
      </c>
    </row>
    <row r="149" spans="1:8" x14ac:dyDescent="0.3">
      <c r="A149" s="3">
        <v>43695</v>
      </c>
      <c r="B149" s="3" t="s">
        <v>9</v>
      </c>
      <c r="C149" s="3" t="s">
        <v>10</v>
      </c>
      <c r="D149" s="3">
        <v>25000</v>
      </c>
      <c r="E149" s="3" t="s">
        <v>94</v>
      </c>
      <c r="F149" s="3">
        <v>49</v>
      </c>
      <c r="G149" s="3">
        <v>3200</v>
      </c>
      <c r="H149" s="3">
        <v>2</v>
      </c>
    </row>
    <row r="150" spans="1:8" x14ac:dyDescent="0.3">
      <c r="A150" s="3">
        <v>43672</v>
      </c>
      <c r="B150" s="3" t="s">
        <v>0</v>
      </c>
      <c r="C150" s="3" t="s">
        <v>7</v>
      </c>
      <c r="D150" s="3">
        <v>125000</v>
      </c>
      <c r="E150" s="3" t="s">
        <v>92</v>
      </c>
      <c r="F150" s="3">
        <v>57</v>
      </c>
      <c r="G150" s="3">
        <v>1700</v>
      </c>
      <c r="H150" s="3">
        <v>0</v>
      </c>
    </row>
    <row r="151" spans="1:8" x14ac:dyDescent="0.3">
      <c r="A151" s="3">
        <v>43594</v>
      </c>
      <c r="B151" s="3" t="s">
        <v>8</v>
      </c>
      <c r="C151" s="3" t="s">
        <v>10</v>
      </c>
      <c r="D151" s="3">
        <v>30000</v>
      </c>
      <c r="E151" s="3" t="s">
        <v>92</v>
      </c>
      <c r="F151" s="3">
        <v>40</v>
      </c>
      <c r="G151" s="3">
        <v>1600</v>
      </c>
      <c r="H151" s="3">
        <v>8</v>
      </c>
    </row>
    <row r="152" spans="1:8" x14ac:dyDescent="0.3">
      <c r="A152" s="3">
        <v>43706</v>
      </c>
      <c r="B152" s="3" t="s">
        <v>8</v>
      </c>
      <c r="C152" s="3" t="s">
        <v>10</v>
      </c>
      <c r="D152" s="3">
        <v>30000</v>
      </c>
      <c r="E152" s="3" t="s">
        <v>91</v>
      </c>
      <c r="F152" s="3">
        <v>34</v>
      </c>
      <c r="G152" s="3">
        <v>4300</v>
      </c>
      <c r="H152" s="3">
        <v>3</v>
      </c>
    </row>
    <row r="153" spans="1:8" x14ac:dyDescent="0.3">
      <c r="A153" s="3">
        <v>43744</v>
      </c>
      <c r="B153" s="3" t="s">
        <v>6</v>
      </c>
      <c r="C153" s="3" t="s">
        <v>7</v>
      </c>
      <c r="D153" s="3">
        <v>13000</v>
      </c>
      <c r="E153" s="3" t="s">
        <v>93</v>
      </c>
      <c r="F153" s="3">
        <v>8</v>
      </c>
      <c r="G153" s="3">
        <v>700</v>
      </c>
      <c r="H153" s="3">
        <v>1</v>
      </c>
    </row>
    <row r="154" spans="1:8" x14ac:dyDescent="0.3">
      <c r="A154" s="3">
        <v>43826</v>
      </c>
      <c r="B154" s="3" t="s">
        <v>8</v>
      </c>
      <c r="C154" s="3" t="s">
        <v>10</v>
      </c>
      <c r="D154" s="3">
        <v>30000</v>
      </c>
      <c r="E154" s="3" t="s">
        <v>94</v>
      </c>
      <c r="F154" s="3">
        <v>39</v>
      </c>
      <c r="G154" s="3">
        <v>3900</v>
      </c>
      <c r="H154" s="3">
        <v>8</v>
      </c>
    </row>
    <row r="155" spans="1:8" x14ac:dyDescent="0.3">
      <c r="A155" s="3">
        <v>43763</v>
      </c>
      <c r="B155" s="3" t="s">
        <v>12</v>
      </c>
      <c r="C155" s="3" t="s">
        <v>10</v>
      </c>
      <c r="D155" s="3">
        <v>10000</v>
      </c>
      <c r="E155" s="3" t="s">
        <v>93</v>
      </c>
      <c r="F155" s="3">
        <v>149</v>
      </c>
      <c r="G155" s="3">
        <v>1300</v>
      </c>
      <c r="H155" s="3">
        <v>8</v>
      </c>
    </row>
    <row r="156" spans="1:8" x14ac:dyDescent="0.3">
      <c r="A156" s="3">
        <v>43759</v>
      </c>
      <c r="B156" s="3" t="s">
        <v>4</v>
      </c>
      <c r="C156" s="3" t="s">
        <v>7</v>
      </c>
      <c r="D156" s="3">
        <v>18000</v>
      </c>
      <c r="E156" s="3" t="s">
        <v>92</v>
      </c>
      <c r="F156" s="3">
        <v>10</v>
      </c>
      <c r="G156" s="3">
        <v>2600</v>
      </c>
      <c r="H156" s="3">
        <v>6</v>
      </c>
    </row>
    <row r="157" spans="1:8" x14ac:dyDescent="0.3">
      <c r="A157" s="3">
        <v>43503</v>
      </c>
      <c r="B157" s="3" t="s">
        <v>5</v>
      </c>
      <c r="C157" s="3" t="s">
        <v>7</v>
      </c>
      <c r="D157" s="3">
        <v>15000</v>
      </c>
      <c r="E157" s="3" t="s">
        <v>93</v>
      </c>
      <c r="F157" s="3">
        <v>9</v>
      </c>
      <c r="G157" s="3">
        <v>800</v>
      </c>
      <c r="H157" s="3">
        <v>0</v>
      </c>
    </row>
    <row r="158" spans="1:8" x14ac:dyDescent="0.3">
      <c r="A158" s="3">
        <v>43665</v>
      </c>
      <c r="B158" s="3" t="s">
        <v>8</v>
      </c>
      <c r="C158" s="3" t="s">
        <v>10</v>
      </c>
      <c r="D158" s="3">
        <v>30000</v>
      </c>
      <c r="E158" s="3" t="s">
        <v>93</v>
      </c>
      <c r="F158" s="3">
        <v>31</v>
      </c>
      <c r="G158" s="3">
        <v>4000</v>
      </c>
      <c r="H158" s="3">
        <v>4</v>
      </c>
    </row>
    <row r="159" spans="1:8" x14ac:dyDescent="0.3">
      <c r="A159" s="3">
        <v>43688</v>
      </c>
      <c r="B159" s="3" t="s">
        <v>0</v>
      </c>
      <c r="C159" s="3" t="s">
        <v>7</v>
      </c>
      <c r="D159" s="3">
        <v>125000</v>
      </c>
      <c r="E159" s="3" t="s">
        <v>94</v>
      </c>
      <c r="F159" s="3">
        <v>53</v>
      </c>
      <c r="G159" s="3">
        <v>4600</v>
      </c>
      <c r="H159" s="3">
        <v>7</v>
      </c>
    </row>
    <row r="160" spans="1:8" x14ac:dyDescent="0.3">
      <c r="A160" s="3">
        <v>43819</v>
      </c>
      <c r="B160" s="3" t="s">
        <v>8</v>
      </c>
      <c r="C160" s="3" t="s">
        <v>10</v>
      </c>
      <c r="D160" s="3">
        <v>30000</v>
      </c>
      <c r="E160" s="3" t="s">
        <v>92</v>
      </c>
      <c r="F160" s="3">
        <v>36</v>
      </c>
      <c r="G160" s="3">
        <v>200</v>
      </c>
      <c r="H160" s="3">
        <v>9</v>
      </c>
    </row>
    <row r="161" spans="1:8" x14ac:dyDescent="0.3">
      <c r="A161" s="3">
        <v>43636</v>
      </c>
      <c r="B161" s="3" t="s">
        <v>5</v>
      </c>
      <c r="C161" s="3" t="s">
        <v>7</v>
      </c>
      <c r="D161" s="3">
        <v>15000</v>
      </c>
      <c r="E161" s="3" t="s">
        <v>91</v>
      </c>
      <c r="F161" s="3">
        <v>7</v>
      </c>
      <c r="G161" s="3">
        <v>2100</v>
      </c>
      <c r="H161" s="3">
        <v>1</v>
      </c>
    </row>
    <row r="162" spans="1:8" x14ac:dyDescent="0.3">
      <c r="A162" s="3">
        <v>43738</v>
      </c>
      <c r="B162" s="3" t="s">
        <v>6</v>
      </c>
      <c r="C162" s="3" t="s">
        <v>7</v>
      </c>
      <c r="D162" s="3">
        <v>13000</v>
      </c>
      <c r="E162" s="3" t="s">
        <v>93</v>
      </c>
      <c r="F162" s="3">
        <v>9</v>
      </c>
      <c r="G162" s="3">
        <v>1900</v>
      </c>
      <c r="H162" s="3">
        <v>0</v>
      </c>
    </row>
    <row r="163" spans="1:8" x14ac:dyDescent="0.3">
      <c r="A163" s="3">
        <v>43593</v>
      </c>
      <c r="B163" s="3" t="s">
        <v>5</v>
      </c>
      <c r="C163" s="3" t="s">
        <v>7</v>
      </c>
      <c r="D163" s="3">
        <v>15000</v>
      </c>
      <c r="E163" s="3" t="s">
        <v>93</v>
      </c>
      <c r="F163" s="3">
        <v>10</v>
      </c>
      <c r="G163" s="3">
        <v>2100</v>
      </c>
      <c r="H163" s="3">
        <v>2</v>
      </c>
    </row>
    <row r="164" spans="1:8" x14ac:dyDescent="0.3">
      <c r="A164" s="3">
        <v>43679</v>
      </c>
      <c r="B164" s="3" t="s">
        <v>4</v>
      </c>
      <c r="C164" s="3" t="s">
        <v>7</v>
      </c>
      <c r="D164" s="3">
        <v>18000</v>
      </c>
      <c r="E164" s="3" t="s">
        <v>91</v>
      </c>
      <c r="F164" s="3">
        <v>9</v>
      </c>
      <c r="G164" s="3">
        <v>300</v>
      </c>
      <c r="H164" s="3">
        <v>2</v>
      </c>
    </row>
    <row r="165" spans="1:8" x14ac:dyDescent="0.3">
      <c r="A165" s="3">
        <v>43809</v>
      </c>
      <c r="B165" s="3" t="s">
        <v>8</v>
      </c>
      <c r="C165" s="3" t="s">
        <v>10</v>
      </c>
      <c r="D165" s="3">
        <v>30000</v>
      </c>
      <c r="E165" s="3" t="s">
        <v>91</v>
      </c>
      <c r="F165" s="3">
        <v>33</v>
      </c>
      <c r="G165" s="3">
        <v>4100</v>
      </c>
      <c r="H165" s="3">
        <v>2</v>
      </c>
    </row>
    <row r="166" spans="1:8" x14ac:dyDescent="0.3">
      <c r="A166" s="3">
        <v>43495</v>
      </c>
      <c r="B166" s="3" t="s">
        <v>5</v>
      </c>
      <c r="C166" s="3" t="s">
        <v>7</v>
      </c>
      <c r="D166" s="3">
        <v>15000</v>
      </c>
      <c r="E166" s="3" t="s">
        <v>93</v>
      </c>
      <c r="F166" s="3">
        <v>10</v>
      </c>
      <c r="G166" s="3">
        <v>2200</v>
      </c>
      <c r="H166" s="3">
        <v>6</v>
      </c>
    </row>
    <row r="167" spans="1:8" x14ac:dyDescent="0.3">
      <c r="A167" s="3">
        <v>43577</v>
      </c>
      <c r="B167" s="3" t="s">
        <v>12</v>
      </c>
      <c r="C167" s="3" t="s">
        <v>10</v>
      </c>
      <c r="D167" s="3">
        <v>10000</v>
      </c>
      <c r="E167" s="3" t="s">
        <v>92</v>
      </c>
      <c r="F167" s="3">
        <v>141</v>
      </c>
      <c r="G167" s="3">
        <v>1300</v>
      </c>
      <c r="H167" s="3">
        <v>7</v>
      </c>
    </row>
    <row r="168" spans="1:8" x14ac:dyDescent="0.3">
      <c r="A168" s="3">
        <v>43668</v>
      </c>
      <c r="B168" s="3" t="s">
        <v>0</v>
      </c>
      <c r="C168" s="3" t="s">
        <v>7</v>
      </c>
      <c r="D168" s="3">
        <v>125000</v>
      </c>
      <c r="E168" s="3" t="s">
        <v>94</v>
      </c>
      <c r="F168" s="3">
        <v>54</v>
      </c>
      <c r="G168" s="3">
        <v>17300</v>
      </c>
      <c r="H168" s="3">
        <v>3</v>
      </c>
    </row>
    <row r="169" spans="1:8" x14ac:dyDescent="0.3">
      <c r="A169" s="3">
        <v>43486</v>
      </c>
      <c r="B169" s="3" t="s">
        <v>6</v>
      </c>
      <c r="C169" s="3" t="s">
        <v>7</v>
      </c>
      <c r="D169" s="3">
        <v>13000</v>
      </c>
      <c r="E169" s="3" t="s">
        <v>91</v>
      </c>
      <c r="F169" s="3">
        <v>9</v>
      </c>
      <c r="G169" s="3">
        <v>1400</v>
      </c>
      <c r="H169" s="3">
        <v>4</v>
      </c>
    </row>
    <row r="170" spans="1:8" x14ac:dyDescent="0.3">
      <c r="A170" s="3">
        <v>43793</v>
      </c>
      <c r="B170" s="3" t="s">
        <v>0</v>
      </c>
      <c r="C170" s="3" t="s">
        <v>7</v>
      </c>
      <c r="D170" s="3">
        <v>125000</v>
      </c>
      <c r="E170" s="3" t="s">
        <v>93</v>
      </c>
      <c r="F170" s="3">
        <v>60</v>
      </c>
      <c r="G170" s="3">
        <v>15600</v>
      </c>
      <c r="H170" s="3">
        <v>0</v>
      </c>
    </row>
    <row r="171" spans="1:8" x14ac:dyDescent="0.3">
      <c r="A171" s="3">
        <v>43707</v>
      </c>
      <c r="B171" s="3" t="s">
        <v>11</v>
      </c>
      <c r="C171" s="3" t="s">
        <v>10</v>
      </c>
      <c r="D171" s="3">
        <v>35000</v>
      </c>
      <c r="E171" s="3" t="s">
        <v>91</v>
      </c>
      <c r="F171" s="3">
        <v>214</v>
      </c>
      <c r="G171" s="3">
        <v>3800</v>
      </c>
      <c r="H171" s="3">
        <v>3</v>
      </c>
    </row>
    <row r="172" spans="1:8" x14ac:dyDescent="0.3">
      <c r="A172" s="3">
        <v>43548</v>
      </c>
      <c r="B172" s="3" t="s">
        <v>8</v>
      </c>
      <c r="C172" s="3" t="s">
        <v>10</v>
      </c>
      <c r="D172" s="3">
        <v>30000</v>
      </c>
      <c r="E172" s="3" t="s">
        <v>92</v>
      </c>
      <c r="F172" s="3">
        <v>41</v>
      </c>
      <c r="G172" s="3">
        <v>1300</v>
      </c>
      <c r="H172" s="3">
        <v>1</v>
      </c>
    </row>
    <row r="173" spans="1:8" x14ac:dyDescent="0.3">
      <c r="A173" s="3">
        <v>43509</v>
      </c>
      <c r="B173" s="3" t="s">
        <v>11</v>
      </c>
      <c r="C173" s="3" t="s">
        <v>10</v>
      </c>
      <c r="D173" s="3">
        <v>35000</v>
      </c>
      <c r="E173" s="3" t="s">
        <v>93</v>
      </c>
      <c r="F173" s="3">
        <v>165</v>
      </c>
      <c r="G173" s="3">
        <v>3700</v>
      </c>
      <c r="H173" s="3">
        <v>6</v>
      </c>
    </row>
    <row r="174" spans="1:8" x14ac:dyDescent="0.3">
      <c r="A174" s="3">
        <v>43709</v>
      </c>
      <c r="B174" s="3" t="s">
        <v>11</v>
      </c>
      <c r="C174" s="3" t="s">
        <v>10</v>
      </c>
      <c r="D174" s="3">
        <v>35000</v>
      </c>
      <c r="E174" s="3" t="s">
        <v>92</v>
      </c>
      <c r="F174" s="3">
        <v>187</v>
      </c>
      <c r="G174" s="3">
        <v>2900</v>
      </c>
      <c r="H174" s="3">
        <v>2</v>
      </c>
    </row>
    <row r="175" spans="1:8" x14ac:dyDescent="0.3">
      <c r="A175" s="3">
        <v>43662</v>
      </c>
      <c r="B175" s="3" t="s">
        <v>6</v>
      </c>
      <c r="C175" s="3" t="s">
        <v>7</v>
      </c>
      <c r="D175" s="3">
        <v>13000</v>
      </c>
      <c r="E175" s="3" t="s">
        <v>93</v>
      </c>
      <c r="F175" s="3">
        <v>7</v>
      </c>
      <c r="G175" s="3">
        <v>1500</v>
      </c>
      <c r="H175" s="3">
        <v>6</v>
      </c>
    </row>
    <row r="176" spans="1:8" x14ac:dyDescent="0.3">
      <c r="A176" s="3">
        <v>43807</v>
      </c>
      <c r="B176" s="3" t="s">
        <v>5</v>
      </c>
      <c r="C176" s="3" t="s">
        <v>7</v>
      </c>
      <c r="D176" s="3">
        <v>15000</v>
      </c>
      <c r="E176" s="3" t="s">
        <v>93</v>
      </c>
      <c r="F176" s="3">
        <v>9</v>
      </c>
      <c r="G176" s="3">
        <v>1400</v>
      </c>
      <c r="H176" s="3">
        <v>6</v>
      </c>
    </row>
    <row r="177" spans="1:8" x14ac:dyDescent="0.3">
      <c r="A177" s="3">
        <v>43706</v>
      </c>
      <c r="B177" s="3" t="s">
        <v>6</v>
      </c>
      <c r="C177" s="3" t="s">
        <v>7</v>
      </c>
      <c r="D177" s="3">
        <v>13000</v>
      </c>
      <c r="E177" s="3" t="s">
        <v>92</v>
      </c>
      <c r="F177" s="3">
        <v>8</v>
      </c>
      <c r="G177" s="3">
        <v>500</v>
      </c>
      <c r="H177" s="3">
        <v>3</v>
      </c>
    </row>
    <row r="178" spans="1:8" x14ac:dyDescent="0.3">
      <c r="A178" s="3">
        <v>43787</v>
      </c>
      <c r="B178" s="3" t="s">
        <v>9</v>
      </c>
      <c r="C178" s="3" t="s">
        <v>10</v>
      </c>
      <c r="D178" s="3">
        <v>25000</v>
      </c>
      <c r="E178" s="3" t="s">
        <v>91</v>
      </c>
      <c r="F178" s="3">
        <v>47</v>
      </c>
      <c r="G178" s="3">
        <v>1200</v>
      </c>
      <c r="H178" s="3">
        <v>7</v>
      </c>
    </row>
    <row r="179" spans="1:8" x14ac:dyDescent="0.3">
      <c r="A179" s="3">
        <v>43517</v>
      </c>
      <c r="B179" s="3" t="s">
        <v>4</v>
      </c>
      <c r="C179" s="3" t="s">
        <v>7</v>
      </c>
      <c r="D179" s="3">
        <v>18000</v>
      </c>
      <c r="E179" s="3" t="s">
        <v>92</v>
      </c>
      <c r="F179" s="3">
        <v>7</v>
      </c>
      <c r="G179" s="3">
        <v>100</v>
      </c>
      <c r="H179" s="3">
        <v>7</v>
      </c>
    </row>
    <row r="180" spans="1:8" x14ac:dyDescent="0.3">
      <c r="A180" s="3">
        <v>43562</v>
      </c>
      <c r="B180" s="3" t="s">
        <v>5</v>
      </c>
      <c r="C180" s="3" t="s">
        <v>7</v>
      </c>
      <c r="D180" s="3">
        <v>15000</v>
      </c>
      <c r="E180" s="3" t="s">
        <v>94</v>
      </c>
      <c r="F180" s="3">
        <v>8</v>
      </c>
      <c r="G180" s="3">
        <v>2000</v>
      </c>
      <c r="H180" s="3">
        <v>5</v>
      </c>
    </row>
    <row r="181" spans="1:8" x14ac:dyDescent="0.3">
      <c r="A181" s="3">
        <v>43602</v>
      </c>
      <c r="B181" s="3" t="s">
        <v>5</v>
      </c>
      <c r="C181" s="3" t="s">
        <v>7</v>
      </c>
      <c r="D181" s="3">
        <v>15000</v>
      </c>
      <c r="E181" s="3" t="s">
        <v>93</v>
      </c>
      <c r="F181" s="3">
        <v>8</v>
      </c>
      <c r="G181" s="3">
        <v>1000</v>
      </c>
      <c r="H181" s="3">
        <v>8</v>
      </c>
    </row>
    <row r="182" spans="1:8" x14ac:dyDescent="0.3">
      <c r="A182" s="3">
        <v>43503</v>
      </c>
      <c r="B182" s="3" t="s">
        <v>1</v>
      </c>
      <c r="C182" s="3" t="s">
        <v>7</v>
      </c>
      <c r="D182" s="3">
        <v>40000</v>
      </c>
      <c r="E182" s="3" t="s">
        <v>94</v>
      </c>
      <c r="F182" s="3">
        <v>6</v>
      </c>
      <c r="G182" s="3">
        <v>3000</v>
      </c>
      <c r="H182" s="3">
        <v>10</v>
      </c>
    </row>
    <row r="183" spans="1:8" x14ac:dyDescent="0.3">
      <c r="A183" s="3">
        <v>43530</v>
      </c>
      <c r="B183" s="3" t="s">
        <v>0</v>
      </c>
      <c r="C183" s="3" t="s">
        <v>7</v>
      </c>
      <c r="D183" s="3">
        <v>125000</v>
      </c>
      <c r="E183" s="3" t="s">
        <v>93</v>
      </c>
      <c r="F183" s="3">
        <v>49</v>
      </c>
      <c r="G183" s="3">
        <v>12500</v>
      </c>
      <c r="H183" s="3">
        <v>2</v>
      </c>
    </row>
    <row r="184" spans="1:8" x14ac:dyDescent="0.3">
      <c r="A184" s="3">
        <v>43562</v>
      </c>
      <c r="B184" s="3" t="s">
        <v>3</v>
      </c>
      <c r="C184" s="3" t="s">
        <v>7</v>
      </c>
      <c r="D184" s="3">
        <v>20000</v>
      </c>
      <c r="E184" s="3" t="s">
        <v>91</v>
      </c>
      <c r="F184" s="3">
        <v>5</v>
      </c>
      <c r="G184" s="3">
        <v>100</v>
      </c>
      <c r="H184" s="3">
        <v>2</v>
      </c>
    </row>
    <row r="185" spans="1:8" x14ac:dyDescent="0.3">
      <c r="A185" s="3">
        <v>43565</v>
      </c>
      <c r="B185" s="3" t="s">
        <v>3</v>
      </c>
      <c r="C185" s="3" t="s">
        <v>7</v>
      </c>
      <c r="D185" s="3">
        <v>20000</v>
      </c>
      <c r="E185" s="3" t="s">
        <v>94</v>
      </c>
      <c r="F185" s="3">
        <v>7</v>
      </c>
      <c r="G185" s="3">
        <v>2100</v>
      </c>
      <c r="H185" s="3">
        <v>9</v>
      </c>
    </row>
    <row r="186" spans="1:8" x14ac:dyDescent="0.3">
      <c r="A186" s="3">
        <v>43550</v>
      </c>
      <c r="B186" s="3" t="s">
        <v>6</v>
      </c>
      <c r="C186" s="3" t="s">
        <v>7</v>
      </c>
      <c r="D186" s="3">
        <v>13000</v>
      </c>
      <c r="E186" s="3" t="s">
        <v>93</v>
      </c>
      <c r="F186" s="3">
        <v>9</v>
      </c>
      <c r="G186" s="3">
        <v>700</v>
      </c>
      <c r="H186" s="3">
        <v>7</v>
      </c>
    </row>
    <row r="187" spans="1:8" x14ac:dyDescent="0.3">
      <c r="A187" s="3">
        <v>43613</v>
      </c>
      <c r="B187" s="3" t="s">
        <v>0</v>
      </c>
      <c r="C187" s="3" t="s">
        <v>7</v>
      </c>
      <c r="D187" s="3">
        <v>125000</v>
      </c>
      <c r="E187" s="3" t="s">
        <v>93</v>
      </c>
      <c r="F187" s="3">
        <v>59</v>
      </c>
      <c r="G187" s="3">
        <v>1400</v>
      </c>
      <c r="H187" s="3">
        <v>2</v>
      </c>
    </row>
    <row r="188" spans="1:8" x14ac:dyDescent="0.3">
      <c r="A188" s="3">
        <v>43539</v>
      </c>
      <c r="B188" s="3" t="s">
        <v>1</v>
      </c>
      <c r="C188" s="3" t="s">
        <v>7</v>
      </c>
      <c r="D188" s="3">
        <v>40000</v>
      </c>
      <c r="E188" s="3" t="s">
        <v>93</v>
      </c>
      <c r="F188" s="3">
        <v>6</v>
      </c>
      <c r="G188" s="3">
        <v>5000</v>
      </c>
      <c r="H188" s="3">
        <v>6</v>
      </c>
    </row>
    <row r="189" spans="1:8" x14ac:dyDescent="0.3">
      <c r="A189" s="3">
        <v>43735</v>
      </c>
      <c r="B189" s="3" t="s">
        <v>1</v>
      </c>
      <c r="C189" s="3" t="s">
        <v>7</v>
      </c>
      <c r="D189" s="3">
        <v>40000</v>
      </c>
      <c r="E189" s="3" t="s">
        <v>92</v>
      </c>
      <c r="F189" s="3">
        <v>6</v>
      </c>
      <c r="G189" s="3">
        <v>2200</v>
      </c>
      <c r="H189" s="3">
        <v>7</v>
      </c>
    </row>
    <row r="190" spans="1:8" x14ac:dyDescent="0.3">
      <c r="A190" s="3">
        <v>43559</v>
      </c>
      <c r="B190" s="3" t="s">
        <v>4</v>
      </c>
      <c r="C190" s="3" t="s">
        <v>7</v>
      </c>
      <c r="D190" s="3">
        <v>18000</v>
      </c>
      <c r="E190" s="3" t="s">
        <v>93</v>
      </c>
      <c r="F190" s="3">
        <v>8</v>
      </c>
      <c r="G190" s="3">
        <v>300</v>
      </c>
      <c r="H190" s="3">
        <v>6</v>
      </c>
    </row>
    <row r="191" spans="1:8" x14ac:dyDescent="0.3">
      <c r="A191" s="3">
        <v>43631</v>
      </c>
      <c r="B191" s="3" t="s">
        <v>4</v>
      </c>
      <c r="C191" s="3" t="s">
        <v>7</v>
      </c>
      <c r="D191" s="3">
        <v>18000</v>
      </c>
      <c r="E191" s="3" t="s">
        <v>94</v>
      </c>
      <c r="F191" s="3">
        <v>8</v>
      </c>
      <c r="G191" s="3">
        <v>800</v>
      </c>
      <c r="H191" s="3">
        <v>2</v>
      </c>
    </row>
    <row r="192" spans="1:8" x14ac:dyDescent="0.3">
      <c r="A192" s="3">
        <v>43577</v>
      </c>
      <c r="B192" s="3" t="s">
        <v>6</v>
      </c>
      <c r="C192" s="3" t="s">
        <v>7</v>
      </c>
      <c r="D192" s="3">
        <v>13000</v>
      </c>
      <c r="E192" s="3" t="s">
        <v>94</v>
      </c>
      <c r="F192" s="3">
        <v>9</v>
      </c>
      <c r="G192" s="3">
        <v>700</v>
      </c>
      <c r="H192" s="3">
        <v>3</v>
      </c>
    </row>
    <row r="193" spans="1:8" x14ac:dyDescent="0.3">
      <c r="A193" s="3">
        <v>43763</v>
      </c>
      <c r="B193" s="3" t="s">
        <v>11</v>
      </c>
      <c r="C193" s="3" t="s">
        <v>10</v>
      </c>
      <c r="D193" s="3">
        <v>35000</v>
      </c>
      <c r="E193" s="3" t="s">
        <v>93</v>
      </c>
      <c r="F193" s="3">
        <v>220</v>
      </c>
      <c r="G193" s="3">
        <v>4800</v>
      </c>
      <c r="H193" s="3">
        <v>8</v>
      </c>
    </row>
    <row r="194" spans="1:8" x14ac:dyDescent="0.3">
      <c r="A194" s="3">
        <v>43799</v>
      </c>
      <c r="B194" s="3" t="s">
        <v>2</v>
      </c>
      <c r="C194" s="3" t="s">
        <v>7</v>
      </c>
      <c r="D194" s="3">
        <v>30000</v>
      </c>
      <c r="E194" s="3" t="s">
        <v>93</v>
      </c>
      <c r="F194" s="3">
        <v>6</v>
      </c>
      <c r="G194" s="3">
        <v>1000</v>
      </c>
      <c r="H194" s="3">
        <v>6</v>
      </c>
    </row>
    <row r="195" spans="1:8" x14ac:dyDescent="0.3">
      <c r="A195" s="3">
        <v>43695</v>
      </c>
      <c r="B195" s="3" t="s">
        <v>12</v>
      </c>
      <c r="C195" s="3" t="s">
        <v>10</v>
      </c>
      <c r="D195" s="3">
        <v>10000</v>
      </c>
      <c r="E195" s="3" t="s">
        <v>92</v>
      </c>
      <c r="F195" s="3">
        <v>168</v>
      </c>
      <c r="G195" s="3">
        <v>1500</v>
      </c>
      <c r="H195" s="3">
        <v>1</v>
      </c>
    </row>
    <row r="196" spans="1:8" x14ac:dyDescent="0.3">
      <c r="A196" s="3">
        <v>43631</v>
      </c>
      <c r="B196" s="3" t="s">
        <v>12</v>
      </c>
      <c r="C196" s="3" t="s">
        <v>10</v>
      </c>
      <c r="D196" s="3">
        <v>10000</v>
      </c>
      <c r="E196" s="3" t="s">
        <v>91</v>
      </c>
      <c r="F196" s="3">
        <v>151</v>
      </c>
      <c r="G196" s="3">
        <v>1000</v>
      </c>
      <c r="H196" s="3">
        <v>7</v>
      </c>
    </row>
    <row r="197" spans="1:8" x14ac:dyDescent="0.3">
      <c r="A197" s="3">
        <v>43718</v>
      </c>
      <c r="B197" s="3" t="s">
        <v>2</v>
      </c>
      <c r="C197" s="3" t="s">
        <v>7</v>
      </c>
      <c r="D197" s="3">
        <v>30000</v>
      </c>
      <c r="E197" s="3" t="s">
        <v>94</v>
      </c>
      <c r="F197" s="3">
        <v>7</v>
      </c>
      <c r="G197" s="3">
        <v>1200</v>
      </c>
      <c r="H197" s="3">
        <v>7</v>
      </c>
    </row>
    <row r="198" spans="1:8" x14ac:dyDescent="0.3">
      <c r="A198" s="3">
        <v>43686</v>
      </c>
      <c r="B198" s="3" t="s">
        <v>9</v>
      </c>
      <c r="C198" s="3" t="s">
        <v>10</v>
      </c>
      <c r="D198" s="3">
        <v>25000</v>
      </c>
      <c r="E198" s="3" t="s">
        <v>93</v>
      </c>
      <c r="F198" s="3">
        <v>51</v>
      </c>
      <c r="G198" s="3">
        <v>2300</v>
      </c>
      <c r="H198" s="3">
        <v>9</v>
      </c>
    </row>
    <row r="199" spans="1:8" x14ac:dyDescent="0.3">
      <c r="A199" s="3">
        <v>43562</v>
      </c>
      <c r="B199" s="3" t="s">
        <v>1</v>
      </c>
      <c r="C199" s="3" t="s">
        <v>7</v>
      </c>
      <c r="D199" s="3">
        <v>40000</v>
      </c>
      <c r="E199" s="3" t="s">
        <v>94</v>
      </c>
      <c r="F199" s="3">
        <v>6</v>
      </c>
      <c r="G199" s="3">
        <v>1400</v>
      </c>
      <c r="H199" s="3">
        <v>10</v>
      </c>
    </row>
    <row r="200" spans="1:8" x14ac:dyDescent="0.3">
      <c r="A200" s="3">
        <v>43689</v>
      </c>
      <c r="B200" s="3" t="s">
        <v>2</v>
      </c>
      <c r="C200" s="3" t="s">
        <v>7</v>
      </c>
      <c r="D200" s="3">
        <v>30000</v>
      </c>
      <c r="E200" s="3" t="s">
        <v>92</v>
      </c>
      <c r="F200" s="3">
        <v>6</v>
      </c>
      <c r="G200" s="3">
        <v>1800</v>
      </c>
      <c r="H200" s="3">
        <v>10</v>
      </c>
    </row>
    <row r="201" spans="1:8" x14ac:dyDescent="0.3">
      <c r="A201" s="3">
        <v>43581</v>
      </c>
      <c r="B201" s="3" t="s">
        <v>3</v>
      </c>
      <c r="C201" s="3" t="s">
        <v>7</v>
      </c>
      <c r="D201" s="3">
        <v>20000</v>
      </c>
      <c r="E201" s="3" t="s">
        <v>92</v>
      </c>
      <c r="F201" s="3">
        <v>6</v>
      </c>
      <c r="G201" s="3">
        <v>100</v>
      </c>
      <c r="H201" s="3">
        <v>8</v>
      </c>
    </row>
    <row r="202" spans="1:8" x14ac:dyDescent="0.3">
      <c r="A202" s="3">
        <v>43469</v>
      </c>
      <c r="B202" s="3" t="s">
        <v>1</v>
      </c>
      <c r="C202" s="3" t="s">
        <v>7</v>
      </c>
      <c r="D202" s="3">
        <v>40000</v>
      </c>
      <c r="E202" s="3" t="s">
        <v>91</v>
      </c>
      <c r="F202" s="3">
        <v>7</v>
      </c>
      <c r="G202" s="3">
        <v>2800</v>
      </c>
      <c r="H202" s="3">
        <v>7</v>
      </c>
    </row>
    <row r="203" spans="1:8" x14ac:dyDescent="0.3">
      <c r="A203" s="3">
        <v>43535</v>
      </c>
      <c r="B203" s="3" t="s">
        <v>5</v>
      </c>
      <c r="C203" s="3" t="s">
        <v>7</v>
      </c>
      <c r="D203" s="3">
        <v>15000</v>
      </c>
      <c r="E203" s="3" t="s">
        <v>94</v>
      </c>
      <c r="F203" s="3">
        <v>8</v>
      </c>
      <c r="G203" s="3">
        <v>1600</v>
      </c>
      <c r="H203" s="3">
        <v>6</v>
      </c>
    </row>
    <row r="204" spans="1:8" x14ac:dyDescent="0.3">
      <c r="A204" s="3">
        <v>43468</v>
      </c>
      <c r="B204" s="3" t="s">
        <v>0</v>
      </c>
      <c r="C204" s="3" t="s">
        <v>7</v>
      </c>
      <c r="D204" s="3">
        <v>125000</v>
      </c>
      <c r="E204" s="3" t="s">
        <v>93</v>
      </c>
      <c r="F204" s="3">
        <v>52</v>
      </c>
      <c r="G204" s="3">
        <v>14700</v>
      </c>
      <c r="H204" s="3">
        <v>5</v>
      </c>
    </row>
    <row r="205" spans="1:8" x14ac:dyDescent="0.3">
      <c r="A205" s="3">
        <v>43605</v>
      </c>
      <c r="B205" s="3" t="s">
        <v>5</v>
      </c>
      <c r="C205" s="3" t="s">
        <v>7</v>
      </c>
      <c r="D205" s="3">
        <v>15000</v>
      </c>
      <c r="E205" s="3" t="s">
        <v>91</v>
      </c>
      <c r="F205" s="3">
        <v>8</v>
      </c>
      <c r="G205" s="3">
        <v>400</v>
      </c>
      <c r="H205" s="3">
        <v>6</v>
      </c>
    </row>
    <row r="206" spans="1:8" x14ac:dyDescent="0.3">
      <c r="A206" s="3">
        <v>43709</v>
      </c>
      <c r="B206" s="3" t="s">
        <v>5</v>
      </c>
      <c r="C206" s="3" t="s">
        <v>7</v>
      </c>
      <c r="D206" s="3">
        <v>15000</v>
      </c>
      <c r="E206" s="3" t="s">
        <v>92</v>
      </c>
      <c r="F206" s="3">
        <v>9</v>
      </c>
      <c r="G206" s="3">
        <v>1800</v>
      </c>
      <c r="H206" s="3">
        <v>3</v>
      </c>
    </row>
    <row r="207" spans="1:8" x14ac:dyDescent="0.3">
      <c r="A207" s="3">
        <v>43487</v>
      </c>
      <c r="B207" s="3" t="s">
        <v>2</v>
      </c>
      <c r="C207" s="3" t="s">
        <v>7</v>
      </c>
      <c r="D207" s="3">
        <v>30000</v>
      </c>
      <c r="E207" s="3" t="s">
        <v>94</v>
      </c>
      <c r="F207" s="3">
        <v>6</v>
      </c>
      <c r="G207" s="3">
        <v>100</v>
      </c>
      <c r="H207" s="3">
        <v>1</v>
      </c>
    </row>
    <row r="208" spans="1:8" x14ac:dyDescent="0.3">
      <c r="A208" s="3">
        <v>43485</v>
      </c>
      <c r="B208" s="3" t="s">
        <v>6</v>
      </c>
      <c r="C208" s="3" t="s">
        <v>7</v>
      </c>
      <c r="D208" s="3">
        <v>13000</v>
      </c>
      <c r="E208" s="3" t="s">
        <v>94</v>
      </c>
      <c r="F208" s="3">
        <v>7</v>
      </c>
      <c r="G208" s="3">
        <v>1600</v>
      </c>
      <c r="H208" s="3">
        <v>0</v>
      </c>
    </row>
    <row r="209" spans="1:8" x14ac:dyDescent="0.3">
      <c r="A209" s="3">
        <v>43652</v>
      </c>
      <c r="B209" s="3" t="s">
        <v>2</v>
      </c>
      <c r="C209" s="3" t="s">
        <v>7</v>
      </c>
      <c r="D209" s="3">
        <v>30000</v>
      </c>
      <c r="E209" s="3" t="s">
        <v>92</v>
      </c>
      <c r="F209" s="3">
        <v>5</v>
      </c>
      <c r="G209" s="3">
        <v>4100</v>
      </c>
      <c r="H209" s="3">
        <v>7</v>
      </c>
    </row>
    <row r="210" spans="1:8" x14ac:dyDescent="0.3">
      <c r="A210" s="3">
        <v>43519</v>
      </c>
      <c r="B210" s="3" t="s">
        <v>2</v>
      </c>
      <c r="C210" s="3" t="s">
        <v>7</v>
      </c>
      <c r="D210" s="3">
        <v>30000</v>
      </c>
      <c r="E210" s="3" t="s">
        <v>91</v>
      </c>
      <c r="F210" s="3">
        <v>6</v>
      </c>
      <c r="G210" s="3">
        <v>3300</v>
      </c>
      <c r="H210" s="3">
        <v>1</v>
      </c>
    </row>
    <row r="211" spans="1:8" x14ac:dyDescent="0.3">
      <c r="A211" s="3">
        <v>43799</v>
      </c>
      <c r="B211" s="3" t="s">
        <v>0</v>
      </c>
      <c r="C211" s="3" t="s">
        <v>7</v>
      </c>
      <c r="D211" s="3">
        <v>125000</v>
      </c>
      <c r="E211" s="3" t="s">
        <v>93</v>
      </c>
      <c r="F211" s="3">
        <v>55</v>
      </c>
      <c r="G211" s="3">
        <v>8400</v>
      </c>
      <c r="H211" s="3">
        <v>3</v>
      </c>
    </row>
    <row r="212" spans="1:8" x14ac:dyDescent="0.3">
      <c r="A212" s="3">
        <v>43593</v>
      </c>
      <c r="B212" s="3" t="s">
        <v>8</v>
      </c>
      <c r="C212" s="3" t="s">
        <v>10</v>
      </c>
      <c r="D212" s="3">
        <v>30000</v>
      </c>
      <c r="E212" s="3" t="s">
        <v>93</v>
      </c>
      <c r="F212" s="3">
        <v>39</v>
      </c>
      <c r="G212" s="3">
        <v>1200</v>
      </c>
      <c r="H212" s="3">
        <v>9</v>
      </c>
    </row>
    <row r="213" spans="1:8" x14ac:dyDescent="0.3">
      <c r="A213" s="3">
        <v>43692</v>
      </c>
      <c r="B213" s="3" t="s">
        <v>1</v>
      </c>
      <c r="C213" s="3" t="s">
        <v>7</v>
      </c>
      <c r="D213" s="3">
        <v>40000</v>
      </c>
      <c r="E213" s="3" t="s">
        <v>91</v>
      </c>
      <c r="F213" s="3">
        <v>5</v>
      </c>
      <c r="G213" s="3">
        <v>4100</v>
      </c>
      <c r="H213" s="3">
        <v>10</v>
      </c>
    </row>
    <row r="214" spans="1:8" x14ac:dyDescent="0.3">
      <c r="A214" s="3">
        <v>43564</v>
      </c>
      <c r="B214" s="3" t="s">
        <v>4</v>
      </c>
      <c r="C214" s="3" t="s">
        <v>7</v>
      </c>
      <c r="D214" s="3">
        <v>18000</v>
      </c>
      <c r="E214" s="3" t="s">
        <v>91</v>
      </c>
      <c r="F214" s="3">
        <v>9</v>
      </c>
      <c r="G214" s="3">
        <v>2700</v>
      </c>
      <c r="H214" s="3">
        <v>8</v>
      </c>
    </row>
    <row r="215" spans="1:8" x14ac:dyDescent="0.3">
      <c r="A215" s="3">
        <v>43717</v>
      </c>
      <c r="B215" s="3" t="s">
        <v>4</v>
      </c>
      <c r="C215" s="3" t="s">
        <v>7</v>
      </c>
      <c r="D215" s="3">
        <v>18000</v>
      </c>
      <c r="E215" s="3" t="s">
        <v>93</v>
      </c>
      <c r="F215" s="3">
        <v>9</v>
      </c>
      <c r="G215" s="3">
        <v>800</v>
      </c>
      <c r="H215" s="3">
        <v>3</v>
      </c>
    </row>
    <row r="216" spans="1:8" x14ac:dyDescent="0.3">
      <c r="A216" s="3">
        <v>43741</v>
      </c>
      <c r="B216" s="3" t="s">
        <v>11</v>
      </c>
      <c r="C216" s="3" t="s">
        <v>10</v>
      </c>
      <c r="D216" s="3">
        <v>35000</v>
      </c>
      <c r="E216" s="3" t="s">
        <v>94</v>
      </c>
      <c r="F216" s="3">
        <v>161</v>
      </c>
      <c r="G216" s="3">
        <v>3200</v>
      </c>
      <c r="H216" s="3">
        <v>5</v>
      </c>
    </row>
    <row r="217" spans="1:8" x14ac:dyDescent="0.3">
      <c r="A217" s="3">
        <v>43574</v>
      </c>
      <c r="B217" s="3" t="s">
        <v>4</v>
      </c>
      <c r="C217" s="3" t="s">
        <v>7</v>
      </c>
      <c r="D217" s="3">
        <v>18000</v>
      </c>
      <c r="E217" s="3" t="s">
        <v>93</v>
      </c>
      <c r="F217" s="3">
        <v>10</v>
      </c>
      <c r="G217" s="3">
        <v>2500</v>
      </c>
      <c r="H217" s="3">
        <v>5</v>
      </c>
    </row>
    <row r="218" spans="1:8" x14ac:dyDescent="0.3">
      <c r="A218" s="3">
        <v>43562</v>
      </c>
      <c r="B218" s="3" t="s">
        <v>12</v>
      </c>
      <c r="C218" s="3" t="s">
        <v>10</v>
      </c>
      <c r="D218" s="3">
        <v>10000</v>
      </c>
      <c r="E218" s="3" t="s">
        <v>91</v>
      </c>
      <c r="F218" s="3">
        <v>124</v>
      </c>
      <c r="G218" s="3">
        <v>600</v>
      </c>
      <c r="H218" s="3">
        <v>8</v>
      </c>
    </row>
    <row r="219" spans="1:8" x14ac:dyDescent="0.3">
      <c r="A219" s="3">
        <v>43623</v>
      </c>
      <c r="B219" s="3" t="s">
        <v>6</v>
      </c>
      <c r="C219" s="3" t="s">
        <v>7</v>
      </c>
      <c r="D219" s="3">
        <v>13000</v>
      </c>
      <c r="E219" s="3" t="s">
        <v>91</v>
      </c>
      <c r="F219" s="3">
        <v>10</v>
      </c>
      <c r="G219" s="3">
        <v>1800</v>
      </c>
      <c r="H219" s="3">
        <v>0</v>
      </c>
    </row>
    <row r="220" spans="1:8" x14ac:dyDescent="0.3">
      <c r="A220" s="3">
        <v>43605</v>
      </c>
      <c r="B220" s="3" t="s">
        <v>3</v>
      </c>
      <c r="C220" s="3" t="s">
        <v>7</v>
      </c>
      <c r="D220" s="3">
        <v>20000</v>
      </c>
      <c r="E220" s="3" t="s">
        <v>91</v>
      </c>
      <c r="F220" s="3">
        <v>7</v>
      </c>
      <c r="G220" s="3">
        <v>2100</v>
      </c>
      <c r="H220" s="3">
        <v>1</v>
      </c>
    </row>
    <row r="221" spans="1:8" x14ac:dyDescent="0.3">
      <c r="A221" s="3">
        <v>43558</v>
      </c>
      <c r="B221" s="3" t="s">
        <v>6</v>
      </c>
      <c r="C221" s="3" t="s">
        <v>7</v>
      </c>
      <c r="D221" s="3">
        <v>13000</v>
      </c>
      <c r="E221" s="3" t="s">
        <v>92</v>
      </c>
      <c r="F221" s="3">
        <v>9</v>
      </c>
      <c r="G221" s="3">
        <v>400</v>
      </c>
      <c r="H221" s="3">
        <v>3</v>
      </c>
    </row>
    <row r="222" spans="1:8" x14ac:dyDescent="0.3">
      <c r="A222" s="3">
        <v>43777</v>
      </c>
      <c r="B222" s="3" t="s">
        <v>0</v>
      </c>
      <c r="C222" s="3" t="s">
        <v>7</v>
      </c>
      <c r="D222" s="3">
        <v>125000</v>
      </c>
      <c r="E222" s="3" t="s">
        <v>94</v>
      </c>
      <c r="F222" s="3">
        <v>57</v>
      </c>
      <c r="G222" s="3">
        <v>15300</v>
      </c>
      <c r="H222" s="3">
        <v>4</v>
      </c>
    </row>
    <row r="223" spans="1:8" x14ac:dyDescent="0.3">
      <c r="A223" s="3">
        <v>43697</v>
      </c>
      <c r="B223" s="3" t="s">
        <v>11</v>
      </c>
      <c r="C223" s="3" t="s">
        <v>10</v>
      </c>
      <c r="D223" s="3">
        <v>35000</v>
      </c>
      <c r="E223" s="3" t="s">
        <v>91</v>
      </c>
      <c r="F223" s="3">
        <v>196</v>
      </c>
      <c r="G223" s="3">
        <v>1000</v>
      </c>
      <c r="H223" s="3">
        <v>4</v>
      </c>
    </row>
    <row r="224" spans="1:8" x14ac:dyDescent="0.3">
      <c r="A224" s="3">
        <v>43480</v>
      </c>
      <c r="B224" s="3" t="s">
        <v>12</v>
      </c>
      <c r="C224" s="3" t="s">
        <v>10</v>
      </c>
      <c r="D224" s="3">
        <v>10000</v>
      </c>
      <c r="E224" s="3" t="s">
        <v>91</v>
      </c>
      <c r="F224" s="3">
        <v>165</v>
      </c>
      <c r="G224" s="3">
        <v>1300</v>
      </c>
      <c r="H224" s="3">
        <v>9</v>
      </c>
    </row>
    <row r="225" spans="1:8" x14ac:dyDescent="0.3">
      <c r="A225" s="3">
        <v>43803</v>
      </c>
      <c r="B225" s="3" t="s">
        <v>9</v>
      </c>
      <c r="C225" s="3" t="s">
        <v>10</v>
      </c>
      <c r="D225" s="3">
        <v>25000</v>
      </c>
      <c r="E225" s="3" t="s">
        <v>92</v>
      </c>
      <c r="F225" s="3">
        <v>56</v>
      </c>
      <c r="G225" s="3">
        <v>500</v>
      </c>
      <c r="H225" s="3">
        <v>10</v>
      </c>
    </row>
    <row r="226" spans="1:8" x14ac:dyDescent="0.3">
      <c r="A226" s="3">
        <v>43707</v>
      </c>
      <c r="B226" s="3" t="s">
        <v>12</v>
      </c>
      <c r="C226" s="3" t="s">
        <v>10</v>
      </c>
      <c r="D226" s="3">
        <v>10000</v>
      </c>
      <c r="E226" s="3" t="s">
        <v>93</v>
      </c>
      <c r="F226" s="3">
        <v>145</v>
      </c>
      <c r="G226" s="3">
        <v>1300</v>
      </c>
      <c r="H226" s="3">
        <v>0</v>
      </c>
    </row>
    <row r="227" spans="1:8" x14ac:dyDescent="0.3">
      <c r="A227" s="3">
        <v>43524</v>
      </c>
      <c r="B227" s="3" t="s">
        <v>6</v>
      </c>
      <c r="C227" s="3" t="s">
        <v>7</v>
      </c>
      <c r="D227" s="3">
        <v>13000</v>
      </c>
      <c r="E227" s="3" t="s">
        <v>93</v>
      </c>
      <c r="F227" s="3">
        <v>7</v>
      </c>
      <c r="G227" s="3">
        <v>700</v>
      </c>
      <c r="H227" s="3">
        <v>5</v>
      </c>
    </row>
    <row r="228" spans="1:8" x14ac:dyDescent="0.3">
      <c r="A228" s="3">
        <v>43487</v>
      </c>
      <c r="B228" s="3" t="s">
        <v>9</v>
      </c>
      <c r="C228" s="3" t="s">
        <v>10</v>
      </c>
      <c r="D228" s="3">
        <v>25000</v>
      </c>
      <c r="E228" s="3" t="s">
        <v>92</v>
      </c>
      <c r="F228" s="3">
        <v>41</v>
      </c>
      <c r="G228" s="3">
        <v>3300</v>
      </c>
      <c r="H228" s="3">
        <v>8</v>
      </c>
    </row>
    <row r="229" spans="1:8" x14ac:dyDescent="0.3">
      <c r="A229" s="3">
        <v>43668</v>
      </c>
      <c r="B229" s="3" t="s">
        <v>12</v>
      </c>
      <c r="C229" s="3" t="s">
        <v>10</v>
      </c>
      <c r="D229" s="3">
        <v>10000</v>
      </c>
      <c r="E229" s="3" t="s">
        <v>91</v>
      </c>
      <c r="F229" s="3">
        <v>160</v>
      </c>
      <c r="G229" s="3">
        <v>1500</v>
      </c>
      <c r="H229" s="3">
        <v>8</v>
      </c>
    </row>
    <row r="230" spans="1:8" x14ac:dyDescent="0.3">
      <c r="A230" s="3">
        <v>43814</v>
      </c>
      <c r="B230" s="3" t="s">
        <v>12</v>
      </c>
      <c r="C230" s="3" t="s">
        <v>10</v>
      </c>
      <c r="D230" s="3">
        <v>10000</v>
      </c>
      <c r="E230" s="3" t="s">
        <v>94</v>
      </c>
      <c r="F230" s="3">
        <v>145</v>
      </c>
      <c r="G230" s="3">
        <v>400</v>
      </c>
      <c r="H230" s="3">
        <v>4</v>
      </c>
    </row>
    <row r="231" spans="1:8" x14ac:dyDescent="0.3">
      <c r="A231" s="3">
        <v>43573</v>
      </c>
      <c r="B231" s="3" t="s">
        <v>1</v>
      </c>
      <c r="C231" s="3" t="s">
        <v>7</v>
      </c>
      <c r="D231" s="3">
        <v>40000</v>
      </c>
      <c r="E231" s="3" t="s">
        <v>92</v>
      </c>
      <c r="F231" s="3">
        <v>6</v>
      </c>
      <c r="G231" s="3">
        <v>100</v>
      </c>
      <c r="H231" s="3">
        <v>0</v>
      </c>
    </row>
    <row r="232" spans="1:8" x14ac:dyDescent="0.3">
      <c r="A232" s="3">
        <v>43743</v>
      </c>
      <c r="B232" s="3" t="s">
        <v>8</v>
      </c>
      <c r="C232" s="3" t="s">
        <v>10</v>
      </c>
      <c r="D232" s="3">
        <v>30000</v>
      </c>
      <c r="E232" s="3" t="s">
        <v>91</v>
      </c>
      <c r="F232" s="3">
        <v>41</v>
      </c>
      <c r="G232" s="3">
        <v>900</v>
      </c>
      <c r="H232" s="3">
        <v>6</v>
      </c>
    </row>
    <row r="233" spans="1:8" x14ac:dyDescent="0.3">
      <c r="A233" s="3">
        <v>43506</v>
      </c>
      <c r="B233" s="3" t="s">
        <v>0</v>
      </c>
      <c r="C233" s="3" t="s">
        <v>7</v>
      </c>
      <c r="D233" s="3">
        <v>125000</v>
      </c>
      <c r="E233" s="3" t="s">
        <v>94</v>
      </c>
      <c r="F233" s="3">
        <v>56</v>
      </c>
      <c r="G233" s="3">
        <v>4800</v>
      </c>
      <c r="H233" s="3">
        <v>9</v>
      </c>
    </row>
    <row r="234" spans="1:8" x14ac:dyDescent="0.3">
      <c r="A234" s="3">
        <v>43620</v>
      </c>
      <c r="B234" s="3" t="s">
        <v>1</v>
      </c>
      <c r="C234" s="3" t="s">
        <v>7</v>
      </c>
      <c r="D234" s="3">
        <v>40000</v>
      </c>
      <c r="E234" s="3" t="s">
        <v>93</v>
      </c>
      <c r="F234" s="3">
        <v>5</v>
      </c>
      <c r="G234" s="3">
        <v>1500</v>
      </c>
      <c r="H234" s="3">
        <v>0</v>
      </c>
    </row>
    <row r="235" spans="1:8" x14ac:dyDescent="0.3">
      <c r="A235" s="3">
        <v>43773</v>
      </c>
      <c r="B235" s="3" t="s">
        <v>4</v>
      </c>
      <c r="C235" s="3" t="s">
        <v>7</v>
      </c>
      <c r="D235" s="3">
        <v>18000</v>
      </c>
      <c r="E235" s="3" t="s">
        <v>92</v>
      </c>
      <c r="F235" s="3">
        <v>7</v>
      </c>
      <c r="G235" s="3">
        <v>1600</v>
      </c>
      <c r="H235" s="3">
        <v>8</v>
      </c>
    </row>
    <row r="236" spans="1:8" x14ac:dyDescent="0.3">
      <c r="A236" s="3">
        <v>43527</v>
      </c>
      <c r="B236" s="3" t="s">
        <v>3</v>
      </c>
      <c r="C236" s="3" t="s">
        <v>7</v>
      </c>
      <c r="D236" s="3">
        <v>20000</v>
      </c>
      <c r="E236" s="3" t="s">
        <v>91</v>
      </c>
      <c r="F236" s="3">
        <v>5</v>
      </c>
      <c r="G236" s="3">
        <v>1800</v>
      </c>
      <c r="H236" s="3">
        <v>4</v>
      </c>
    </row>
    <row r="237" spans="1:8" x14ac:dyDescent="0.3">
      <c r="A237" s="3">
        <v>43663</v>
      </c>
      <c r="B237" s="3" t="s">
        <v>3</v>
      </c>
      <c r="C237" s="3" t="s">
        <v>7</v>
      </c>
      <c r="D237" s="3">
        <v>20000</v>
      </c>
      <c r="E237" s="3" t="s">
        <v>92</v>
      </c>
      <c r="F237" s="3">
        <v>6</v>
      </c>
      <c r="G237" s="3">
        <v>2800</v>
      </c>
      <c r="H237" s="3">
        <v>4</v>
      </c>
    </row>
    <row r="238" spans="1:8" x14ac:dyDescent="0.3">
      <c r="A238" s="3">
        <v>43523</v>
      </c>
      <c r="B238" s="3" t="s">
        <v>6</v>
      </c>
      <c r="C238" s="3" t="s">
        <v>7</v>
      </c>
      <c r="D238" s="3">
        <v>13000</v>
      </c>
      <c r="E238" s="3" t="s">
        <v>93</v>
      </c>
      <c r="F238" s="3">
        <v>8</v>
      </c>
      <c r="G238" s="3">
        <v>1300</v>
      </c>
      <c r="H238" s="3">
        <v>10</v>
      </c>
    </row>
    <row r="239" spans="1:8" x14ac:dyDescent="0.3">
      <c r="A239" s="3">
        <v>43630</v>
      </c>
      <c r="B239" s="3" t="s">
        <v>5</v>
      </c>
      <c r="C239" s="3" t="s">
        <v>7</v>
      </c>
      <c r="D239" s="3">
        <v>15000</v>
      </c>
      <c r="E239" s="3" t="s">
        <v>93</v>
      </c>
      <c r="F239" s="3">
        <v>8</v>
      </c>
      <c r="G239" s="3">
        <v>1800</v>
      </c>
      <c r="H239" s="3">
        <v>9</v>
      </c>
    </row>
    <row r="240" spans="1:8" x14ac:dyDescent="0.3">
      <c r="A240" s="3">
        <v>43791</v>
      </c>
      <c r="B240" s="3" t="s">
        <v>12</v>
      </c>
      <c r="C240" s="3" t="s">
        <v>10</v>
      </c>
      <c r="D240" s="3">
        <v>10000</v>
      </c>
      <c r="E240" s="3" t="s">
        <v>94</v>
      </c>
      <c r="F240" s="3">
        <v>123</v>
      </c>
      <c r="G240" s="3">
        <v>800</v>
      </c>
      <c r="H240" s="3">
        <v>0</v>
      </c>
    </row>
    <row r="241" spans="1:8" x14ac:dyDescent="0.3">
      <c r="A241" s="3">
        <v>43628</v>
      </c>
      <c r="B241" s="3" t="s">
        <v>6</v>
      </c>
      <c r="C241" s="3" t="s">
        <v>7</v>
      </c>
      <c r="D241" s="3">
        <v>13000</v>
      </c>
      <c r="E241" s="3" t="s">
        <v>93</v>
      </c>
      <c r="F241" s="3">
        <v>8</v>
      </c>
      <c r="G241" s="3">
        <v>1100</v>
      </c>
      <c r="H241" s="3">
        <v>2</v>
      </c>
    </row>
    <row r="242" spans="1:8" x14ac:dyDescent="0.3">
      <c r="A242" s="3">
        <v>43466</v>
      </c>
      <c r="B242" s="3" t="s">
        <v>3</v>
      </c>
      <c r="C242" s="3" t="s">
        <v>7</v>
      </c>
      <c r="D242" s="3">
        <v>20000</v>
      </c>
      <c r="E242" s="3" t="s">
        <v>92</v>
      </c>
      <c r="F242" s="3">
        <v>6</v>
      </c>
      <c r="G242" s="3">
        <v>2600</v>
      </c>
      <c r="H242" s="3">
        <v>4</v>
      </c>
    </row>
    <row r="243" spans="1:8" x14ac:dyDescent="0.3">
      <c r="A243" s="3">
        <v>43583</v>
      </c>
      <c r="B243" s="3" t="s">
        <v>11</v>
      </c>
      <c r="C243" s="3" t="s">
        <v>10</v>
      </c>
      <c r="D243" s="3">
        <v>35000</v>
      </c>
      <c r="E243" s="3" t="s">
        <v>93</v>
      </c>
      <c r="F243" s="3">
        <v>192</v>
      </c>
      <c r="G243" s="3">
        <v>3900</v>
      </c>
      <c r="H243" s="3">
        <v>0</v>
      </c>
    </row>
    <row r="244" spans="1:8" x14ac:dyDescent="0.3">
      <c r="A244" s="3">
        <v>43483</v>
      </c>
      <c r="B244" s="3" t="s">
        <v>2</v>
      </c>
      <c r="C244" s="3" t="s">
        <v>7</v>
      </c>
      <c r="D244" s="3">
        <v>30000</v>
      </c>
      <c r="E244" s="3" t="s">
        <v>91</v>
      </c>
      <c r="F244" s="3">
        <v>5</v>
      </c>
      <c r="G244" s="3">
        <v>2000</v>
      </c>
      <c r="H244" s="3">
        <v>8</v>
      </c>
    </row>
    <row r="245" spans="1:8" x14ac:dyDescent="0.3">
      <c r="A245" s="3">
        <v>43746</v>
      </c>
      <c r="B245" s="3" t="s">
        <v>3</v>
      </c>
      <c r="C245" s="3" t="s">
        <v>7</v>
      </c>
      <c r="D245" s="3">
        <v>20000</v>
      </c>
      <c r="E245" s="3" t="s">
        <v>93</v>
      </c>
      <c r="F245" s="3">
        <v>6</v>
      </c>
      <c r="G245" s="3">
        <v>400</v>
      </c>
      <c r="H245" s="3">
        <v>6</v>
      </c>
    </row>
    <row r="246" spans="1:8" x14ac:dyDescent="0.3">
      <c r="A246" s="3">
        <v>43750</v>
      </c>
      <c r="B246" s="3" t="s">
        <v>11</v>
      </c>
      <c r="C246" s="3" t="s">
        <v>10</v>
      </c>
      <c r="D246" s="3">
        <v>35000</v>
      </c>
      <c r="E246" s="3" t="s">
        <v>93</v>
      </c>
      <c r="F246" s="3">
        <v>163</v>
      </c>
      <c r="G246" s="3">
        <v>1900</v>
      </c>
      <c r="H246" s="3">
        <v>7</v>
      </c>
    </row>
    <row r="247" spans="1:8" x14ac:dyDescent="0.3">
      <c r="A247" s="3">
        <v>43547</v>
      </c>
      <c r="B247" s="3" t="s">
        <v>6</v>
      </c>
      <c r="C247" s="3" t="s">
        <v>7</v>
      </c>
      <c r="D247" s="3">
        <v>13000</v>
      </c>
      <c r="E247" s="3" t="s">
        <v>94</v>
      </c>
      <c r="F247" s="3">
        <v>7</v>
      </c>
      <c r="G247" s="3">
        <v>600</v>
      </c>
      <c r="H247" s="3">
        <v>5</v>
      </c>
    </row>
    <row r="248" spans="1:8" x14ac:dyDescent="0.3">
      <c r="A248" s="3">
        <v>43562</v>
      </c>
      <c r="B248" s="3" t="s">
        <v>0</v>
      </c>
      <c r="C248" s="3" t="s">
        <v>7</v>
      </c>
      <c r="D248" s="3">
        <v>125000</v>
      </c>
      <c r="E248" s="3" t="s">
        <v>92</v>
      </c>
      <c r="F248" s="3">
        <v>62</v>
      </c>
      <c r="G248" s="3">
        <v>1000</v>
      </c>
      <c r="H248" s="3">
        <v>9</v>
      </c>
    </row>
    <row r="249" spans="1:8" x14ac:dyDescent="0.3">
      <c r="A249" s="3">
        <v>43507</v>
      </c>
      <c r="B249" s="3" t="s">
        <v>8</v>
      </c>
      <c r="C249" s="3" t="s">
        <v>10</v>
      </c>
      <c r="D249" s="3">
        <v>30000</v>
      </c>
      <c r="E249" s="3" t="s">
        <v>92</v>
      </c>
      <c r="F249" s="3">
        <v>39</v>
      </c>
      <c r="G249" s="3">
        <v>4000</v>
      </c>
      <c r="H249" s="3">
        <v>3</v>
      </c>
    </row>
    <row r="250" spans="1:8" x14ac:dyDescent="0.3">
      <c r="A250" s="3">
        <v>43512</v>
      </c>
      <c r="B250" s="3" t="s">
        <v>9</v>
      </c>
      <c r="C250" s="3" t="s">
        <v>10</v>
      </c>
      <c r="D250" s="3">
        <v>25000</v>
      </c>
      <c r="E250" s="3" t="s">
        <v>93</v>
      </c>
      <c r="F250" s="3">
        <v>56</v>
      </c>
      <c r="G250" s="3">
        <v>2100</v>
      </c>
      <c r="H250" s="3">
        <v>7</v>
      </c>
    </row>
    <row r="251" spans="1:8" x14ac:dyDescent="0.3">
      <c r="A251" s="3">
        <v>43703</v>
      </c>
      <c r="B251" s="3" t="s">
        <v>6</v>
      </c>
      <c r="C251" s="3" t="s">
        <v>7</v>
      </c>
      <c r="D251" s="3">
        <v>13000</v>
      </c>
      <c r="E251" s="3" t="s">
        <v>94</v>
      </c>
      <c r="F251" s="3">
        <v>8</v>
      </c>
      <c r="G251" s="3">
        <v>0</v>
      </c>
      <c r="H251" s="3">
        <v>4</v>
      </c>
    </row>
    <row r="252" spans="1:8" x14ac:dyDescent="0.3">
      <c r="A252" s="3">
        <v>43703</v>
      </c>
      <c r="B252" s="3" t="s">
        <v>6</v>
      </c>
      <c r="C252" s="3" t="s">
        <v>7</v>
      </c>
      <c r="D252" s="3">
        <v>13000</v>
      </c>
      <c r="E252" s="3" t="s">
        <v>91</v>
      </c>
      <c r="F252" s="3">
        <v>9</v>
      </c>
      <c r="G252" s="3">
        <v>1900</v>
      </c>
      <c r="H252" s="3">
        <v>8</v>
      </c>
    </row>
    <row r="253" spans="1:8" x14ac:dyDescent="0.3">
      <c r="A253" s="3">
        <v>43628</v>
      </c>
      <c r="B253" s="3" t="s">
        <v>6</v>
      </c>
      <c r="C253" s="3" t="s">
        <v>7</v>
      </c>
      <c r="D253" s="3">
        <v>13000</v>
      </c>
      <c r="E253" s="3" t="s">
        <v>91</v>
      </c>
      <c r="F253" s="3">
        <v>8</v>
      </c>
      <c r="G253" s="3">
        <v>1500</v>
      </c>
      <c r="H253" s="3">
        <v>5</v>
      </c>
    </row>
    <row r="254" spans="1:8" x14ac:dyDescent="0.3">
      <c r="A254" s="3">
        <v>43474</v>
      </c>
      <c r="B254" s="3" t="s">
        <v>3</v>
      </c>
      <c r="C254" s="3" t="s">
        <v>7</v>
      </c>
      <c r="D254" s="3">
        <v>20000</v>
      </c>
      <c r="E254" s="3" t="s">
        <v>92</v>
      </c>
      <c r="F254" s="3">
        <v>5</v>
      </c>
      <c r="G254" s="3">
        <v>2200</v>
      </c>
      <c r="H254" s="3">
        <v>8</v>
      </c>
    </row>
    <row r="255" spans="1:8" x14ac:dyDescent="0.3">
      <c r="A255" s="3">
        <v>43580</v>
      </c>
      <c r="B255" s="3" t="s">
        <v>12</v>
      </c>
      <c r="C255" s="3" t="s">
        <v>10</v>
      </c>
      <c r="D255" s="3">
        <v>10000</v>
      </c>
      <c r="E255" s="3" t="s">
        <v>94</v>
      </c>
      <c r="F255" s="3">
        <v>143</v>
      </c>
      <c r="G255" s="3">
        <v>600</v>
      </c>
      <c r="H255" s="3">
        <v>9</v>
      </c>
    </row>
    <row r="256" spans="1:8" x14ac:dyDescent="0.3">
      <c r="A256" s="3">
        <v>43708</v>
      </c>
      <c r="B256" s="3" t="s">
        <v>4</v>
      </c>
      <c r="C256" s="3" t="s">
        <v>7</v>
      </c>
      <c r="D256" s="3">
        <v>18000</v>
      </c>
      <c r="E256" s="3" t="s">
        <v>94</v>
      </c>
      <c r="F256" s="3">
        <v>9</v>
      </c>
      <c r="G256" s="3">
        <v>1100</v>
      </c>
      <c r="H256" s="3">
        <v>9</v>
      </c>
    </row>
    <row r="257" spans="1:8" x14ac:dyDescent="0.3">
      <c r="A257" s="3">
        <v>43726</v>
      </c>
      <c r="B257" s="3" t="s">
        <v>8</v>
      </c>
      <c r="C257" s="3" t="s">
        <v>10</v>
      </c>
      <c r="D257" s="3">
        <v>30000</v>
      </c>
      <c r="E257" s="3" t="s">
        <v>94</v>
      </c>
      <c r="F257" s="3">
        <v>38</v>
      </c>
      <c r="G257" s="3">
        <v>2200</v>
      </c>
      <c r="H257" s="3">
        <v>7</v>
      </c>
    </row>
    <row r="258" spans="1:8" x14ac:dyDescent="0.3">
      <c r="A258" s="3">
        <v>43794</v>
      </c>
      <c r="B258" s="3" t="s">
        <v>9</v>
      </c>
      <c r="C258" s="3" t="s">
        <v>10</v>
      </c>
      <c r="D258" s="3">
        <v>25000</v>
      </c>
      <c r="E258" s="3" t="s">
        <v>92</v>
      </c>
      <c r="F258" s="3">
        <v>44</v>
      </c>
      <c r="G258" s="3">
        <v>3700</v>
      </c>
      <c r="H258" s="3">
        <v>2</v>
      </c>
    </row>
    <row r="259" spans="1:8" x14ac:dyDescent="0.3">
      <c r="A259" s="3">
        <v>43789</v>
      </c>
      <c r="B259" s="3" t="s">
        <v>1</v>
      </c>
      <c r="C259" s="3" t="s">
        <v>7</v>
      </c>
      <c r="D259" s="3">
        <v>40000</v>
      </c>
      <c r="E259" s="3" t="s">
        <v>91</v>
      </c>
      <c r="F259" s="3">
        <v>7</v>
      </c>
      <c r="G259" s="3">
        <v>4900</v>
      </c>
      <c r="H259" s="3">
        <v>7</v>
      </c>
    </row>
    <row r="260" spans="1:8" x14ac:dyDescent="0.3">
      <c r="A260" s="3">
        <v>43701</v>
      </c>
      <c r="B260" s="3" t="s">
        <v>1</v>
      </c>
      <c r="C260" s="3" t="s">
        <v>7</v>
      </c>
      <c r="D260" s="3">
        <v>40000</v>
      </c>
      <c r="E260" s="3" t="s">
        <v>94</v>
      </c>
      <c r="F260" s="3">
        <v>6</v>
      </c>
      <c r="G260" s="3">
        <v>3400</v>
      </c>
      <c r="H260" s="3">
        <v>7</v>
      </c>
    </row>
    <row r="261" spans="1:8" x14ac:dyDescent="0.3">
      <c r="A261" s="3">
        <v>43828</v>
      </c>
      <c r="B261" s="3" t="s">
        <v>3</v>
      </c>
      <c r="C261" s="3" t="s">
        <v>7</v>
      </c>
      <c r="D261" s="3">
        <v>20000</v>
      </c>
      <c r="E261" s="3" t="s">
        <v>91</v>
      </c>
      <c r="F261" s="3">
        <v>6</v>
      </c>
      <c r="G261" s="3">
        <v>900</v>
      </c>
      <c r="H261" s="3">
        <v>8</v>
      </c>
    </row>
    <row r="262" spans="1:8" x14ac:dyDescent="0.3">
      <c r="A262" s="3">
        <v>43495</v>
      </c>
      <c r="B262" s="3" t="s">
        <v>6</v>
      </c>
      <c r="C262" s="3" t="s">
        <v>7</v>
      </c>
      <c r="D262" s="3">
        <v>13000</v>
      </c>
      <c r="E262" s="3" t="s">
        <v>93</v>
      </c>
      <c r="F262" s="3">
        <v>10</v>
      </c>
      <c r="G262" s="3">
        <v>1600</v>
      </c>
      <c r="H262" s="3">
        <v>7</v>
      </c>
    </row>
    <row r="263" spans="1:8" x14ac:dyDescent="0.3">
      <c r="A263" s="3">
        <v>43645</v>
      </c>
      <c r="B263" s="3" t="s">
        <v>5</v>
      </c>
      <c r="C263" s="3" t="s">
        <v>7</v>
      </c>
      <c r="D263" s="3">
        <v>15000</v>
      </c>
      <c r="E263" s="3" t="s">
        <v>91</v>
      </c>
      <c r="F263" s="3">
        <v>7</v>
      </c>
      <c r="G263" s="3">
        <v>1800</v>
      </c>
      <c r="H263" s="3">
        <v>5</v>
      </c>
    </row>
    <row r="264" spans="1:8" x14ac:dyDescent="0.3">
      <c r="A264" s="3">
        <v>43760</v>
      </c>
      <c r="B264" s="3" t="s">
        <v>12</v>
      </c>
      <c r="C264" s="3" t="s">
        <v>10</v>
      </c>
      <c r="D264" s="3">
        <v>10000</v>
      </c>
      <c r="E264" s="3" t="s">
        <v>94</v>
      </c>
      <c r="F264" s="3">
        <v>163</v>
      </c>
      <c r="G264" s="3">
        <v>700</v>
      </c>
      <c r="H264" s="3">
        <v>1</v>
      </c>
    </row>
    <row r="265" spans="1:8" x14ac:dyDescent="0.3">
      <c r="A265" s="3">
        <v>43576</v>
      </c>
      <c r="B265" s="3" t="s">
        <v>6</v>
      </c>
      <c r="C265" s="3" t="s">
        <v>7</v>
      </c>
      <c r="D265" s="3">
        <v>13000</v>
      </c>
      <c r="E265" s="3" t="s">
        <v>92</v>
      </c>
      <c r="F265" s="3">
        <v>7</v>
      </c>
      <c r="G265" s="3">
        <v>300</v>
      </c>
      <c r="H265" s="3">
        <v>2</v>
      </c>
    </row>
    <row r="266" spans="1:8" x14ac:dyDescent="0.3">
      <c r="A266" s="3">
        <v>43723</v>
      </c>
      <c r="B266" s="3" t="s">
        <v>2</v>
      </c>
      <c r="C266" s="3" t="s">
        <v>7</v>
      </c>
      <c r="D266" s="3">
        <v>30000</v>
      </c>
      <c r="E266" s="3" t="s">
        <v>91</v>
      </c>
      <c r="F266" s="3">
        <v>5</v>
      </c>
      <c r="G266" s="3">
        <v>3800</v>
      </c>
      <c r="H266" s="3">
        <v>3</v>
      </c>
    </row>
    <row r="267" spans="1:8" x14ac:dyDescent="0.3">
      <c r="A267" s="3">
        <v>43769</v>
      </c>
      <c r="B267" s="3" t="s">
        <v>9</v>
      </c>
      <c r="C267" s="3" t="s">
        <v>10</v>
      </c>
      <c r="D267" s="3">
        <v>25000</v>
      </c>
      <c r="E267" s="3" t="s">
        <v>94</v>
      </c>
      <c r="F267" s="3">
        <v>46</v>
      </c>
      <c r="G267" s="3">
        <v>1500</v>
      </c>
      <c r="H267" s="3">
        <v>8</v>
      </c>
    </row>
    <row r="268" spans="1:8" x14ac:dyDescent="0.3">
      <c r="A268" s="3">
        <v>43811</v>
      </c>
      <c r="B268" s="3" t="s">
        <v>11</v>
      </c>
      <c r="C268" s="3" t="s">
        <v>10</v>
      </c>
      <c r="D268" s="3">
        <v>35000</v>
      </c>
      <c r="E268" s="3" t="s">
        <v>93</v>
      </c>
      <c r="F268" s="3">
        <v>194</v>
      </c>
      <c r="G268" s="3">
        <v>2400</v>
      </c>
      <c r="H268" s="3">
        <v>7</v>
      </c>
    </row>
    <row r="269" spans="1:8" x14ac:dyDescent="0.3">
      <c r="A269" s="3">
        <v>43562</v>
      </c>
      <c r="B269" s="3" t="s">
        <v>9</v>
      </c>
      <c r="C269" s="3" t="s">
        <v>10</v>
      </c>
      <c r="D269" s="3">
        <v>25000</v>
      </c>
      <c r="E269" s="3" t="s">
        <v>91</v>
      </c>
      <c r="F269" s="3">
        <v>47</v>
      </c>
      <c r="G269" s="3">
        <v>1100</v>
      </c>
      <c r="H269" s="3">
        <v>0</v>
      </c>
    </row>
    <row r="270" spans="1:8" x14ac:dyDescent="0.3">
      <c r="A270" s="3">
        <v>43681</v>
      </c>
      <c r="B270" s="3" t="s">
        <v>5</v>
      </c>
      <c r="C270" s="3" t="s">
        <v>7</v>
      </c>
      <c r="D270" s="3">
        <v>15000</v>
      </c>
      <c r="E270" s="3" t="s">
        <v>91</v>
      </c>
      <c r="F270" s="3">
        <v>8</v>
      </c>
      <c r="G270" s="3">
        <v>300</v>
      </c>
      <c r="H270" s="3">
        <v>2</v>
      </c>
    </row>
    <row r="271" spans="1:8" x14ac:dyDescent="0.3">
      <c r="A271" s="3">
        <v>43528</v>
      </c>
      <c r="B271" s="3" t="s">
        <v>4</v>
      </c>
      <c r="C271" s="3" t="s">
        <v>7</v>
      </c>
      <c r="D271" s="3">
        <v>18000</v>
      </c>
      <c r="E271" s="3" t="s">
        <v>93</v>
      </c>
      <c r="F271" s="3">
        <v>7</v>
      </c>
      <c r="G271" s="3">
        <v>1800</v>
      </c>
      <c r="H271" s="3">
        <v>8</v>
      </c>
    </row>
    <row r="272" spans="1:8" x14ac:dyDescent="0.3">
      <c r="A272" s="3">
        <v>43654</v>
      </c>
      <c r="B272" s="3" t="s">
        <v>5</v>
      </c>
      <c r="C272" s="3" t="s">
        <v>7</v>
      </c>
      <c r="D272" s="3">
        <v>15000</v>
      </c>
      <c r="E272" s="3" t="s">
        <v>91</v>
      </c>
      <c r="F272" s="3">
        <v>7</v>
      </c>
      <c r="G272" s="3">
        <v>1700</v>
      </c>
      <c r="H272" s="3">
        <v>0</v>
      </c>
    </row>
    <row r="273" spans="1:8" x14ac:dyDescent="0.3">
      <c r="A273" s="3">
        <v>43526</v>
      </c>
      <c r="B273" s="3" t="s">
        <v>11</v>
      </c>
      <c r="C273" s="3" t="s">
        <v>10</v>
      </c>
      <c r="D273" s="3">
        <v>35000</v>
      </c>
      <c r="E273" s="3" t="s">
        <v>93</v>
      </c>
      <c r="F273" s="3">
        <v>171</v>
      </c>
      <c r="G273" s="3">
        <v>5200</v>
      </c>
      <c r="H273" s="3">
        <v>4</v>
      </c>
    </row>
    <row r="274" spans="1:8" x14ac:dyDescent="0.3">
      <c r="A274" s="3">
        <v>43612</v>
      </c>
      <c r="B274" s="3" t="s">
        <v>12</v>
      </c>
      <c r="C274" s="3" t="s">
        <v>10</v>
      </c>
      <c r="D274" s="3">
        <v>10000</v>
      </c>
      <c r="E274" s="3" t="s">
        <v>94</v>
      </c>
      <c r="F274" s="3">
        <v>147</v>
      </c>
      <c r="G274" s="3">
        <v>1500</v>
      </c>
      <c r="H274" s="3">
        <v>7</v>
      </c>
    </row>
    <row r="275" spans="1:8" x14ac:dyDescent="0.3">
      <c r="A275" s="3">
        <v>43797</v>
      </c>
      <c r="B275" s="3" t="s">
        <v>9</v>
      </c>
      <c r="C275" s="3" t="s">
        <v>10</v>
      </c>
      <c r="D275" s="3">
        <v>25000</v>
      </c>
      <c r="E275" s="3" t="s">
        <v>92</v>
      </c>
      <c r="F275" s="3">
        <v>47</v>
      </c>
      <c r="G275" s="3">
        <v>500</v>
      </c>
      <c r="H275" s="3">
        <v>8</v>
      </c>
    </row>
    <row r="276" spans="1:8" x14ac:dyDescent="0.3">
      <c r="A276" s="3">
        <v>43668</v>
      </c>
      <c r="B276" s="3" t="s">
        <v>4</v>
      </c>
      <c r="C276" s="3" t="s">
        <v>7</v>
      </c>
      <c r="D276" s="3">
        <v>18000</v>
      </c>
      <c r="E276" s="3" t="s">
        <v>94</v>
      </c>
      <c r="F276" s="3">
        <v>9</v>
      </c>
      <c r="G276" s="3">
        <v>1100</v>
      </c>
      <c r="H276" s="3">
        <v>5</v>
      </c>
    </row>
    <row r="277" spans="1:8" x14ac:dyDescent="0.3">
      <c r="A277" s="3">
        <v>43709</v>
      </c>
      <c r="B277" s="3" t="s">
        <v>1</v>
      </c>
      <c r="C277" s="3" t="s">
        <v>7</v>
      </c>
      <c r="D277" s="3">
        <v>40000</v>
      </c>
      <c r="E277" s="3" t="s">
        <v>93</v>
      </c>
      <c r="F277" s="3">
        <v>6</v>
      </c>
      <c r="G277" s="3">
        <v>1000</v>
      </c>
      <c r="H277" s="3">
        <v>10</v>
      </c>
    </row>
    <row r="278" spans="1:8" x14ac:dyDescent="0.3">
      <c r="A278" s="3">
        <v>43495</v>
      </c>
      <c r="B278" s="3" t="s">
        <v>3</v>
      </c>
      <c r="C278" s="3" t="s">
        <v>7</v>
      </c>
      <c r="D278" s="3">
        <v>20000</v>
      </c>
      <c r="E278" s="3" t="s">
        <v>93</v>
      </c>
      <c r="F278" s="3">
        <v>6</v>
      </c>
      <c r="G278" s="3">
        <v>1700</v>
      </c>
      <c r="H278" s="3">
        <v>3</v>
      </c>
    </row>
    <row r="279" spans="1:8" x14ac:dyDescent="0.3">
      <c r="A279" s="3">
        <v>43751</v>
      </c>
      <c r="B279" s="3" t="s">
        <v>0</v>
      </c>
      <c r="C279" s="3" t="s">
        <v>7</v>
      </c>
      <c r="D279" s="3">
        <v>125000</v>
      </c>
      <c r="E279" s="3" t="s">
        <v>91</v>
      </c>
      <c r="F279" s="3">
        <v>52</v>
      </c>
      <c r="G279" s="3">
        <v>9400</v>
      </c>
      <c r="H279" s="3">
        <v>0</v>
      </c>
    </row>
    <row r="280" spans="1:8" x14ac:dyDescent="0.3">
      <c r="A280" s="3">
        <v>43807</v>
      </c>
      <c r="B280" s="3" t="s">
        <v>9</v>
      </c>
      <c r="C280" s="3" t="s">
        <v>10</v>
      </c>
      <c r="D280" s="3">
        <v>25000</v>
      </c>
      <c r="E280" s="3" t="s">
        <v>93</v>
      </c>
      <c r="F280" s="3">
        <v>51</v>
      </c>
      <c r="G280" s="3">
        <v>800</v>
      </c>
      <c r="H280" s="3">
        <v>8</v>
      </c>
    </row>
    <row r="281" spans="1:8" x14ac:dyDescent="0.3">
      <c r="A281" s="3">
        <v>43510</v>
      </c>
      <c r="B281" s="3" t="s">
        <v>9</v>
      </c>
      <c r="C281" s="3" t="s">
        <v>10</v>
      </c>
      <c r="D281" s="3">
        <v>25000</v>
      </c>
      <c r="E281" s="3" t="s">
        <v>93</v>
      </c>
      <c r="F281" s="3">
        <v>53</v>
      </c>
      <c r="G281" s="3">
        <v>1100</v>
      </c>
      <c r="H281" s="3">
        <v>2</v>
      </c>
    </row>
    <row r="282" spans="1:8" x14ac:dyDescent="0.3">
      <c r="A282" s="3">
        <v>43539</v>
      </c>
      <c r="B282" s="3" t="s">
        <v>1</v>
      </c>
      <c r="C282" s="3" t="s">
        <v>7</v>
      </c>
      <c r="D282" s="3">
        <v>40000</v>
      </c>
      <c r="E282" s="3" t="s">
        <v>92</v>
      </c>
      <c r="F282" s="3">
        <v>7</v>
      </c>
      <c r="G282" s="3">
        <v>1200</v>
      </c>
      <c r="H282" s="3">
        <v>8</v>
      </c>
    </row>
    <row r="283" spans="1:8" x14ac:dyDescent="0.3">
      <c r="A283" s="3">
        <v>43775</v>
      </c>
      <c r="B283" s="3" t="s">
        <v>12</v>
      </c>
      <c r="C283" s="3" t="s">
        <v>10</v>
      </c>
      <c r="D283" s="3">
        <v>10000</v>
      </c>
      <c r="E283" s="3" t="s">
        <v>91</v>
      </c>
      <c r="F283" s="3">
        <v>127</v>
      </c>
      <c r="G283" s="3">
        <v>600</v>
      </c>
      <c r="H283" s="3">
        <v>7</v>
      </c>
    </row>
    <row r="284" spans="1:8" x14ac:dyDescent="0.3">
      <c r="A284" s="3">
        <v>43520</v>
      </c>
      <c r="B284" s="3" t="s">
        <v>3</v>
      </c>
      <c r="C284" s="3" t="s">
        <v>7</v>
      </c>
      <c r="D284" s="3">
        <v>20000</v>
      </c>
      <c r="E284" s="3" t="s">
        <v>93</v>
      </c>
      <c r="F284" s="3">
        <v>6</v>
      </c>
      <c r="G284" s="3">
        <v>2600</v>
      </c>
      <c r="H284" s="3">
        <v>6</v>
      </c>
    </row>
    <row r="285" spans="1:8" x14ac:dyDescent="0.3">
      <c r="A285" s="3">
        <v>43794</v>
      </c>
      <c r="B285" s="3" t="s">
        <v>6</v>
      </c>
      <c r="C285" s="3" t="s">
        <v>7</v>
      </c>
      <c r="D285" s="3">
        <v>13000</v>
      </c>
      <c r="E285" s="3" t="s">
        <v>91</v>
      </c>
      <c r="F285" s="3">
        <v>7</v>
      </c>
      <c r="G285" s="3">
        <v>600</v>
      </c>
      <c r="H285" s="3">
        <v>2</v>
      </c>
    </row>
    <row r="286" spans="1:8" x14ac:dyDescent="0.3">
      <c r="A286" s="3">
        <v>43704</v>
      </c>
      <c r="B286" s="3" t="s">
        <v>12</v>
      </c>
      <c r="C286" s="3" t="s">
        <v>10</v>
      </c>
      <c r="D286" s="3">
        <v>10000</v>
      </c>
      <c r="E286" s="3" t="s">
        <v>91</v>
      </c>
      <c r="F286" s="3">
        <v>167</v>
      </c>
      <c r="G286" s="3">
        <v>1300</v>
      </c>
      <c r="H286" s="3">
        <v>1</v>
      </c>
    </row>
    <row r="287" spans="1:8" x14ac:dyDescent="0.3">
      <c r="A287" s="3">
        <v>43677</v>
      </c>
      <c r="B287" s="3" t="s">
        <v>2</v>
      </c>
      <c r="C287" s="3" t="s">
        <v>7</v>
      </c>
      <c r="D287" s="3">
        <v>30000</v>
      </c>
      <c r="E287" s="3" t="s">
        <v>92</v>
      </c>
      <c r="F287" s="3">
        <v>6</v>
      </c>
      <c r="G287" s="3">
        <v>1900</v>
      </c>
      <c r="H287" s="3">
        <v>3</v>
      </c>
    </row>
    <row r="288" spans="1:8" x14ac:dyDescent="0.3">
      <c r="A288" s="3">
        <v>43823</v>
      </c>
      <c r="B288" s="3" t="s">
        <v>12</v>
      </c>
      <c r="C288" s="3" t="s">
        <v>10</v>
      </c>
      <c r="D288" s="3">
        <v>10000</v>
      </c>
      <c r="E288" s="3" t="s">
        <v>93</v>
      </c>
      <c r="F288" s="3">
        <v>150</v>
      </c>
      <c r="G288" s="3">
        <v>900</v>
      </c>
      <c r="H288" s="3">
        <v>1</v>
      </c>
    </row>
    <row r="289" spans="1:8" x14ac:dyDescent="0.3">
      <c r="A289" s="3">
        <v>43761</v>
      </c>
      <c r="B289" s="3" t="s">
        <v>1</v>
      </c>
      <c r="C289" s="3" t="s">
        <v>7</v>
      </c>
      <c r="D289" s="3">
        <v>40000</v>
      </c>
      <c r="E289" s="3" t="s">
        <v>92</v>
      </c>
      <c r="F289" s="3">
        <v>7</v>
      </c>
      <c r="G289" s="3">
        <v>2200</v>
      </c>
      <c r="H289" s="3">
        <v>6</v>
      </c>
    </row>
    <row r="290" spans="1:8" x14ac:dyDescent="0.3">
      <c r="A290" s="3">
        <v>43581</v>
      </c>
      <c r="B290" s="3" t="s">
        <v>8</v>
      </c>
      <c r="C290" s="3" t="s">
        <v>10</v>
      </c>
      <c r="D290" s="3">
        <v>30000</v>
      </c>
      <c r="E290" s="3" t="s">
        <v>91</v>
      </c>
      <c r="F290" s="3">
        <v>32</v>
      </c>
      <c r="G290" s="3">
        <v>1100</v>
      </c>
      <c r="H290" s="3">
        <v>9</v>
      </c>
    </row>
    <row r="291" spans="1:8" x14ac:dyDescent="0.3">
      <c r="A291" s="3">
        <v>43798</v>
      </c>
      <c r="B291" s="3" t="s">
        <v>12</v>
      </c>
      <c r="C291" s="3" t="s">
        <v>10</v>
      </c>
      <c r="D291" s="3">
        <v>10000</v>
      </c>
      <c r="E291" s="3" t="s">
        <v>91</v>
      </c>
      <c r="F291" s="3">
        <v>152</v>
      </c>
      <c r="G291" s="3">
        <v>0</v>
      </c>
      <c r="H291" s="3">
        <v>3</v>
      </c>
    </row>
    <row r="292" spans="1:8" x14ac:dyDescent="0.3">
      <c r="A292" s="3">
        <v>43676</v>
      </c>
      <c r="B292" s="3" t="s">
        <v>9</v>
      </c>
      <c r="C292" s="3" t="s">
        <v>10</v>
      </c>
      <c r="D292" s="3">
        <v>25000</v>
      </c>
      <c r="E292" s="3" t="s">
        <v>92</v>
      </c>
      <c r="F292" s="3">
        <v>53</v>
      </c>
      <c r="G292" s="3">
        <v>500</v>
      </c>
      <c r="H292" s="3">
        <v>7</v>
      </c>
    </row>
    <row r="293" spans="1:8" x14ac:dyDescent="0.3">
      <c r="A293" s="3">
        <v>43598</v>
      </c>
      <c r="B293" s="3" t="s">
        <v>5</v>
      </c>
      <c r="C293" s="3" t="s">
        <v>7</v>
      </c>
      <c r="D293" s="3">
        <v>15000</v>
      </c>
      <c r="E293" s="3" t="s">
        <v>93</v>
      </c>
      <c r="F293" s="3">
        <v>9</v>
      </c>
      <c r="G293" s="3">
        <v>1200</v>
      </c>
      <c r="H293" s="3">
        <v>6</v>
      </c>
    </row>
    <row r="294" spans="1:8" x14ac:dyDescent="0.3">
      <c r="A294" s="3">
        <v>43716</v>
      </c>
      <c r="B294" s="3" t="s">
        <v>2</v>
      </c>
      <c r="C294" s="3" t="s">
        <v>7</v>
      </c>
      <c r="D294" s="3">
        <v>30000</v>
      </c>
      <c r="E294" s="3" t="s">
        <v>93</v>
      </c>
      <c r="F294" s="3">
        <v>7</v>
      </c>
      <c r="G294" s="3">
        <v>3300</v>
      </c>
      <c r="H294" s="3">
        <v>6</v>
      </c>
    </row>
    <row r="295" spans="1:8" x14ac:dyDescent="0.3">
      <c r="A295" s="3">
        <v>43573</v>
      </c>
      <c r="B295" s="3" t="s">
        <v>5</v>
      </c>
      <c r="C295" s="3" t="s">
        <v>7</v>
      </c>
      <c r="D295" s="3">
        <v>15000</v>
      </c>
      <c r="E295" s="3" t="s">
        <v>94</v>
      </c>
      <c r="F295" s="3">
        <v>8</v>
      </c>
      <c r="G295" s="3">
        <v>2200</v>
      </c>
      <c r="H295" s="3">
        <v>9</v>
      </c>
    </row>
    <row r="296" spans="1:8" x14ac:dyDescent="0.3">
      <c r="A296" s="3">
        <v>43589</v>
      </c>
      <c r="B296" s="3" t="s">
        <v>6</v>
      </c>
      <c r="C296" s="3" t="s">
        <v>7</v>
      </c>
      <c r="D296" s="3">
        <v>13000</v>
      </c>
      <c r="E296" s="3" t="s">
        <v>93</v>
      </c>
      <c r="F296" s="3">
        <v>10</v>
      </c>
      <c r="G296" s="3">
        <v>400</v>
      </c>
      <c r="H296" s="3">
        <v>6</v>
      </c>
    </row>
    <row r="297" spans="1:8" x14ac:dyDescent="0.3">
      <c r="A297" s="3">
        <v>43586</v>
      </c>
      <c r="B297" s="3" t="s">
        <v>2</v>
      </c>
      <c r="C297" s="3" t="s">
        <v>7</v>
      </c>
      <c r="D297" s="3">
        <v>30000</v>
      </c>
      <c r="E297" s="3" t="s">
        <v>94</v>
      </c>
      <c r="F297" s="3">
        <v>6</v>
      </c>
      <c r="G297" s="3">
        <v>2300</v>
      </c>
      <c r="H297" s="3">
        <v>8</v>
      </c>
    </row>
    <row r="298" spans="1:8" x14ac:dyDescent="0.3">
      <c r="A298" s="3">
        <v>43609</v>
      </c>
      <c r="B298" s="3" t="s">
        <v>5</v>
      </c>
      <c r="C298" s="3" t="s">
        <v>7</v>
      </c>
      <c r="D298" s="3">
        <v>15000</v>
      </c>
      <c r="E298" s="3" t="s">
        <v>93</v>
      </c>
      <c r="F298" s="3">
        <v>9</v>
      </c>
      <c r="G298" s="3">
        <v>1000</v>
      </c>
      <c r="H298" s="3">
        <v>7</v>
      </c>
    </row>
    <row r="299" spans="1:8" x14ac:dyDescent="0.3">
      <c r="A299" s="3">
        <v>43685</v>
      </c>
      <c r="B299" s="3" t="s">
        <v>0</v>
      </c>
      <c r="C299" s="3" t="s">
        <v>7</v>
      </c>
      <c r="D299" s="3">
        <v>125000</v>
      </c>
      <c r="E299" s="3" t="s">
        <v>94</v>
      </c>
      <c r="F299" s="3">
        <v>56</v>
      </c>
      <c r="G299" s="3">
        <v>11300</v>
      </c>
      <c r="H299" s="3">
        <v>0</v>
      </c>
    </row>
    <row r="300" spans="1:8" x14ac:dyDescent="0.3">
      <c r="A300" s="3">
        <v>43633</v>
      </c>
      <c r="B300" s="3" t="s">
        <v>4</v>
      </c>
      <c r="C300" s="3" t="s">
        <v>7</v>
      </c>
      <c r="D300" s="3">
        <v>18000</v>
      </c>
      <c r="E300" s="3" t="s">
        <v>92</v>
      </c>
      <c r="F300" s="3">
        <v>10</v>
      </c>
      <c r="G300" s="3">
        <v>1400</v>
      </c>
      <c r="H300" s="3">
        <v>7</v>
      </c>
    </row>
    <row r="301" spans="1:8" x14ac:dyDescent="0.3">
      <c r="A301" s="3">
        <v>43637</v>
      </c>
      <c r="B301" s="3" t="s">
        <v>12</v>
      </c>
      <c r="C301" s="3" t="s">
        <v>10</v>
      </c>
      <c r="D301" s="3">
        <v>10000</v>
      </c>
      <c r="E301" s="3" t="s">
        <v>93</v>
      </c>
      <c r="F301" s="3">
        <v>132</v>
      </c>
      <c r="G301" s="3">
        <v>900</v>
      </c>
      <c r="H301" s="3">
        <v>6</v>
      </c>
    </row>
    <row r="302" spans="1:8" x14ac:dyDescent="0.3">
      <c r="A302" s="3">
        <v>43535</v>
      </c>
      <c r="B302" s="3" t="s">
        <v>3</v>
      </c>
      <c r="C302" s="3" t="s">
        <v>7</v>
      </c>
      <c r="D302" s="3">
        <v>20000</v>
      </c>
      <c r="E302" s="3" t="s">
        <v>92</v>
      </c>
      <c r="F302" s="3">
        <v>7</v>
      </c>
      <c r="G302" s="3">
        <v>1600</v>
      </c>
      <c r="H302" s="3">
        <v>8</v>
      </c>
    </row>
    <row r="303" spans="1:8" x14ac:dyDescent="0.3">
      <c r="A303" s="3">
        <v>43732</v>
      </c>
      <c r="B303" s="3" t="s">
        <v>8</v>
      </c>
      <c r="C303" s="3" t="s">
        <v>10</v>
      </c>
      <c r="D303" s="3">
        <v>30000</v>
      </c>
      <c r="E303" s="3" t="s">
        <v>91</v>
      </c>
      <c r="F303" s="3">
        <v>36</v>
      </c>
      <c r="G303" s="3">
        <v>2000</v>
      </c>
      <c r="H303" s="3">
        <v>7</v>
      </c>
    </row>
    <row r="304" spans="1:8" x14ac:dyDescent="0.3">
      <c r="A304" s="3">
        <v>43758</v>
      </c>
      <c r="B304" s="3" t="s">
        <v>3</v>
      </c>
      <c r="C304" s="3" t="s">
        <v>7</v>
      </c>
      <c r="D304" s="3">
        <v>20000</v>
      </c>
      <c r="E304" s="3" t="s">
        <v>91</v>
      </c>
      <c r="F304" s="3">
        <v>5</v>
      </c>
      <c r="G304" s="3">
        <v>1400</v>
      </c>
      <c r="H304" s="3">
        <v>5</v>
      </c>
    </row>
    <row r="305" spans="1:8" x14ac:dyDescent="0.3">
      <c r="A305" s="3">
        <v>43482</v>
      </c>
      <c r="B305" s="3" t="s">
        <v>0</v>
      </c>
      <c r="C305" s="3" t="s">
        <v>7</v>
      </c>
      <c r="D305" s="3">
        <v>125000</v>
      </c>
      <c r="E305" s="3" t="s">
        <v>93</v>
      </c>
      <c r="F305" s="3">
        <v>59</v>
      </c>
      <c r="G305" s="3">
        <v>15400</v>
      </c>
      <c r="H305" s="3">
        <v>5</v>
      </c>
    </row>
    <row r="306" spans="1:8" x14ac:dyDescent="0.3">
      <c r="A306" s="3">
        <v>43665</v>
      </c>
      <c r="B306" s="3" t="s">
        <v>1</v>
      </c>
      <c r="C306" s="3" t="s">
        <v>7</v>
      </c>
      <c r="D306" s="3">
        <v>40000</v>
      </c>
      <c r="E306" s="3" t="s">
        <v>92</v>
      </c>
      <c r="F306" s="3">
        <v>7</v>
      </c>
      <c r="G306" s="3">
        <v>5700</v>
      </c>
      <c r="H306" s="3">
        <v>7</v>
      </c>
    </row>
    <row r="307" spans="1:8" x14ac:dyDescent="0.3">
      <c r="A307" s="3">
        <v>43785</v>
      </c>
      <c r="B307" s="3" t="s">
        <v>4</v>
      </c>
      <c r="C307" s="3" t="s">
        <v>7</v>
      </c>
      <c r="D307" s="3">
        <v>18000</v>
      </c>
      <c r="E307" s="3" t="s">
        <v>92</v>
      </c>
      <c r="F307" s="3">
        <v>10</v>
      </c>
      <c r="G307" s="3">
        <v>2400</v>
      </c>
      <c r="H307" s="3">
        <v>2</v>
      </c>
    </row>
    <row r="308" spans="1:8" x14ac:dyDescent="0.3">
      <c r="A308" s="3">
        <v>43556</v>
      </c>
      <c r="B308" s="3" t="s">
        <v>1</v>
      </c>
      <c r="C308" s="3" t="s">
        <v>7</v>
      </c>
      <c r="D308" s="3">
        <v>40000</v>
      </c>
      <c r="E308" s="3" t="s">
        <v>91</v>
      </c>
      <c r="F308" s="3">
        <v>6</v>
      </c>
      <c r="G308" s="3">
        <v>2300</v>
      </c>
      <c r="H308" s="3">
        <v>3</v>
      </c>
    </row>
    <row r="309" spans="1:8" x14ac:dyDescent="0.3">
      <c r="A309" s="3">
        <v>43628</v>
      </c>
      <c r="B309" s="3" t="s">
        <v>11</v>
      </c>
      <c r="C309" s="3" t="s">
        <v>10</v>
      </c>
      <c r="D309" s="3">
        <v>35000</v>
      </c>
      <c r="E309" s="3" t="s">
        <v>94</v>
      </c>
      <c r="F309" s="3">
        <v>218</v>
      </c>
      <c r="G309" s="3">
        <v>1200</v>
      </c>
      <c r="H309" s="3">
        <v>0</v>
      </c>
    </row>
    <row r="310" spans="1:8" x14ac:dyDescent="0.3">
      <c r="A310" s="3">
        <v>43588</v>
      </c>
      <c r="B310" s="3" t="s">
        <v>6</v>
      </c>
      <c r="C310" s="3" t="s">
        <v>7</v>
      </c>
      <c r="D310" s="3">
        <v>13000</v>
      </c>
      <c r="E310" s="3" t="s">
        <v>91</v>
      </c>
      <c r="F310" s="3">
        <v>8</v>
      </c>
      <c r="G310" s="3">
        <v>1700</v>
      </c>
      <c r="H310" s="3">
        <v>2</v>
      </c>
    </row>
    <row r="311" spans="1:8" x14ac:dyDescent="0.3">
      <c r="A311" s="3">
        <v>43817</v>
      </c>
      <c r="B311" s="3" t="s">
        <v>4</v>
      </c>
      <c r="C311" s="3" t="s">
        <v>7</v>
      </c>
      <c r="D311" s="3">
        <v>18000</v>
      </c>
      <c r="E311" s="3" t="s">
        <v>91</v>
      </c>
      <c r="F311" s="3">
        <v>10</v>
      </c>
      <c r="G311" s="3">
        <v>2100</v>
      </c>
      <c r="H311" s="3">
        <v>2</v>
      </c>
    </row>
    <row r="312" spans="1:8" x14ac:dyDescent="0.3">
      <c r="A312" s="3">
        <v>43674</v>
      </c>
      <c r="B312" s="3" t="s">
        <v>6</v>
      </c>
      <c r="C312" s="3" t="s">
        <v>7</v>
      </c>
      <c r="D312" s="3">
        <v>13000</v>
      </c>
      <c r="E312" s="3" t="s">
        <v>94</v>
      </c>
      <c r="F312" s="3">
        <v>8</v>
      </c>
      <c r="G312" s="3">
        <v>1100</v>
      </c>
      <c r="H312" s="3">
        <v>7</v>
      </c>
    </row>
    <row r="313" spans="1:8" x14ac:dyDescent="0.3">
      <c r="A313" s="3">
        <v>43634</v>
      </c>
      <c r="B313" s="3" t="s">
        <v>12</v>
      </c>
      <c r="C313" s="3" t="s">
        <v>10</v>
      </c>
      <c r="D313" s="3">
        <v>10000</v>
      </c>
      <c r="E313" s="3" t="s">
        <v>93</v>
      </c>
      <c r="F313" s="3">
        <v>121</v>
      </c>
      <c r="G313" s="3">
        <v>0</v>
      </c>
      <c r="H313" s="3">
        <v>10</v>
      </c>
    </row>
    <row r="314" spans="1:8" x14ac:dyDescent="0.3">
      <c r="A314" s="3">
        <v>43687</v>
      </c>
      <c r="B314" s="3" t="s">
        <v>4</v>
      </c>
      <c r="C314" s="3" t="s">
        <v>7</v>
      </c>
      <c r="D314" s="3">
        <v>18000</v>
      </c>
      <c r="E314" s="3" t="s">
        <v>92</v>
      </c>
      <c r="F314" s="3">
        <v>7</v>
      </c>
      <c r="G314" s="3">
        <v>600</v>
      </c>
      <c r="H314" s="3">
        <v>7</v>
      </c>
    </row>
    <row r="315" spans="1:8" x14ac:dyDescent="0.3">
      <c r="A315" s="3">
        <v>43746</v>
      </c>
      <c r="B315" s="3" t="s">
        <v>5</v>
      </c>
      <c r="C315" s="3" t="s">
        <v>7</v>
      </c>
      <c r="D315" s="3">
        <v>15000</v>
      </c>
      <c r="E315" s="3" t="s">
        <v>93</v>
      </c>
      <c r="F315" s="3">
        <v>8</v>
      </c>
      <c r="G315" s="3">
        <v>1300</v>
      </c>
      <c r="H315" s="3">
        <v>1</v>
      </c>
    </row>
    <row r="316" spans="1:8" x14ac:dyDescent="0.3">
      <c r="A316" s="3">
        <v>43768</v>
      </c>
      <c r="B316" s="3" t="s">
        <v>5</v>
      </c>
      <c r="C316" s="3" t="s">
        <v>7</v>
      </c>
      <c r="D316" s="3">
        <v>15000</v>
      </c>
      <c r="E316" s="3" t="s">
        <v>92</v>
      </c>
      <c r="F316" s="3">
        <v>8</v>
      </c>
      <c r="G316" s="3">
        <v>1400</v>
      </c>
      <c r="H316" s="3">
        <v>6</v>
      </c>
    </row>
    <row r="317" spans="1:8" x14ac:dyDescent="0.3">
      <c r="A317" s="3">
        <v>43653</v>
      </c>
      <c r="B317" s="3" t="s">
        <v>4</v>
      </c>
      <c r="C317" s="3" t="s">
        <v>7</v>
      </c>
      <c r="D317" s="3">
        <v>18000</v>
      </c>
      <c r="E317" s="3" t="s">
        <v>91</v>
      </c>
      <c r="F317" s="3">
        <v>9</v>
      </c>
      <c r="G317" s="3">
        <v>1100</v>
      </c>
      <c r="H317" s="3">
        <v>0</v>
      </c>
    </row>
    <row r="318" spans="1:8" x14ac:dyDescent="0.3">
      <c r="A318" s="3">
        <v>43792</v>
      </c>
      <c r="B318" s="3" t="s">
        <v>8</v>
      </c>
      <c r="C318" s="3" t="s">
        <v>10</v>
      </c>
      <c r="D318" s="3">
        <v>30000</v>
      </c>
      <c r="E318" s="3" t="s">
        <v>93</v>
      </c>
      <c r="F318" s="3">
        <v>31</v>
      </c>
      <c r="G318" s="3">
        <v>2000</v>
      </c>
      <c r="H318" s="3">
        <v>5</v>
      </c>
    </row>
    <row r="319" spans="1:8" x14ac:dyDescent="0.3">
      <c r="A319" s="3">
        <v>43625</v>
      </c>
      <c r="B319" s="3" t="s">
        <v>5</v>
      </c>
      <c r="C319" s="3" t="s">
        <v>7</v>
      </c>
      <c r="D319" s="3">
        <v>15000</v>
      </c>
      <c r="E319" s="3" t="s">
        <v>91</v>
      </c>
      <c r="F319" s="3">
        <v>8</v>
      </c>
      <c r="G319" s="3">
        <v>1600</v>
      </c>
      <c r="H319" s="3">
        <v>8</v>
      </c>
    </row>
    <row r="320" spans="1:8" x14ac:dyDescent="0.3">
      <c r="A320" s="3">
        <v>43561</v>
      </c>
      <c r="B320" s="3" t="s">
        <v>9</v>
      </c>
      <c r="C320" s="3" t="s">
        <v>10</v>
      </c>
      <c r="D320" s="3">
        <v>25000</v>
      </c>
      <c r="E320" s="3" t="s">
        <v>93</v>
      </c>
      <c r="F320" s="3">
        <v>55</v>
      </c>
      <c r="G320" s="3">
        <v>1400</v>
      </c>
      <c r="H320" s="3">
        <v>10</v>
      </c>
    </row>
    <row r="321" spans="1:8" x14ac:dyDescent="0.3">
      <c r="A321" s="3">
        <v>43743</v>
      </c>
      <c r="B321" s="3" t="s">
        <v>4</v>
      </c>
      <c r="C321" s="3" t="s">
        <v>7</v>
      </c>
      <c r="D321" s="3">
        <v>18000</v>
      </c>
      <c r="E321" s="3" t="s">
        <v>92</v>
      </c>
      <c r="F321" s="3">
        <v>8</v>
      </c>
      <c r="G321" s="3">
        <v>2200</v>
      </c>
      <c r="H321" s="3">
        <v>2</v>
      </c>
    </row>
    <row r="322" spans="1:8" x14ac:dyDescent="0.3">
      <c r="A322" s="3">
        <v>43573</v>
      </c>
      <c r="B322" s="3" t="s">
        <v>1</v>
      </c>
      <c r="C322" s="3" t="s">
        <v>7</v>
      </c>
      <c r="D322" s="3">
        <v>40000</v>
      </c>
      <c r="E322" s="3" t="s">
        <v>94</v>
      </c>
      <c r="F322" s="3">
        <v>6</v>
      </c>
      <c r="G322" s="3">
        <v>5700</v>
      </c>
      <c r="H322" s="3">
        <v>8</v>
      </c>
    </row>
    <row r="323" spans="1:8" x14ac:dyDescent="0.3">
      <c r="A323" s="3">
        <v>43694</v>
      </c>
      <c r="B323" s="3" t="s">
        <v>0</v>
      </c>
      <c r="C323" s="3" t="s">
        <v>7</v>
      </c>
      <c r="D323" s="3">
        <v>125000</v>
      </c>
      <c r="E323" s="3" t="s">
        <v>91</v>
      </c>
      <c r="F323" s="3">
        <v>52</v>
      </c>
      <c r="G323" s="3">
        <v>2200</v>
      </c>
      <c r="H323" s="3">
        <v>1</v>
      </c>
    </row>
    <row r="324" spans="1:8" x14ac:dyDescent="0.3">
      <c r="A324" s="3">
        <v>43552</v>
      </c>
      <c r="B324" s="3" t="s">
        <v>12</v>
      </c>
      <c r="C324" s="3" t="s">
        <v>10</v>
      </c>
      <c r="D324" s="3">
        <v>10000</v>
      </c>
      <c r="E324" s="3" t="s">
        <v>92</v>
      </c>
      <c r="F324" s="3">
        <v>166</v>
      </c>
      <c r="G324" s="3">
        <v>1200</v>
      </c>
      <c r="H324" s="3">
        <v>5</v>
      </c>
    </row>
    <row r="325" spans="1:8" x14ac:dyDescent="0.3">
      <c r="A325" s="3">
        <v>43826</v>
      </c>
      <c r="B325" s="3" t="s">
        <v>5</v>
      </c>
      <c r="C325" s="3" t="s">
        <v>7</v>
      </c>
      <c r="D325" s="3">
        <v>15000</v>
      </c>
      <c r="E325" s="3" t="s">
        <v>93</v>
      </c>
      <c r="F325" s="3">
        <v>9</v>
      </c>
      <c r="G325" s="3">
        <v>2000</v>
      </c>
      <c r="H325" s="3">
        <v>9</v>
      </c>
    </row>
    <row r="326" spans="1:8" x14ac:dyDescent="0.3">
      <c r="A326" s="3">
        <v>43489</v>
      </c>
      <c r="B326" s="3" t="s">
        <v>12</v>
      </c>
      <c r="C326" s="3" t="s">
        <v>10</v>
      </c>
      <c r="D326" s="3">
        <v>10000</v>
      </c>
      <c r="E326" s="3" t="s">
        <v>94</v>
      </c>
      <c r="F326" s="3">
        <v>160</v>
      </c>
      <c r="G326" s="3">
        <v>1000</v>
      </c>
      <c r="H326" s="3">
        <v>9</v>
      </c>
    </row>
    <row r="327" spans="1:8" x14ac:dyDescent="0.3">
      <c r="A327" s="3">
        <v>43587</v>
      </c>
      <c r="B327" s="3" t="s">
        <v>6</v>
      </c>
      <c r="C327" s="3" t="s">
        <v>7</v>
      </c>
      <c r="D327" s="3">
        <v>13000</v>
      </c>
      <c r="E327" s="3" t="s">
        <v>92</v>
      </c>
      <c r="F327" s="3">
        <v>8</v>
      </c>
      <c r="G327" s="3">
        <v>500</v>
      </c>
      <c r="H327" s="3">
        <v>0</v>
      </c>
    </row>
    <row r="328" spans="1:8" x14ac:dyDescent="0.3">
      <c r="A328" s="3">
        <v>43620</v>
      </c>
      <c r="B328" s="3" t="s">
        <v>3</v>
      </c>
      <c r="C328" s="3" t="s">
        <v>7</v>
      </c>
      <c r="D328" s="3">
        <v>20000</v>
      </c>
      <c r="E328" s="3" t="s">
        <v>93</v>
      </c>
      <c r="F328" s="3">
        <v>5</v>
      </c>
      <c r="G328" s="3">
        <v>2000</v>
      </c>
      <c r="H328" s="3">
        <v>0</v>
      </c>
    </row>
    <row r="329" spans="1:8" x14ac:dyDescent="0.3">
      <c r="A329" s="3">
        <v>43583</v>
      </c>
      <c r="B329" s="3" t="s">
        <v>1</v>
      </c>
      <c r="C329" s="3" t="s">
        <v>7</v>
      </c>
      <c r="D329" s="3">
        <v>40000</v>
      </c>
      <c r="E329" s="3" t="s">
        <v>92</v>
      </c>
      <c r="F329" s="3">
        <v>5</v>
      </c>
      <c r="G329" s="3">
        <v>2900</v>
      </c>
      <c r="H329" s="3">
        <v>6</v>
      </c>
    </row>
    <row r="330" spans="1:8" x14ac:dyDescent="0.3">
      <c r="A330" s="3">
        <v>43629</v>
      </c>
      <c r="B330" s="3" t="s">
        <v>12</v>
      </c>
      <c r="C330" s="3" t="s">
        <v>10</v>
      </c>
      <c r="D330" s="3">
        <v>10000</v>
      </c>
      <c r="E330" s="3" t="s">
        <v>93</v>
      </c>
      <c r="F330" s="3">
        <v>137</v>
      </c>
      <c r="G330" s="3">
        <v>600</v>
      </c>
      <c r="H330" s="3">
        <v>6</v>
      </c>
    </row>
    <row r="331" spans="1:8" x14ac:dyDescent="0.3">
      <c r="A331" s="3">
        <v>43669</v>
      </c>
      <c r="B331" s="3" t="s">
        <v>6</v>
      </c>
      <c r="C331" s="3" t="s">
        <v>7</v>
      </c>
      <c r="D331" s="3">
        <v>13000</v>
      </c>
      <c r="E331" s="3" t="s">
        <v>92</v>
      </c>
      <c r="F331" s="3">
        <v>7</v>
      </c>
      <c r="G331" s="3">
        <v>1300</v>
      </c>
      <c r="H331" s="3">
        <v>9</v>
      </c>
    </row>
    <row r="332" spans="1:8" x14ac:dyDescent="0.3">
      <c r="A332" s="3">
        <v>43700</v>
      </c>
      <c r="B332" s="3" t="s">
        <v>1</v>
      </c>
      <c r="C332" s="3" t="s">
        <v>7</v>
      </c>
      <c r="D332" s="3">
        <v>40000</v>
      </c>
      <c r="E332" s="3" t="s">
        <v>92</v>
      </c>
      <c r="F332" s="3">
        <v>6</v>
      </c>
      <c r="G332" s="3">
        <v>1800</v>
      </c>
      <c r="H332" s="3">
        <v>7</v>
      </c>
    </row>
    <row r="333" spans="1:8" x14ac:dyDescent="0.3">
      <c r="A333" s="3">
        <v>43558</v>
      </c>
      <c r="B333" s="3" t="s">
        <v>12</v>
      </c>
      <c r="C333" s="3" t="s">
        <v>10</v>
      </c>
      <c r="D333" s="3">
        <v>10000</v>
      </c>
      <c r="E333" s="3" t="s">
        <v>93</v>
      </c>
      <c r="F333" s="3">
        <v>139</v>
      </c>
      <c r="G333" s="3">
        <v>300</v>
      </c>
      <c r="H333" s="3">
        <v>10</v>
      </c>
    </row>
    <row r="334" spans="1:8" x14ac:dyDescent="0.3">
      <c r="A334" s="3">
        <v>43577</v>
      </c>
      <c r="B334" s="3" t="s">
        <v>12</v>
      </c>
      <c r="C334" s="3" t="s">
        <v>10</v>
      </c>
      <c r="D334" s="3">
        <v>10000</v>
      </c>
      <c r="E334" s="3" t="s">
        <v>93</v>
      </c>
      <c r="F334" s="3">
        <v>125</v>
      </c>
      <c r="G334" s="3">
        <v>1100</v>
      </c>
      <c r="H334" s="3">
        <v>8</v>
      </c>
    </row>
    <row r="335" spans="1:8" x14ac:dyDescent="0.3">
      <c r="A335" s="3">
        <v>43481</v>
      </c>
      <c r="B335" s="3" t="s">
        <v>9</v>
      </c>
      <c r="C335" s="3" t="s">
        <v>10</v>
      </c>
      <c r="D335" s="3">
        <v>25000</v>
      </c>
      <c r="E335" s="3" t="s">
        <v>91</v>
      </c>
      <c r="F335" s="3">
        <v>45</v>
      </c>
      <c r="G335" s="3">
        <v>1500</v>
      </c>
      <c r="H335" s="3">
        <v>5</v>
      </c>
    </row>
    <row r="336" spans="1:8" x14ac:dyDescent="0.3">
      <c r="A336" s="3">
        <v>43484</v>
      </c>
      <c r="B336" s="3" t="s">
        <v>2</v>
      </c>
      <c r="C336" s="3" t="s">
        <v>7</v>
      </c>
      <c r="D336" s="3">
        <v>30000</v>
      </c>
      <c r="E336" s="3" t="s">
        <v>93</v>
      </c>
      <c r="F336" s="3">
        <v>6</v>
      </c>
      <c r="G336" s="3">
        <v>3800</v>
      </c>
      <c r="H336" s="3">
        <v>6</v>
      </c>
    </row>
    <row r="337" spans="1:8" x14ac:dyDescent="0.3">
      <c r="A337" s="3">
        <v>43479</v>
      </c>
      <c r="B337" s="3" t="s">
        <v>6</v>
      </c>
      <c r="C337" s="3" t="s">
        <v>7</v>
      </c>
      <c r="D337" s="3">
        <v>13000</v>
      </c>
      <c r="E337" s="3" t="s">
        <v>94</v>
      </c>
      <c r="F337" s="3">
        <v>9</v>
      </c>
      <c r="G337" s="3">
        <v>1900</v>
      </c>
      <c r="H337" s="3">
        <v>8</v>
      </c>
    </row>
    <row r="338" spans="1:8" x14ac:dyDescent="0.3">
      <c r="A338" s="3">
        <v>43758</v>
      </c>
      <c r="B338" s="3" t="s">
        <v>2</v>
      </c>
      <c r="C338" s="3" t="s">
        <v>7</v>
      </c>
      <c r="D338" s="3">
        <v>30000</v>
      </c>
      <c r="E338" s="3" t="s">
        <v>93</v>
      </c>
      <c r="F338" s="3">
        <v>5</v>
      </c>
      <c r="G338" s="3">
        <v>3400</v>
      </c>
      <c r="H338" s="3">
        <v>4</v>
      </c>
    </row>
    <row r="339" spans="1:8" x14ac:dyDescent="0.3">
      <c r="A339" s="3">
        <v>43779</v>
      </c>
      <c r="B339" s="3" t="s">
        <v>0</v>
      </c>
      <c r="C339" s="3" t="s">
        <v>7</v>
      </c>
      <c r="D339" s="3">
        <v>125000</v>
      </c>
      <c r="E339" s="3" t="s">
        <v>91</v>
      </c>
      <c r="F339" s="3">
        <v>62</v>
      </c>
      <c r="G339" s="3">
        <v>5200</v>
      </c>
      <c r="H339" s="3">
        <v>6</v>
      </c>
    </row>
    <row r="340" spans="1:8" x14ac:dyDescent="0.3">
      <c r="A340" s="3">
        <v>43517</v>
      </c>
      <c r="B340" s="3" t="s">
        <v>9</v>
      </c>
      <c r="C340" s="3" t="s">
        <v>10</v>
      </c>
      <c r="D340" s="3">
        <v>25000</v>
      </c>
      <c r="E340" s="3" t="s">
        <v>91</v>
      </c>
      <c r="F340" s="3">
        <v>41</v>
      </c>
      <c r="G340" s="3">
        <v>3200</v>
      </c>
      <c r="H340" s="3">
        <v>7</v>
      </c>
    </row>
    <row r="341" spans="1:8" x14ac:dyDescent="0.3">
      <c r="A341" s="3">
        <v>43825</v>
      </c>
      <c r="B341" s="3" t="s">
        <v>6</v>
      </c>
      <c r="C341" s="3" t="s">
        <v>7</v>
      </c>
      <c r="D341" s="3">
        <v>13000</v>
      </c>
      <c r="E341" s="3" t="s">
        <v>92</v>
      </c>
      <c r="F341" s="3">
        <v>9</v>
      </c>
      <c r="G341" s="3">
        <v>800</v>
      </c>
      <c r="H341" s="3">
        <v>0</v>
      </c>
    </row>
    <row r="342" spans="1:8" x14ac:dyDescent="0.3">
      <c r="A342" s="3">
        <v>43551</v>
      </c>
      <c r="B342" s="3" t="s">
        <v>6</v>
      </c>
      <c r="C342" s="3" t="s">
        <v>7</v>
      </c>
      <c r="D342" s="3">
        <v>13000</v>
      </c>
      <c r="E342" s="3" t="s">
        <v>94</v>
      </c>
      <c r="F342" s="3">
        <v>7</v>
      </c>
      <c r="G342" s="3">
        <v>1000</v>
      </c>
      <c r="H342" s="3">
        <v>8</v>
      </c>
    </row>
    <row r="343" spans="1:8" x14ac:dyDescent="0.3">
      <c r="A343" s="3">
        <v>43709</v>
      </c>
      <c r="B343" s="3" t="s">
        <v>2</v>
      </c>
      <c r="C343" s="3" t="s">
        <v>7</v>
      </c>
      <c r="D343" s="3">
        <v>30000</v>
      </c>
      <c r="E343" s="3" t="s">
        <v>92</v>
      </c>
      <c r="F343" s="3">
        <v>7</v>
      </c>
      <c r="G343" s="3">
        <v>1400</v>
      </c>
      <c r="H343" s="3">
        <v>3</v>
      </c>
    </row>
    <row r="344" spans="1:8" x14ac:dyDescent="0.3">
      <c r="A344" s="3">
        <v>43688</v>
      </c>
      <c r="B344" s="3" t="s">
        <v>11</v>
      </c>
      <c r="C344" s="3" t="s">
        <v>10</v>
      </c>
      <c r="D344" s="3">
        <v>35000</v>
      </c>
      <c r="E344" s="3" t="s">
        <v>91</v>
      </c>
      <c r="F344" s="3">
        <v>173</v>
      </c>
      <c r="G344" s="3">
        <v>4900</v>
      </c>
      <c r="H344" s="3">
        <v>1</v>
      </c>
    </row>
    <row r="345" spans="1:8" x14ac:dyDescent="0.3">
      <c r="A345" s="3">
        <v>43711</v>
      </c>
      <c r="B345" s="3" t="s">
        <v>9</v>
      </c>
      <c r="C345" s="3" t="s">
        <v>10</v>
      </c>
      <c r="D345" s="3">
        <v>25000</v>
      </c>
      <c r="E345" s="3" t="s">
        <v>94</v>
      </c>
      <c r="F345" s="3">
        <v>44</v>
      </c>
      <c r="G345" s="3">
        <v>700</v>
      </c>
      <c r="H345" s="3">
        <v>4</v>
      </c>
    </row>
    <row r="346" spans="1:8" x14ac:dyDescent="0.3">
      <c r="A346" s="3">
        <v>43508</v>
      </c>
      <c r="B346" s="3" t="s">
        <v>4</v>
      </c>
      <c r="C346" s="3" t="s">
        <v>7</v>
      </c>
      <c r="D346" s="3">
        <v>18000</v>
      </c>
      <c r="E346" s="3" t="s">
        <v>92</v>
      </c>
      <c r="F346" s="3">
        <v>9</v>
      </c>
      <c r="G346" s="3">
        <v>2400</v>
      </c>
      <c r="H346" s="3">
        <v>1</v>
      </c>
    </row>
    <row r="347" spans="1:8" x14ac:dyDescent="0.3">
      <c r="A347" s="3">
        <v>43634</v>
      </c>
      <c r="B347" s="3" t="s">
        <v>4</v>
      </c>
      <c r="C347" s="3" t="s">
        <v>7</v>
      </c>
      <c r="D347" s="3">
        <v>18000</v>
      </c>
      <c r="E347" s="3" t="s">
        <v>93</v>
      </c>
      <c r="F347" s="3">
        <v>9</v>
      </c>
      <c r="G347" s="3">
        <v>2400</v>
      </c>
      <c r="H347" s="3">
        <v>8</v>
      </c>
    </row>
    <row r="348" spans="1:8" x14ac:dyDescent="0.3">
      <c r="A348" s="3">
        <v>43709</v>
      </c>
      <c r="B348" s="3" t="s">
        <v>9</v>
      </c>
      <c r="C348" s="3" t="s">
        <v>10</v>
      </c>
      <c r="D348" s="3">
        <v>25000</v>
      </c>
      <c r="E348" s="3" t="s">
        <v>94</v>
      </c>
      <c r="F348" s="3">
        <v>52</v>
      </c>
      <c r="G348" s="3">
        <v>3500</v>
      </c>
      <c r="H348" s="3">
        <v>7</v>
      </c>
    </row>
    <row r="349" spans="1:8" x14ac:dyDescent="0.3">
      <c r="A349" s="3">
        <v>43740</v>
      </c>
      <c r="B349" s="3" t="s">
        <v>8</v>
      </c>
      <c r="C349" s="3" t="s">
        <v>10</v>
      </c>
      <c r="D349" s="3">
        <v>30000</v>
      </c>
      <c r="E349" s="3" t="s">
        <v>93</v>
      </c>
      <c r="F349" s="3">
        <v>31</v>
      </c>
      <c r="G349" s="3">
        <v>1500</v>
      </c>
      <c r="H349" s="3">
        <v>3</v>
      </c>
    </row>
    <row r="350" spans="1:8" x14ac:dyDescent="0.3">
      <c r="A350" s="3">
        <v>43797</v>
      </c>
      <c r="B350" s="3" t="s">
        <v>5</v>
      </c>
      <c r="C350" s="3" t="s">
        <v>7</v>
      </c>
      <c r="D350" s="3">
        <v>15000</v>
      </c>
      <c r="E350" s="3" t="s">
        <v>93</v>
      </c>
      <c r="F350" s="3">
        <v>8</v>
      </c>
      <c r="G350" s="3">
        <v>100</v>
      </c>
      <c r="H350" s="3">
        <v>3</v>
      </c>
    </row>
    <row r="351" spans="1:8" x14ac:dyDescent="0.3">
      <c r="A351" s="3">
        <v>43783</v>
      </c>
      <c r="B351" s="3" t="s">
        <v>2</v>
      </c>
      <c r="C351" s="3" t="s">
        <v>7</v>
      </c>
      <c r="D351" s="3">
        <v>30000</v>
      </c>
      <c r="E351" s="3" t="s">
        <v>94</v>
      </c>
      <c r="F351" s="3">
        <v>6</v>
      </c>
      <c r="G351" s="3">
        <v>600</v>
      </c>
      <c r="H351" s="3">
        <v>8</v>
      </c>
    </row>
    <row r="352" spans="1:8" x14ac:dyDescent="0.3">
      <c r="A352" s="3">
        <v>43808</v>
      </c>
      <c r="B352" s="3" t="s">
        <v>12</v>
      </c>
      <c r="C352" s="3" t="s">
        <v>10</v>
      </c>
      <c r="D352" s="3">
        <v>10000</v>
      </c>
      <c r="E352" s="3" t="s">
        <v>94</v>
      </c>
      <c r="F352" s="3">
        <v>137</v>
      </c>
      <c r="G352" s="3">
        <v>1400</v>
      </c>
      <c r="H352" s="3">
        <v>5</v>
      </c>
    </row>
    <row r="353" spans="1:8" x14ac:dyDescent="0.3">
      <c r="A353" s="3">
        <v>43746</v>
      </c>
      <c r="B353" s="3" t="s">
        <v>9</v>
      </c>
      <c r="C353" s="3" t="s">
        <v>10</v>
      </c>
      <c r="D353" s="3">
        <v>25000</v>
      </c>
      <c r="E353" s="3" t="s">
        <v>92</v>
      </c>
      <c r="F353" s="3">
        <v>53</v>
      </c>
      <c r="G353" s="3">
        <v>700</v>
      </c>
      <c r="H353" s="3">
        <v>9</v>
      </c>
    </row>
    <row r="354" spans="1:8" x14ac:dyDescent="0.3">
      <c r="A354" s="3">
        <v>43814</v>
      </c>
      <c r="B354" s="3" t="s">
        <v>3</v>
      </c>
      <c r="C354" s="3" t="s">
        <v>7</v>
      </c>
      <c r="D354" s="3">
        <v>20000</v>
      </c>
      <c r="E354" s="3" t="s">
        <v>94</v>
      </c>
      <c r="F354" s="3">
        <v>5</v>
      </c>
      <c r="G354" s="3">
        <v>2700</v>
      </c>
      <c r="H354" s="3">
        <v>7</v>
      </c>
    </row>
    <row r="355" spans="1:8" x14ac:dyDescent="0.3">
      <c r="A355" s="3">
        <v>43811</v>
      </c>
      <c r="B355" s="3" t="s">
        <v>0</v>
      </c>
      <c r="C355" s="3" t="s">
        <v>7</v>
      </c>
      <c r="D355" s="3">
        <v>125000</v>
      </c>
      <c r="E355" s="3" t="s">
        <v>94</v>
      </c>
      <c r="F355" s="3">
        <v>48</v>
      </c>
      <c r="G355" s="3">
        <v>600</v>
      </c>
      <c r="H355" s="3">
        <v>1</v>
      </c>
    </row>
    <row r="356" spans="1:8" x14ac:dyDescent="0.3">
      <c r="A356" s="3">
        <v>43767</v>
      </c>
      <c r="B356" s="3" t="s">
        <v>0</v>
      </c>
      <c r="C356" s="3" t="s">
        <v>7</v>
      </c>
      <c r="D356" s="3">
        <v>125000</v>
      </c>
      <c r="E356" s="3" t="s">
        <v>94</v>
      </c>
      <c r="F356" s="3">
        <v>48</v>
      </c>
      <c r="G356" s="3">
        <v>15400</v>
      </c>
      <c r="H356" s="3">
        <v>4</v>
      </c>
    </row>
    <row r="357" spans="1:8" x14ac:dyDescent="0.3">
      <c r="A357" s="3">
        <v>43697</v>
      </c>
      <c r="B357" s="3" t="s">
        <v>9</v>
      </c>
      <c r="C357" s="3" t="s">
        <v>10</v>
      </c>
      <c r="D357" s="3">
        <v>25000</v>
      </c>
      <c r="E357" s="3" t="s">
        <v>92</v>
      </c>
      <c r="F357" s="3">
        <v>54</v>
      </c>
      <c r="G357" s="3">
        <v>500</v>
      </c>
      <c r="H357" s="3">
        <v>9</v>
      </c>
    </row>
    <row r="358" spans="1:8" x14ac:dyDescent="0.3">
      <c r="A358" s="3">
        <v>43714</v>
      </c>
      <c r="B358" s="3" t="s">
        <v>5</v>
      </c>
      <c r="C358" s="3" t="s">
        <v>7</v>
      </c>
      <c r="D358" s="3">
        <v>15000</v>
      </c>
      <c r="E358" s="3" t="s">
        <v>94</v>
      </c>
      <c r="F358" s="3">
        <v>10</v>
      </c>
      <c r="G358" s="3">
        <v>700</v>
      </c>
      <c r="H358" s="3">
        <v>4</v>
      </c>
    </row>
    <row r="359" spans="1:8" x14ac:dyDescent="0.3">
      <c r="A359" s="3">
        <v>43507</v>
      </c>
      <c r="B359" s="3" t="s">
        <v>1</v>
      </c>
      <c r="C359" s="3" t="s">
        <v>7</v>
      </c>
      <c r="D359" s="3">
        <v>40000</v>
      </c>
      <c r="E359" s="3" t="s">
        <v>93</v>
      </c>
      <c r="F359" s="3">
        <v>7</v>
      </c>
      <c r="G359" s="3">
        <v>4900</v>
      </c>
      <c r="H359" s="3">
        <v>0</v>
      </c>
    </row>
    <row r="360" spans="1:8" x14ac:dyDescent="0.3">
      <c r="A360" s="3">
        <v>43569</v>
      </c>
      <c r="B360" s="3" t="s">
        <v>0</v>
      </c>
      <c r="C360" s="3" t="s">
        <v>7</v>
      </c>
      <c r="D360" s="3">
        <v>125000</v>
      </c>
      <c r="E360" s="3" t="s">
        <v>92</v>
      </c>
      <c r="F360" s="3">
        <v>61</v>
      </c>
      <c r="G360" s="3">
        <v>11500</v>
      </c>
      <c r="H360" s="3">
        <v>1</v>
      </c>
    </row>
    <row r="361" spans="1:8" x14ac:dyDescent="0.3">
      <c r="A361" s="3">
        <v>43625</v>
      </c>
      <c r="B361" s="3" t="s">
        <v>4</v>
      </c>
      <c r="C361" s="3" t="s">
        <v>7</v>
      </c>
      <c r="D361" s="3">
        <v>18000</v>
      </c>
      <c r="E361" s="3" t="s">
        <v>93</v>
      </c>
      <c r="F361" s="3">
        <v>7</v>
      </c>
      <c r="G361" s="3">
        <v>100</v>
      </c>
      <c r="H361" s="3">
        <v>2</v>
      </c>
    </row>
    <row r="362" spans="1:8" x14ac:dyDescent="0.3">
      <c r="A362" s="3">
        <v>43524</v>
      </c>
      <c r="B362" s="3" t="s">
        <v>9</v>
      </c>
      <c r="C362" s="3" t="s">
        <v>10</v>
      </c>
      <c r="D362" s="3">
        <v>25000</v>
      </c>
      <c r="E362" s="3" t="s">
        <v>93</v>
      </c>
      <c r="F362" s="3">
        <v>53</v>
      </c>
      <c r="G362" s="3">
        <v>1800</v>
      </c>
      <c r="H362" s="3">
        <v>7</v>
      </c>
    </row>
    <row r="363" spans="1:8" x14ac:dyDescent="0.3">
      <c r="A363" s="3">
        <v>43809</v>
      </c>
      <c r="B363" s="3" t="s">
        <v>11</v>
      </c>
      <c r="C363" s="3" t="s">
        <v>10</v>
      </c>
      <c r="D363" s="3">
        <v>35000</v>
      </c>
      <c r="E363" s="3" t="s">
        <v>91</v>
      </c>
      <c r="F363" s="3">
        <v>203</v>
      </c>
      <c r="G363" s="3">
        <v>2200</v>
      </c>
      <c r="H363" s="3">
        <v>8</v>
      </c>
    </row>
    <row r="364" spans="1:8" x14ac:dyDescent="0.3">
      <c r="A364" s="3">
        <v>43636</v>
      </c>
      <c r="B364" s="3" t="s">
        <v>11</v>
      </c>
      <c r="C364" s="3" t="s">
        <v>10</v>
      </c>
      <c r="D364" s="3">
        <v>35000</v>
      </c>
      <c r="E364" s="3" t="s">
        <v>91</v>
      </c>
      <c r="F364" s="3">
        <v>164</v>
      </c>
      <c r="G364" s="3">
        <v>1000</v>
      </c>
      <c r="H364" s="3">
        <v>6</v>
      </c>
    </row>
    <row r="365" spans="1:8" x14ac:dyDescent="0.3">
      <c r="A365" s="3">
        <v>43491</v>
      </c>
      <c r="B365" s="3" t="s">
        <v>1</v>
      </c>
      <c r="C365" s="3" t="s">
        <v>7</v>
      </c>
      <c r="D365" s="3">
        <v>40000</v>
      </c>
      <c r="E365" s="3" t="s">
        <v>91</v>
      </c>
      <c r="F365" s="3">
        <v>5</v>
      </c>
      <c r="G365" s="3">
        <v>5800</v>
      </c>
      <c r="H365" s="3">
        <v>0</v>
      </c>
    </row>
    <row r="366" spans="1:8" x14ac:dyDescent="0.3">
      <c r="A366" s="3">
        <v>43599</v>
      </c>
      <c r="B366" s="3" t="s">
        <v>4</v>
      </c>
      <c r="C366" s="3" t="s">
        <v>7</v>
      </c>
      <c r="D366" s="3">
        <v>18000</v>
      </c>
      <c r="E366" s="3" t="s">
        <v>94</v>
      </c>
      <c r="F366" s="3">
        <v>8</v>
      </c>
      <c r="G366" s="3">
        <v>100</v>
      </c>
      <c r="H366" s="3">
        <v>7</v>
      </c>
    </row>
    <row r="367" spans="1:8" x14ac:dyDescent="0.3">
      <c r="A367" s="3">
        <v>43684</v>
      </c>
      <c r="B367" s="3" t="s">
        <v>3</v>
      </c>
      <c r="C367" s="3" t="s">
        <v>7</v>
      </c>
      <c r="D367" s="3">
        <v>20000</v>
      </c>
      <c r="E367" s="3" t="s">
        <v>92</v>
      </c>
      <c r="F367" s="3">
        <v>5</v>
      </c>
      <c r="G367" s="3">
        <v>800</v>
      </c>
      <c r="H367" s="3">
        <v>6</v>
      </c>
    </row>
    <row r="368" spans="1:8" x14ac:dyDescent="0.3">
      <c r="A368" s="3">
        <v>43600</v>
      </c>
      <c r="B368" s="3" t="s">
        <v>11</v>
      </c>
      <c r="C368" s="3" t="s">
        <v>10</v>
      </c>
      <c r="D368" s="3">
        <v>35000</v>
      </c>
      <c r="E368" s="3" t="s">
        <v>93</v>
      </c>
      <c r="F368" s="3">
        <v>218</v>
      </c>
      <c r="G368" s="3">
        <v>1700</v>
      </c>
      <c r="H368" s="3">
        <v>9</v>
      </c>
    </row>
    <row r="369" spans="1:8" x14ac:dyDescent="0.3">
      <c r="A369" s="3">
        <v>43750</v>
      </c>
      <c r="B369" s="3" t="s">
        <v>5</v>
      </c>
      <c r="C369" s="3" t="s">
        <v>7</v>
      </c>
      <c r="D369" s="3">
        <v>15000</v>
      </c>
      <c r="E369" s="3" t="s">
        <v>93</v>
      </c>
      <c r="F369" s="3">
        <v>8</v>
      </c>
      <c r="G369" s="3">
        <v>0</v>
      </c>
      <c r="H369" s="3">
        <v>6</v>
      </c>
    </row>
    <row r="370" spans="1:8" x14ac:dyDescent="0.3">
      <c r="A370" s="3">
        <v>43761</v>
      </c>
      <c r="B370" s="3" t="s">
        <v>1</v>
      </c>
      <c r="C370" s="3" t="s">
        <v>7</v>
      </c>
      <c r="D370" s="3">
        <v>40000</v>
      </c>
      <c r="E370" s="3" t="s">
        <v>91</v>
      </c>
      <c r="F370" s="3">
        <v>7</v>
      </c>
      <c r="G370" s="3">
        <v>3300</v>
      </c>
      <c r="H370" s="3">
        <v>6</v>
      </c>
    </row>
    <row r="371" spans="1:8" x14ac:dyDescent="0.3">
      <c r="A371" s="3">
        <v>43518</v>
      </c>
      <c r="B371" s="3" t="s">
        <v>1</v>
      </c>
      <c r="C371" s="3" t="s">
        <v>7</v>
      </c>
      <c r="D371" s="3">
        <v>40000</v>
      </c>
      <c r="E371" s="3" t="s">
        <v>94</v>
      </c>
      <c r="F371" s="3">
        <v>6</v>
      </c>
      <c r="G371" s="3">
        <v>3400</v>
      </c>
      <c r="H371" s="3">
        <v>7</v>
      </c>
    </row>
    <row r="372" spans="1:8" x14ac:dyDescent="0.3">
      <c r="A372" s="3">
        <v>43608</v>
      </c>
      <c r="B372" s="3" t="s">
        <v>2</v>
      </c>
      <c r="C372" s="3" t="s">
        <v>7</v>
      </c>
      <c r="D372" s="3">
        <v>30000</v>
      </c>
      <c r="E372" s="3" t="s">
        <v>94</v>
      </c>
      <c r="F372" s="3">
        <v>5</v>
      </c>
      <c r="G372" s="3">
        <v>1000</v>
      </c>
      <c r="H372" s="3">
        <v>9</v>
      </c>
    </row>
    <row r="373" spans="1:8" x14ac:dyDescent="0.3">
      <c r="A373" s="3">
        <v>43500</v>
      </c>
      <c r="B373" s="3" t="s">
        <v>9</v>
      </c>
      <c r="C373" s="3" t="s">
        <v>10</v>
      </c>
      <c r="D373" s="3">
        <v>25000</v>
      </c>
      <c r="E373" s="3" t="s">
        <v>94</v>
      </c>
      <c r="F373" s="3">
        <v>48</v>
      </c>
      <c r="G373" s="3">
        <v>1600</v>
      </c>
      <c r="H373" s="3">
        <v>6</v>
      </c>
    </row>
    <row r="374" spans="1:8" x14ac:dyDescent="0.3">
      <c r="A374" s="3">
        <v>43528</v>
      </c>
      <c r="B374" s="3" t="s">
        <v>9</v>
      </c>
      <c r="C374" s="3" t="s">
        <v>10</v>
      </c>
      <c r="D374" s="3">
        <v>25000</v>
      </c>
      <c r="E374" s="3" t="s">
        <v>92</v>
      </c>
      <c r="F374" s="3">
        <v>41</v>
      </c>
      <c r="G374" s="3">
        <v>900</v>
      </c>
      <c r="H374" s="3">
        <v>2</v>
      </c>
    </row>
    <row r="375" spans="1:8" x14ac:dyDescent="0.3">
      <c r="A375" s="3">
        <v>43549</v>
      </c>
      <c r="B375" s="3" t="s">
        <v>4</v>
      </c>
      <c r="C375" s="3" t="s">
        <v>7</v>
      </c>
      <c r="D375" s="3">
        <v>18000</v>
      </c>
      <c r="E375" s="3" t="s">
        <v>92</v>
      </c>
      <c r="F375" s="3">
        <v>9</v>
      </c>
      <c r="G375" s="3">
        <v>600</v>
      </c>
      <c r="H375" s="3">
        <v>2</v>
      </c>
    </row>
    <row r="376" spans="1:8" x14ac:dyDescent="0.3">
      <c r="A376" s="3">
        <v>43802</v>
      </c>
      <c r="B376" s="3" t="s">
        <v>5</v>
      </c>
      <c r="C376" s="3" t="s">
        <v>7</v>
      </c>
      <c r="D376" s="3">
        <v>15000</v>
      </c>
      <c r="E376" s="3" t="s">
        <v>91</v>
      </c>
      <c r="F376" s="3">
        <v>9</v>
      </c>
      <c r="G376" s="3">
        <v>500</v>
      </c>
      <c r="H376" s="3">
        <v>8</v>
      </c>
    </row>
    <row r="377" spans="1:8" x14ac:dyDescent="0.3">
      <c r="A377" s="3">
        <v>43554</v>
      </c>
      <c r="B377" s="3" t="s">
        <v>8</v>
      </c>
      <c r="C377" s="3" t="s">
        <v>10</v>
      </c>
      <c r="D377" s="3">
        <v>30000</v>
      </c>
      <c r="E377" s="3" t="s">
        <v>93</v>
      </c>
      <c r="F377" s="3">
        <v>35</v>
      </c>
      <c r="G377" s="3">
        <v>4100</v>
      </c>
      <c r="H377" s="3">
        <v>5</v>
      </c>
    </row>
    <row r="378" spans="1:8" x14ac:dyDescent="0.3">
      <c r="A378" s="3">
        <v>43486</v>
      </c>
      <c r="B378" s="3" t="s">
        <v>5</v>
      </c>
      <c r="C378" s="3" t="s">
        <v>7</v>
      </c>
      <c r="D378" s="3">
        <v>15000</v>
      </c>
      <c r="E378" s="3" t="s">
        <v>94</v>
      </c>
      <c r="F378" s="3">
        <v>8</v>
      </c>
      <c r="G378" s="3">
        <v>1900</v>
      </c>
      <c r="H378" s="3">
        <v>9</v>
      </c>
    </row>
    <row r="379" spans="1:8" x14ac:dyDescent="0.3">
      <c r="A379" s="3">
        <v>43480</v>
      </c>
      <c r="B379" s="3" t="s">
        <v>11</v>
      </c>
      <c r="C379" s="3" t="s">
        <v>10</v>
      </c>
      <c r="D379" s="3">
        <v>35000</v>
      </c>
      <c r="E379" s="3" t="s">
        <v>94</v>
      </c>
      <c r="F379" s="3">
        <v>201</v>
      </c>
      <c r="G379" s="3">
        <v>5200</v>
      </c>
      <c r="H379" s="3">
        <v>4</v>
      </c>
    </row>
    <row r="380" spans="1:8" x14ac:dyDescent="0.3">
      <c r="A380" s="3">
        <v>43664</v>
      </c>
      <c r="B380" s="3" t="s">
        <v>3</v>
      </c>
      <c r="C380" s="3" t="s">
        <v>7</v>
      </c>
      <c r="D380" s="3">
        <v>20000</v>
      </c>
      <c r="E380" s="3" t="s">
        <v>93</v>
      </c>
      <c r="F380" s="3">
        <v>6</v>
      </c>
      <c r="G380" s="3">
        <v>2900</v>
      </c>
      <c r="H380" s="3">
        <v>1</v>
      </c>
    </row>
    <row r="381" spans="1:8" x14ac:dyDescent="0.3">
      <c r="A381" s="3">
        <v>43725</v>
      </c>
      <c r="B381" s="3" t="s">
        <v>5</v>
      </c>
      <c r="C381" s="3" t="s">
        <v>7</v>
      </c>
      <c r="D381" s="3">
        <v>15000</v>
      </c>
      <c r="E381" s="3" t="s">
        <v>92</v>
      </c>
      <c r="F381" s="3">
        <v>9</v>
      </c>
      <c r="G381" s="3">
        <v>400</v>
      </c>
      <c r="H381" s="3">
        <v>0</v>
      </c>
    </row>
    <row r="382" spans="1:8" x14ac:dyDescent="0.3">
      <c r="A382" s="3">
        <v>43828</v>
      </c>
      <c r="B382" s="3" t="s">
        <v>9</v>
      </c>
      <c r="C382" s="3" t="s">
        <v>10</v>
      </c>
      <c r="D382" s="3">
        <v>25000</v>
      </c>
      <c r="E382" s="3" t="s">
        <v>91</v>
      </c>
      <c r="F382" s="3">
        <v>51</v>
      </c>
      <c r="G382" s="3">
        <v>800</v>
      </c>
      <c r="H382" s="3">
        <v>9</v>
      </c>
    </row>
    <row r="383" spans="1:8" x14ac:dyDescent="0.3">
      <c r="A383" s="3">
        <v>43477</v>
      </c>
      <c r="B383" s="3" t="s">
        <v>2</v>
      </c>
      <c r="C383" s="3" t="s">
        <v>7</v>
      </c>
      <c r="D383" s="3">
        <v>30000</v>
      </c>
      <c r="E383" s="3" t="s">
        <v>93</v>
      </c>
      <c r="F383" s="3">
        <v>5</v>
      </c>
      <c r="G383" s="3">
        <v>1400</v>
      </c>
      <c r="H383" s="3">
        <v>6</v>
      </c>
    </row>
    <row r="384" spans="1:8" x14ac:dyDescent="0.3">
      <c r="A384" s="3">
        <v>43476</v>
      </c>
      <c r="B384" s="3" t="s">
        <v>8</v>
      </c>
      <c r="C384" s="3" t="s">
        <v>10</v>
      </c>
      <c r="D384" s="3">
        <v>30000</v>
      </c>
      <c r="E384" s="3" t="s">
        <v>91</v>
      </c>
      <c r="F384" s="3">
        <v>38</v>
      </c>
      <c r="G384" s="3">
        <v>1000</v>
      </c>
      <c r="H384" s="3">
        <v>3</v>
      </c>
    </row>
    <row r="385" spans="1:8" x14ac:dyDescent="0.3">
      <c r="A385" s="3">
        <v>43601</v>
      </c>
      <c r="B385" s="3" t="s">
        <v>11</v>
      </c>
      <c r="C385" s="3" t="s">
        <v>10</v>
      </c>
      <c r="D385" s="3">
        <v>35000</v>
      </c>
      <c r="E385" s="3" t="s">
        <v>94</v>
      </c>
      <c r="F385" s="3">
        <v>164</v>
      </c>
      <c r="G385" s="3">
        <v>4000</v>
      </c>
      <c r="H385" s="3">
        <v>8</v>
      </c>
    </row>
    <row r="386" spans="1:8" x14ac:dyDescent="0.3">
      <c r="A386" s="3">
        <v>43634</v>
      </c>
      <c r="B386" s="3" t="s">
        <v>9</v>
      </c>
      <c r="C386" s="3" t="s">
        <v>10</v>
      </c>
      <c r="D386" s="3">
        <v>25000</v>
      </c>
      <c r="E386" s="3" t="s">
        <v>93</v>
      </c>
      <c r="F386" s="3">
        <v>53</v>
      </c>
      <c r="G386" s="3">
        <v>3300</v>
      </c>
      <c r="H386" s="3">
        <v>5</v>
      </c>
    </row>
    <row r="387" spans="1:8" x14ac:dyDescent="0.3">
      <c r="A387" s="3">
        <v>43560</v>
      </c>
      <c r="B387" s="3" t="s">
        <v>5</v>
      </c>
      <c r="C387" s="3" t="s">
        <v>7</v>
      </c>
      <c r="D387" s="3">
        <v>15000</v>
      </c>
      <c r="E387" s="3" t="s">
        <v>91</v>
      </c>
      <c r="F387" s="3">
        <v>9</v>
      </c>
      <c r="G387" s="3">
        <v>0</v>
      </c>
      <c r="H387" s="3">
        <v>1</v>
      </c>
    </row>
    <row r="388" spans="1:8" x14ac:dyDescent="0.3">
      <c r="A388" s="3">
        <v>43772</v>
      </c>
      <c r="B388" s="3" t="s">
        <v>6</v>
      </c>
      <c r="C388" s="3" t="s">
        <v>7</v>
      </c>
      <c r="D388" s="3">
        <v>13000</v>
      </c>
      <c r="E388" s="3" t="s">
        <v>93</v>
      </c>
      <c r="F388" s="3">
        <v>8</v>
      </c>
      <c r="G388" s="3">
        <v>300</v>
      </c>
      <c r="H388" s="3">
        <v>0</v>
      </c>
    </row>
    <row r="389" spans="1:8" x14ac:dyDescent="0.3">
      <c r="A389" s="3">
        <v>43479</v>
      </c>
      <c r="B389" s="3" t="s">
        <v>9</v>
      </c>
      <c r="C389" s="3" t="s">
        <v>10</v>
      </c>
      <c r="D389" s="3">
        <v>25000</v>
      </c>
      <c r="E389" s="3" t="s">
        <v>93</v>
      </c>
      <c r="F389" s="3">
        <v>51</v>
      </c>
      <c r="G389" s="3">
        <v>3000</v>
      </c>
      <c r="H389" s="3">
        <v>7</v>
      </c>
    </row>
    <row r="390" spans="1:8" x14ac:dyDescent="0.3">
      <c r="A390" s="3">
        <v>43817</v>
      </c>
      <c r="B390" s="3" t="s">
        <v>3</v>
      </c>
      <c r="C390" s="3" t="s">
        <v>7</v>
      </c>
      <c r="D390" s="3">
        <v>20000</v>
      </c>
      <c r="E390" s="3" t="s">
        <v>94</v>
      </c>
      <c r="F390" s="3">
        <v>7</v>
      </c>
      <c r="G390" s="3">
        <v>2900</v>
      </c>
      <c r="H390" s="3">
        <v>6</v>
      </c>
    </row>
    <row r="391" spans="1:8" x14ac:dyDescent="0.3">
      <c r="A391" s="3">
        <v>43694</v>
      </c>
      <c r="B391" s="3" t="s">
        <v>4</v>
      </c>
      <c r="C391" s="3" t="s">
        <v>7</v>
      </c>
      <c r="D391" s="3">
        <v>18000</v>
      </c>
      <c r="E391" s="3" t="s">
        <v>91</v>
      </c>
      <c r="F391" s="3">
        <v>7</v>
      </c>
      <c r="G391" s="3">
        <v>1800</v>
      </c>
      <c r="H391" s="3">
        <v>5</v>
      </c>
    </row>
    <row r="392" spans="1:8" x14ac:dyDescent="0.3">
      <c r="A392" s="3">
        <v>43587</v>
      </c>
      <c r="B392" s="3" t="s">
        <v>0</v>
      </c>
      <c r="C392" s="3" t="s">
        <v>7</v>
      </c>
      <c r="D392" s="3">
        <v>125000</v>
      </c>
      <c r="E392" s="3" t="s">
        <v>91</v>
      </c>
      <c r="F392" s="3">
        <v>48</v>
      </c>
      <c r="G392" s="3">
        <v>5100</v>
      </c>
      <c r="H392" s="3">
        <v>6</v>
      </c>
    </row>
    <row r="393" spans="1:8" x14ac:dyDescent="0.3">
      <c r="A393" s="3">
        <v>43711</v>
      </c>
      <c r="B393" s="3" t="s">
        <v>0</v>
      </c>
      <c r="C393" s="3" t="s">
        <v>7</v>
      </c>
      <c r="D393" s="3">
        <v>125000</v>
      </c>
      <c r="E393" s="3" t="s">
        <v>93</v>
      </c>
      <c r="F393" s="3">
        <v>61</v>
      </c>
      <c r="G393" s="3">
        <v>9400</v>
      </c>
      <c r="H393" s="3">
        <v>8</v>
      </c>
    </row>
    <row r="394" spans="1:8" x14ac:dyDescent="0.3">
      <c r="A394" s="3">
        <v>43813</v>
      </c>
      <c r="B394" s="3" t="s">
        <v>2</v>
      </c>
      <c r="C394" s="3" t="s">
        <v>7</v>
      </c>
      <c r="D394" s="3">
        <v>30000</v>
      </c>
      <c r="E394" s="3" t="s">
        <v>91</v>
      </c>
      <c r="F394" s="3">
        <v>6</v>
      </c>
      <c r="G394" s="3">
        <v>2200</v>
      </c>
      <c r="H394" s="3">
        <v>9</v>
      </c>
    </row>
    <row r="395" spans="1:8" x14ac:dyDescent="0.3">
      <c r="A395" s="3">
        <v>43562</v>
      </c>
      <c r="B395" s="3" t="s">
        <v>5</v>
      </c>
      <c r="C395" s="3" t="s">
        <v>7</v>
      </c>
      <c r="D395" s="3">
        <v>15000</v>
      </c>
      <c r="E395" s="3" t="s">
        <v>92</v>
      </c>
      <c r="F395" s="3">
        <v>9</v>
      </c>
      <c r="G395" s="3">
        <v>1600</v>
      </c>
      <c r="H395" s="3">
        <v>3</v>
      </c>
    </row>
    <row r="396" spans="1:8" x14ac:dyDescent="0.3">
      <c r="A396" s="3">
        <v>43547</v>
      </c>
      <c r="B396" s="3" t="s">
        <v>12</v>
      </c>
      <c r="C396" s="3" t="s">
        <v>10</v>
      </c>
      <c r="D396" s="3">
        <v>10000</v>
      </c>
      <c r="E396" s="3" t="s">
        <v>92</v>
      </c>
      <c r="F396" s="3">
        <v>158</v>
      </c>
      <c r="G396" s="3">
        <v>1100</v>
      </c>
      <c r="H396" s="3">
        <v>8</v>
      </c>
    </row>
    <row r="397" spans="1:8" x14ac:dyDescent="0.3">
      <c r="A397" s="3">
        <v>43632</v>
      </c>
      <c r="B397" s="3" t="s">
        <v>0</v>
      </c>
      <c r="C397" s="3" t="s">
        <v>7</v>
      </c>
      <c r="D397" s="3">
        <v>125000</v>
      </c>
      <c r="E397" s="3" t="s">
        <v>93</v>
      </c>
      <c r="F397" s="3">
        <v>54</v>
      </c>
      <c r="G397" s="3">
        <v>10600</v>
      </c>
      <c r="H397" s="3">
        <v>6</v>
      </c>
    </row>
    <row r="398" spans="1:8" x14ac:dyDescent="0.3">
      <c r="A398" s="3">
        <v>43679</v>
      </c>
      <c r="B398" s="3" t="s">
        <v>4</v>
      </c>
      <c r="C398" s="3" t="s">
        <v>7</v>
      </c>
      <c r="D398" s="3">
        <v>18000</v>
      </c>
      <c r="E398" s="3" t="s">
        <v>94</v>
      </c>
      <c r="F398" s="3">
        <v>8</v>
      </c>
      <c r="G398" s="3">
        <v>1100</v>
      </c>
      <c r="H398" s="3">
        <v>1</v>
      </c>
    </row>
    <row r="399" spans="1:8" x14ac:dyDescent="0.3">
      <c r="A399" s="3">
        <v>43659</v>
      </c>
      <c r="B399" s="3" t="s">
        <v>0</v>
      </c>
      <c r="C399" s="3" t="s">
        <v>7</v>
      </c>
      <c r="D399" s="3">
        <v>125000</v>
      </c>
      <c r="E399" s="3" t="s">
        <v>92</v>
      </c>
      <c r="F399" s="3">
        <v>56</v>
      </c>
      <c r="G399" s="3">
        <v>16000</v>
      </c>
      <c r="H399" s="3">
        <v>1</v>
      </c>
    </row>
    <row r="400" spans="1:8" x14ac:dyDescent="0.3">
      <c r="A400" s="3">
        <v>43466</v>
      </c>
      <c r="B400" s="3" t="s">
        <v>2</v>
      </c>
      <c r="C400" s="3" t="s">
        <v>7</v>
      </c>
      <c r="D400" s="3">
        <v>30000</v>
      </c>
      <c r="E400" s="3" t="s">
        <v>93</v>
      </c>
      <c r="F400" s="3">
        <v>5</v>
      </c>
      <c r="G400" s="3">
        <v>100</v>
      </c>
      <c r="H400" s="3">
        <v>0</v>
      </c>
    </row>
    <row r="401" spans="1:8" x14ac:dyDescent="0.3">
      <c r="A401" s="3">
        <v>43818</v>
      </c>
      <c r="B401" s="3" t="s">
        <v>0</v>
      </c>
      <c r="C401" s="3" t="s">
        <v>7</v>
      </c>
      <c r="D401" s="3">
        <v>125000</v>
      </c>
      <c r="E401" s="3" t="s">
        <v>94</v>
      </c>
      <c r="F401" s="3">
        <v>49</v>
      </c>
      <c r="G401" s="3">
        <v>1100</v>
      </c>
      <c r="H401" s="3">
        <v>8</v>
      </c>
    </row>
    <row r="402" spans="1:8" x14ac:dyDescent="0.3">
      <c r="A402" s="3">
        <v>43525</v>
      </c>
      <c r="B402" s="3" t="s">
        <v>12</v>
      </c>
      <c r="C402" s="3" t="s">
        <v>10</v>
      </c>
      <c r="D402" s="3">
        <v>10000</v>
      </c>
      <c r="E402" s="3" t="s">
        <v>93</v>
      </c>
      <c r="F402" s="3">
        <v>141</v>
      </c>
      <c r="G402" s="3">
        <v>200</v>
      </c>
      <c r="H402" s="3">
        <v>6</v>
      </c>
    </row>
    <row r="403" spans="1:8" x14ac:dyDescent="0.3">
      <c r="A403" s="3">
        <v>43667</v>
      </c>
      <c r="B403" s="3" t="s">
        <v>8</v>
      </c>
      <c r="C403" s="3" t="s">
        <v>10</v>
      </c>
      <c r="D403" s="3">
        <v>30000</v>
      </c>
      <c r="E403" s="3" t="s">
        <v>93</v>
      </c>
      <c r="F403" s="3">
        <v>34</v>
      </c>
      <c r="G403" s="3">
        <v>2200</v>
      </c>
      <c r="H403" s="3">
        <v>10</v>
      </c>
    </row>
    <row r="404" spans="1:8" x14ac:dyDescent="0.3">
      <c r="A404" s="3">
        <v>43545</v>
      </c>
      <c r="B404" s="3" t="s">
        <v>0</v>
      </c>
      <c r="C404" s="3" t="s">
        <v>7</v>
      </c>
      <c r="D404" s="3">
        <v>125000</v>
      </c>
      <c r="E404" s="3" t="s">
        <v>91</v>
      </c>
      <c r="F404" s="3">
        <v>57</v>
      </c>
      <c r="G404" s="3">
        <v>11800</v>
      </c>
      <c r="H404" s="3">
        <v>4</v>
      </c>
    </row>
    <row r="405" spans="1:8" x14ac:dyDescent="0.3">
      <c r="A405" s="3">
        <v>43721</v>
      </c>
      <c r="B405" s="3" t="s">
        <v>6</v>
      </c>
      <c r="C405" s="3" t="s">
        <v>7</v>
      </c>
      <c r="D405" s="3">
        <v>13000</v>
      </c>
      <c r="E405" s="3" t="s">
        <v>94</v>
      </c>
      <c r="F405" s="3">
        <v>8</v>
      </c>
      <c r="G405" s="3">
        <v>1800</v>
      </c>
      <c r="H405" s="3">
        <v>7</v>
      </c>
    </row>
    <row r="406" spans="1:8" x14ac:dyDescent="0.3">
      <c r="A406" s="3">
        <v>43585</v>
      </c>
      <c r="B406" s="3" t="s">
        <v>12</v>
      </c>
      <c r="C406" s="3" t="s">
        <v>10</v>
      </c>
      <c r="D406" s="3">
        <v>10000</v>
      </c>
      <c r="E406" s="3" t="s">
        <v>93</v>
      </c>
      <c r="F406" s="3">
        <v>166</v>
      </c>
      <c r="G406" s="3">
        <v>900</v>
      </c>
      <c r="H406" s="3">
        <v>7</v>
      </c>
    </row>
    <row r="407" spans="1:8" x14ac:dyDescent="0.3">
      <c r="A407" s="3">
        <v>43825</v>
      </c>
      <c r="B407" s="3" t="s">
        <v>8</v>
      </c>
      <c r="C407" s="3" t="s">
        <v>10</v>
      </c>
      <c r="D407" s="3">
        <v>30000</v>
      </c>
      <c r="E407" s="3" t="s">
        <v>91</v>
      </c>
      <c r="F407" s="3">
        <v>35</v>
      </c>
      <c r="G407" s="3">
        <v>1300</v>
      </c>
      <c r="H407" s="3">
        <v>1</v>
      </c>
    </row>
    <row r="408" spans="1:8" x14ac:dyDescent="0.3">
      <c r="A408" s="3">
        <v>43492</v>
      </c>
      <c r="B408" s="3" t="s">
        <v>11</v>
      </c>
      <c r="C408" s="3" t="s">
        <v>10</v>
      </c>
      <c r="D408" s="3">
        <v>35000</v>
      </c>
      <c r="E408" s="3" t="s">
        <v>94</v>
      </c>
      <c r="F408" s="3">
        <v>179</v>
      </c>
      <c r="G408" s="3">
        <v>600</v>
      </c>
      <c r="H408" s="3">
        <v>5</v>
      </c>
    </row>
    <row r="409" spans="1:8" x14ac:dyDescent="0.3">
      <c r="A409" s="3">
        <v>43568</v>
      </c>
      <c r="B409" s="3" t="s">
        <v>1</v>
      </c>
      <c r="C409" s="3" t="s">
        <v>7</v>
      </c>
      <c r="D409" s="3">
        <v>40000</v>
      </c>
      <c r="E409" s="3" t="s">
        <v>91</v>
      </c>
      <c r="F409" s="3">
        <v>6</v>
      </c>
      <c r="G409" s="3">
        <v>3400</v>
      </c>
      <c r="H409" s="3">
        <v>0</v>
      </c>
    </row>
    <row r="410" spans="1:8" x14ac:dyDescent="0.3">
      <c r="A410" s="3">
        <v>43484</v>
      </c>
      <c r="B410" s="3" t="s">
        <v>5</v>
      </c>
      <c r="C410" s="3" t="s">
        <v>7</v>
      </c>
      <c r="D410" s="3">
        <v>15000</v>
      </c>
      <c r="E410" s="3" t="s">
        <v>91</v>
      </c>
      <c r="F410" s="3">
        <v>7</v>
      </c>
      <c r="G410" s="3">
        <v>700</v>
      </c>
      <c r="H410" s="3">
        <v>0</v>
      </c>
    </row>
    <row r="411" spans="1:8" x14ac:dyDescent="0.3">
      <c r="A411" s="3">
        <v>43671</v>
      </c>
      <c r="B411" s="3" t="s">
        <v>5</v>
      </c>
      <c r="C411" s="3" t="s">
        <v>7</v>
      </c>
      <c r="D411" s="3">
        <v>15000</v>
      </c>
      <c r="E411" s="3" t="s">
        <v>94</v>
      </c>
      <c r="F411" s="3">
        <v>9</v>
      </c>
      <c r="G411" s="3">
        <v>400</v>
      </c>
      <c r="H411" s="3">
        <v>7</v>
      </c>
    </row>
    <row r="412" spans="1:8" x14ac:dyDescent="0.3">
      <c r="A412" s="3">
        <v>43575</v>
      </c>
      <c r="B412" s="3" t="s">
        <v>12</v>
      </c>
      <c r="C412" s="3" t="s">
        <v>10</v>
      </c>
      <c r="D412" s="3">
        <v>10000</v>
      </c>
      <c r="E412" s="3" t="s">
        <v>93</v>
      </c>
      <c r="F412" s="3">
        <v>149</v>
      </c>
      <c r="G412" s="3">
        <v>1000</v>
      </c>
      <c r="H412" s="3">
        <v>2</v>
      </c>
    </row>
    <row r="413" spans="1:8" x14ac:dyDescent="0.3">
      <c r="A413" s="3">
        <v>43614</v>
      </c>
      <c r="B413" s="3" t="s">
        <v>8</v>
      </c>
      <c r="C413" s="3" t="s">
        <v>10</v>
      </c>
      <c r="D413" s="3">
        <v>30000</v>
      </c>
      <c r="E413" s="3" t="s">
        <v>93</v>
      </c>
      <c r="F413" s="3">
        <v>38</v>
      </c>
      <c r="G413" s="3">
        <v>3400</v>
      </c>
      <c r="H413" s="3">
        <v>7</v>
      </c>
    </row>
    <row r="414" spans="1:8" x14ac:dyDescent="0.3">
      <c r="A414" s="3">
        <v>43508</v>
      </c>
      <c r="B414" s="3" t="s">
        <v>6</v>
      </c>
      <c r="C414" s="3" t="s">
        <v>7</v>
      </c>
      <c r="D414" s="3">
        <v>13000</v>
      </c>
      <c r="E414" s="3" t="s">
        <v>91</v>
      </c>
      <c r="F414" s="3">
        <v>9</v>
      </c>
      <c r="G414" s="3">
        <v>500</v>
      </c>
      <c r="H414" s="3">
        <v>3</v>
      </c>
    </row>
    <row r="415" spans="1:8" x14ac:dyDescent="0.3">
      <c r="A415" s="3">
        <v>43717</v>
      </c>
      <c r="B415" s="3" t="s">
        <v>2</v>
      </c>
      <c r="C415" s="3" t="s">
        <v>7</v>
      </c>
      <c r="D415" s="3">
        <v>30000</v>
      </c>
      <c r="E415" s="3" t="s">
        <v>91</v>
      </c>
      <c r="F415" s="3">
        <v>7</v>
      </c>
      <c r="G415" s="3">
        <v>600</v>
      </c>
      <c r="H415" s="3">
        <v>8</v>
      </c>
    </row>
    <row r="416" spans="1:8" x14ac:dyDescent="0.3">
      <c r="A416" s="3">
        <v>43556</v>
      </c>
      <c r="B416" s="3" t="s">
        <v>11</v>
      </c>
      <c r="C416" s="3" t="s">
        <v>10</v>
      </c>
      <c r="D416" s="3">
        <v>35000</v>
      </c>
      <c r="E416" s="3" t="s">
        <v>93</v>
      </c>
      <c r="F416" s="3">
        <v>160</v>
      </c>
      <c r="G416" s="3">
        <v>3500</v>
      </c>
      <c r="H416" s="3">
        <v>7</v>
      </c>
    </row>
    <row r="417" spans="1:8" x14ac:dyDescent="0.3">
      <c r="A417" s="3">
        <v>43789</v>
      </c>
      <c r="B417" s="3" t="s">
        <v>11</v>
      </c>
      <c r="C417" s="3" t="s">
        <v>10</v>
      </c>
      <c r="D417" s="3">
        <v>35000</v>
      </c>
      <c r="E417" s="3" t="s">
        <v>91</v>
      </c>
      <c r="F417" s="3">
        <v>190</v>
      </c>
      <c r="G417" s="3">
        <v>1500</v>
      </c>
      <c r="H417" s="3">
        <v>8</v>
      </c>
    </row>
    <row r="418" spans="1:8" x14ac:dyDescent="0.3">
      <c r="A418" s="3">
        <v>43795</v>
      </c>
      <c r="B418" s="3" t="s">
        <v>6</v>
      </c>
      <c r="C418" s="3" t="s">
        <v>7</v>
      </c>
      <c r="D418" s="3">
        <v>13000</v>
      </c>
      <c r="E418" s="3" t="s">
        <v>94</v>
      </c>
      <c r="F418" s="3">
        <v>7</v>
      </c>
      <c r="G418" s="3">
        <v>0</v>
      </c>
      <c r="H418" s="3">
        <v>0</v>
      </c>
    </row>
    <row r="419" spans="1:8" x14ac:dyDescent="0.3">
      <c r="A419" s="3">
        <v>43500</v>
      </c>
      <c r="B419" s="3" t="s">
        <v>0</v>
      </c>
      <c r="C419" s="3" t="s">
        <v>7</v>
      </c>
      <c r="D419" s="3">
        <v>125000</v>
      </c>
      <c r="E419" s="3" t="s">
        <v>93</v>
      </c>
      <c r="F419" s="3">
        <v>58</v>
      </c>
      <c r="G419" s="3">
        <v>800</v>
      </c>
      <c r="H419" s="3">
        <v>2</v>
      </c>
    </row>
    <row r="420" spans="1:8" x14ac:dyDescent="0.3">
      <c r="A420" s="3">
        <v>43486</v>
      </c>
      <c r="B420" s="3" t="s">
        <v>1</v>
      </c>
      <c r="C420" s="3" t="s">
        <v>7</v>
      </c>
      <c r="D420" s="3">
        <v>40000</v>
      </c>
      <c r="E420" s="3" t="s">
        <v>91</v>
      </c>
      <c r="F420" s="3">
        <v>6</v>
      </c>
      <c r="G420" s="3">
        <v>5300</v>
      </c>
      <c r="H420" s="3">
        <v>7</v>
      </c>
    </row>
    <row r="421" spans="1:8" x14ac:dyDescent="0.3">
      <c r="A421" s="3">
        <v>43745</v>
      </c>
      <c r="B421" s="3" t="s">
        <v>6</v>
      </c>
      <c r="C421" s="3" t="s">
        <v>7</v>
      </c>
      <c r="D421" s="3">
        <v>13000</v>
      </c>
      <c r="E421" s="3" t="s">
        <v>93</v>
      </c>
      <c r="F421" s="3">
        <v>10</v>
      </c>
      <c r="G421" s="3">
        <v>100</v>
      </c>
      <c r="H421" s="3">
        <v>1</v>
      </c>
    </row>
    <row r="422" spans="1:8" x14ac:dyDescent="0.3">
      <c r="A422" s="3">
        <v>43505</v>
      </c>
      <c r="B422" s="3" t="s">
        <v>12</v>
      </c>
      <c r="C422" s="3" t="s">
        <v>10</v>
      </c>
      <c r="D422" s="3">
        <v>10000</v>
      </c>
      <c r="E422" s="3" t="s">
        <v>92</v>
      </c>
      <c r="F422" s="3">
        <v>147</v>
      </c>
      <c r="G422" s="3">
        <v>300</v>
      </c>
      <c r="H422" s="3">
        <v>8</v>
      </c>
    </row>
    <row r="423" spans="1:8" x14ac:dyDescent="0.3">
      <c r="A423" s="3">
        <v>43699</v>
      </c>
      <c r="B423" s="3" t="s">
        <v>12</v>
      </c>
      <c r="C423" s="3" t="s">
        <v>10</v>
      </c>
      <c r="D423" s="3">
        <v>10000</v>
      </c>
      <c r="E423" s="3" t="s">
        <v>92</v>
      </c>
      <c r="F423" s="3">
        <v>146</v>
      </c>
      <c r="G423" s="3">
        <v>100</v>
      </c>
      <c r="H423" s="3">
        <v>10</v>
      </c>
    </row>
    <row r="424" spans="1:8" x14ac:dyDescent="0.3">
      <c r="A424" s="3">
        <v>43651</v>
      </c>
      <c r="B424" s="3" t="s">
        <v>1</v>
      </c>
      <c r="C424" s="3" t="s">
        <v>7</v>
      </c>
      <c r="D424" s="3">
        <v>40000</v>
      </c>
      <c r="E424" s="3" t="s">
        <v>91</v>
      </c>
      <c r="F424" s="3">
        <v>6</v>
      </c>
      <c r="G424" s="3">
        <v>3800</v>
      </c>
      <c r="H424" s="3">
        <v>3</v>
      </c>
    </row>
    <row r="425" spans="1:8" x14ac:dyDescent="0.3">
      <c r="A425" s="3">
        <v>43662</v>
      </c>
      <c r="B425" s="3" t="s">
        <v>6</v>
      </c>
      <c r="C425" s="3" t="s">
        <v>7</v>
      </c>
      <c r="D425" s="3">
        <v>13000</v>
      </c>
      <c r="E425" s="3" t="s">
        <v>91</v>
      </c>
      <c r="F425" s="3">
        <v>10</v>
      </c>
      <c r="G425" s="3">
        <v>800</v>
      </c>
      <c r="H425" s="3">
        <v>1</v>
      </c>
    </row>
    <row r="426" spans="1:8" x14ac:dyDescent="0.3">
      <c r="A426" s="3">
        <v>43744</v>
      </c>
      <c r="B426" s="3" t="s">
        <v>3</v>
      </c>
      <c r="C426" s="3" t="s">
        <v>7</v>
      </c>
      <c r="D426" s="3">
        <v>20000</v>
      </c>
      <c r="E426" s="3" t="s">
        <v>93</v>
      </c>
      <c r="F426" s="3">
        <v>6</v>
      </c>
      <c r="G426" s="3">
        <v>1900</v>
      </c>
      <c r="H426" s="3">
        <v>10</v>
      </c>
    </row>
    <row r="427" spans="1:8" x14ac:dyDescent="0.3">
      <c r="A427" s="3">
        <v>43728</v>
      </c>
      <c r="B427" s="3" t="s">
        <v>4</v>
      </c>
      <c r="C427" s="3" t="s">
        <v>7</v>
      </c>
      <c r="D427" s="3">
        <v>18000</v>
      </c>
      <c r="E427" s="3" t="s">
        <v>91</v>
      </c>
      <c r="F427" s="3">
        <v>9</v>
      </c>
      <c r="G427" s="3">
        <v>1500</v>
      </c>
      <c r="H427" s="3">
        <v>0</v>
      </c>
    </row>
    <row r="428" spans="1:8" x14ac:dyDescent="0.3">
      <c r="A428" s="3">
        <v>43557</v>
      </c>
      <c r="B428" s="3" t="s">
        <v>9</v>
      </c>
      <c r="C428" s="3" t="s">
        <v>10</v>
      </c>
      <c r="D428" s="3">
        <v>25000</v>
      </c>
      <c r="E428" s="3" t="s">
        <v>94</v>
      </c>
      <c r="F428" s="3">
        <v>47</v>
      </c>
      <c r="G428" s="3">
        <v>500</v>
      </c>
      <c r="H428" s="3">
        <v>4</v>
      </c>
    </row>
    <row r="429" spans="1:8" x14ac:dyDescent="0.3">
      <c r="A429" s="3">
        <v>43656</v>
      </c>
      <c r="B429" s="3" t="s">
        <v>2</v>
      </c>
      <c r="C429" s="3" t="s">
        <v>7</v>
      </c>
      <c r="D429" s="3">
        <v>30000</v>
      </c>
      <c r="E429" s="3" t="s">
        <v>94</v>
      </c>
      <c r="F429" s="3">
        <v>5</v>
      </c>
      <c r="G429" s="3">
        <v>3900</v>
      </c>
      <c r="H429" s="3">
        <v>10</v>
      </c>
    </row>
    <row r="430" spans="1:8" x14ac:dyDescent="0.3">
      <c r="A430" s="3">
        <v>43621</v>
      </c>
      <c r="B430" s="3" t="s">
        <v>3</v>
      </c>
      <c r="C430" s="3" t="s">
        <v>7</v>
      </c>
      <c r="D430" s="3">
        <v>20000</v>
      </c>
      <c r="E430" s="3" t="s">
        <v>93</v>
      </c>
      <c r="F430" s="3">
        <v>5</v>
      </c>
      <c r="G430" s="3">
        <v>1200</v>
      </c>
      <c r="H430" s="3">
        <v>9</v>
      </c>
    </row>
    <row r="431" spans="1:8" x14ac:dyDescent="0.3">
      <c r="A431" s="3">
        <v>43765</v>
      </c>
      <c r="B431" s="3" t="s">
        <v>9</v>
      </c>
      <c r="C431" s="3" t="s">
        <v>10</v>
      </c>
      <c r="D431" s="3">
        <v>25000</v>
      </c>
      <c r="E431" s="3" t="s">
        <v>93</v>
      </c>
      <c r="F431" s="3">
        <v>50</v>
      </c>
      <c r="G431" s="3">
        <v>600</v>
      </c>
      <c r="H431" s="3">
        <v>1</v>
      </c>
    </row>
    <row r="432" spans="1:8" x14ac:dyDescent="0.3">
      <c r="A432" s="3">
        <v>43737</v>
      </c>
      <c r="B432" s="3" t="s">
        <v>4</v>
      </c>
      <c r="C432" s="3" t="s">
        <v>7</v>
      </c>
      <c r="D432" s="3">
        <v>18000</v>
      </c>
      <c r="E432" s="3" t="s">
        <v>93</v>
      </c>
      <c r="F432" s="3">
        <v>9</v>
      </c>
      <c r="G432" s="3">
        <v>100</v>
      </c>
      <c r="H432" s="3">
        <v>8</v>
      </c>
    </row>
    <row r="433" spans="1:8" x14ac:dyDescent="0.3">
      <c r="A433" s="3">
        <v>43605</v>
      </c>
      <c r="B433" s="3" t="s">
        <v>4</v>
      </c>
      <c r="C433" s="3" t="s">
        <v>7</v>
      </c>
      <c r="D433" s="3">
        <v>18000</v>
      </c>
      <c r="E433" s="3" t="s">
        <v>93</v>
      </c>
      <c r="F433" s="3">
        <v>8</v>
      </c>
      <c r="G433" s="3">
        <v>100</v>
      </c>
      <c r="H433" s="3">
        <v>0</v>
      </c>
    </row>
    <row r="434" spans="1:8" x14ac:dyDescent="0.3">
      <c r="A434" s="3">
        <v>43725</v>
      </c>
      <c r="B434" s="3" t="s">
        <v>12</v>
      </c>
      <c r="C434" s="3" t="s">
        <v>10</v>
      </c>
      <c r="D434" s="3">
        <v>10000</v>
      </c>
      <c r="E434" s="3" t="s">
        <v>94</v>
      </c>
      <c r="F434" s="3">
        <v>148</v>
      </c>
      <c r="G434" s="3">
        <v>1000</v>
      </c>
      <c r="H434" s="3">
        <v>2</v>
      </c>
    </row>
    <row r="435" spans="1:8" x14ac:dyDescent="0.3">
      <c r="A435" s="3">
        <v>43823</v>
      </c>
      <c r="B435" s="3" t="s">
        <v>8</v>
      </c>
      <c r="C435" s="3" t="s">
        <v>10</v>
      </c>
      <c r="D435" s="3">
        <v>30000</v>
      </c>
      <c r="E435" s="3" t="s">
        <v>91</v>
      </c>
      <c r="F435" s="3">
        <v>36</v>
      </c>
      <c r="G435" s="3">
        <v>700</v>
      </c>
      <c r="H435" s="3">
        <v>6</v>
      </c>
    </row>
    <row r="436" spans="1:8" x14ac:dyDescent="0.3">
      <c r="A436" s="3">
        <v>43551</v>
      </c>
      <c r="B436" s="3" t="s">
        <v>4</v>
      </c>
      <c r="C436" s="3" t="s">
        <v>7</v>
      </c>
      <c r="D436" s="3">
        <v>18000</v>
      </c>
      <c r="E436" s="3" t="s">
        <v>92</v>
      </c>
      <c r="F436" s="3">
        <v>8</v>
      </c>
      <c r="G436" s="3">
        <v>800</v>
      </c>
      <c r="H436" s="3">
        <v>9</v>
      </c>
    </row>
    <row r="437" spans="1:8" x14ac:dyDescent="0.3">
      <c r="A437" s="3">
        <v>43507</v>
      </c>
      <c r="B437" s="3" t="s">
        <v>2</v>
      </c>
      <c r="C437" s="3" t="s">
        <v>7</v>
      </c>
      <c r="D437" s="3">
        <v>30000</v>
      </c>
      <c r="E437" s="3" t="s">
        <v>92</v>
      </c>
      <c r="F437" s="3">
        <v>6</v>
      </c>
      <c r="G437" s="3">
        <v>1300</v>
      </c>
      <c r="H437" s="3">
        <v>6</v>
      </c>
    </row>
    <row r="438" spans="1:8" x14ac:dyDescent="0.3">
      <c r="A438" s="3">
        <v>43774</v>
      </c>
      <c r="B438" s="3" t="s">
        <v>9</v>
      </c>
      <c r="C438" s="3" t="s">
        <v>10</v>
      </c>
      <c r="D438" s="3">
        <v>25000</v>
      </c>
      <c r="E438" s="3" t="s">
        <v>91</v>
      </c>
      <c r="F438" s="3">
        <v>53</v>
      </c>
      <c r="G438" s="3">
        <v>3300</v>
      </c>
      <c r="H438" s="3">
        <v>4</v>
      </c>
    </row>
    <row r="439" spans="1:8" x14ac:dyDescent="0.3">
      <c r="A439" s="3">
        <v>43487</v>
      </c>
      <c r="B439" s="3" t="s">
        <v>12</v>
      </c>
      <c r="C439" s="3" t="s">
        <v>10</v>
      </c>
      <c r="D439" s="3">
        <v>10000</v>
      </c>
      <c r="E439" s="3" t="s">
        <v>91</v>
      </c>
      <c r="F439" s="3">
        <v>168</v>
      </c>
      <c r="G439" s="3">
        <v>1300</v>
      </c>
      <c r="H439" s="3">
        <v>8</v>
      </c>
    </row>
    <row r="440" spans="1:8" x14ac:dyDescent="0.3">
      <c r="A440" s="3">
        <v>43824</v>
      </c>
      <c r="B440" s="3" t="s">
        <v>12</v>
      </c>
      <c r="C440" s="3" t="s">
        <v>10</v>
      </c>
      <c r="D440" s="3">
        <v>10000</v>
      </c>
      <c r="E440" s="3" t="s">
        <v>92</v>
      </c>
      <c r="F440" s="3">
        <v>135</v>
      </c>
      <c r="G440" s="3">
        <v>400</v>
      </c>
      <c r="H440" s="3">
        <v>10</v>
      </c>
    </row>
    <row r="441" spans="1:8" x14ac:dyDescent="0.3">
      <c r="A441" s="3">
        <v>43545</v>
      </c>
      <c r="B441" s="3" t="s">
        <v>12</v>
      </c>
      <c r="C441" s="3" t="s">
        <v>10</v>
      </c>
      <c r="D441" s="3">
        <v>10000</v>
      </c>
      <c r="E441" s="3" t="s">
        <v>94</v>
      </c>
      <c r="F441" s="3">
        <v>160</v>
      </c>
      <c r="G441" s="3">
        <v>1400</v>
      </c>
      <c r="H441" s="3">
        <v>1</v>
      </c>
    </row>
    <row r="442" spans="1:8" x14ac:dyDescent="0.3">
      <c r="A442" s="3">
        <v>43556</v>
      </c>
      <c r="B442" s="3" t="s">
        <v>8</v>
      </c>
      <c r="C442" s="3" t="s">
        <v>10</v>
      </c>
      <c r="D442" s="3">
        <v>30000</v>
      </c>
      <c r="E442" s="3" t="s">
        <v>91</v>
      </c>
      <c r="F442" s="3">
        <v>32</v>
      </c>
      <c r="G442" s="3">
        <v>3500</v>
      </c>
      <c r="H442" s="3">
        <v>0</v>
      </c>
    </row>
    <row r="443" spans="1:8" x14ac:dyDescent="0.3">
      <c r="A443" s="3">
        <v>43563</v>
      </c>
      <c r="B443" s="3" t="s">
        <v>9</v>
      </c>
      <c r="C443" s="3" t="s">
        <v>10</v>
      </c>
      <c r="D443" s="3">
        <v>25000</v>
      </c>
      <c r="E443" s="3" t="s">
        <v>91</v>
      </c>
      <c r="F443" s="3">
        <v>55</v>
      </c>
      <c r="G443" s="3">
        <v>1400</v>
      </c>
      <c r="H443" s="3">
        <v>7</v>
      </c>
    </row>
    <row r="444" spans="1:8" x14ac:dyDescent="0.3">
      <c r="A444" s="3">
        <v>43635</v>
      </c>
      <c r="B444" s="3" t="s">
        <v>1</v>
      </c>
      <c r="C444" s="3" t="s">
        <v>7</v>
      </c>
      <c r="D444" s="3">
        <v>40000</v>
      </c>
      <c r="E444" s="3" t="s">
        <v>93</v>
      </c>
      <c r="F444" s="3">
        <v>7</v>
      </c>
      <c r="G444" s="3">
        <v>1100</v>
      </c>
      <c r="H444" s="3">
        <v>2</v>
      </c>
    </row>
    <row r="445" spans="1:8" x14ac:dyDescent="0.3">
      <c r="A445" s="3">
        <v>43535</v>
      </c>
      <c r="B445" s="3" t="s">
        <v>3</v>
      </c>
      <c r="C445" s="3" t="s">
        <v>7</v>
      </c>
      <c r="D445" s="3">
        <v>20000</v>
      </c>
      <c r="E445" s="3" t="s">
        <v>94</v>
      </c>
      <c r="F445" s="3">
        <v>5</v>
      </c>
      <c r="G445" s="3">
        <v>3000</v>
      </c>
      <c r="H445" s="3">
        <v>2</v>
      </c>
    </row>
    <row r="446" spans="1:8" x14ac:dyDescent="0.3">
      <c r="A446" s="3">
        <v>43804</v>
      </c>
      <c r="B446" s="3" t="s">
        <v>12</v>
      </c>
      <c r="C446" s="3" t="s">
        <v>10</v>
      </c>
      <c r="D446" s="3">
        <v>10000</v>
      </c>
      <c r="E446" s="3" t="s">
        <v>91</v>
      </c>
      <c r="F446" s="3">
        <v>159</v>
      </c>
      <c r="G446" s="3">
        <v>1200</v>
      </c>
      <c r="H446" s="3">
        <v>6</v>
      </c>
    </row>
    <row r="447" spans="1:8" x14ac:dyDescent="0.3">
      <c r="A447" s="3">
        <v>43692</v>
      </c>
      <c r="B447" s="3" t="s">
        <v>8</v>
      </c>
      <c r="C447" s="3" t="s">
        <v>10</v>
      </c>
      <c r="D447" s="3">
        <v>30000</v>
      </c>
      <c r="E447" s="3" t="s">
        <v>91</v>
      </c>
      <c r="F447" s="3">
        <v>37</v>
      </c>
      <c r="G447" s="3">
        <v>800</v>
      </c>
      <c r="H447" s="3">
        <v>8</v>
      </c>
    </row>
    <row r="448" spans="1:8" x14ac:dyDescent="0.3">
      <c r="A448" s="3">
        <v>43742</v>
      </c>
      <c r="B448" s="3" t="s">
        <v>0</v>
      </c>
      <c r="C448" s="3" t="s">
        <v>7</v>
      </c>
      <c r="D448" s="3">
        <v>125000</v>
      </c>
      <c r="E448" s="3" t="s">
        <v>92</v>
      </c>
      <c r="F448" s="3">
        <v>51</v>
      </c>
      <c r="G448" s="3">
        <v>6700</v>
      </c>
      <c r="H448" s="3">
        <v>9</v>
      </c>
    </row>
    <row r="449" spans="1:8" x14ac:dyDescent="0.3">
      <c r="A449" s="3">
        <v>43602</v>
      </c>
      <c r="B449" s="3" t="s">
        <v>4</v>
      </c>
      <c r="C449" s="3" t="s">
        <v>7</v>
      </c>
      <c r="D449" s="3">
        <v>18000</v>
      </c>
      <c r="E449" s="3" t="s">
        <v>91</v>
      </c>
      <c r="F449" s="3">
        <v>8</v>
      </c>
      <c r="G449" s="3">
        <v>1800</v>
      </c>
      <c r="H449" s="3">
        <v>7</v>
      </c>
    </row>
    <row r="450" spans="1:8" x14ac:dyDescent="0.3">
      <c r="A450" s="3">
        <v>43634</v>
      </c>
      <c r="B450" s="3" t="s">
        <v>2</v>
      </c>
      <c r="C450" s="3" t="s">
        <v>7</v>
      </c>
      <c r="D450" s="3">
        <v>30000</v>
      </c>
      <c r="E450" s="3" t="s">
        <v>91</v>
      </c>
      <c r="F450" s="3">
        <v>6</v>
      </c>
      <c r="G450" s="3">
        <v>1600</v>
      </c>
      <c r="H450" s="3">
        <v>9</v>
      </c>
    </row>
    <row r="451" spans="1:8" x14ac:dyDescent="0.3">
      <c r="A451" s="3">
        <v>43702</v>
      </c>
      <c r="B451" s="3" t="s">
        <v>11</v>
      </c>
      <c r="C451" s="3" t="s">
        <v>10</v>
      </c>
      <c r="D451" s="3">
        <v>35000</v>
      </c>
      <c r="E451" s="3" t="s">
        <v>93</v>
      </c>
      <c r="F451" s="3">
        <v>214</v>
      </c>
      <c r="G451" s="3">
        <v>2000</v>
      </c>
      <c r="H451" s="3">
        <v>7</v>
      </c>
    </row>
    <row r="452" spans="1:8" x14ac:dyDescent="0.3">
      <c r="A452" s="3">
        <v>43681</v>
      </c>
      <c r="B452" s="3" t="s">
        <v>6</v>
      </c>
      <c r="C452" s="3" t="s">
        <v>7</v>
      </c>
      <c r="D452" s="3">
        <v>13000</v>
      </c>
      <c r="E452" s="3" t="s">
        <v>92</v>
      </c>
      <c r="F452" s="3">
        <v>8</v>
      </c>
      <c r="G452" s="3">
        <v>900</v>
      </c>
      <c r="H452" s="3">
        <v>1</v>
      </c>
    </row>
    <row r="453" spans="1:8" x14ac:dyDescent="0.3">
      <c r="A453" s="3">
        <v>43567</v>
      </c>
      <c r="B453" s="3" t="s">
        <v>2</v>
      </c>
      <c r="C453" s="3" t="s">
        <v>7</v>
      </c>
      <c r="D453" s="3">
        <v>30000</v>
      </c>
      <c r="E453" s="3" t="s">
        <v>92</v>
      </c>
      <c r="F453" s="3">
        <v>6</v>
      </c>
      <c r="G453" s="3">
        <v>300</v>
      </c>
      <c r="H453" s="3">
        <v>0</v>
      </c>
    </row>
    <row r="454" spans="1:8" x14ac:dyDescent="0.3">
      <c r="A454" s="3">
        <v>43559</v>
      </c>
      <c r="B454" s="3" t="s">
        <v>1</v>
      </c>
      <c r="C454" s="3" t="s">
        <v>7</v>
      </c>
      <c r="D454" s="3">
        <v>40000</v>
      </c>
      <c r="E454" s="3" t="s">
        <v>92</v>
      </c>
      <c r="F454" s="3">
        <v>5</v>
      </c>
      <c r="G454" s="3">
        <v>1600</v>
      </c>
      <c r="H454" s="3">
        <v>0</v>
      </c>
    </row>
    <row r="455" spans="1:8" x14ac:dyDescent="0.3">
      <c r="A455" s="3">
        <v>43482</v>
      </c>
      <c r="B455" s="3" t="s">
        <v>9</v>
      </c>
      <c r="C455" s="3" t="s">
        <v>10</v>
      </c>
      <c r="D455" s="3">
        <v>25000</v>
      </c>
      <c r="E455" s="3" t="s">
        <v>93</v>
      </c>
      <c r="F455" s="3">
        <v>42</v>
      </c>
      <c r="G455" s="3">
        <v>3700</v>
      </c>
      <c r="H455" s="3">
        <v>8</v>
      </c>
    </row>
    <row r="456" spans="1:8" x14ac:dyDescent="0.3">
      <c r="A456" s="3">
        <v>43723</v>
      </c>
      <c r="B456" s="3" t="s">
        <v>0</v>
      </c>
      <c r="C456" s="3" t="s">
        <v>7</v>
      </c>
      <c r="D456" s="3">
        <v>125000</v>
      </c>
      <c r="E456" s="3" t="s">
        <v>94</v>
      </c>
      <c r="F456" s="3">
        <v>51</v>
      </c>
      <c r="G456" s="3">
        <v>900</v>
      </c>
      <c r="H456" s="3">
        <v>7</v>
      </c>
    </row>
    <row r="457" spans="1:8" x14ac:dyDescent="0.3">
      <c r="A457" s="3">
        <v>43808</v>
      </c>
      <c r="B457" s="3" t="s">
        <v>2</v>
      </c>
      <c r="C457" s="3" t="s">
        <v>7</v>
      </c>
      <c r="D457" s="3">
        <v>30000</v>
      </c>
      <c r="E457" s="3" t="s">
        <v>93</v>
      </c>
      <c r="F457" s="3">
        <v>7</v>
      </c>
      <c r="G457" s="3">
        <v>1300</v>
      </c>
      <c r="H457" s="3">
        <v>5</v>
      </c>
    </row>
    <row r="458" spans="1:8" x14ac:dyDescent="0.3">
      <c r="A458" s="3">
        <v>43516</v>
      </c>
      <c r="B458" s="3" t="s">
        <v>6</v>
      </c>
      <c r="C458" s="3" t="s">
        <v>7</v>
      </c>
      <c r="D458" s="3">
        <v>13000</v>
      </c>
      <c r="E458" s="3" t="s">
        <v>91</v>
      </c>
      <c r="F458" s="3">
        <v>8</v>
      </c>
      <c r="G458" s="3">
        <v>1800</v>
      </c>
      <c r="H458" s="3">
        <v>5</v>
      </c>
    </row>
    <row r="459" spans="1:8" x14ac:dyDescent="0.3">
      <c r="A459" s="3">
        <v>43717</v>
      </c>
      <c r="B459" s="3" t="s">
        <v>2</v>
      </c>
      <c r="C459" s="3" t="s">
        <v>7</v>
      </c>
      <c r="D459" s="3">
        <v>30000</v>
      </c>
      <c r="E459" s="3" t="s">
        <v>93</v>
      </c>
      <c r="F459" s="3">
        <v>6</v>
      </c>
      <c r="G459" s="3">
        <v>100</v>
      </c>
      <c r="H459" s="3">
        <v>6</v>
      </c>
    </row>
    <row r="460" spans="1:8" x14ac:dyDescent="0.3">
      <c r="A460" s="3">
        <v>43679</v>
      </c>
      <c r="B460" s="3" t="s">
        <v>9</v>
      </c>
      <c r="C460" s="3" t="s">
        <v>10</v>
      </c>
      <c r="D460" s="3">
        <v>25000</v>
      </c>
      <c r="E460" s="3" t="s">
        <v>93</v>
      </c>
      <c r="F460" s="3">
        <v>52</v>
      </c>
      <c r="G460" s="3">
        <v>2600</v>
      </c>
      <c r="H460" s="3">
        <v>0</v>
      </c>
    </row>
    <row r="461" spans="1:8" x14ac:dyDescent="0.3">
      <c r="A461" s="3">
        <v>43783</v>
      </c>
      <c r="B461" s="3" t="s">
        <v>3</v>
      </c>
      <c r="C461" s="3" t="s">
        <v>7</v>
      </c>
      <c r="D461" s="3">
        <v>20000</v>
      </c>
      <c r="E461" s="3" t="s">
        <v>92</v>
      </c>
      <c r="F461" s="3">
        <v>5</v>
      </c>
      <c r="G461" s="3">
        <v>1000</v>
      </c>
      <c r="H461" s="3">
        <v>9</v>
      </c>
    </row>
    <row r="462" spans="1:8" x14ac:dyDescent="0.3">
      <c r="A462" s="3">
        <v>43733</v>
      </c>
      <c r="B462" s="3" t="s">
        <v>4</v>
      </c>
      <c r="C462" s="3" t="s">
        <v>7</v>
      </c>
      <c r="D462" s="3">
        <v>18000</v>
      </c>
      <c r="E462" s="3" t="s">
        <v>94</v>
      </c>
      <c r="F462" s="3">
        <v>8</v>
      </c>
      <c r="G462" s="3">
        <v>900</v>
      </c>
      <c r="H462" s="3">
        <v>2</v>
      </c>
    </row>
    <row r="463" spans="1:8" x14ac:dyDescent="0.3">
      <c r="A463" s="3">
        <v>43530</v>
      </c>
      <c r="B463" s="3" t="s">
        <v>9</v>
      </c>
      <c r="C463" s="3" t="s">
        <v>10</v>
      </c>
      <c r="D463" s="3">
        <v>25000</v>
      </c>
      <c r="E463" s="3" t="s">
        <v>94</v>
      </c>
      <c r="F463" s="3">
        <v>44</v>
      </c>
      <c r="G463" s="3">
        <v>1900</v>
      </c>
      <c r="H463" s="3">
        <v>7</v>
      </c>
    </row>
    <row r="464" spans="1:8" x14ac:dyDescent="0.3">
      <c r="A464" s="3">
        <v>43821</v>
      </c>
      <c r="B464" s="3" t="s">
        <v>12</v>
      </c>
      <c r="C464" s="3" t="s">
        <v>10</v>
      </c>
      <c r="D464" s="3">
        <v>10000</v>
      </c>
      <c r="E464" s="3" t="s">
        <v>94</v>
      </c>
      <c r="F464" s="3">
        <v>128</v>
      </c>
      <c r="G464" s="3">
        <v>800</v>
      </c>
      <c r="H464" s="3">
        <v>3</v>
      </c>
    </row>
    <row r="465" spans="1:8" x14ac:dyDescent="0.3">
      <c r="A465" s="3">
        <v>43658</v>
      </c>
      <c r="B465" s="3" t="s">
        <v>6</v>
      </c>
      <c r="C465" s="3" t="s">
        <v>7</v>
      </c>
      <c r="D465" s="3">
        <v>13000</v>
      </c>
      <c r="E465" s="3" t="s">
        <v>93</v>
      </c>
      <c r="F465" s="3">
        <v>8</v>
      </c>
      <c r="G465" s="3">
        <v>200</v>
      </c>
      <c r="H465" s="3">
        <v>0</v>
      </c>
    </row>
    <row r="466" spans="1:8" x14ac:dyDescent="0.3">
      <c r="A466" s="3">
        <v>43814</v>
      </c>
      <c r="B466" s="3" t="s">
        <v>2</v>
      </c>
      <c r="C466" s="3" t="s">
        <v>7</v>
      </c>
      <c r="D466" s="3">
        <v>30000</v>
      </c>
      <c r="E466" s="3" t="s">
        <v>91</v>
      </c>
      <c r="F466" s="3">
        <v>5</v>
      </c>
      <c r="G466" s="3">
        <v>700</v>
      </c>
      <c r="H466" s="3">
        <v>2</v>
      </c>
    </row>
    <row r="467" spans="1:8" x14ac:dyDescent="0.3">
      <c r="A467" s="3">
        <v>43554</v>
      </c>
      <c r="B467" s="3" t="s">
        <v>8</v>
      </c>
      <c r="C467" s="3" t="s">
        <v>10</v>
      </c>
      <c r="D467" s="3">
        <v>30000</v>
      </c>
      <c r="E467" s="3" t="s">
        <v>92</v>
      </c>
      <c r="F467" s="3">
        <v>32</v>
      </c>
      <c r="G467" s="3">
        <v>2000</v>
      </c>
      <c r="H467" s="3">
        <v>0</v>
      </c>
    </row>
    <row r="468" spans="1:8" x14ac:dyDescent="0.3">
      <c r="A468" s="3">
        <v>43744</v>
      </c>
      <c r="B468" s="3" t="s">
        <v>5</v>
      </c>
      <c r="C468" s="3" t="s">
        <v>7</v>
      </c>
      <c r="D468" s="3">
        <v>15000</v>
      </c>
      <c r="E468" s="3" t="s">
        <v>94</v>
      </c>
      <c r="F468" s="3">
        <v>8</v>
      </c>
      <c r="G468" s="3">
        <v>1200</v>
      </c>
      <c r="H468" s="3">
        <v>7</v>
      </c>
    </row>
    <row r="469" spans="1:8" x14ac:dyDescent="0.3">
      <c r="A469" s="3">
        <v>43797</v>
      </c>
      <c r="B469" s="3" t="s">
        <v>8</v>
      </c>
      <c r="C469" s="3" t="s">
        <v>10</v>
      </c>
      <c r="D469" s="3">
        <v>30000</v>
      </c>
      <c r="E469" s="3" t="s">
        <v>94</v>
      </c>
      <c r="F469" s="3">
        <v>33</v>
      </c>
      <c r="G469" s="3">
        <v>200</v>
      </c>
      <c r="H469" s="3">
        <v>3</v>
      </c>
    </row>
    <row r="470" spans="1:8" x14ac:dyDescent="0.3">
      <c r="A470" s="3">
        <v>43785</v>
      </c>
      <c r="B470" s="3" t="s">
        <v>2</v>
      </c>
      <c r="C470" s="3" t="s">
        <v>7</v>
      </c>
      <c r="D470" s="3">
        <v>30000</v>
      </c>
      <c r="E470" s="3" t="s">
        <v>93</v>
      </c>
      <c r="F470" s="3">
        <v>6</v>
      </c>
      <c r="G470" s="3">
        <v>4200</v>
      </c>
      <c r="H470" s="3">
        <v>10</v>
      </c>
    </row>
    <row r="471" spans="1:8" x14ac:dyDescent="0.3">
      <c r="A471" s="3">
        <v>43582</v>
      </c>
      <c r="B471" s="3" t="s">
        <v>12</v>
      </c>
      <c r="C471" s="3" t="s">
        <v>10</v>
      </c>
      <c r="D471" s="3">
        <v>10000</v>
      </c>
      <c r="E471" s="3" t="s">
        <v>94</v>
      </c>
      <c r="F471" s="3">
        <v>136</v>
      </c>
      <c r="G471" s="3">
        <v>900</v>
      </c>
      <c r="H471" s="3">
        <v>8</v>
      </c>
    </row>
    <row r="472" spans="1:8" x14ac:dyDescent="0.3">
      <c r="A472" s="3">
        <v>43486</v>
      </c>
      <c r="B472" s="3" t="s">
        <v>3</v>
      </c>
      <c r="C472" s="3" t="s">
        <v>7</v>
      </c>
      <c r="D472" s="3">
        <v>20000</v>
      </c>
      <c r="E472" s="3" t="s">
        <v>93</v>
      </c>
      <c r="F472" s="3">
        <v>6</v>
      </c>
      <c r="G472" s="3">
        <v>1000</v>
      </c>
      <c r="H472" s="3">
        <v>4</v>
      </c>
    </row>
    <row r="473" spans="1:8" x14ac:dyDescent="0.3">
      <c r="A473" s="3">
        <v>43821</v>
      </c>
      <c r="B473" s="3" t="s">
        <v>11</v>
      </c>
      <c r="C473" s="3" t="s">
        <v>10</v>
      </c>
      <c r="D473" s="3">
        <v>35000</v>
      </c>
      <c r="E473" s="3" t="s">
        <v>91</v>
      </c>
      <c r="F473" s="3">
        <v>176</v>
      </c>
      <c r="G473" s="3">
        <v>2300</v>
      </c>
      <c r="H473" s="3">
        <v>6</v>
      </c>
    </row>
    <row r="474" spans="1:8" x14ac:dyDescent="0.3">
      <c r="A474" s="3">
        <v>43819</v>
      </c>
      <c r="B474" s="3" t="s">
        <v>8</v>
      </c>
      <c r="C474" s="3" t="s">
        <v>10</v>
      </c>
      <c r="D474" s="3">
        <v>30000</v>
      </c>
      <c r="E474" s="3" t="s">
        <v>92</v>
      </c>
      <c r="F474" s="3">
        <v>37</v>
      </c>
      <c r="G474" s="3">
        <v>1100</v>
      </c>
      <c r="H474" s="3">
        <v>8</v>
      </c>
    </row>
    <row r="475" spans="1:8" x14ac:dyDescent="0.3">
      <c r="A475" s="3">
        <v>43802</v>
      </c>
      <c r="B475" s="3" t="s">
        <v>2</v>
      </c>
      <c r="C475" s="3" t="s">
        <v>7</v>
      </c>
      <c r="D475" s="3">
        <v>30000</v>
      </c>
      <c r="E475" s="3" t="s">
        <v>91</v>
      </c>
      <c r="F475" s="3">
        <v>5</v>
      </c>
      <c r="G475" s="3">
        <v>3500</v>
      </c>
      <c r="H475" s="3">
        <v>8</v>
      </c>
    </row>
    <row r="476" spans="1:8" x14ac:dyDescent="0.3">
      <c r="A476" s="3">
        <v>43479</v>
      </c>
      <c r="B476" s="3" t="s">
        <v>5</v>
      </c>
      <c r="C476" s="3" t="s">
        <v>7</v>
      </c>
      <c r="D476" s="3">
        <v>15000</v>
      </c>
      <c r="E476" s="3" t="s">
        <v>92</v>
      </c>
      <c r="F476" s="3">
        <v>8</v>
      </c>
      <c r="G476" s="3">
        <v>0</v>
      </c>
      <c r="H476" s="3">
        <v>8</v>
      </c>
    </row>
    <row r="477" spans="1:8" x14ac:dyDescent="0.3">
      <c r="A477" s="3">
        <v>43614</v>
      </c>
      <c r="B477" s="3" t="s">
        <v>3</v>
      </c>
      <c r="C477" s="3" t="s">
        <v>7</v>
      </c>
      <c r="D477" s="3">
        <v>20000</v>
      </c>
      <c r="E477" s="3" t="s">
        <v>91</v>
      </c>
      <c r="F477" s="3">
        <v>5</v>
      </c>
      <c r="G477" s="3">
        <v>2700</v>
      </c>
      <c r="H477" s="3">
        <v>4</v>
      </c>
    </row>
    <row r="478" spans="1:8" x14ac:dyDescent="0.3">
      <c r="A478" s="3">
        <v>43585</v>
      </c>
      <c r="B478" s="3" t="s">
        <v>12</v>
      </c>
      <c r="C478" s="3" t="s">
        <v>10</v>
      </c>
      <c r="D478" s="3">
        <v>10000</v>
      </c>
      <c r="E478" s="3" t="s">
        <v>94</v>
      </c>
      <c r="F478" s="3">
        <v>159</v>
      </c>
      <c r="G478" s="3">
        <v>500</v>
      </c>
      <c r="H478" s="3">
        <v>8</v>
      </c>
    </row>
    <row r="479" spans="1:8" x14ac:dyDescent="0.3">
      <c r="A479" s="3">
        <v>43523</v>
      </c>
      <c r="B479" s="3" t="s">
        <v>1</v>
      </c>
      <c r="C479" s="3" t="s">
        <v>7</v>
      </c>
      <c r="D479" s="3">
        <v>40000</v>
      </c>
      <c r="E479" s="3" t="s">
        <v>93</v>
      </c>
      <c r="F479" s="3">
        <v>6</v>
      </c>
      <c r="G479" s="3">
        <v>5200</v>
      </c>
      <c r="H479" s="3">
        <v>7</v>
      </c>
    </row>
    <row r="480" spans="1:8" x14ac:dyDescent="0.3">
      <c r="A480" s="3">
        <v>43582</v>
      </c>
      <c r="B480" s="3" t="s">
        <v>12</v>
      </c>
      <c r="C480" s="3" t="s">
        <v>10</v>
      </c>
      <c r="D480" s="3">
        <v>10000</v>
      </c>
      <c r="E480" s="3" t="s">
        <v>91</v>
      </c>
      <c r="F480" s="3">
        <v>122</v>
      </c>
      <c r="G480" s="3">
        <v>1300</v>
      </c>
      <c r="H480" s="3">
        <v>3</v>
      </c>
    </row>
    <row r="481" spans="1:8" x14ac:dyDescent="0.3">
      <c r="A481" s="3">
        <v>43676</v>
      </c>
      <c r="B481" s="3" t="s">
        <v>9</v>
      </c>
      <c r="C481" s="3" t="s">
        <v>10</v>
      </c>
      <c r="D481" s="3">
        <v>25000</v>
      </c>
      <c r="E481" s="3" t="s">
        <v>94</v>
      </c>
      <c r="F481" s="3">
        <v>50</v>
      </c>
      <c r="G481" s="3">
        <v>2200</v>
      </c>
      <c r="H481" s="3">
        <v>6</v>
      </c>
    </row>
    <row r="482" spans="1:8" x14ac:dyDescent="0.3">
      <c r="A482" s="3">
        <v>43669</v>
      </c>
      <c r="B482" s="3" t="s">
        <v>1</v>
      </c>
      <c r="C482" s="3" t="s">
        <v>7</v>
      </c>
      <c r="D482" s="3">
        <v>40000</v>
      </c>
      <c r="E482" s="3" t="s">
        <v>93</v>
      </c>
      <c r="F482" s="3">
        <v>6</v>
      </c>
      <c r="G482" s="3">
        <v>2800</v>
      </c>
      <c r="H482" s="3">
        <v>4</v>
      </c>
    </row>
    <row r="483" spans="1:8" x14ac:dyDescent="0.3">
      <c r="A483" s="3">
        <v>43483</v>
      </c>
      <c r="B483" s="3" t="s">
        <v>3</v>
      </c>
      <c r="C483" s="3" t="s">
        <v>7</v>
      </c>
      <c r="D483" s="3">
        <v>20000</v>
      </c>
      <c r="E483" s="3" t="s">
        <v>91</v>
      </c>
      <c r="F483" s="3">
        <v>7</v>
      </c>
      <c r="G483" s="3">
        <v>1700</v>
      </c>
      <c r="H483" s="3">
        <v>4</v>
      </c>
    </row>
    <row r="484" spans="1:8" x14ac:dyDescent="0.3">
      <c r="A484" s="3">
        <v>43695</v>
      </c>
      <c r="B484" s="3" t="s">
        <v>11</v>
      </c>
      <c r="C484" s="3" t="s">
        <v>10</v>
      </c>
      <c r="D484" s="3">
        <v>35000</v>
      </c>
      <c r="E484" s="3" t="s">
        <v>91</v>
      </c>
      <c r="F484" s="3">
        <v>195</v>
      </c>
      <c r="G484" s="3">
        <v>4800</v>
      </c>
      <c r="H484" s="3">
        <v>5</v>
      </c>
    </row>
    <row r="485" spans="1:8" x14ac:dyDescent="0.3">
      <c r="A485" s="3">
        <v>43700</v>
      </c>
      <c r="B485" s="3" t="s">
        <v>8</v>
      </c>
      <c r="C485" s="3" t="s">
        <v>10</v>
      </c>
      <c r="D485" s="3">
        <v>30000</v>
      </c>
      <c r="E485" s="3" t="s">
        <v>93</v>
      </c>
      <c r="F485" s="3">
        <v>40</v>
      </c>
      <c r="G485" s="3">
        <v>1600</v>
      </c>
      <c r="H485" s="3">
        <v>5</v>
      </c>
    </row>
    <row r="486" spans="1:8" x14ac:dyDescent="0.3">
      <c r="A486" s="3">
        <v>43794</v>
      </c>
      <c r="B486" s="3" t="s">
        <v>1</v>
      </c>
      <c r="C486" s="3" t="s">
        <v>7</v>
      </c>
      <c r="D486" s="3">
        <v>40000</v>
      </c>
      <c r="E486" s="3" t="s">
        <v>92</v>
      </c>
      <c r="F486" s="3">
        <v>6</v>
      </c>
      <c r="G486" s="3">
        <v>5200</v>
      </c>
      <c r="H486" s="3">
        <v>1</v>
      </c>
    </row>
    <row r="487" spans="1:8" x14ac:dyDescent="0.3">
      <c r="A487" s="3">
        <v>43508</v>
      </c>
      <c r="B487" s="3" t="s">
        <v>5</v>
      </c>
      <c r="C487" s="3" t="s">
        <v>7</v>
      </c>
      <c r="D487" s="3">
        <v>15000</v>
      </c>
      <c r="E487" s="3" t="s">
        <v>91</v>
      </c>
      <c r="F487" s="3">
        <v>9</v>
      </c>
      <c r="G487" s="3">
        <v>300</v>
      </c>
      <c r="H487" s="3">
        <v>1</v>
      </c>
    </row>
    <row r="488" spans="1:8" x14ac:dyDescent="0.3">
      <c r="A488" s="3">
        <v>43626</v>
      </c>
      <c r="B488" s="3" t="s">
        <v>12</v>
      </c>
      <c r="C488" s="3" t="s">
        <v>10</v>
      </c>
      <c r="D488" s="3">
        <v>10000</v>
      </c>
      <c r="E488" s="3" t="s">
        <v>94</v>
      </c>
      <c r="F488" s="3">
        <v>136</v>
      </c>
      <c r="G488" s="3">
        <v>1200</v>
      </c>
      <c r="H488" s="3">
        <v>6</v>
      </c>
    </row>
    <row r="489" spans="1:8" x14ac:dyDescent="0.3">
      <c r="A489" s="3">
        <v>43683</v>
      </c>
      <c r="B489" s="3" t="s">
        <v>8</v>
      </c>
      <c r="C489" s="3" t="s">
        <v>10</v>
      </c>
      <c r="D489" s="3">
        <v>30000</v>
      </c>
      <c r="E489" s="3" t="s">
        <v>94</v>
      </c>
      <c r="F489" s="3">
        <v>40</v>
      </c>
      <c r="G489" s="3">
        <v>1700</v>
      </c>
      <c r="H489" s="3">
        <v>8</v>
      </c>
    </row>
    <row r="490" spans="1:8" x14ac:dyDescent="0.3">
      <c r="A490" s="3">
        <v>43741</v>
      </c>
      <c r="B490" s="3" t="s">
        <v>4</v>
      </c>
      <c r="C490" s="3" t="s">
        <v>7</v>
      </c>
      <c r="D490" s="3">
        <v>18000</v>
      </c>
      <c r="E490" s="3" t="s">
        <v>92</v>
      </c>
      <c r="F490" s="3">
        <v>8</v>
      </c>
      <c r="G490" s="3">
        <v>1500</v>
      </c>
      <c r="H490" s="3">
        <v>3</v>
      </c>
    </row>
    <row r="491" spans="1:8" x14ac:dyDescent="0.3">
      <c r="A491" s="3">
        <v>43816</v>
      </c>
      <c r="B491" s="3" t="s">
        <v>8</v>
      </c>
      <c r="C491" s="3" t="s">
        <v>10</v>
      </c>
      <c r="D491" s="3">
        <v>30000</v>
      </c>
      <c r="E491" s="3" t="s">
        <v>91</v>
      </c>
      <c r="F491" s="3">
        <v>40</v>
      </c>
      <c r="G491" s="3">
        <v>2900</v>
      </c>
      <c r="H491" s="3">
        <v>10</v>
      </c>
    </row>
    <row r="492" spans="1:8" x14ac:dyDescent="0.3">
      <c r="A492" s="3">
        <v>43783</v>
      </c>
      <c r="B492" s="3" t="s">
        <v>11</v>
      </c>
      <c r="C492" s="3" t="s">
        <v>10</v>
      </c>
      <c r="D492" s="3">
        <v>35000</v>
      </c>
      <c r="E492" s="3" t="s">
        <v>93</v>
      </c>
      <c r="F492" s="3">
        <v>198</v>
      </c>
      <c r="G492" s="3">
        <v>500</v>
      </c>
      <c r="H492" s="3">
        <v>8</v>
      </c>
    </row>
    <row r="493" spans="1:8" x14ac:dyDescent="0.3">
      <c r="A493" s="3">
        <v>43666</v>
      </c>
      <c r="B493" s="3" t="s">
        <v>9</v>
      </c>
      <c r="C493" s="3" t="s">
        <v>10</v>
      </c>
      <c r="D493" s="3">
        <v>25000</v>
      </c>
      <c r="E493" s="3" t="s">
        <v>94</v>
      </c>
      <c r="F493" s="3">
        <v>54</v>
      </c>
      <c r="G493" s="3">
        <v>2800</v>
      </c>
      <c r="H493" s="3">
        <v>0</v>
      </c>
    </row>
    <row r="494" spans="1:8" x14ac:dyDescent="0.3">
      <c r="A494" s="3">
        <v>43613</v>
      </c>
      <c r="B494" s="3" t="s">
        <v>6</v>
      </c>
      <c r="C494" s="3" t="s">
        <v>7</v>
      </c>
      <c r="D494" s="3">
        <v>13000</v>
      </c>
      <c r="E494" s="3" t="s">
        <v>91</v>
      </c>
      <c r="F494" s="3">
        <v>8</v>
      </c>
      <c r="G494" s="3">
        <v>1700</v>
      </c>
      <c r="H494" s="3">
        <v>9</v>
      </c>
    </row>
    <row r="495" spans="1:8" x14ac:dyDescent="0.3">
      <c r="A495" s="3">
        <v>43469</v>
      </c>
      <c r="B495" s="3" t="s">
        <v>9</v>
      </c>
      <c r="C495" s="3" t="s">
        <v>10</v>
      </c>
      <c r="D495" s="3">
        <v>25000</v>
      </c>
      <c r="E495" s="3" t="s">
        <v>91</v>
      </c>
      <c r="F495" s="3">
        <v>45</v>
      </c>
      <c r="G495" s="3">
        <v>2400</v>
      </c>
      <c r="H495" s="3">
        <v>1</v>
      </c>
    </row>
    <row r="496" spans="1:8" x14ac:dyDescent="0.3">
      <c r="A496" s="3">
        <v>43558</v>
      </c>
      <c r="B496" s="3" t="s">
        <v>12</v>
      </c>
      <c r="C496" s="3" t="s">
        <v>10</v>
      </c>
      <c r="D496" s="3">
        <v>10000</v>
      </c>
      <c r="E496" s="3" t="s">
        <v>92</v>
      </c>
      <c r="F496" s="3">
        <v>166</v>
      </c>
      <c r="G496" s="3">
        <v>600</v>
      </c>
      <c r="H496" s="3">
        <v>1</v>
      </c>
    </row>
    <row r="497" spans="1:8" x14ac:dyDescent="0.3">
      <c r="A497" s="3">
        <v>43576</v>
      </c>
      <c r="B497" s="3" t="s">
        <v>4</v>
      </c>
      <c r="C497" s="3" t="s">
        <v>7</v>
      </c>
      <c r="D497" s="3">
        <v>18000</v>
      </c>
      <c r="E497" s="3" t="s">
        <v>94</v>
      </c>
      <c r="F497" s="3">
        <v>10</v>
      </c>
      <c r="G497" s="3">
        <v>2600</v>
      </c>
      <c r="H497" s="3">
        <v>5</v>
      </c>
    </row>
    <row r="498" spans="1:8" x14ac:dyDescent="0.3">
      <c r="A498" s="3">
        <v>43530</v>
      </c>
      <c r="B498" s="3" t="s">
        <v>12</v>
      </c>
      <c r="C498" s="3" t="s">
        <v>10</v>
      </c>
      <c r="D498" s="3">
        <v>10000</v>
      </c>
      <c r="E498" s="3" t="s">
        <v>91</v>
      </c>
      <c r="F498" s="3">
        <v>134</v>
      </c>
      <c r="G498" s="3">
        <v>900</v>
      </c>
      <c r="H498" s="3">
        <v>2</v>
      </c>
    </row>
    <row r="499" spans="1:8" x14ac:dyDescent="0.3">
      <c r="A499" s="3">
        <v>43770</v>
      </c>
      <c r="B499" s="3" t="s">
        <v>12</v>
      </c>
      <c r="C499" s="3" t="s">
        <v>10</v>
      </c>
      <c r="D499" s="3">
        <v>10000</v>
      </c>
      <c r="E499" s="3" t="s">
        <v>94</v>
      </c>
      <c r="F499" s="3">
        <v>147</v>
      </c>
      <c r="G499" s="3">
        <v>200</v>
      </c>
      <c r="H499" s="3">
        <v>7</v>
      </c>
    </row>
    <row r="500" spans="1:8" x14ac:dyDescent="0.3">
      <c r="A500" s="3">
        <v>43590</v>
      </c>
      <c r="B500" s="3" t="s">
        <v>4</v>
      </c>
      <c r="C500" s="3" t="s">
        <v>7</v>
      </c>
      <c r="D500" s="3">
        <v>18000</v>
      </c>
      <c r="E500" s="3" t="s">
        <v>91</v>
      </c>
      <c r="F500" s="3">
        <v>8</v>
      </c>
      <c r="G500" s="3">
        <v>1700</v>
      </c>
      <c r="H500" s="3">
        <v>4</v>
      </c>
    </row>
    <row r="501" spans="1:8" x14ac:dyDescent="0.3">
      <c r="A501" s="3">
        <v>43547</v>
      </c>
      <c r="B501" s="3" t="s">
        <v>5</v>
      </c>
      <c r="C501" s="3" t="s">
        <v>7</v>
      </c>
      <c r="D501" s="3">
        <v>15000</v>
      </c>
      <c r="E501" s="3" t="s">
        <v>92</v>
      </c>
      <c r="F501" s="3">
        <v>9</v>
      </c>
      <c r="G501" s="3">
        <v>2200</v>
      </c>
      <c r="H501" s="3">
        <v>6</v>
      </c>
    </row>
    <row r="502" spans="1:8" x14ac:dyDescent="0.3">
      <c r="A502" s="3">
        <v>43659</v>
      </c>
      <c r="B502" s="3" t="s">
        <v>1</v>
      </c>
      <c r="C502" s="3" t="s">
        <v>7</v>
      </c>
      <c r="D502" s="3">
        <v>40000</v>
      </c>
      <c r="E502" s="3" t="s">
        <v>92</v>
      </c>
      <c r="F502" s="3">
        <v>6</v>
      </c>
      <c r="G502" s="3">
        <v>1300</v>
      </c>
      <c r="H502" s="3">
        <v>7</v>
      </c>
    </row>
    <row r="503" spans="1:8" x14ac:dyDescent="0.3">
      <c r="A503" s="3">
        <v>43812</v>
      </c>
      <c r="B503" s="3" t="s">
        <v>5</v>
      </c>
      <c r="C503" s="3" t="s">
        <v>7</v>
      </c>
      <c r="D503" s="3">
        <v>15000</v>
      </c>
      <c r="E503" s="3" t="s">
        <v>92</v>
      </c>
      <c r="F503" s="3">
        <v>9</v>
      </c>
      <c r="G503" s="3">
        <v>1600</v>
      </c>
      <c r="H503" s="3">
        <v>2</v>
      </c>
    </row>
    <row r="504" spans="1:8" x14ac:dyDescent="0.3">
      <c r="A504" s="3">
        <v>43664</v>
      </c>
      <c r="B504" s="3" t="s">
        <v>9</v>
      </c>
      <c r="C504" s="3" t="s">
        <v>10</v>
      </c>
      <c r="D504" s="3">
        <v>25000</v>
      </c>
      <c r="E504" s="3" t="s">
        <v>91</v>
      </c>
      <c r="F504" s="3">
        <v>50</v>
      </c>
      <c r="G504" s="3">
        <v>3200</v>
      </c>
      <c r="H504" s="3">
        <v>5</v>
      </c>
    </row>
    <row r="505" spans="1:8" x14ac:dyDescent="0.3">
      <c r="A505" s="3">
        <v>43763</v>
      </c>
      <c r="B505" s="3" t="s">
        <v>6</v>
      </c>
      <c r="C505" s="3" t="s">
        <v>7</v>
      </c>
      <c r="D505" s="3">
        <v>13000</v>
      </c>
      <c r="E505" s="3" t="s">
        <v>93</v>
      </c>
      <c r="F505" s="3">
        <v>7</v>
      </c>
      <c r="G505" s="3">
        <v>300</v>
      </c>
      <c r="H505" s="3">
        <v>5</v>
      </c>
    </row>
    <row r="506" spans="1:8" x14ac:dyDescent="0.3">
      <c r="A506" s="3">
        <v>43624</v>
      </c>
      <c r="B506" s="3" t="s">
        <v>6</v>
      </c>
      <c r="C506" s="3" t="s">
        <v>7</v>
      </c>
      <c r="D506" s="3">
        <v>13000</v>
      </c>
      <c r="E506" s="3" t="s">
        <v>91</v>
      </c>
      <c r="F506" s="3">
        <v>10</v>
      </c>
      <c r="G506" s="3">
        <v>1400</v>
      </c>
      <c r="H506" s="3">
        <v>8</v>
      </c>
    </row>
    <row r="507" spans="1:8" x14ac:dyDescent="0.3">
      <c r="A507" s="3">
        <v>43624</v>
      </c>
      <c r="B507" s="3" t="s">
        <v>5</v>
      </c>
      <c r="C507" s="3" t="s">
        <v>7</v>
      </c>
      <c r="D507" s="3">
        <v>15000</v>
      </c>
      <c r="E507" s="3" t="s">
        <v>91</v>
      </c>
      <c r="F507" s="3">
        <v>9</v>
      </c>
      <c r="G507" s="3">
        <v>1900</v>
      </c>
      <c r="H507" s="3">
        <v>0</v>
      </c>
    </row>
    <row r="508" spans="1:8" x14ac:dyDescent="0.3">
      <c r="A508" s="3">
        <v>43505</v>
      </c>
      <c r="B508" s="3" t="s">
        <v>6</v>
      </c>
      <c r="C508" s="3" t="s">
        <v>7</v>
      </c>
      <c r="D508" s="3">
        <v>13000</v>
      </c>
      <c r="E508" s="3" t="s">
        <v>93</v>
      </c>
      <c r="F508" s="3">
        <v>8</v>
      </c>
      <c r="G508" s="3">
        <v>1100</v>
      </c>
      <c r="H508" s="3">
        <v>6</v>
      </c>
    </row>
    <row r="509" spans="1:8" x14ac:dyDescent="0.3">
      <c r="A509" s="3">
        <v>43541</v>
      </c>
      <c r="B509" s="3" t="s">
        <v>12</v>
      </c>
      <c r="C509" s="3" t="s">
        <v>10</v>
      </c>
      <c r="D509" s="3">
        <v>10000</v>
      </c>
      <c r="E509" s="3" t="s">
        <v>93</v>
      </c>
      <c r="F509" s="3">
        <v>162</v>
      </c>
      <c r="G509" s="3">
        <v>1300</v>
      </c>
      <c r="H509" s="3">
        <v>0</v>
      </c>
    </row>
    <row r="510" spans="1:8" x14ac:dyDescent="0.3">
      <c r="A510" s="3">
        <v>43705</v>
      </c>
      <c r="B510" s="3" t="s">
        <v>4</v>
      </c>
      <c r="C510" s="3" t="s">
        <v>7</v>
      </c>
      <c r="D510" s="3">
        <v>18000</v>
      </c>
      <c r="E510" s="3" t="s">
        <v>91</v>
      </c>
      <c r="F510" s="3">
        <v>9</v>
      </c>
      <c r="G510" s="3">
        <v>1600</v>
      </c>
      <c r="H510" s="3">
        <v>6</v>
      </c>
    </row>
    <row r="511" spans="1:8" x14ac:dyDescent="0.3">
      <c r="A511" s="3">
        <v>43511</v>
      </c>
      <c r="B511" s="3" t="s">
        <v>8</v>
      </c>
      <c r="C511" s="3" t="s">
        <v>10</v>
      </c>
      <c r="D511" s="3">
        <v>30000</v>
      </c>
      <c r="E511" s="3" t="s">
        <v>92</v>
      </c>
      <c r="F511" s="3">
        <v>41</v>
      </c>
      <c r="G511" s="3">
        <v>2900</v>
      </c>
      <c r="H511" s="3">
        <v>3</v>
      </c>
    </row>
    <row r="512" spans="1:8" x14ac:dyDescent="0.3">
      <c r="A512" s="3">
        <v>43525</v>
      </c>
      <c r="B512" s="3" t="s">
        <v>11</v>
      </c>
      <c r="C512" s="3" t="s">
        <v>10</v>
      </c>
      <c r="D512" s="3">
        <v>35000</v>
      </c>
      <c r="E512" s="3" t="s">
        <v>94</v>
      </c>
      <c r="F512" s="3">
        <v>161</v>
      </c>
      <c r="G512" s="3">
        <v>2500</v>
      </c>
      <c r="H512" s="3">
        <v>0</v>
      </c>
    </row>
    <row r="513" spans="1:8" x14ac:dyDescent="0.3">
      <c r="A513" s="3">
        <v>43813</v>
      </c>
      <c r="B513" s="3" t="s">
        <v>4</v>
      </c>
      <c r="C513" s="3" t="s">
        <v>7</v>
      </c>
      <c r="D513" s="3">
        <v>18000</v>
      </c>
      <c r="E513" s="3" t="s">
        <v>94</v>
      </c>
      <c r="F513" s="3">
        <v>7</v>
      </c>
      <c r="G513" s="3">
        <v>1000</v>
      </c>
      <c r="H513" s="3">
        <v>5</v>
      </c>
    </row>
    <row r="514" spans="1:8" x14ac:dyDescent="0.3">
      <c r="A514" s="3">
        <v>43652</v>
      </c>
      <c r="B514" s="3" t="s">
        <v>6</v>
      </c>
      <c r="C514" s="3" t="s">
        <v>7</v>
      </c>
      <c r="D514" s="3">
        <v>13000</v>
      </c>
      <c r="E514" s="3" t="s">
        <v>91</v>
      </c>
      <c r="F514" s="3">
        <v>9</v>
      </c>
      <c r="G514" s="3">
        <v>100</v>
      </c>
      <c r="H514" s="3">
        <v>10</v>
      </c>
    </row>
    <row r="515" spans="1:8" x14ac:dyDescent="0.3">
      <c r="A515" s="3">
        <v>43687</v>
      </c>
      <c r="B515" s="3" t="s">
        <v>12</v>
      </c>
      <c r="C515" s="3" t="s">
        <v>10</v>
      </c>
      <c r="D515" s="3">
        <v>10000</v>
      </c>
      <c r="E515" s="3" t="s">
        <v>92</v>
      </c>
      <c r="F515" s="3">
        <v>126</v>
      </c>
      <c r="G515" s="3">
        <v>600</v>
      </c>
      <c r="H515" s="3">
        <v>1</v>
      </c>
    </row>
    <row r="516" spans="1:8" x14ac:dyDescent="0.3">
      <c r="A516" s="3">
        <v>43491</v>
      </c>
      <c r="B516" s="3" t="s">
        <v>4</v>
      </c>
      <c r="C516" s="3" t="s">
        <v>7</v>
      </c>
      <c r="D516" s="3">
        <v>18000</v>
      </c>
      <c r="E516" s="3" t="s">
        <v>91</v>
      </c>
      <c r="F516" s="3">
        <v>10</v>
      </c>
      <c r="G516" s="3">
        <v>600</v>
      </c>
      <c r="H516" s="3">
        <v>4</v>
      </c>
    </row>
    <row r="517" spans="1:8" x14ac:dyDescent="0.3">
      <c r="A517" s="3">
        <v>43579</v>
      </c>
      <c r="B517" s="3" t="s">
        <v>3</v>
      </c>
      <c r="C517" s="3" t="s">
        <v>7</v>
      </c>
      <c r="D517" s="3">
        <v>20000</v>
      </c>
      <c r="E517" s="3" t="s">
        <v>94</v>
      </c>
      <c r="F517" s="3">
        <v>6</v>
      </c>
      <c r="G517" s="3">
        <v>200</v>
      </c>
      <c r="H517" s="3">
        <v>0</v>
      </c>
    </row>
    <row r="518" spans="1:8" x14ac:dyDescent="0.3">
      <c r="A518" s="3">
        <v>43735</v>
      </c>
      <c r="B518" s="3" t="s">
        <v>9</v>
      </c>
      <c r="C518" s="3" t="s">
        <v>10</v>
      </c>
      <c r="D518" s="3">
        <v>25000</v>
      </c>
      <c r="E518" s="3" t="s">
        <v>93</v>
      </c>
      <c r="F518" s="3">
        <v>47</v>
      </c>
      <c r="G518" s="3">
        <v>3300</v>
      </c>
      <c r="H518" s="3">
        <v>5</v>
      </c>
    </row>
    <row r="519" spans="1:8" x14ac:dyDescent="0.3">
      <c r="A519" s="3">
        <v>43579</v>
      </c>
      <c r="B519" s="3" t="s">
        <v>11</v>
      </c>
      <c r="C519" s="3" t="s">
        <v>10</v>
      </c>
      <c r="D519" s="3">
        <v>35000</v>
      </c>
      <c r="E519" s="3" t="s">
        <v>91</v>
      </c>
      <c r="F519" s="3">
        <v>178</v>
      </c>
      <c r="G519" s="3">
        <v>4700</v>
      </c>
      <c r="H519" s="3">
        <v>6</v>
      </c>
    </row>
    <row r="520" spans="1:8" x14ac:dyDescent="0.3">
      <c r="A520" s="3">
        <v>43668</v>
      </c>
      <c r="B520" s="3" t="s">
        <v>5</v>
      </c>
      <c r="C520" s="3" t="s">
        <v>7</v>
      </c>
      <c r="D520" s="3">
        <v>15000</v>
      </c>
      <c r="E520" s="3" t="s">
        <v>93</v>
      </c>
      <c r="F520" s="3">
        <v>9</v>
      </c>
      <c r="G520" s="3">
        <v>800</v>
      </c>
      <c r="H520" s="3">
        <v>4</v>
      </c>
    </row>
    <row r="521" spans="1:8" x14ac:dyDescent="0.3">
      <c r="A521" s="3">
        <v>43559</v>
      </c>
      <c r="B521" s="3" t="s">
        <v>6</v>
      </c>
      <c r="C521" s="3" t="s">
        <v>7</v>
      </c>
      <c r="D521" s="3">
        <v>13000</v>
      </c>
      <c r="E521" s="3" t="s">
        <v>93</v>
      </c>
      <c r="F521" s="3">
        <v>8</v>
      </c>
      <c r="G521" s="3">
        <v>1900</v>
      </c>
      <c r="H521" s="3">
        <v>4</v>
      </c>
    </row>
    <row r="522" spans="1:8" x14ac:dyDescent="0.3">
      <c r="A522" s="3">
        <v>43649</v>
      </c>
      <c r="B522" s="3" t="s">
        <v>11</v>
      </c>
      <c r="C522" s="3" t="s">
        <v>10</v>
      </c>
      <c r="D522" s="3">
        <v>35000</v>
      </c>
      <c r="E522" s="3" t="s">
        <v>91</v>
      </c>
      <c r="F522" s="3">
        <v>191</v>
      </c>
      <c r="G522" s="3">
        <v>4400</v>
      </c>
      <c r="H522" s="3">
        <v>4</v>
      </c>
    </row>
    <row r="523" spans="1:8" x14ac:dyDescent="0.3">
      <c r="A523" s="3">
        <v>43569</v>
      </c>
      <c r="B523" s="3" t="s">
        <v>1</v>
      </c>
      <c r="C523" s="3" t="s">
        <v>7</v>
      </c>
      <c r="D523" s="3">
        <v>40000</v>
      </c>
      <c r="E523" s="3" t="s">
        <v>93</v>
      </c>
      <c r="F523" s="3">
        <v>6</v>
      </c>
      <c r="G523" s="3">
        <v>3400</v>
      </c>
      <c r="H523" s="3">
        <v>9</v>
      </c>
    </row>
    <row r="524" spans="1:8" x14ac:dyDescent="0.3">
      <c r="A524" s="3">
        <v>43559</v>
      </c>
      <c r="B524" s="3" t="s">
        <v>12</v>
      </c>
      <c r="C524" s="3" t="s">
        <v>10</v>
      </c>
      <c r="D524" s="3">
        <v>10000</v>
      </c>
      <c r="E524" s="3" t="s">
        <v>92</v>
      </c>
      <c r="F524" s="3">
        <v>159</v>
      </c>
      <c r="G524" s="3">
        <v>1000</v>
      </c>
      <c r="H524" s="3">
        <v>8</v>
      </c>
    </row>
    <row r="525" spans="1:8" x14ac:dyDescent="0.3">
      <c r="A525" s="3">
        <v>43714</v>
      </c>
      <c r="B525" s="3" t="s">
        <v>8</v>
      </c>
      <c r="C525" s="3" t="s">
        <v>10</v>
      </c>
      <c r="D525" s="3">
        <v>30000</v>
      </c>
      <c r="E525" s="3" t="s">
        <v>91</v>
      </c>
      <c r="F525" s="3">
        <v>36</v>
      </c>
      <c r="G525" s="3">
        <v>2200</v>
      </c>
      <c r="H525" s="3">
        <v>2</v>
      </c>
    </row>
    <row r="526" spans="1:8" x14ac:dyDescent="0.3">
      <c r="A526" s="3">
        <v>43714</v>
      </c>
      <c r="B526" s="3" t="s">
        <v>0</v>
      </c>
      <c r="C526" s="3" t="s">
        <v>7</v>
      </c>
      <c r="D526" s="3">
        <v>125000</v>
      </c>
      <c r="E526" s="3" t="s">
        <v>93</v>
      </c>
      <c r="F526" s="3">
        <v>56</v>
      </c>
      <c r="G526" s="3">
        <v>12800</v>
      </c>
      <c r="H526" s="3">
        <v>8</v>
      </c>
    </row>
    <row r="527" spans="1:8" x14ac:dyDescent="0.3">
      <c r="A527" s="3">
        <v>43774</v>
      </c>
      <c r="B527" s="3" t="s">
        <v>11</v>
      </c>
      <c r="C527" s="3" t="s">
        <v>10</v>
      </c>
      <c r="D527" s="3">
        <v>35000</v>
      </c>
      <c r="E527" s="3" t="s">
        <v>91</v>
      </c>
      <c r="F527" s="3">
        <v>215</v>
      </c>
      <c r="G527" s="3">
        <v>3100</v>
      </c>
      <c r="H527" s="3">
        <v>2</v>
      </c>
    </row>
    <row r="528" spans="1:8" x14ac:dyDescent="0.3">
      <c r="A528" s="3">
        <v>43730</v>
      </c>
      <c r="B528" s="3" t="s">
        <v>6</v>
      </c>
      <c r="C528" s="3" t="s">
        <v>7</v>
      </c>
      <c r="D528" s="3">
        <v>13000</v>
      </c>
      <c r="E528" s="3" t="s">
        <v>91</v>
      </c>
      <c r="F528" s="3">
        <v>10</v>
      </c>
      <c r="G528" s="3">
        <v>200</v>
      </c>
      <c r="H528" s="3">
        <v>7</v>
      </c>
    </row>
    <row r="529" spans="1:8" x14ac:dyDescent="0.3">
      <c r="A529" s="3">
        <v>43482</v>
      </c>
      <c r="B529" s="3" t="s">
        <v>12</v>
      </c>
      <c r="C529" s="3" t="s">
        <v>10</v>
      </c>
      <c r="D529" s="3">
        <v>10000</v>
      </c>
      <c r="E529" s="3" t="s">
        <v>92</v>
      </c>
      <c r="F529" s="3">
        <v>126</v>
      </c>
      <c r="G529" s="3">
        <v>1200</v>
      </c>
      <c r="H529" s="3">
        <v>3</v>
      </c>
    </row>
    <row r="530" spans="1:8" x14ac:dyDescent="0.3">
      <c r="A530" s="3">
        <v>43595</v>
      </c>
      <c r="B530" s="3" t="s">
        <v>0</v>
      </c>
      <c r="C530" s="3" t="s">
        <v>7</v>
      </c>
      <c r="D530" s="3">
        <v>125000</v>
      </c>
      <c r="E530" s="3" t="s">
        <v>92</v>
      </c>
      <c r="F530" s="3">
        <v>56</v>
      </c>
      <c r="G530" s="3">
        <v>9900</v>
      </c>
      <c r="H530" s="3">
        <v>4</v>
      </c>
    </row>
    <row r="531" spans="1:8" x14ac:dyDescent="0.3">
      <c r="A531" s="3">
        <v>43473</v>
      </c>
      <c r="B531" s="3" t="s">
        <v>2</v>
      </c>
      <c r="C531" s="3" t="s">
        <v>7</v>
      </c>
      <c r="D531" s="3">
        <v>30000</v>
      </c>
      <c r="E531" s="3" t="s">
        <v>91</v>
      </c>
      <c r="F531" s="3">
        <v>7</v>
      </c>
      <c r="G531" s="3">
        <v>4300</v>
      </c>
      <c r="H531" s="3">
        <v>0</v>
      </c>
    </row>
    <row r="532" spans="1:8" x14ac:dyDescent="0.3">
      <c r="A532" s="3">
        <v>43487</v>
      </c>
      <c r="B532" s="3" t="s">
        <v>9</v>
      </c>
      <c r="C532" s="3" t="s">
        <v>10</v>
      </c>
      <c r="D532" s="3">
        <v>25000</v>
      </c>
      <c r="E532" s="3" t="s">
        <v>92</v>
      </c>
      <c r="F532" s="3">
        <v>42</v>
      </c>
      <c r="G532" s="3">
        <v>100</v>
      </c>
      <c r="H532" s="3">
        <v>3</v>
      </c>
    </row>
    <row r="533" spans="1:8" x14ac:dyDescent="0.3">
      <c r="A533" s="3">
        <v>43681</v>
      </c>
      <c r="B533" s="3" t="s">
        <v>2</v>
      </c>
      <c r="C533" s="3" t="s">
        <v>7</v>
      </c>
      <c r="D533" s="3">
        <v>30000</v>
      </c>
      <c r="E533" s="3" t="s">
        <v>93</v>
      </c>
      <c r="F533" s="3">
        <v>7</v>
      </c>
      <c r="G533" s="3">
        <v>1400</v>
      </c>
      <c r="H533" s="3">
        <v>7</v>
      </c>
    </row>
    <row r="534" spans="1:8" x14ac:dyDescent="0.3">
      <c r="A534" s="3">
        <v>43489</v>
      </c>
      <c r="B534" s="3" t="s">
        <v>1</v>
      </c>
      <c r="C534" s="3" t="s">
        <v>7</v>
      </c>
      <c r="D534" s="3">
        <v>40000</v>
      </c>
      <c r="E534" s="3" t="s">
        <v>93</v>
      </c>
      <c r="F534" s="3">
        <v>6</v>
      </c>
      <c r="G534" s="3">
        <v>4400</v>
      </c>
      <c r="H534" s="3">
        <v>7</v>
      </c>
    </row>
    <row r="535" spans="1:8" x14ac:dyDescent="0.3">
      <c r="A535" s="3">
        <v>43829</v>
      </c>
      <c r="B535" s="3" t="s">
        <v>2</v>
      </c>
      <c r="C535" s="3" t="s">
        <v>7</v>
      </c>
      <c r="D535" s="3">
        <v>30000</v>
      </c>
      <c r="E535" s="3" t="s">
        <v>91</v>
      </c>
      <c r="F535" s="3">
        <v>7</v>
      </c>
      <c r="G535" s="3">
        <v>2700</v>
      </c>
      <c r="H535" s="3">
        <v>7</v>
      </c>
    </row>
    <row r="536" spans="1:8" x14ac:dyDescent="0.3">
      <c r="A536" s="3">
        <v>43669</v>
      </c>
      <c r="B536" s="3" t="s">
        <v>4</v>
      </c>
      <c r="C536" s="3" t="s">
        <v>7</v>
      </c>
      <c r="D536" s="3">
        <v>18000</v>
      </c>
      <c r="E536" s="3" t="s">
        <v>93</v>
      </c>
      <c r="F536" s="3">
        <v>10</v>
      </c>
      <c r="G536" s="3">
        <v>1900</v>
      </c>
      <c r="H536" s="3">
        <v>9</v>
      </c>
    </row>
    <row r="537" spans="1:8" x14ac:dyDescent="0.3">
      <c r="A537" s="3">
        <v>43734</v>
      </c>
      <c r="B537" s="3" t="s">
        <v>4</v>
      </c>
      <c r="C537" s="3" t="s">
        <v>7</v>
      </c>
      <c r="D537" s="3">
        <v>18000</v>
      </c>
      <c r="E537" s="3" t="s">
        <v>93</v>
      </c>
      <c r="F537" s="3">
        <v>8</v>
      </c>
      <c r="G537" s="3">
        <v>300</v>
      </c>
      <c r="H537" s="3">
        <v>5</v>
      </c>
    </row>
    <row r="538" spans="1:8" x14ac:dyDescent="0.3">
      <c r="A538" s="3">
        <v>43623</v>
      </c>
      <c r="B538" s="3" t="s">
        <v>5</v>
      </c>
      <c r="C538" s="3" t="s">
        <v>7</v>
      </c>
      <c r="D538" s="3">
        <v>15000</v>
      </c>
      <c r="E538" s="3" t="s">
        <v>92</v>
      </c>
      <c r="F538" s="3">
        <v>7</v>
      </c>
      <c r="G538" s="3">
        <v>500</v>
      </c>
      <c r="H538" s="3">
        <v>10</v>
      </c>
    </row>
    <row r="539" spans="1:8" x14ac:dyDescent="0.3">
      <c r="A539" s="3">
        <v>43641</v>
      </c>
      <c r="B539" s="3" t="s">
        <v>12</v>
      </c>
      <c r="C539" s="3" t="s">
        <v>10</v>
      </c>
      <c r="D539" s="3">
        <v>10000</v>
      </c>
      <c r="E539" s="3" t="s">
        <v>94</v>
      </c>
      <c r="F539" s="3">
        <v>150</v>
      </c>
      <c r="G539" s="3">
        <v>1100</v>
      </c>
      <c r="H539" s="3">
        <v>0</v>
      </c>
    </row>
    <row r="540" spans="1:8" x14ac:dyDescent="0.3">
      <c r="A540" s="3">
        <v>43595</v>
      </c>
      <c r="B540" s="3" t="s">
        <v>9</v>
      </c>
      <c r="C540" s="3" t="s">
        <v>10</v>
      </c>
      <c r="D540" s="3">
        <v>25000</v>
      </c>
      <c r="E540" s="3" t="s">
        <v>91</v>
      </c>
      <c r="F540" s="3">
        <v>49</v>
      </c>
      <c r="G540" s="3">
        <v>500</v>
      </c>
      <c r="H540" s="3">
        <v>3</v>
      </c>
    </row>
    <row r="541" spans="1:8" x14ac:dyDescent="0.3">
      <c r="A541" s="3">
        <v>43626</v>
      </c>
      <c r="B541" s="3" t="s">
        <v>5</v>
      </c>
      <c r="C541" s="3" t="s">
        <v>7</v>
      </c>
      <c r="D541" s="3">
        <v>15000</v>
      </c>
      <c r="E541" s="3" t="s">
        <v>94</v>
      </c>
      <c r="F541" s="3">
        <v>9</v>
      </c>
      <c r="G541" s="3">
        <v>0</v>
      </c>
      <c r="H541" s="3">
        <v>3</v>
      </c>
    </row>
    <row r="542" spans="1:8" x14ac:dyDescent="0.3">
      <c r="A542" s="3">
        <v>43689</v>
      </c>
      <c r="B542" s="3" t="s">
        <v>11</v>
      </c>
      <c r="C542" s="3" t="s">
        <v>10</v>
      </c>
      <c r="D542" s="3">
        <v>35000</v>
      </c>
      <c r="E542" s="3" t="s">
        <v>93</v>
      </c>
      <c r="F542" s="3">
        <v>169</v>
      </c>
      <c r="G542" s="3">
        <v>2800</v>
      </c>
      <c r="H542" s="3">
        <v>9</v>
      </c>
    </row>
    <row r="543" spans="1:8" x14ac:dyDescent="0.3">
      <c r="A543" s="3">
        <v>43788</v>
      </c>
      <c r="B543" s="3" t="s">
        <v>1</v>
      </c>
      <c r="C543" s="3" t="s">
        <v>7</v>
      </c>
      <c r="D543" s="3">
        <v>40000</v>
      </c>
      <c r="E543" s="3" t="s">
        <v>93</v>
      </c>
      <c r="F543" s="3">
        <v>6</v>
      </c>
      <c r="G543" s="3">
        <v>5500</v>
      </c>
      <c r="H543" s="3">
        <v>6</v>
      </c>
    </row>
    <row r="544" spans="1:8" x14ac:dyDescent="0.3">
      <c r="A544" s="3">
        <v>43496</v>
      </c>
      <c r="B544" s="3" t="s">
        <v>2</v>
      </c>
      <c r="C544" s="3" t="s">
        <v>7</v>
      </c>
      <c r="D544" s="3">
        <v>30000</v>
      </c>
      <c r="E544" s="3" t="s">
        <v>93</v>
      </c>
      <c r="F544" s="3">
        <v>6</v>
      </c>
      <c r="G544" s="3">
        <v>4000</v>
      </c>
      <c r="H544" s="3">
        <v>9</v>
      </c>
    </row>
    <row r="545" spans="1:8" x14ac:dyDescent="0.3">
      <c r="A545" s="3">
        <v>43766</v>
      </c>
      <c r="B545" s="3" t="s">
        <v>1</v>
      </c>
      <c r="C545" s="3" t="s">
        <v>7</v>
      </c>
      <c r="D545" s="3">
        <v>40000</v>
      </c>
      <c r="E545" s="3" t="s">
        <v>91</v>
      </c>
      <c r="F545" s="3">
        <v>6</v>
      </c>
      <c r="G545" s="3">
        <v>900</v>
      </c>
      <c r="H545" s="3">
        <v>7</v>
      </c>
    </row>
    <row r="546" spans="1:8" x14ac:dyDescent="0.3">
      <c r="A546" s="3">
        <v>43606</v>
      </c>
      <c r="B546" s="3" t="s">
        <v>2</v>
      </c>
      <c r="C546" s="3" t="s">
        <v>7</v>
      </c>
      <c r="D546" s="3">
        <v>30000</v>
      </c>
      <c r="E546" s="3" t="s">
        <v>92</v>
      </c>
      <c r="F546" s="3">
        <v>6</v>
      </c>
      <c r="G546" s="3">
        <v>3400</v>
      </c>
      <c r="H546" s="3">
        <v>4</v>
      </c>
    </row>
    <row r="547" spans="1:8" x14ac:dyDescent="0.3">
      <c r="A547" s="3">
        <v>43708</v>
      </c>
      <c r="B547" s="3" t="s">
        <v>12</v>
      </c>
      <c r="C547" s="3" t="s">
        <v>10</v>
      </c>
      <c r="D547" s="3">
        <v>10000</v>
      </c>
      <c r="E547" s="3" t="s">
        <v>93</v>
      </c>
      <c r="F547" s="3">
        <v>131</v>
      </c>
      <c r="G547" s="3">
        <v>900</v>
      </c>
      <c r="H547" s="3">
        <v>2</v>
      </c>
    </row>
    <row r="548" spans="1:8" x14ac:dyDescent="0.3">
      <c r="A548" s="3">
        <v>43526</v>
      </c>
      <c r="B548" s="3" t="s">
        <v>8</v>
      </c>
      <c r="C548" s="3" t="s">
        <v>10</v>
      </c>
      <c r="D548" s="3">
        <v>30000</v>
      </c>
      <c r="E548" s="3" t="s">
        <v>94</v>
      </c>
      <c r="F548" s="3">
        <v>35</v>
      </c>
      <c r="G548" s="3">
        <v>3700</v>
      </c>
      <c r="H548" s="3">
        <v>5</v>
      </c>
    </row>
    <row r="549" spans="1:8" x14ac:dyDescent="0.3">
      <c r="A549" s="3">
        <v>43736</v>
      </c>
      <c r="B549" s="3" t="s">
        <v>9</v>
      </c>
      <c r="C549" s="3" t="s">
        <v>10</v>
      </c>
      <c r="D549" s="3">
        <v>25000</v>
      </c>
      <c r="E549" s="3" t="s">
        <v>92</v>
      </c>
      <c r="F549" s="3">
        <v>46</v>
      </c>
      <c r="G549" s="3">
        <v>2000</v>
      </c>
      <c r="H549" s="3">
        <v>6</v>
      </c>
    </row>
    <row r="550" spans="1:8" x14ac:dyDescent="0.3">
      <c r="A550" s="3">
        <v>43805</v>
      </c>
      <c r="B550" s="3" t="s">
        <v>9</v>
      </c>
      <c r="C550" s="3" t="s">
        <v>10</v>
      </c>
      <c r="D550" s="3">
        <v>25000</v>
      </c>
      <c r="E550" s="3" t="s">
        <v>91</v>
      </c>
      <c r="F550" s="3">
        <v>46</v>
      </c>
      <c r="G550" s="3">
        <v>1000</v>
      </c>
      <c r="H550" s="3">
        <v>0</v>
      </c>
    </row>
    <row r="551" spans="1:8" x14ac:dyDescent="0.3">
      <c r="A551" s="3">
        <v>43547</v>
      </c>
      <c r="B551" s="3" t="s">
        <v>5</v>
      </c>
      <c r="C551" s="3" t="s">
        <v>7</v>
      </c>
      <c r="D551" s="3">
        <v>15000</v>
      </c>
      <c r="E551" s="3" t="s">
        <v>94</v>
      </c>
      <c r="F551" s="3">
        <v>8</v>
      </c>
      <c r="G551" s="3">
        <v>800</v>
      </c>
      <c r="H551" s="3">
        <v>0</v>
      </c>
    </row>
    <row r="552" spans="1:8" x14ac:dyDescent="0.3">
      <c r="A552" s="3">
        <v>43612</v>
      </c>
      <c r="B552" s="3" t="s">
        <v>2</v>
      </c>
      <c r="C552" s="3" t="s">
        <v>7</v>
      </c>
      <c r="D552" s="3">
        <v>30000</v>
      </c>
      <c r="E552" s="3" t="s">
        <v>91</v>
      </c>
      <c r="F552" s="3">
        <v>7</v>
      </c>
      <c r="G552" s="3">
        <v>4200</v>
      </c>
      <c r="H552" s="3">
        <v>6</v>
      </c>
    </row>
    <row r="553" spans="1:8" x14ac:dyDescent="0.3">
      <c r="A553" s="3">
        <v>43600</v>
      </c>
      <c r="B553" s="3" t="s">
        <v>1</v>
      </c>
      <c r="C553" s="3" t="s">
        <v>7</v>
      </c>
      <c r="D553" s="3">
        <v>40000</v>
      </c>
      <c r="E553" s="3" t="s">
        <v>91</v>
      </c>
      <c r="F553" s="3">
        <v>6</v>
      </c>
      <c r="G553" s="3">
        <v>2000</v>
      </c>
      <c r="H553" s="3">
        <v>7</v>
      </c>
    </row>
    <row r="554" spans="1:8" x14ac:dyDescent="0.3">
      <c r="A554" s="3">
        <v>43666</v>
      </c>
      <c r="B554" s="3" t="s">
        <v>11</v>
      </c>
      <c r="C554" s="3" t="s">
        <v>10</v>
      </c>
      <c r="D554" s="3">
        <v>35000</v>
      </c>
      <c r="E554" s="3" t="s">
        <v>93</v>
      </c>
      <c r="F554" s="3">
        <v>176</v>
      </c>
      <c r="G554" s="3">
        <v>1000</v>
      </c>
      <c r="H554" s="3">
        <v>7</v>
      </c>
    </row>
    <row r="555" spans="1:8" x14ac:dyDescent="0.3">
      <c r="A555" s="3">
        <v>43536</v>
      </c>
      <c r="B555" s="3" t="s">
        <v>11</v>
      </c>
      <c r="C555" s="3" t="s">
        <v>10</v>
      </c>
      <c r="D555" s="3">
        <v>35000</v>
      </c>
      <c r="E555" s="3" t="s">
        <v>91</v>
      </c>
      <c r="F555" s="3">
        <v>169</v>
      </c>
      <c r="G555" s="3">
        <v>4900</v>
      </c>
      <c r="H555" s="3">
        <v>8</v>
      </c>
    </row>
    <row r="556" spans="1:8" x14ac:dyDescent="0.3">
      <c r="A556" s="3">
        <v>43482</v>
      </c>
      <c r="B556" s="3" t="s">
        <v>11</v>
      </c>
      <c r="C556" s="3" t="s">
        <v>10</v>
      </c>
      <c r="D556" s="3">
        <v>35000</v>
      </c>
      <c r="E556" s="3" t="s">
        <v>94</v>
      </c>
      <c r="F556" s="3">
        <v>212</v>
      </c>
      <c r="G556" s="3">
        <v>5000</v>
      </c>
      <c r="H556" s="3">
        <v>8</v>
      </c>
    </row>
    <row r="557" spans="1:8" x14ac:dyDescent="0.3">
      <c r="A557" s="3">
        <v>43689</v>
      </c>
      <c r="B557" s="3" t="s">
        <v>11</v>
      </c>
      <c r="C557" s="3" t="s">
        <v>10</v>
      </c>
      <c r="D557" s="3">
        <v>35000</v>
      </c>
      <c r="E557" s="3" t="s">
        <v>91</v>
      </c>
      <c r="F557" s="3">
        <v>223</v>
      </c>
      <c r="G557" s="3">
        <v>1000</v>
      </c>
      <c r="H557" s="3">
        <v>5</v>
      </c>
    </row>
    <row r="558" spans="1:8" x14ac:dyDescent="0.3">
      <c r="A558" s="3">
        <v>43679</v>
      </c>
      <c r="B558" s="3" t="s">
        <v>3</v>
      </c>
      <c r="C558" s="3" t="s">
        <v>7</v>
      </c>
      <c r="D558" s="3">
        <v>20000</v>
      </c>
      <c r="E558" s="3" t="s">
        <v>93</v>
      </c>
      <c r="F558" s="3">
        <v>7</v>
      </c>
      <c r="G558" s="3">
        <v>0</v>
      </c>
      <c r="H558" s="3">
        <v>9</v>
      </c>
    </row>
    <row r="559" spans="1:8" x14ac:dyDescent="0.3">
      <c r="A559" s="3">
        <v>43757</v>
      </c>
      <c r="B559" s="3" t="s">
        <v>0</v>
      </c>
      <c r="C559" s="3" t="s">
        <v>7</v>
      </c>
      <c r="D559" s="3">
        <v>125000</v>
      </c>
      <c r="E559" s="3" t="s">
        <v>93</v>
      </c>
      <c r="F559" s="3">
        <v>48</v>
      </c>
      <c r="G559" s="3">
        <v>4300</v>
      </c>
      <c r="H559" s="3">
        <v>7</v>
      </c>
    </row>
    <row r="560" spans="1:8" x14ac:dyDescent="0.3">
      <c r="A560" s="3">
        <v>43709</v>
      </c>
      <c r="B560" s="3" t="s">
        <v>12</v>
      </c>
      <c r="C560" s="3" t="s">
        <v>10</v>
      </c>
      <c r="D560" s="3">
        <v>10000</v>
      </c>
      <c r="E560" s="3" t="s">
        <v>91</v>
      </c>
      <c r="F560" s="3">
        <v>147</v>
      </c>
      <c r="G560" s="3">
        <v>100</v>
      </c>
      <c r="H560" s="3">
        <v>3</v>
      </c>
    </row>
    <row r="561" spans="1:8" x14ac:dyDescent="0.3">
      <c r="A561" s="3">
        <v>43569</v>
      </c>
      <c r="B561" s="3" t="s">
        <v>6</v>
      </c>
      <c r="C561" s="3" t="s">
        <v>7</v>
      </c>
      <c r="D561" s="3">
        <v>13000</v>
      </c>
      <c r="E561" s="3" t="s">
        <v>94</v>
      </c>
      <c r="F561" s="3">
        <v>7</v>
      </c>
      <c r="G561" s="3">
        <v>1100</v>
      </c>
      <c r="H561" s="3">
        <v>2</v>
      </c>
    </row>
    <row r="562" spans="1:8" x14ac:dyDescent="0.3">
      <c r="A562" s="3">
        <v>43826</v>
      </c>
      <c r="B562" s="3" t="s">
        <v>11</v>
      </c>
      <c r="C562" s="3" t="s">
        <v>10</v>
      </c>
      <c r="D562" s="3">
        <v>35000</v>
      </c>
      <c r="E562" s="3" t="s">
        <v>92</v>
      </c>
      <c r="F562" s="3">
        <v>176</v>
      </c>
      <c r="G562" s="3">
        <v>3800</v>
      </c>
      <c r="H562" s="3">
        <v>0</v>
      </c>
    </row>
    <row r="563" spans="1:8" x14ac:dyDescent="0.3">
      <c r="A563" s="3">
        <v>43730</v>
      </c>
      <c r="B563" s="3" t="s">
        <v>9</v>
      </c>
      <c r="C563" s="3" t="s">
        <v>10</v>
      </c>
      <c r="D563" s="3">
        <v>25000</v>
      </c>
      <c r="E563" s="3" t="s">
        <v>92</v>
      </c>
      <c r="F563" s="3">
        <v>44</v>
      </c>
      <c r="G563" s="3">
        <v>1900</v>
      </c>
      <c r="H563" s="3">
        <v>2</v>
      </c>
    </row>
    <row r="564" spans="1:8" x14ac:dyDescent="0.3">
      <c r="A564" s="3">
        <v>43648</v>
      </c>
      <c r="B564" s="3" t="s">
        <v>9</v>
      </c>
      <c r="C564" s="3" t="s">
        <v>10</v>
      </c>
      <c r="D564" s="3">
        <v>25000</v>
      </c>
      <c r="E564" s="3" t="s">
        <v>92</v>
      </c>
      <c r="F564" s="3">
        <v>55</v>
      </c>
      <c r="G564" s="3">
        <v>2000</v>
      </c>
      <c r="H564" s="3">
        <v>9</v>
      </c>
    </row>
    <row r="565" spans="1:8" x14ac:dyDescent="0.3">
      <c r="A565" s="3">
        <v>43785</v>
      </c>
      <c r="B565" s="3" t="s">
        <v>11</v>
      </c>
      <c r="C565" s="3" t="s">
        <v>10</v>
      </c>
      <c r="D565" s="3">
        <v>35000</v>
      </c>
      <c r="E565" s="3" t="s">
        <v>92</v>
      </c>
      <c r="F565" s="3">
        <v>207</v>
      </c>
      <c r="G565" s="3">
        <v>4300</v>
      </c>
      <c r="H565" s="3">
        <v>6</v>
      </c>
    </row>
    <row r="566" spans="1:8" x14ac:dyDescent="0.3">
      <c r="A566" s="3">
        <v>43819</v>
      </c>
      <c r="B566" s="3" t="s">
        <v>3</v>
      </c>
      <c r="C566" s="3" t="s">
        <v>7</v>
      </c>
      <c r="D566" s="3">
        <v>20000</v>
      </c>
      <c r="E566" s="3" t="s">
        <v>93</v>
      </c>
      <c r="F566" s="3">
        <v>6</v>
      </c>
      <c r="G566" s="3">
        <v>2400</v>
      </c>
      <c r="H566" s="3">
        <v>2</v>
      </c>
    </row>
    <row r="567" spans="1:8" x14ac:dyDescent="0.3">
      <c r="A567" s="3">
        <v>43472</v>
      </c>
      <c r="B567" s="3" t="s">
        <v>2</v>
      </c>
      <c r="C567" s="3" t="s">
        <v>7</v>
      </c>
      <c r="D567" s="3">
        <v>30000</v>
      </c>
      <c r="E567" s="3" t="s">
        <v>92</v>
      </c>
      <c r="F567" s="3">
        <v>6</v>
      </c>
      <c r="G567" s="3">
        <v>3200</v>
      </c>
      <c r="H567" s="3">
        <v>9</v>
      </c>
    </row>
    <row r="568" spans="1:8" x14ac:dyDescent="0.3">
      <c r="A568" s="3">
        <v>43540</v>
      </c>
      <c r="B568" s="3" t="s">
        <v>5</v>
      </c>
      <c r="C568" s="3" t="s">
        <v>7</v>
      </c>
      <c r="D568" s="3">
        <v>15000</v>
      </c>
      <c r="E568" s="3" t="s">
        <v>91</v>
      </c>
      <c r="F568" s="3">
        <v>7</v>
      </c>
      <c r="G568" s="3">
        <v>200</v>
      </c>
      <c r="H568" s="3">
        <v>0</v>
      </c>
    </row>
    <row r="569" spans="1:8" x14ac:dyDescent="0.3">
      <c r="A569" s="3">
        <v>43635</v>
      </c>
      <c r="B569" s="3" t="s">
        <v>11</v>
      </c>
      <c r="C569" s="3" t="s">
        <v>10</v>
      </c>
      <c r="D569" s="3">
        <v>35000</v>
      </c>
      <c r="E569" s="3" t="s">
        <v>92</v>
      </c>
      <c r="F569" s="3">
        <v>214</v>
      </c>
      <c r="G569" s="3">
        <v>3600</v>
      </c>
      <c r="H569" s="3">
        <v>5</v>
      </c>
    </row>
    <row r="570" spans="1:8" x14ac:dyDescent="0.3">
      <c r="A570" s="3">
        <v>43536</v>
      </c>
      <c r="B570" s="3" t="s">
        <v>11</v>
      </c>
      <c r="C570" s="3" t="s">
        <v>10</v>
      </c>
      <c r="D570" s="3">
        <v>35000</v>
      </c>
      <c r="E570" s="3" t="s">
        <v>94</v>
      </c>
      <c r="F570" s="3">
        <v>172</v>
      </c>
      <c r="G570" s="3">
        <v>900</v>
      </c>
      <c r="H570" s="3">
        <v>9</v>
      </c>
    </row>
    <row r="571" spans="1:8" x14ac:dyDescent="0.3">
      <c r="A571" s="3">
        <v>43828</v>
      </c>
      <c r="B571" s="3" t="s">
        <v>6</v>
      </c>
      <c r="C571" s="3" t="s">
        <v>7</v>
      </c>
      <c r="D571" s="3">
        <v>13000</v>
      </c>
      <c r="E571" s="3" t="s">
        <v>92</v>
      </c>
      <c r="F571" s="3">
        <v>9</v>
      </c>
      <c r="G571" s="3">
        <v>800</v>
      </c>
      <c r="H571" s="3">
        <v>3</v>
      </c>
    </row>
    <row r="572" spans="1:8" x14ac:dyDescent="0.3">
      <c r="A572" s="3">
        <v>43486</v>
      </c>
      <c r="B572" s="3" t="s">
        <v>3</v>
      </c>
      <c r="C572" s="3" t="s">
        <v>7</v>
      </c>
      <c r="D572" s="3">
        <v>20000</v>
      </c>
      <c r="E572" s="3" t="s">
        <v>93</v>
      </c>
      <c r="F572" s="3">
        <v>6</v>
      </c>
      <c r="G572" s="3">
        <v>2700</v>
      </c>
      <c r="H572" s="3">
        <v>3</v>
      </c>
    </row>
    <row r="573" spans="1:8" x14ac:dyDescent="0.3">
      <c r="A573" s="3">
        <v>43565</v>
      </c>
      <c r="B573" s="3" t="s">
        <v>11</v>
      </c>
      <c r="C573" s="3" t="s">
        <v>10</v>
      </c>
      <c r="D573" s="3">
        <v>35000</v>
      </c>
      <c r="E573" s="3" t="s">
        <v>93</v>
      </c>
      <c r="F573" s="3">
        <v>205</v>
      </c>
      <c r="G573" s="3">
        <v>3700</v>
      </c>
      <c r="H573" s="3">
        <v>6</v>
      </c>
    </row>
    <row r="574" spans="1:8" x14ac:dyDescent="0.3">
      <c r="A574" s="3">
        <v>43695</v>
      </c>
      <c r="B574" s="3" t="s">
        <v>1</v>
      </c>
      <c r="C574" s="3" t="s">
        <v>7</v>
      </c>
      <c r="D574" s="3">
        <v>40000</v>
      </c>
      <c r="E574" s="3" t="s">
        <v>94</v>
      </c>
      <c r="F574" s="3">
        <v>7</v>
      </c>
      <c r="G574" s="3">
        <v>1500</v>
      </c>
      <c r="H574" s="3">
        <v>8</v>
      </c>
    </row>
    <row r="575" spans="1:8" x14ac:dyDescent="0.3">
      <c r="A575" s="3">
        <v>43615</v>
      </c>
      <c r="B575" s="3" t="s">
        <v>3</v>
      </c>
      <c r="C575" s="3" t="s">
        <v>7</v>
      </c>
      <c r="D575" s="3">
        <v>20000</v>
      </c>
      <c r="E575" s="3" t="s">
        <v>93</v>
      </c>
      <c r="F575" s="3">
        <v>7</v>
      </c>
      <c r="G575" s="3">
        <v>2900</v>
      </c>
      <c r="H575" s="3">
        <v>0</v>
      </c>
    </row>
    <row r="576" spans="1:8" x14ac:dyDescent="0.3">
      <c r="A576" s="3">
        <v>43509</v>
      </c>
      <c r="B576" s="3" t="s">
        <v>12</v>
      </c>
      <c r="C576" s="3" t="s">
        <v>10</v>
      </c>
      <c r="D576" s="3">
        <v>10000</v>
      </c>
      <c r="E576" s="3" t="s">
        <v>93</v>
      </c>
      <c r="F576" s="3">
        <v>155</v>
      </c>
      <c r="G576" s="3">
        <v>100</v>
      </c>
      <c r="H576" s="3">
        <v>6</v>
      </c>
    </row>
    <row r="577" spans="1:8" x14ac:dyDescent="0.3">
      <c r="A577" s="3">
        <v>43725</v>
      </c>
      <c r="B577" s="3" t="s">
        <v>4</v>
      </c>
      <c r="C577" s="3" t="s">
        <v>7</v>
      </c>
      <c r="D577" s="3">
        <v>18000</v>
      </c>
      <c r="E577" s="3" t="s">
        <v>93</v>
      </c>
      <c r="F577" s="3">
        <v>8</v>
      </c>
      <c r="G577" s="3">
        <v>400</v>
      </c>
      <c r="H577" s="3">
        <v>7</v>
      </c>
    </row>
    <row r="578" spans="1:8" x14ac:dyDescent="0.3">
      <c r="A578" s="3">
        <v>43726</v>
      </c>
      <c r="B578" s="3" t="s">
        <v>1</v>
      </c>
      <c r="C578" s="3" t="s">
        <v>7</v>
      </c>
      <c r="D578" s="3">
        <v>40000</v>
      </c>
      <c r="E578" s="3" t="s">
        <v>91</v>
      </c>
      <c r="F578" s="3">
        <v>5</v>
      </c>
      <c r="G578" s="3">
        <v>600</v>
      </c>
      <c r="H578" s="3">
        <v>3</v>
      </c>
    </row>
    <row r="579" spans="1:8" x14ac:dyDescent="0.3">
      <c r="A579" s="3">
        <v>43469</v>
      </c>
      <c r="B579" s="3" t="s">
        <v>2</v>
      </c>
      <c r="C579" s="3" t="s">
        <v>7</v>
      </c>
      <c r="D579" s="3">
        <v>30000</v>
      </c>
      <c r="E579" s="3" t="s">
        <v>93</v>
      </c>
      <c r="F579" s="3">
        <v>5</v>
      </c>
      <c r="G579" s="3">
        <v>4400</v>
      </c>
      <c r="H579" s="3">
        <v>0</v>
      </c>
    </row>
    <row r="580" spans="1:8" x14ac:dyDescent="0.3">
      <c r="A580" s="3">
        <v>43691</v>
      </c>
      <c r="B580" s="3" t="s">
        <v>4</v>
      </c>
      <c r="C580" s="3" t="s">
        <v>7</v>
      </c>
      <c r="D580" s="3">
        <v>18000</v>
      </c>
      <c r="E580" s="3" t="s">
        <v>91</v>
      </c>
      <c r="F580" s="3">
        <v>7</v>
      </c>
      <c r="G580" s="3">
        <v>400</v>
      </c>
      <c r="H580" s="3">
        <v>1</v>
      </c>
    </row>
    <row r="581" spans="1:8" x14ac:dyDescent="0.3">
      <c r="A581" s="3">
        <v>43804</v>
      </c>
      <c r="B581" s="3" t="s">
        <v>1</v>
      </c>
      <c r="C581" s="3" t="s">
        <v>7</v>
      </c>
      <c r="D581" s="3">
        <v>40000</v>
      </c>
      <c r="E581" s="3" t="s">
        <v>92</v>
      </c>
      <c r="F581" s="3">
        <v>5</v>
      </c>
      <c r="G581" s="3">
        <v>3600</v>
      </c>
      <c r="H581" s="3">
        <v>1</v>
      </c>
    </row>
    <row r="582" spans="1:8" x14ac:dyDescent="0.3">
      <c r="A582" s="3">
        <v>43759</v>
      </c>
      <c r="B582" s="3" t="s">
        <v>9</v>
      </c>
      <c r="C582" s="3" t="s">
        <v>10</v>
      </c>
      <c r="D582" s="3">
        <v>25000</v>
      </c>
      <c r="E582" s="3" t="s">
        <v>94</v>
      </c>
      <c r="F582" s="3">
        <v>45</v>
      </c>
      <c r="G582" s="3">
        <v>3300</v>
      </c>
      <c r="H582" s="3">
        <v>7</v>
      </c>
    </row>
    <row r="583" spans="1:8" x14ac:dyDescent="0.3">
      <c r="A583" s="3">
        <v>43734</v>
      </c>
      <c r="B583" s="3" t="s">
        <v>1</v>
      </c>
      <c r="C583" s="3" t="s">
        <v>7</v>
      </c>
      <c r="D583" s="3">
        <v>40000</v>
      </c>
      <c r="E583" s="3" t="s">
        <v>92</v>
      </c>
      <c r="F583" s="3">
        <v>6</v>
      </c>
      <c r="G583" s="3">
        <v>4300</v>
      </c>
      <c r="H583" s="3">
        <v>5</v>
      </c>
    </row>
    <row r="584" spans="1:8" x14ac:dyDescent="0.3">
      <c r="A584" s="3">
        <v>43606</v>
      </c>
      <c r="B584" s="3" t="s">
        <v>8</v>
      </c>
      <c r="C584" s="3" t="s">
        <v>10</v>
      </c>
      <c r="D584" s="3">
        <v>30000</v>
      </c>
      <c r="E584" s="3" t="s">
        <v>92</v>
      </c>
      <c r="F584" s="3">
        <v>36</v>
      </c>
      <c r="G584" s="3">
        <v>600</v>
      </c>
      <c r="H584" s="3">
        <v>3</v>
      </c>
    </row>
    <row r="585" spans="1:8" x14ac:dyDescent="0.3">
      <c r="A585" s="3">
        <v>43600</v>
      </c>
      <c r="B585" s="3" t="s">
        <v>0</v>
      </c>
      <c r="C585" s="3" t="s">
        <v>7</v>
      </c>
      <c r="D585" s="3">
        <v>125000</v>
      </c>
      <c r="E585" s="3" t="s">
        <v>94</v>
      </c>
      <c r="F585" s="3">
        <v>53</v>
      </c>
      <c r="G585" s="3">
        <v>5400</v>
      </c>
      <c r="H585" s="3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opLeftCell="A10" zoomScale="85" workbookViewId="0">
      <selection activeCell="O39" sqref="O39"/>
    </sheetView>
  </sheetViews>
  <sheetFormatPr baseColWidth="10" defaultColWidth="11.44140625" defaultRowHeight="14.4" x14ac:dyDescent="0.3"/>
  <cols>
    <col min="1" max="2" width="11.44140625" style="5"/>
    <col min="3" max="3" width="20" style="5" bestFit="1" customWidth="1"/>
    <col min="4" max="4" width="21.44140625" style="5" bestFit="1" customWidth="1"/>
    <col min="5" max="5" width="18" style="5" bestFit="1" customWidth="1"/>
    <col min="6" max="16384" width="11.44140625" style="5"/>
  </cols>
  <sheetData>
    <row r="1" spans="1:13" x14ac:dyDescent="0.3">
      <c r="A1" s="9" t="s">
        <v>35</v>
      </c>
    </row>
    <row r="3" spans="1:13" x14ac:dyDescent="0.3">
      <c r="A3" s="7" t="s">
        <v>104</v>
      </c>
      <c r="F3" s="10" t="s">
        <v>96</v>
      </c>
    </row>
    <row r="4" spans="1:13" x14ac:dyDescent="0.3">
      <c r="F4" s="10" t="s">
        <v>42</v>
      </c>
    </row>
    <row r="5" spans="1:13" x14ac:dyDescent="0.3">
      <c r="B5" s="6" t="s">
        <v>14</v>
      </c>
      <c r="C5" s="6" t="s">
        <v>36</v>
      </c>
      <c r="D5" s="6" t="s">
        <v>44</v>
      </c>
      <c r="F5" s="10" t="s">
        <v>90</v>
      </c>
      <c r="M5" s="5" t="s">
        <v>156</v>
      </c>
    </row>
    <row r="6" spans="1:13" x14ac:dyDescent="0.3">
      <c r="B6" s="3" t="s">
        <v>94</v>
      </c>
      <c r="C6" s="8">
        <f>SUMIF('Datos Introducción'!$E$2:$E$585,Introducción!B6,'Datos Introducción'!G2:G585)</f>
        <v>308100</v>
      </c>
      <c r="D6" s="8">
        <f>AVERAGEIF('Datos Introducción'!$E$2:$E$585,Introducción!B6,'Datos Introducción'!$H$2:$H$585)</f>
        <v>5.1472868217054266</v>
      </c>
      <c r="F6" s="10" t="s">
        <v>89</v>
      </c>
    </row>
    <row r="7" spans="1:13" x14ac:dyDescent="0.3">
      <c r="B7" s="3" t="s">
        <v>92</v>
      </c>
      <c r="C7" s="8">
        <f>SUMIF('Datos Introducción'!$E$2:$E$585,Introducción!B7,'Datos Introducción'!G3:G586)</f>
        <v>314800</v>
      </c>
      <c r="D7" s="8">
        <f>AVERAGEIF('Datos Introducción'!$E$2:$E$585,Introducción!B7,'Datos Introducción'!$H$2:$H$585)</f>
        <v>4.7744360902255636</v>
      </c>
      <c r="F7" s="10" t="s">
        <v>103</v>
      </c>
    </row>
    <row r="8" spans="1:13" x14ac:dyDescent="0.3">
      <c r="B8" s="3" t="s">
        <v>91</v>
      </c>
      <c r="C8" s="8">
        <f>SUMIF('Datos Introducción'!$E$2:$E$585,Introducción!B8,'Datos Introducción'!G4:G587)</f>
        <v>343000</v>
      </c>
      <c r="D8" s="8">
        <f>AVERAGEIF('Datos Introducción'!$E$2:$E$585,Introducción!B8,'Datos Introducción'!$H$2:$H$585)</f>
        <v>4.8366013071895422</v>
      </c>
    </row>
    <row r="9" spans="1:13" x14ac:dyDescent="0.3">
      <c r="B9" s="3" t="s">
        <v>93</v>
      </c>
      <c r="C9" s="8">
        <f>SUMIF('Datos Introducción'!$E$2:$E$585,Introducción!B9,'Datos Introducción'!G5:G588)</f>
        <v>369000</v>
      </c>
      <c r="D9" s="8">
        <f>AVERAGEIF('Datos Introducción'!$E$2:$E$585,Introducción!B9,'Datos Introducción'!$H$2:$H$585)</f>
        <v>5.2485207100591715</v>
      </c>
    </row>
    <row r="12" spans="1:13" x14ac:dyDescent="0.3">
      <c r="A12" s="7" t="s">
        <v>43</v>
      </c>
    </row>
    <row r="14" spans="1:13" x14ac:dyDescent="0.3">
      <c r="B14" s="6" t="s">
        <v>16</v>
      </c>
      <c r="C14" s="6" t="s">
        <v>97</v>
      </c>
      <c r="D14" s="6" t="s">
        <v>98</v>
      </c>
      <c r="E14" s="6" t="s">
        <v>99</v>
      </c>
      <c r="G14" s="10" t="s">
        <v>45</v>
      </c>
    </row>
    <row r="15" spans="1:13" x14ac:dyDescent="0.3">
      <c r="B15" s="6">
        <v>1</v>
      </c>
      <c r="C15" s="8" cm="1">
        <f t="array" ref="C15">AVERAGE(IF(IF($B15=MONTH('Datos Introducción'!$A$2:$A$585),1,0),'Datos Introducción'!$F$2:$F$585,""))</f>
        <v>39.551724137931032</v>
      </c>
      <c r="D15" s="8" cm="1">
        <f t="array" ref="D15">AVERAGE(IF(IF($B15=MONTH('Datos Introducción'!$A$2:$A$585),1,0),'Datos Introducción'!$H$2:$H$585,""))</f>
        <v>5.1034482758620694</v>
      </c>
      <c r="E15" s="8" cm="1">
        <f t="array" ref="E15">AVERAGE(IF(IF($B15=MONTH('Datos Introducción'!$A$2:$A$585),1,0),'Datos Introducción'!$G$2:$G$585,""))</f>
        <v>2672.4137931034484</v>
      </c>
      <c r="G15" s="10" t="s">
        <v>46</v>
      </c>
    </row>
    <row r="16" spans="1:13" x14ac:dyDescent="0.3">
      <c r="B16" s="6">
        <v>2</v>
      </c>
      <c r="C16" s="8" cm="1">
        <f t="array" ref="C16">AVERAGE(IF(IF($B16=MONTH('Datos Introducción'!$A$2:$A$585),1,0),'Datos Introducción'!$F$2:$F$585,""))</f>
        <v>37</v>
      </c>
      <c r="D16" s="8" cm="1">
        <f t="array" ref="D16">AVERAGE(IF(IF($B16=MONTH('Datos Introducción'!$A$2:$A$585),1,0),'Datos Introducción'!$H$2:$H$585,""))</f>
        <v>5.25</v>
      </c>
      <c r="E16" s="8" cm="1">
        <f t="array" ref="E16">AVERAGE(IF(IF($B16=MONTH('Datos Introducción'!$A$2:$A$585),1,0),'Datos Introducción'!$G$2:$G$585,""))</f>
        <v>1902.7777777777778</v>
      </c>
      <c r="G16" s="10" t="s">
        <v>47</v>
      </c>
    </row>
    <row r="17" spans="2:7" x14ac:dyDescent="0.3">
      <c r="B17" s="6">
        <v>3</v>
      </c>
      <c r="C17" s="8" cm="1">
        <f t="array" ref="C17">AVERAGE(IF(IF($B17=MONTH('Datos Introducción'!$A$2:$A$585),1,0),'Datos Introducción'!$F$2:$F$585,""))</f>
        <v>63.108695652173914</v>
      </c>
      <c r="D17" s="8" cm="1">
        <f t="array" ref="D17">AVERAGE(IF(IF($B17=MONTH('Datos Introducción'!$A$2:$A$585),1,0),'Datos Introducción'!$H$2:$H$585,""))</f>
        <v>4.3913043478260869</v>
      </c>
      <c r="E17" s="8" cm="1">
        <f t="array" ref="E17">AVERAGE(IF(IF($B17=MONTH('Datos Introducción'!$A$2:$A$585),1,0),'Datos Introducción'!$G$2:$G$585,""))</f>
        <v>2589.1304347826085</v>
      </c>
      <c r="G17" s="10" t="s">
        <v>48</v>
      </c>
    </row>
    <row r="18" spans="2:7" x14ac:dyDescent="0.3">
      <c r="B18" s="6">
        <v>4</v>
      </c>
      <c r="C18" s="8" cm="1">
        <f t="array" ref="C18">AVERAGE(IF(IF($B18=MONTH('Datos Introducción'!$A$2:$A$585),1,0),'Datos Introducción'!$F$2:$F$585,""))</f>
        <v>59.46551724137931</v>
      </c>
      <c r="D18" s="8" cm="1">
        <f t="array" ref="D18">AVERAGE(IF(IF($B18=MONTH('Datos Introducción'!$A$2:$A$585),1,0),'Datos Introducción'!$H$2:$H$585,""))</f>
        <v>5</v>
      </c>
      <c r="E18" s="8" cm="1">
        <f t="array" ref="E18">AVERAGE(IF(IF($B18=MONTH('Datos Introducción'!$A$2:$A$585),1,0),'Datos Introducción'!$G$2:$G$585,""))</f>
        <v>1803.4482758620691</v>
      </c>
      <c r="G18" s="10" t="s">
        <v>100</v>
      </c>
    </row>
    <row r="19" spans="2:7" x14ac:dyDescent="0.3">
      <c r="B19" s="6">
        <v>5</v>
      </c>
      <c r="C19" s="8" cm="1">
        <f t="array" ref="C19">AVERAGE(IF(IF($B19=MONTH('Datos Introducción'!$A$2:$A$585),1,0),'Datos Introducción'!$F$2:$F$585,""))</f>
        <v>35.212765957446805</v>
      </c>
      <c r="D19" s="8" cm="1">
        <f t="array" ref="D19">AVERAGE(IF(IF($B19=MONTH('Datos Introducción'!$A$2:$A$585),1,0),'Datos Introducción'!$H$2:$H$585,""))</f>
        <v>5.2978723404255321</v>
      </c>
      <c r="E19" s="8" cm="1">
        <f t="array" ref="E19">AVERAGE(IF(IF($B19=MONTH('Datos Introducción'!$A$2:$A$585),1,0),'Datos Introducción'!$G$2:$G$585,""))</f>
        <v>2176.5957446808511</v>
      </c>
      <c r="G19" s="10" t="s">
        <v>101</v>
      </c>
    </row>
    <row r="20" spans="2:7" x14ac:dyDescent="0.3">
      <c r="B20" s="6">
        <v>6</v>
      </c>
      <c r="C20" s="8" cm="1">
        <f t="array" ref="C20">AVERAGE(IF(IF($B20=MONTH('Datos Introducción'!$A$2:$A$585),1,0),'Datos Introducción'!$F$2:$F$585,""))</f>
        <v>60.625</v>
      </c>
      <c r="D20" s="8" cm="1">
        <f t="array" ref="D20">AVERAGE(IF(IF($B20=MONTH('Datos Introducción'!$A$2:$A$585),1,0),'Datos Introducción'!$H$2:$H$585,""))</f>
        <v>4.8</v>
      </c>
      <c r="E20" s="8" cm="1">
        <f t="array" ref="E20">AVERAGE(IF(IF($B20=MONTH('Datos Introducción'!$A$2:$A$585),1,0),'Datos Introducción'!$G$2:$G$585,""))</f>
        <v>2587.5</v>
      </c>
      <c r="G20" s="10" t="s">
        <v>102</v>
      </c>
    </row>
    <row r="21" spans="2:7" x14ac:dyDescent="0.3">
      <c r="B21" s="6">
        <v>7</v>
      </c>
      <c r="C21" s="8" cm="1">
        <f t="array" ref="C21">AVERAGE(IF(IF($B21=MONTH('Datos Introducción'!$A$2:$A$585),1,0),'Datos Introducción'!$F$2:$F$585,""))</f>
        <v>33.477272727272727</v>
      </c>
      <c r="D21" s="8" cm="1">
        <f t="array" ref="D21">AVERAGE(IF(IF($B21=MONTH('Datos Introducción'!$A$2:$A$585),1,0),'Datos Introducción'!$H$2:$H$585,""))</f>
        <v>4.9772727272727275</v>
      </c>
      <c r="E21" s="8" cm="1">
        <f t="array" ref="E21">AVERAGE(IF(IF($B21=MONTH('Datos Introducción'!$A$2:$A$585),1,0),'Datos Introducción'!$G$2:$G$585,""))</f>
        <v>2706.818181818182</v>
      </c>
    </row>
    <row r="22" spans="2:7" x14ac:dyDescent="0.3">
      <c r="B22" s="6">
        <v>8</v>
      </c>
      <c r="C22" s="8" cm="1">
        <f t="array" ref="C22">AVERAGE(IF(IF($B22=MONTH('Datos Introducción'!$A$2:$A$585),1,0),'Datos Introducción'!$F$2:$F$585,""))</f>
        <v>57.75</v>
      </c>
      <c r="D22" s="8" cm="1">
        <f t="array" ref="D22">AVERAGE(IF(IF($B22=MONTH('Datos Introducción'!$A$2:$A$585),1,0),'Datos Introducción'!$H$2:$H$585,""))</f>
        <v>4.8</v>
      </c>
      <c r="E22" s="8" cm="1">
        <f t="array" ref="E22">AVERAGE(IF(IF($B22=MONTH('Datos Introducción'!$A$2:$A$585),1,0),'Datos Introducción'!$G$2:$G$585,""))</f>
        <v>2168.3333333333335</v>
      </c>
    </row>
    <row r="23" spans="2:7" x14ac:dyDescent="0.3">
      <c r="B23" s="6">
        <v>9</v>
      </c>
      <c r="C23" s="8" cm="1">
        <f t="array" ref="C23">AVERAGE(IF(IF($B23=MONTH('Datos Introducción'!$A$2:$A$585),1,0),'Datos Introducción'!$F$2:$F$585,""))</f>
        <v>36.511111111111113</v>
      </c>
      <c r="D23" s="8" cm="1">
        <f t="array" ref="D23">AVERAGE(IF(IF($B23=MONTH('Datos Introducción'!$A$2:$A$585),1,0),'Datos Introducción'!$H$2:$H$585,""))</f>
        <v>4.6444444444444448</v>
      </c>
      <c r="E23" s="8" cm="1">
        <f t="array" ref="E23">AVERAGE(IF(IF($B23=MONTH('Datos Introducción'!$A$2:$A$585),1,0),'Datos Introducción'!$G$2:$G$585,""))</f>
        <v>2060</v>
      </c>
    </row>
    <row r="24" spans="2:7" x14ac:dyDescent="0.3">
      <c r="B24" s="6">
        <v>10</v>
      </c>
      <c r="C24" s="8" cm="1">
        <f t="array" ref="C24">AVERAGE(IF(IF($B24=MONTH('Datos Introducción'!$A$2:$A$585),1,0),'Datos Introducción'!$F$2:$F$585,""))</f>
        <v>47.434782608695649</v>
      </c>
      <c r="D24" s="8" cm="1">
        <f t="array" ref="D24">AVERAGE(IF(IF($B24=MONTH('Datos Introducción'!$A$2:$A$585),1,0),'Datos Introducción'!$H$2:$H$585,""))</f>
        <v>5.3043478260869561</v>
      </c>
      <c r="E24" s="8" cm="1">
        <f t="array" ref="E24">AVERAGE(IF(IF($B24=MONTH('Datos Introducción'!$A$2:$A$585),1,0),'Datos Introducción'!$G$2:$G$585,""))</f>
        <v>2330.4347826086955</v>
      </c>
    </row>
    <row r="25" spans="2:7" x14ac:dyDescent="0.3">
      <c r="B25" s="6">
        <v>11</v>
      </c>
      <c r="C25" s="8" cm="1">
        <f t="array" ref="C25">AVERAGE(IF(IF($B25=MONTH('Datos Introducción'!$A$2:$A$585),1,0),'Datos Introducción'!$F$2:$F$585,""))</f>
        <v>57.863636363636367</v>
      </c>
      <c r="D25" s="8" cm="1">
        <f t="array" ref="D25">AVERAGE(IF(IF($B25=MONTH('Datos Introducción'!$A$2:$A$585),1,0),'Datos Introducción'!$H$2:$H$585,""))</f>
        <v>5.1363636363636367</v>
      </c>
      <c r="E25" s="8" cm="1">
        <f t="array" ref="E25">AVERAGE(IF(IF($B25=MONTH('Datos Introducción'!$A$2:$A$585),1,0),'Datos Introducción'!$G$2:$G$585,""))</f>
        <v>3015.909090909091</v>
      </c>
    </row>
    <row r="26" spans="2:7" x14ac:dyDescent="0.3">
      <c r="B26" s="6">
        <v>12</v>
      </c>
      <c r="C26" s="8" cm="1">
        <f t="array" ref="C26">AVERAGE(IF(IF($B26=MONTH('Datos Introducción'!$A$2:$A$585),1,0),'Datos Introducción'!$F$2:$F$585,""))</f>
        <v>49.733333333333334</v>
      </c>
      <c r="D26" s="8" cm="1">
        <f t="array" ref="D26">AVERAGE(IF(IF($B26=MONTH('Datos Introducción'!$A$2:$A$585),1,0),'Datos Introducción'!$H$2:$H$585,""))</f>
        <v>5.3666666666666663</v>
      </c>
      <c r="E26" s="8" cm="1">
        <f t="array" ref="E26">AVERAGE(IF(IF($B26=MONTH('Datos Introducción'!$A$2:$A$585),1,0),'Datos Introducción'!$G$2:$G$585,""))</f>
        <v>1900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0"/>
  <sheetViews>
    <sheetView showGridLines="0" zoomScale="84" workbookViewId="0">
      <selection activeCell="A79" sqref="A79:C90"/>
    </sheetView>
  </sheetViews>
  <sheetFormatPr baseColWidth="10" defaultRowHeight="14.4" x14ac:dyDescent="0.3"/>
  <cols>
    <col min="1" max="1" width="11.44140625" style="5"/>
    <col min="2" max="2" width="14.33203125" style="5" bestFit="1" customWidth="1"/>
    <col min="3" max="3" width="16.88671875" style="5" bestFit="1" customWidth="1"/>
    <col min="4" max="4" width="14.5546875" style="5" bestFit="1" customWidth="1"/>
    <col min="5" max="5" width="11.109375" style="5" bestFit="1" customWidth="1"/>
  </cols>
  <sheetData>
    <row r="1" spans="1:6" x14ac:dyDescent="0.3">
      <c r="A1" s="9" t="s">
        <v>76</v>
      </c>
    </row>
    <row r="2" spans="1:6" x14ac:dyDescent="0.3">
      <c r="A2" s="7" t="s">
        <v>49</v>
      </c>
    </row>
    <row r="3" spans="1:6" x14ac:dyDescent="0.3">
      <c r="B3" s="5" t="s">
        <v>52</v>
      </c>
      <c r="C3" s="5" t="s">
        <v>51</v>
      </c>
      <c r="D3" s="5" t="s">
        <v>52</v>
      </c>
      <c r="F3" t="s">
        <v>95</v>
      </c>
    </row>
    <row r="4" spans="1:6" x14ac:dyDescent="0.3">
      <c r="B4" s="6" t="s">
        <v>13</v>
      </c>
      <c r="C4" s="6" t="s">
        <v>50</v>
      </c>
      <c r="D4" s="6" t="s">
        <v>53</v>
      </c>
      <c r="F4" t="s">
        <v>54</v>
      </c>
    </row>
    <row r="5" spans="1:6" x14ac:dyDescent="0.3">
      <c r="B5" s="8"/>
      <c r="C5" s="11"/>
      <c r="D5" s="8"/>
      <c r="F5" t="s">
        <v>55</v>
      </c>
    </row>
    <row r="6" spans="1:6" x14ac:dyDescent="0.3">
      <c r="B6" s="8"/>
      <c r="C6" s="11"/>
      <c r="D6" s="8"/>
    </row>
    <row r="7" spans="1:6" x14ac:dyDescent="0.3">
      <c r="B7" s="8"/>
      <c r="C7" s="11"/>
      <c r="D7" s="8"/>
    </row>
    <row r="8" spans="1:6" x14ac:dyDescent="0.3">
      <c r="B8" s="8"/>
      <c r="C8" s="11"/>
      <c r="D8" s="8"/>
    </row>
    <row r="9" spans="1:6" x14ac:dyDescent="0.3">
      <c r="B9" s="8"/>
      <c r="C9" s="11"/>
      <c r="D9" s="8"/>
    </row>
    <row r="10" spans="1:6" x14ac:dyDescent="0.3">
      <c r="B10" s="8"/>
      <c r="C10" s="11"/>
      <c r="D10" s="8"/>
    </row>
    <row r="11" spans="1:6" x14ac:dyDescent="0.3">
      <c r="B11" s="8"/>
      <c r="C11" s="11"/>
      <c r="D11" s="8"/>
    </row>
    <row r="12" spans="1:6" x14ac:dyDescent="0.3">
      <c r="B12" s="8"/>
      <c r="C12" s="11"/>
      <c r="D12" s="8"/>
    </row>
    <row r="13" spans="1:6" x14ac:dyDescent="0.3">
      <c r="B13" s="8"/>
      <c r="C13" s="11"/>
      <c r="D13" s="8"/>
    </row>
    <row r="14" spans="1:6" x14ac:dyDescent="0.3">
      <c r="B14" s="8"/>
      <c r="C14" s="11"/>
      <c r="D14" s="8"/>
    </row>
    <row r="15" spans="1:6" x14ac:dyDescent="0.3">
      <c r="B15" s="8"/>
      <c r="C15" s="11"/>
      <c r="D15" s="8"/>
    </row>
    <row r="23" spans="1:3" x14ac:dyDescent="0.3">
      <c r="A23" s="7" t="s">
        <v>56</v>
      </c>
    </row>
    <row r="25" spans="1:3" x14ac:dyDescent="0.3">
      <c r="B25" s="6" t="s">
        <v>57</v>
      </c>
      <c r="C25" s="6" t="s">
        <v>58</v>
      </c>
    </row>
    <row r="26" spans="1:3" x14ac:dyDescent="0.3">
      <c r="B26" s="12" t="s">
        <v>59</v>
      </c>
      <c r="C26" s="14">
        <v>21344667</v>
      </c>
    </row>
    <row r="27" spans="1:3" x14ac:dyDescent="0.3">
      <c r="B27" s="12" t="s">
        <v>61</v>
      </c>
      <c r="C27" s="14">
        <v>14216503</v>
      </c>
    </row>
    <row r="28" spans="1:3" x14ac:dyDescent="0.3">
      <c r="B28" s="12" t="s">
        <v>62</v>
      </c>
      <c r="C28" s="14">
        <v>5176205</v>
      </c>
    </row>
    <row r="29" spans="1:3" x14ac:dyDescent="0.3">
      <c r="A29" s="38" t="s">
        <v>60</v>
      </c>
      <c r="B29" s="12" t="s">
        <v>17</v>
      </c>
      <c r="C29" s="14">
        <v>3963880</v>
      </c>
    </row>
    <row r="30" spans="1:3" x14ac:dyDescent="0.3">
      <c r="A30" s="38"/>
      <c r="B30" s="12" t="s">
        <v>63</v>
      </c>
      <c r="C30" s="14">
        <v>2829163</v>
      </c>
    </row>
    <row r="31" spans="1:3" x14ac:dyDescent="0.3">
      <c r="A31" s="38"/>
      <c r="B31" s="12" t="s">
        <v>18</v>
      </c>
      <c r="C31" s="14">
        <v>2761633</v>
      </c>
    </row>
    <row r="32" spans="1:3" x14ac:dyDescent="0.3">
      <c r="A32" s="38"/>
      <c r="B32" s="12" t="s">
        <v>64</v>
      </c>
      <c r="C32" s="14">
        <v>9150456</v>
      </c>
    </row>
    <row r="41" spans="1:5" x14ac:dyDescent="0.3">
      <c r="A41" s="7" t="s">
        <v>65</v>
      </c>
    </row>
    <row r="42" spans="1:5" x14ac:dyDescent="0.3">
      <c r="C42" s="39" t="s">
        <v>67</v>
      </c>
      <c r="D42" s="39"/>
      <c r="E42" s="39"/>
    </row>
    <row r="43" spans="1:5" x14ac:dyDescent="0.3">
      <c r="B43" s="6" t="s">
        <v>66</v>
      </c>
      <c r="C43" s="6" t="s">
        <v>68</v>
      </c>
      <c r="D43" s="6" t="s">
        <v>69</v>
      </c>
      <c r="E43" s="6" t="s">
        <v>70</v>
      </c>
    </row>
    <row r="44" spans="1:5" x14ac:dyDescent="0.3">
      <c r="B44" s="6" t="s">
        <v>71</v>
      </c>
      <c r="C44" s="13">
        <v>0.8</v>
      </c>
      <c r="D44" s="13">
        <v>0.7</v>
      </c>
      <c r="E44" s="13">
        <v>0.9</v>
      </c>
    </row>
    <row r="45" spans="1:5" x14ac:dyDescent="0.3">
      <c r="B45" s="6" t="s">
        <v>72</v>
      </c>
      <c r="C45" s="13">
        <v>0.6</v>
      </c>
      <c r="D45" s="13">
        <v>0.8</v>
      </c>
      <c r="E45" s="13">
        <v>0.3</v>
      </c>
    </row>
    <row r="46" spans="1:5" x14ac:dyDescent="0.3">
      <c r="B46" s="6" t="s">
        <v>74</v>
      </c>
      <c r="C46" s="13">
        <v>0.4</v>
      </c>
      <c r="D46" s="13">
        <v>0.8</v>
      </c>
      <c r="E46" s="13">
        <v>0.1</v>
      </c>
    </row>
    <row r="47" spans="1:5" x14ac:dyDescent="0.3">
      <c r="B47" s="6" t="s">
        <v>75</v>
      </c>
      <c r="C47" s="13">
        <v>0.6</v>
      </c>
      <c r="D47" s="13">
        <v>0.7</v>
      </c>
      <c r="E47" s="13">
        <v>0.2</v>
      </c>
    </row>
    <row r="48" spans="1:5" x14ac:dyDescent="0.3">
      <c r="B48" s="6" t="s">
        <v>73</v>
      </c>
      <c r="C48" s="13">
        <v>0.05</v>
      </c>
      <c r="D48" s="13">
        <v>0.03</v>
      </c>
      <c r="E48" s="13">
        <v>0.99</v>
      </c>
    </row>
    <row r="58" spans="1:4" x14ac:dyDescent="0.3">
      <c r="A58" s="40" t="s">
        <v>77</v>
      </c>
      <c r="B58" s="40"/>
    </row>
    <row r="60" spans="1:4" x14ac:dyDescent="0.3">
      <c r="A60" s="6" t="s">
        <v>78</v>
      </c>
      <c r="B60" s="6" t="s">
        <v>19</v>
      </c>
      <c r="C60" s="6" t="s">
        <v>20</v>
      </c>
      <c r="D60" s="15"/>
    </row>
    <row r="61" spans="1:4" x14ac:dyDescent="0.3">
      <c r="A61" s="12" t="s">
        <v>79</v>
      </c>
      <c r="B61" s="17">
        <v>44106</v>
      </c>
      <c r="C61" s="12">
        <v>5</v>
      </c>
      <c r="D61" s="16"/>
    </row>
    <row r="62" spans="1:4" x14ac:dyDescent="0.3">
      <c r="A62" s="12" t="s">
        <v>80</v>
      </c>
      <c r="B62" s="17">
        <v>44109</v>
      </c>
      <c r="C62" s="12">
        <v>6</v>
      </c>
      <c r="D62" s="16"/>
    </row>
    <row r="63" spans="1:4" x14ac:dyDescent="0.3">
      <c r="A63" s="12" t="s">
        <v>81</v>
      </c>
      <c r="B63" s="17">
        <v>44114</v>
      </c>
      <c r="C63" s="12">
        <v>1</v>
      </c>
      <c r="D63" s="16"/>
    </row>
    <row r="64" spans="1:4" x14ac:dyDescent="0.3">
      <c r="A64" s="12" t="s">
        <v>82</v>
      </c>
      <c r="B64" s="17">
        <v>44114</v>
      </c>
      <c r="C64" s="12">
        <v>18</v>
      </c>
      <c r="D64" s="16"/>
    </row>
    <row r="65" spans="1:4" x14ac:dyDescent="0.3">
      <c r="A65" s="12" t="s">
        <v>83</v>
      </c>
      <c r="B65" s="17">
        <v>44119</v>
      </c>
      <c r="C65" s="12">
        <v>5</v>
      </c>
      <c r="D65" s="16"/>
    </row>
    <row r="66" spans="1:4" x14ac:dyDescent="0.3">
      <c r="A66" s="12" t="s">
        <v>84</v>
      </c>
      <c r="B66" s="17">
        <v>44129</v>
      </c>
      <c r="C66" s="12">
        <v>2</v>
      </c>
      <c r="D66" s="16"/>
    </row>
    <row r="67" spans="1:4" x14ac:dyDescent="0.3">
      <c r="A67" s="12" t="s">
        <v>85</v>
      </c>
      <c r="B67" s="17">
        <v>44134</v>
      </c>
      <c r="C67" s="12">
        <v>6</v>
      </c>
      <c r="D67" s="16"/>
    </row>
    <row r="68" spans="1:4" x14ac:dyDescent="0.3">
      <c r="A68" s="12" t="s">
        <v>86</v>
      </c>
      <c r="B68" s="17">
        <v>44134</v>
      </c>
      <c r="C68" s="12">
        <v>1</v>
      </c>
      <c r="D68" s="16"/>
    </row>
    <row r="76" spans="1:4" x14ac:dyDescent="0.3">
      <c r="A76" s="40" t="s">
        <v>87</v>
      </c>
      <c r="B76" s="40"/>
    </row>
    <row r="79" spans="1:4" x14ac:dyDescent="0.3">
      <c r="A79" s="6" t="s">
        <v>21</v>
      </c>
      <c r="B79" s="6" t="s">
        <v>22</v>
      </c>
      <c r="C79" s="6" t="s">
        <v>23</v>
      </c>
      <c r="D79" s="6" t="s">
        <v>88</v>
      </c>
    </row>
    <row r="80" spans="1:4" x14ac:dyDescent="0.3">
      <c r="A80" s="12" t="s">
        <v>34</v>
      </c>
      <c r="B80" s="18">
        <v>0</v>
      </c>
      <c r="C80" s="18">
        <v>1589451</v>
      </c>
      <c r="D80" s="20"/>
    </row>
    <row r="81" spans="1:4" x14ac:dyDescent="0.3">
      <c r="A81" s="12" t="s">
        <v>24</v>
      </c>
      <c r="B81" s="18">
        <v>0</v>
      </c>
      <c r="C81" s="18">
        <v>1200541</v>
      </c>
      <c r="D81" s="20"/>
    </row>
    <row r="82" spans="1:4" x14ac:dyDescent="0.3">
      <c r="A82" s="12" t="s">
        <v>25</v>
      </c>
      <c r="B82" s="18">
        <v>1</v>
      </c>
      <c r="C82" s="18">
        <v>2915105</v>
      </c>
      <c r="D82" s="20"/>
    </row>
    <row r="83" spans="1:4" x14ac:dyDescent="0.3">
      <c r="A83" s="12" t="s">
        <v>26</v>
      </c>
      <c r="B83" s="18">
        <v>216</v>
      </c>
      <c r="C83" s="18">
        <v>2515201</v>
      </c>
      <c r="D83" s="20"/>
    </row>
    <row r="84" spans="1:4" x14ac:dyDescent="0.3">
      <c r="A84" s="12" t="s">
        <v>27</v>
      </c>
      <c r="B84" s="18">
        <v>7852</v>
      </c>
      <c r="C84" s="18">
        <v>5604153</v>
      </c>
      <c r="D84" s="20"/>
    </row>
    <row r="85" spans="1:4" x14ac:dyDescent="0.3">
      <c r="A85" s="12" t="s">
        <v>28</v>
      </c>
      <c r="B85" s="18">
        <v>60854</v>
      </c>
      <c r="C85" s="18">
        <v>6894123</v>
      </c>
      <c r="D85" s="20"/>
    </row>
    <row r="86" spans="1:4" x14ac:dyDescent="0.3">
      <c r="A86" s="12" t="s">
        <v>29</v>
      </c>
      <c r="B86" s="18">
        <v>508423</v>
      </c>
      <c r="C86" s="18">
        <v>5296854</v>
      </c>
      <c r="D86" s="20"/>
    </row>
    <row r="87" spans="1:4" x14ac:dyDescent="0.3">
      <c r="A87" s="12" t="s">
        <v>30</v>
      </c>
      <c r="B87" s="18">
        <v>658174</v>
      </c>
      <c r="C87" s="18">
        <v>3646842</v>
      </c>
      <c r="D87" s="20"/>
    </row>
    <row r="88" spans="1:4" x14ac:dyDescent="0.3">
      <c r="A88" s="12" t="s">
        <v>31</v>
      </c>
      <c r="B88" s="18">
        <v>2000500</v>
      </c>
      <c r="C88" s="18">
        <v>4651681</v>
      </c>
      <c r="D88" s="20"/>
    </row>
    <row r="89" spans="1:4" x14ac:dyDescent="0.3">
      <c r="A89" s="12" t="s">
        <v>32</v>
      </c>
      <c r="B89" s="19">
        <v>9841651</v>
      </c>
      <c r="C89" s="18">
        <v>6141514</v>
      </c>
      <c r="D89" s="20"/>
    </row>
    <row r="90" spans="1:4" x14ac:dyDescent="0.3">
      <c r="A90" s="12" t="s">
        <v>33</v>
      </c>
      <c r="B90" s="18">
        <v>14351351</v>
      </c>
      <c r="C90" s="18">
        <v>7354355</v>
      </c>
      <c r="D90" s="20"/>
    </row>
  </sheetData>
  <mergeCells count="4">
    <mergeCell ref="A29:A32"/>
    <mergeCell ref="C42:E42"/>
    <mergeCell ref="A58:B58"/>
    <mergeCell ref="A76:B7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9B54-93A0-460C-94A3-FF5A5837886F}">
  <dimension ref="A3:F10"/>
  <sheetViews>
    <sheetView workbookViewId="0">
      <selection activeCell="D4" sqref="D4"/>
    </sheetView>
  </sheetViews>
  <sheetFormatPr baseColWidth="10" defaultRowHeight="14.4" x14ac:dyDescent="0.3"/>
  <cols>
    <col min="1" max="2" width="17.5546875" bestFit="1" customWidth="1"/>
    <col min="3" max="3" width="32" bestFit="1" customWidth="1"/>
    <col min="4" max="4" width="13.44140625" bestFit="1" customWidth="1"/>
    <col min="5" max="5" width="16.33203125" bestFit="1" customWidth="1"/>
    <col min="6" max="6" width="14" bestFit="1" customWidth="1"/>
  </cols>
  <sheetData>
    <row r="3" spans="1:6" x14ac:dyDescent="0.3">
      <c r="A3" s="25" t="s">
        <v>157</v>
      </c>
      <c r="B3" t="s">
        <v>159</v>
      </c>
      <c r="C3" t="s">
        <v>172</v>
      </c>
      <c r="D3" t="s">
        <v>173</v>
      </c>
      <c r="E3" t="s">
        <v>174</v>
      </c>
      <c r="F3" t="s">
        <v>176</v>
      </c>
    </row>
    <row r="4" spans="1:6" x14ac:dyDescent="0.3">
      <c r="A4" s="10" t="s">
        <v>126</v>
      </c>
      <c r="B4">
        <v>20</v>
      </c>
      <c r="C4">
        <v>400000</v>
      </c>
      <c r="D4">
        <v>8000000</v>
      </c>
      <c r="E4">
        <v>48000000</v>
      </c>
      <c r="F4">
        <v>33.333333333333336</v>
      </c>
    </row>
    <row r="5" spans="1:6" x14ac:dyDescent="0.3">
      <c r="A5" s="10" t="s">
        <v>123</v>
      </c>
      <c r="B5">
        <v>12</v>
      </c>
      <c r="C5">
        <v>80000</v>
      </c>
      <c r="D5">
        <v>960000</v>
      </c>
      <c r="E5">
        <v>3840000</v>
      </c>
      <c r="F5">
        <v>30</v>
      </c>
    </row>
    <row r="6" spans="1:6" x14ac:dyDescent="0.3">
      <c r="A6" s="10" t="s">
        <v>113</v>
      </c>
      <c r="B6">
        <v>17</v>
      </c>
      <c r="C6">
        <v>15000</v>
      </c>
      <c r="D6">
        <v>255000</v>
      </c>
      <c r="E6">
        <v>1275000</v>
      </c>
      <c r="F6">
        <v>34</v>
      </c>
    </row>
    <row r="7" spans="1:6" x14ac:dyDescent="0.3">
      <c r="A7" s="10" t="s">
        <v>158</v>
      </c>
      <c r="B7">
        <v>49</v>
      </c>
      <c r="C7">
        <v>186333.33333333334</v>
      </c>
      <c r="D7">
        <v>9215000</v>
      </c>
      <c r="E7">
        <v>136955000</v>
      </c>
      <c r="F7">
        <v>32.666666666666664</v>
      </c>
    </row>
    <row r="10" spans="1:6" x14ac:dyDescent="0.3">
      <c r="A10" s="10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6C94-6EB8-40DE-98D2-4568E9F2B377}">
  <dimension ref="A3:B17"/>
  <sheetViews>
    <sheetView workbookViewId="0">
      <selection activeCell="E26" sqref="E26"/>
    </sheetView>
  </sheetViews>
  <sheetFormatPr baseColWidth="10" defaultRowHeight="14.4" x14ac:dyDescent="0.3"/>
  <cols>
    <col min="1" max="2" width="17.5546875" bestFit="1" customWidth="1"/>
  </cols>
  <sheetData>
    <row r="3" spans="1:2" x14ac:dyDescent="0.3">
      <c r="A3" s="25" t="s">
        <v>157</v>
      </c>
      <c r="B3" t="s">
        <v>159</v>
      </c>
    </row>
    <row r="4" spans="1:2" x14ac:dyDescent="0.3">
      <c r="A4" s="10" t="s">
        <v>126</v>
      </c>
      <c r="B4">
        <v>20</v>
      </c>
    </row>
    <row r="5" spans="1:2" x14ac:dyDescent="0.3">
      <c r="A5" s="28" t="s">
        <v>118</v>
      </c>
      <c r="B5">
        <v>5</v>
      </c>
    </row>
    <row r="6" spans="1:2" x14ac:dyDescent="0.3">
      <c r="A6" s="28" t="s">
        <v>121</v>
      </c>
      <c r="B6">
        <v>5</v>
      </c>
    </row>
    <row r="7" spans="1:2" x14ac:dyDescent="0.3">
      <c r="A7" s="28" t="s">
        <v>124</v>
      </c>
      <c r="B7">
        <v>10</v>
      </c>
    </row>
    <row r="8" spans="1:2" x14ac:dyDescent="0.3">
      <c r="A8" s="10" t="s">
        <v>123</v>
      </c>
      <c r="B8">
        <v>12</v>
      </c>
    </row>
    <row r="9" spans="1:2" x14ac:dyDescent="0.3">
      <c r="A9" s="28" t="s">
        <v>118</v>
      </c>
      <c r="B9">
        <v>4</v>
      </c>
    </row>
    <row r="10" spans="1:2" x14ac:dyDescent="0.3">
      <c r="A10" s="28" t="s">
        <v>121</v>
      </c>
      <c r="B10">
        <v>3</v>
      </c>
    </row>
    <row r="11" spans="1:2" x14ac:dyDescent="0.3">
      <c r="A11" s="28" t="s">
        <v>124</v>
      </c>
      <c r="B11">
        <v>3</v>
      </c>
    </row>
    <row r="12" spans="1:2" x14ac:dyDescent="0.3">
      <c r="A12" s="28" t="s">
        <v>115</v>
      </c>
      <c r="B12">
        <v>2</v>
      </c>
    </row>
    <row r="13" spans="1:2" x14ac:dyDescent="0.3">
      <c r="A13" s="10" t="s">
        <v>113</v>
      </c>
      <c r="B13">
        <v>17</v>
      </c>
    </row>
    <row r="14" spans="1:2" x14ac:dyDescent="0.3">
      <c r="A14" s="28" t="s">
        <v>118</v>
      </c>
      <c r="B14">
        <v>7</v>
      </c>
    </row>
    <row r="15" spans="1:2" x14ac:dyDescent="0.3">
      <c r="A15" s="28" t="s">
        <v>121</v>
      </c>
      <c r="B15">
        <v>5</v>
      </c>
    </row>
    <row r="16" spans="1:2" x14ac:dyDescent="0.3">
      <c r="A16" s="28" t="s">
        <v>115</v>
      </c>
      <c r="B16">
        <v>5</v>
      </c>
    </row>
    <row r="17" spans="1:2" x14ac:dyDescent="0.3">
      <c r="A17" s="10" t="s">
        <v>158</v>
      </c>
      <c r="B17">
        <v>49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6783-61C8-46E8-A6E4-6DDD307D5160}">
  <dimension ref="A1:C21"/>
  <sheetViews>
    <sheetView workbookViewId="0">
      <selection activeCell="B21" sqref="B21"/>
    </sheetView>
  </sheetViews>
  <sheetFormatPr baseColWidth="10" defaultRowHeight="14.4" x14ac:dyDescent="0.3"/>
  <sheetData>
    <row r="1" spans="1:3" x14ac:dyDescent="0.3">
      <c r="A1" s="29"/>
      <c r="B1" s="30"/>
      <c r="C1" s="31"/>
    </row>
    <row r="2" spans="1:3" x14ac:dyDescent="0.3">
      <c r="A2" s="32"/>
      <c r="B2" s="33"/>
      <c r="C2" s="34"/>
    </row>
    <row r="3" spans="1:3" x14ac:dyDescent="0.3">
      <c r="A3" s="32"/>
      <c r="B3" s="33"/>
      <c r="C3" s="34"/>
    </row>
    <row r="4" spans="1:3" x14ac:dyDescent="0.3">
      <c r="A4" s="32"/>
      <c r="B4" s="33"/>
      <c r="C4" s="34"/>
    </row>
    <row r="5" spans="1:3" x14ac:dyDescent="0.3">
      <c r="A5" s="32"/>
      <c r="B5" s="33"/>
      <c r="C5" s="34"/>
    </row>
    <row r="6" spans="1:3" x14ac:dyDescent="0.3">
      <c r="A6" s="32"/>
      <c r="B6" s="33"/>
      <c r="C6" s="34"/>
    </row>
    <row r="7" spans="1:3" x14ac:dyDescent="0.3">
      <c r="A7" s="32"/>
      <c r="B7" s="33"/>
      <c r="C7" s="34"/>
    </row>
    <row r="8" spans="1:3" x14ac:dyDescent="0.3">
      <c r="A8" s="32"/>
      <c r="B8" s="33"/>
      <c r="C8" s="34"/>
    </row>
    <row r="9" spans="1:3" x14ac:dyDescent="0.3">
      <c r="A9" s="32"/>
      <c r="B9" s="33"/>
      <c r="C9" s="34"/>
    </row>
    <row r="10" spans="1:3" x14ac:dyDescent="0.3">
      <c r="A10" s="32"/>
      <c r="B10" s="33"/>
      <c r="C10" s="34"/>
    </row>
    <row r="11" spans="1:3" x14ac:dyDescent="0.3">
      <c r="A11" s="32"/>
      <c r="B11" s="33"/>
      <c r="C11" s="34"/>
    </row>
    <row r="12" spans="1:3" x14ac:dyDescent="0.3">
      <c r="A12" s="32"/>
      <c r="B12" s="33"/>
      <c r="C12" s="34"/>
    </row>
    <row r="13" spans="1:3" x14ac:dyDescent="0.3">
      <c r="A13" s="32"/>
      <c r="B13" s="33"/>
      <c r="C13" s="34"/>
    </row>
    <row r="14" spans="1:3" x14ac:dyDescent="0.3">
      <c r="A14" s="32"/>
      <c r="B14" s="33"/>
      <c r="C14" s="34"/>
    </row>
    <row r="15" spans="1:3" x14ac:dyDescent="0.3">
      <c r="A15" s="32"/>
      <c r="B15" s="33"/>
      <c r="C15" s="34"/>
    </row>
    <row r="16" spans="1:3" x14ac:dyDescent="0.3">
      <c r="A16" s="32"/>
      <c r="B16" s="33"/>
      <c r="C16" s="34"/>
    </row>
    <row r="17" spans="1:3" x14ac:dyDescent="0.3">
      <c r="A17" s="32"/>
      <c r="B17" s="33"/>
      <c r="C17" s="34"/>
    </row>
    <row r="18" spans="1:3" x14ac:dyDescent="0.3">
      <c r="A18" s="35"/>
      <c r="B18" s="36"/>
      <c r="C18" s="37"/>
    </row>
    <row r="21" spans="1:3" x14ac:dyDescent="0.3">
      <c r="B21" t="s">
        <v>177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9EFD-91F9-427A-B52A-DC501E724DD6}">
  <dimension ref="A3:E4"/>
  <sheetViews>
    <sheetView workbookViewId="0">
      <selection activeCell="A3" sqref="A3"/>
    </sheetView>
  </sheetViews>
  <sheetFormatPr baseColWidth="10" defaultRowHeight="14.4" x14ac:dyDescent="0.3"/>
  <cols>
    <col min="1" max="4" width="21.44140625" bestFit="1" customWidth="1"/>
    <col min="5" max="5" width="11.88671875" bestFit="1" customWidth="1"/>
  </cols>
  <sheetData>
    <row r="3" spans="1:5" x14ac:dyDescent="0.3">
      <c r="A3" s="25" t="s">
        <v>160</v>
      </c>
    </row>
    <row r="4" spans="1:5" x14ac:dyDescent="0.3">
      <c r="A4" t="s">
        <v>118</v>
      </c>
      <c r="B4" t="s">
        <v>121</v>
      </c>
      <c r="C4" t="s">
        <v>124</v>
      </c>
      <c r="D4" t="s">
        <v>115</v>
      </c>
      <c r="E4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9990-E657-4939-9ECC-B122F261D563}">
  <dimension ref="A1:M41"/>
  <sheetViews>
    <sheetView tabSelected="1" topLeftCell="A27" workbookViewId="0">
      <selection activeCell="G21" sqref="G21"/>
    </sheetView>
  </sheetViews>
  <sheetFormatPr baseColWidth="10" defaultRowHeight="14.4" x14ac:dyDescent="0.3"/>
  <cols>
    <col min="1" max="1" width="10.6640625" bestFit="1" customWidth="1"/>
    <col min="2" max="2" width="9" bestFit="1" customWidth="1"/>
    <col min="3" max="3" width="10.33203125" bestFit="1" customWidth="1"/>
    <col min="4" max="4" width="8.33203125" bestFit="1" customWidth="1"/>
    <col min="5" max="5" width="19.6640625" bestFit="1" customWidth="1"/>
    <col min="6" max="6" width="9.33203125" bestFit="1" customWidth="1"/>
    <col min="7" max="7" width="14.88671875" bestFit="1" customWidth="1"/>
  </cols>
  <sheetData>
    <row r="1" spans="1:13" x14ac:dyDescent="0.3">
      <c r="A1" s="6" t="s">
        <v>37</v>
      </c>
      <c r="B1" s="6" t="s">
        <v>105</v>
      </c>
      <c r="C1" s="6" t="s">
        <v>106</v>
      </c>
      <c r="D1" s="6" t="s">
        <v>107</v>
      </c>
      <c r="E1" s="6" t="s">
        <v>108</v>
      </c>
      <c r="F1" s="6" t="s">
        <v>109</v>
      </c>
      <c r="G1" s="6" t="s">
        <v>110</v>
      </c>
      <c r="H1" s="6" t="s">
        <v>111</v>
      </c>
      <c r="I1" s="15"/>
      <c r="J1" s="9" t="s">
        <v>112</v>
      </c>
    </row>
    <row r="2" spans="1:13" x14ac:dyDescent="0.3">
      <c r="A2" s="21">
        <v>43839</v>
      </c>
      <c r="B2" s="22" t="s">
        <v>113</v>
      </c>
      <c r="C2" s="22" t="s">
        <v>114</v>
      </c>
      <c r="D2" s="22" t="s">
        <v>115</v>
      </c>
      <c r="E2" s="23">
        <v>15000</v>
      </c>
      <c r="F2" s="22">
        <v>2</v>
      </c>
      <c r="G2" s="23">
        <f>E2*F2</f>
        <v>30000</v>
      </c>
      <c r="H2" s="22">
        <v>1</v>
      </c>
      <c r="J2" s="9" t="s">
        <v>116</v>
      </c>
      <c r="M2" t="s">
        <v>162</v>
      </c>
    </row>
    <row r="3" spans="1:13" x14ac:dyDescent="0.3">
      <c r="A3" s="21">
        <v>43847</v>
      </c>
      <c r="B3" s="22" t="s">
        <v>113</v>
      </c>
      <c r="C3" s="22" t="s">
        <v>117</v>
      </c>
      <c r="D3" s="22" t="s">
        <v>118</v>
      </c>
      <c r="E3" s="23">
        <v>15000</v>
      </c>
      <c r="F3" s="22">
        <v>4</v>
      </c>
      <c r="G3" s="23">
        <f t="shared" ref="G3:G16" si="0">E3*F3</f>
        <v>60000</v>
      </c>
      <c r="H3" s="22">
        <v>1</v>
      </c>
      <c r="M3" t="s">
        <v>163</v>
      </c>
    </row>
    <row r="4" spans="1:13" x14ac:dyDescent="0.3">
      <c r="A4" s="21">
        <v>43853</v>
      </c>
      <c r="B4" s="22" t="s">
        <v>113</v>
      </c>
      <c r="C4" s="22" t="s">
        <v>119</v>
      </c>
      <c r="D4" s="22" t="s">
        <v>118</v>
      </c>
      <c r="E4" s="23">
        <v>15000</v>
      </c>
      <c r="F4" s="22">
        <v>3</v>
      </c>
      <c r="G4" s="23">
        <f t="shared" si="0"/>
        <v>45000</v>
      </c>
      <c r="H4" s="22">
        <v>1</v>
      </c>
      <c r="J4" s="24" t="s">
        <v>120</v>
      </c>
    </row>
    <row r="5" spans="1:13" x14ac:dyDescent="0.3">
      <c r="A5" s="21">
        <v>43854</v>
      </c>
      <c r="B5" s="22" t="s">
        <v>113</v>
      </c>
      <c r="C5" s="22" t="s">
        <v>119</v>
      </c>
      <c r="D5" s="22" t="s">
        <v>121</v>
      </c>
      <c r="E5" s="23">
        <v>15000</v>
      </c>
      <c r="F5" s="22">
        <v>5</v>
      </c>
      <c r="G5" s="23">
        <f t="shared" si="0"/>
        <v>75000</v>
      </c>
      <c r="H5" s="22">
        <v>1</v>
      </c>
      <c r="J5" t="s">
        <v>122</v>
      </c>
    </row>
    <row r="6" spans="1:13" x14ac:dyDescent="0.3">
      <c r="A6" s="21">
        <v>43879</v>
      </c>
      <c r="B6" s="22" t="s">
        <v>123</v>
      </c>
      <c r="C6" s="22" t="s">
        <v>117</v>
      </c>
      <c r="D6" s="22" t="s">
        <v>124</v>
      </c>
      <c r="E6" s="23">
        <v>80000</v>
      </c>
      <c r="F6" s="22">
        <v>3</v>
      </c>
      <c r="G6" s="23">
        <f t="shared" si="0"/>
        <v>240000</v>
      </c>
      <c r="H6" s="22">
        <v>1</v>
      </c>
      <c r="J6" t="s">
        <v>125</v>
      </c>
    </row>
    <row r="7" spans="1:13" x14ac:dyDescent="0.3">
      <c r="A7" s="21">
        <v>43883</v>
      </c>
      <c r="B7" s="26" t="s">
        <v>126</v>
      </c>
      <c r="C7" s="26" t="s">
        <v>119</v>
      </c>
      <c r="D7" s="26" t="s">
        <v>118</v>
      </c>
      <c r="E7" s="27">
        <v>400000</v>
      </c>
      <c r="F7" s="26">
        <v>2</v>
      </c>
      <c r="G7" s="23">
        <f t="shared" si="0"/>
        <v>800000</v>
      </c>
      <c r="H7" s="22">
        <v>1</v>
      </c>
      <c r="J7" t="s">
        <v>127</v>
      </c>
    </row>
    <row r="8" spans="1:13" x14ac:dyDescent="0.3">
      <c r="A8" s="21">
        <v>43904</v>
      </c>
      <c r="B8" s="22" t="s">
        <v>126</v>
      </c>
      <c r="C8" s="22" t="s">
        <v>114</v>
      </c>
      <c r="D8" s="22" t="s">
        <v>121</v>
      </c>
      <c r="E8" s="23">
        <v>400000</v>
      </c>
      <c r="F8" s="22">
        <v>4</v>
      </c>
      <c r="G8" s="23">
        <f t="shared" si="0"/>
        <v>1600000</v>
      </c>
      <c r="H8" s="22">
        <v>1</v>
      </c>
      <c r="J8" t="s">
        <v>128</v>
      </c>
    </row>
    <row r="9" spans="1:13" x14ac:dyDescent="0.3">
      <c r="A9" s="21">
        <v>43922</v>
      </c>
      <c r="B9" s="22" t="s">
        <v>123</v>
      </c>
      <c r="C9" s="22" t="s">
        <v>119</v>
      </c>
      <c r="D9" s="22" t="s">
        <v>118</v>
      </c>
      <c r="E9" s="23">
        <v>80000</v>
      </c>
      <c r="F9" s="22">
        <v>4</v>
      </c>
      <c r="G9" s="23">
        <f t="shared" si="0"/>
        <v>320000</v>
      </c>
      <c r="H9" s="22">
        <v>1</v>
      </c>
      <c r="J9" t="s">
        <v>129</v>
      </c>
    </row>
    <row r="10" spans="1:13" x14ac:dyDescent="0.3">
      <c r="A10" s="21">
        <v>43934</v>
      </c>
      <c r="B10" s="22" t="s">
        <v>113</v>
      </c>
      <c r="C10" s="22" t="s">
        <v>117</v>
      </c>
      <c r="D10" s="22" t="s">
        <v>115</v>
      </c>
      <c r="E10" s="23">
        <v>15000</v>
      </c>
      <c r="F10" s="22">
        <v>3</v>
      </c>
      <c r="G10" s="23">
        <f t="shared" si="0"/>
        <v>45000</v>
      </c>
      <c r="H10" s="22">
        <v>1</v>
      </c>
      <c r="J10" t="s">
        <v>130</v>
      </c>
    </row>
    <row r="11" spans="1:13" x14ac:dyDescent="0.3">
      <c r="A11" s="21">
        <v>43935</v>
      </c>
      <c r="B11" s="22" t="s">
        <v>126</v>
      </c>
      <c r="C11" s="22" t="s">
        <v>114</v>
      </c>
      <c r="D11" s="22" t="s">
        <v>121</v>
      </c>
      <c r="E11" s="23">
        <v>400000</v>
      </c>
      <c r="F11" s="22">
        <v>1</v>
      </c>
      <c r="G11" s="23">
        <f t="shared" si="0"/>
        <v>400000</v>
      </c>
      <c r="H11" s="22">
        <v>1</v>
      </c>
      <c r="J11" t="s">
        <v>131</v>
      </c>
    </row>
    <row r="12" spans="1:13" x14ac:dyDescent="0.3">
      <c r="A12" s="21">
        <v>43948</v>
      </c>
      <c r="B12" s="22" t="s">
        <v>123</v>
      </c>
      <c r="C12" s="22" t="s">
        <v>117</v>
      </c>
      <c r="D12" s="22" t="s">
        <v>115</v>
      </c>
      <c r="E12" s="23">
        <v>80000</v>
      </c>
      <c r="F12" s="22">
        <v>2</v>
      </c>
      <c r="G12" s="23">
        <f t="shared" si="0"/>
        <v>160000</v>
      </c>
      <c r="H12" s="22">
        <v>1</v>
      </c>
      <c r="J12" t="s">
        <v>132</v>
      </c>
    </row>
    <row r="13" spans="1:13" x14ac:dyDescent="0.3">
      <c r="A13" s="21">
        <v>43972</v>
      </c>
      <c r="B13" s="22" t="s">
        <v>126</v>
      </c>
      <c r="C13" s="22" t="s">
        <v>117</v>
      </c>
      <c r="D13" s="22" t="s">
        <v>124</v>
      </c>
      <c r="E13" s="23">
        <v>400000</v>
      </c>
      <c r="F13" s="22">
        <v>5</v>
      </c>
      <c r="G13" s="23">
        <f t="shared" si="0"/>
        <v>2000000</v>
      </c>
      <c r="H13" s="22">
        <v>1</v>
      </c>
      <c r="J13" t="s">
        <v>133</v>
      </c>
    </row>
    <row r="14" spans="1:13" x14ac:dyDescent="0.3">
      <c r="A14" s="21">
        <v>43974</v>
      </c>
      <c r="B14" s="26" t="s">
        <v>126</v>
      </c>
      <c r="C14" s="26" t="s">
        <v>114</v>
      </c>
      <c r="D14" s="26" t="s">
        <v>118</v>
      </c>
      <c r="E14" s="27">
        <v>400000</v>
      </c>
      <c r="F14" s="26">
        <v>3</v>
      </c>
      <c r="G14" s="23">
        <f t="shared" si="0"/>
        <v>1200000</v>
      </c>
      <c r="H14" s="22">
        <v>1</v>
      </c>
      <c r="J14" t="s">
        <v>134</v>
      </c>
    </row>
    <row r="15" spans="1:13" x14ac:dyDescent="0.3">
      <c r="A15" s="21">
        <v>44007</v>
      </c>
      <c r="B15" s="22" t="s">
        <v>123</v>
      </c>
      <c r="C15" s="22" t="s">
        <v>119</v>
      </c>
      <c r="D15" s="22" t="s">
        <v>121</v>
      </c>
      <c r="E15" s="23">
        <v>80000</v>
      </c>
      <c r="F15" s="22">
        <v>3</v>
      </c>
      <c r="G15" s="23">
        <f t="shared" si="0"/>
        <v>240000</v>
      </c>
      <c r="H15" s="22">
        <v>1</v>
      </c>
    </row>
    <row r="16" spans="1:13" x14ac:dyDescent="0.3">
      <c r="A16" s="21">
        <v>44010</v>
      </c>
      <c r="B16" s="22" t="s">
        <v>126</v>
      </c>
      <c r="C16" s="22" t="s">
        <v>117</v>
      </c>
      <c r="D16" s="22" t="s">
        <v>124</v>
      </c>
      <c r="E16" s="23">
        <v>400000</v>
      </c>
      <c r="F16" s="22">
        <v>5</v>
      </c>
      <c r="G16" s="23">
        <f t="shared" si="0"/>
        <v>2000000</v>
      </c>
      <c r="H16" s="22">
        <v>1</v>
      </c>
    </row>
    <row r="17" spans="8:10" x14ac:dyDescent="0.3">
      <c r="H17" s="5"/>
      <c r="J17" s="24" t="s">
        <v>135</v>
      </c>
    </row>
    <row r="18" spans="8:10" x14ac:dyDescent="0.3">
      <c r="J18" t="s">
        <v>136</v>
      </c>
    </row>
    <row r="19" spans="8:10" x14ac:dyDescent="0.3">
      <c r="J19" t="s">
        <v>137</v>
      </c>
    </row>
    <row r="20" spans="8:10" x14ac:dyDescent="0.3">
      <c r="J20" t="s">
        <v>138</v>
      </c>
    </row>
    <row r="21" spans="8:10" x14ac:dyDescent="0.3">
      <c r="J21" t="s">
        <v>139</v>
      </c>
    </row>
    <row r="22" spans="8:10" x14ac:dyDescent="0.3">
      <c r="J22" t="s">
        <v>140</v>
      </c>
    </row>
    <row r="23" spans="8:10" x14ac:dyDescent="0.3">
      <c r="J23" t="s">
        <v>141</v>
      </c>
    </row>
    <row r="24" spans="8:10" x14ac:dyDescent="0.3">
      <c r="J24" t="s">
        <v>142</v>
      </c>
    </row>
    <row r="25" spans="8:10" x14ac:dyDescent="0.3">
      <c r="J25" t="s">
        <v>143</v>
      </c>
    </row>
    <row r="26" spans="8:10" x14ac:dyDescent="0.3">
      <c r="J26" t="s">
        <v>144</v>
      </c>
    </row>
    <row r="29" spans="8:10" x14ac:dyDescent="0.3">
      <c r="J29" s="24" t="s">
        <v>145</v>
      </c>
    </row>
    <row r="30" spans="8:10" x14ac:dyDescent="0.3">
      <c r="J30" t="s">
        <v>146</v>
      </c>
    </row>
    <row r="31" spans="8:10" x14ac:dyDescent="0.3">
      <c r="J31" t="s">
        <v>147</v>
      </c>
    </row>
    <row r="32" spans="8:10" x14ac:dyDescent="0.3">
      <c r="J32" t="s">
        <v>148</v>
      </c>
    </row>
    <row r="33" spans="10:10" x14ac:dyDescent="0.3">
      <c r="J33" t="s">
        <v>149</v>
      </c>
    </row>
    <row r="36" spans="10:10" x14ac:dyDescent="0.3">
      <c r="J36" s="24" t="s">
        <v>150</v>
      </c>
    </row>
    <row r="37" spans="10:10" x14ac:dyDescent="0.3">
      <c r="J37" t="s">
        <v>151</v>
      </c>
    </row>
    <row r="38" spans="10:10" x14ac:dyDescent="0.3">
      <c r="J38" t="s">
        <v>152</v>
      </c>
    </row>
    <row r="39" spans="10:10" x14ac:dyDescent="0.3">
      <c r="J39" t="s">
        <v>153</v>
      </c>
    </row>
    <row r="40" spans="10:10" x14ac:dyDescent="0.3">
      <c r="J40" t="s">
        <v>154</v>
      </c>
    </row>
    <row r="41" spans="10:10" x14ac:dyDescent="0.3">
      <c r="J41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1F50-6860-41D5-A919-FB4E2B1BC764}">
  <dimension ref="A1:H8"/>
  <sheetViews>
    <sheetView workbookViewId="0">
      <selection activeCell="A10" sqref="A10"/>
    </sheetView>
  </sheetViews>
  <sheetFormatPr baseColWidth="10" defaultRowHeight="14.4" x14ac:dyDescent="0.3"/>
  <cols>
    <col min="1" max="1" width="17.5546875" bestFit="1" customWidth="1"/>
    <col min="2" max="2" width="22.44140625" bestFit="1" customWidth="1"/>
    <col min="3" max="3" width="6.109375" bestFit="1" customWidth="1"/>
    <col min="4" max="4" width="4.5546875" bestFit="1" customWidth="1"/>
    <col min="5" max="5" width="8.33203125" bestFit="1" customWidth="1"/>
    <col min="6" max="6" width="12.5546875" bestFit="1" customWidth="1"/>
  </cols>
  <sheetData>
    <row r="1" spans="1:8" x14ac:dyDescent="0.3">
      <c r="A1" s="25" t="s">
        <v>106</v>
      </c>
      <c r="B1" t="s">
        <v>161</v>
      </c>
    </row>
    <row r="3" spans="1:8" x14ac:dyDescent="0.3">
      <c r="A3" s="25" t="s">
        <v>159</v>
      </c>
      <c r="B3" s="25" t="s">
        <v>160</v>
      </c>
    </row>
    <row r="4" spans="1:8" x14ac:dyDescent="0.3">
      <c r="A4" s="25" t="s">
        <v>157</v>
      </c>
      <c r="B4" t="s">
        <v>115</v>
      </c>
      <c r="C4" t="s">
        <v>124</v>
      </c>
      <c r="D4" t="s">
        <v>121</v>
      </c>
      <c r="E4" t="s">
        <v>118</v>
      </c>
      <c r="F4" t="s">
        <v>158</v>
      </c>
    </row>
    <row r="5" spans="1:8" x14ac:dyDescent="0.3">
      <c r="A5" s="10" t="s">
        <v>123</v>
      </c>
      <c r="B5">
        <v>2</v>
      </c>
      <c r="C5">
        <v>3</v>
      </c>
      <c r="D5">
        <v>3</v>
      </c>
      <c r="E5">
        <v>4</v>
      </c>
      <c r="F5">
        <v>12</v>
      </c>
      <c r="H5" t="s">
        <v>164</v>
      </c>
    </row>
    <row r="6" spans="1:8" x14ac:dyDescent="0.3">
      <c r="A6" s="10" t="s">
        <v>113</v>
      </c>
      <c r="B6">
        <v>5</v>
      </c>
      <c r="D6">
        <v>5</v>
      </c>
      <c r="E6">
        <v>7</v>
      </c>
      <c r="F6">
        <v>17</v>
      </c>
    </row>
    <row r="7" spans="1:8" x14ac:dyDescent="0.3">
      <c r="A7" s="10" t="s">
        <v>126</v>
      </c>
      <c r="C7">
        <v>10</v>
      </c>
      <c r="D7">
        <v>5</v>
      </c>
      <c r="E7">
        <v>5</v>
      </c>
      <c r="F7">
        <v>20</v>
      </c>
    </row>
    <row r="8" spans="1:8" x14ac:dyDescent="0.3">
      <c r="A8" s="10" t="s">
        <v>158</v>
      </c>
      <c r="B8">
        <v>7</v>
      </c>
      <c r="C8">
        <v>13</v>
      </c>
      <c r="D8">
        <v>13</v>
      </c>
      <c r="E8">
        <v>16</v>
      </c>
      <c r="F8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6509-A8EA-4518-B3CE-6346D6E65E81}">
  <dimension ref="A1:J10"/>
  <sheetViews>
    <sheetView workbookViewId="0">
      <selection activeCell="E19" sqref="E19"/>
    </sheetView>
  </sheetViews>
  <sheetFormatPr baseColWidth="10" defaultRowHeight="14.4" x14ac:dyDescent="0.3"/>
  <cols>
    <col min="1" max="1" width="17.5546875" bestFit="1" customWidth="1"/>
    <col min="2" max="2" width="8.88671875" bestFit="1" customWidth="1"/>
    <col min="3" max="6" width="16.109375" bestFit="1" customWidth="1"/>
    <col min="7" max="8" width="12.5546875" bestFit="1" customWidth="1"/>
    <col min="9" max="9" width="9.6640625" bestFit="1" customWidth="1"/>
    <col min="10" max="16" width="10.6640625" bestFit="1" customWidth="1"/>
    <col min="17" max="17" width="12.5546875" bestFit="1" customWidth="1"/>
    <col min="18" max="18" width="9.33203125" bestFit="1" customWidth="1"/>
    <col min="19" max="19" width="9.6640625" bestFit="1" customWidth="1"/>
    <col min="20" max="20" width="10.44140625" bestFit="1" customWidth="1"/>
    <col min="21" max="21" width="10.6640625" bestFit="1" customWidth="1"/>
    <col min="23" max="23" width="10.6640625" bestFit="1" customWidth="1"/>
    <col min="25" max="25" width="10.6640625" bestFit="1" customWidth="1"/>
    <col min="27" max="27" width="8.6640625" bestFit="1" customWidth="1"/>
    <col min="28" max="28" width="10.6640625" bestFit="1" customWidth="1"/>
    <col min="29" max="29" width="12.33203125" bestFit="1" customWidth="1"/>
    <col min="30" max="30" width="10.6640625" bestFit="1" customWidth="1"/>
    <col min="31" max="31" width="12.33203125" bestFit="1" customWidth="1"/>
    <col min="32" max="32" width="9.5546875" bestFit="1" customWidth="1"/>
    <col min="33" max="33" width="10.6640625" bestFit="1" customWidth="1"/>
    <col min="35" max="35" width="10.6640625" bestFit="1" customWidth="1"/>
    <col min="37" max="37" width="8.6640625" bestFit="1" customWidth="1"/>
    <col min="38" max="38" width="12.5546875" bestFit="1" customWidth="1"/>
  </cols>
  <sheetData>
    <row r="1" spans="1:10" x14ac:dyDescent="0.3">
      <c r="A1" s="25" t="s">
        <v>106</v>
      </c>
      <c r="B1" t="s">
        <v>114</v>
      </c>
    </row>
    <row r="3" spans="1:10" x14ac:dyDescent="0.3">
      <c r="A3" s="25" t="s">
        <v>159</v>
      </c>
      <c r="C3" s="25" t="s">
        <v>171</v>
      </c>
    </row>
    <row r="4" spans="1:10" x14ac:dyDescent="0.3">
      <c r="A4" s="25" t="s">
        <v>105</v>
      </c>
      <c r="B4" s="25" t="s">
        <v>107</v>
      </c>
      <c r="C4" t="s">
        <v>165</v>
      </c>
      <c r="D4" t="s">
        <v>166</v>
      </c>
      <c r="E4" t="s">
        <v>167</v>
      </c>
      <c r="F4" t="s">
        <v>168</v>
      </c>
      <c r="G4" t="s">
        <v>158</v>
      </c>
      <c r="J4" t="s">
        <v>169</v>
      </c>
    </row>
    <row r="5" spans="1:10" x14ac:dyDescent="0.3">
      <c r="A5" t="s">
        <v>126</v>
      </c>
      <c r="D5">
        <v>4</v>
      </c>
      <c r="E5">
        <v>1</v>
      </c>
      <c r="F5">
        <v>3</v>
      </c>
      <c r="G5">
        <v>8</v>
      </c>
      <c r="J5" t="s">
        <v>170</v>
      </c>
    </row>
    <row r="6" spans="1:10" x14ac:dyDescent="0.3">
      <c r="B6" t="s">
        <v>118</v>
      </c>
      <c r="F6">
        <v>3</v>
      </c>
      <c r="G6">
        <v>3</v>
      </c>
    </row>
    <row r="7" spans="1:10" x14ac:dyDescent="0.3">
      <c r="B7" t="s">
        <v>121</v>
      </c>
      <c r="D7">
        <v>4</v>
      </c>
      <c r="E7">
        <v>1</v>
      </c>
      <c r="G7">
        <v>5</v>
      </c>
    </row>
    <row r="8" spans="1:10" x14ac:dyDescent="0.3">
      <c r="A8" t="s">
        <v>113</v>
      </c>
      <c r="C8">
        <v>2</v>
      </c>
      <c r="G8">
        <v>2</v>
      </c>
    </row>
    <row r="9" spans="1:10" x14ac:dyDescent="0.3">
      <c r="B9" t="s">
        <v>115</v>
      </c>
      <c r="C9">
        <v>2</v>
      </c>
      <c r="G9">
        <v>2</v>
      </c>
    </row>
    <row r="10" spans="1:10" x14ac:dyDescent="0.3">
      <c r="A10" t="s">
        <v>158</v>
      </c>
      <c r="C10">
        <v>2</v>
      </c>
      <c r="D10">
        <v>4</v>
      </c>
      <c r="E10">
        <v>1</v>
      </c>
      <c r="F10">
        <v>3</v>
      </c>
      <c r="G10">
        <v>10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 Introducción</vt:lpstr>
      <vt:lpstr>Introducción</vt:lpstr>
      <vt:lpstr>Gráficos no tan comunes</vt:lpstr>
      <vt:lpstr>Hoja4</vt:lpstr>
      <vt:lpstr>Hoja5</vt:lpstr>
      <vt:lpstr>Hoja6</vt:lpstr>
      <vt:lpstr>Practica</vt:lpstr>
      <vt:lpstr>Dinámicos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2025-10-06T18:10:22Z</dcterms:modified>
</cp:coreProperties>
</file>