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 codeName="ThisWorkbook"/>
  <xr:revisionPtr revIDLastSave="584" documentId="13_ncr:1_{497ED26C-5EBE-4185-A1C0-50B6193F6D0A}" xr6:coauthVersionLast="47" xr6:coauthVersionMax="47" xr10:uidLastSave="{DCA5627D-6F42-492C-BDAE-7656816E0D42}"/>
  <bookViews>
    <workbookView xWindow="-108" yWindow="-108" windowWidth="23256" windowHeight="12456" xr2:uid="{00000000-000D-0000-FFFF-FFFF00000000}"/>
  </bookViews>
  <sheets>
    <sheet name="Solver (2)" sheetId="3" r:id="rId1"/>
    <sheet name="Buscar Objetivo" sheetId="1" r:id="rId2"/>
    <sheet name="Solver" sheetId="2" r:id="rId3"/>
  </sheets>
  <definedNames>
    <definedName name="solver_adj" localSheetId="2" hidden="1">Solver!$I$54:$I$56</definedName>
    <definedName name="solver_adj" localSheetId="0" hidden="1">'Solver (2)'!$C$51:$C$53</definedName>
    <definedName name="solver_cvg" localSheetId="2" hidden="1">"0,0001"</definedName>
    <definedName name="solver_cvg" localSheetId="0" hidden="1">"""""""""""""""0,0001"""""""""""""""</definedName>
    <definedName name="solver_drv" localSheetId="2" hidden="1">1</definedName>
    <definedName name="solver_drv" localSheetId="0" hidden="1">1</definedName>
    <definedName name="solver_eng" localSheetId="1" hidden="1">1</definedName>
    <definedName name="solver_eng" localSheetId="2" hidden="1">2</definedName>
    <definedName name="solver_eng" localSheetId="0" hidden="1">1</definedName>
    <definedName name="solver_est" localSheetId="2" hidden="1">1</definedName>
    <definedName name="solver_est" localSheetId="0" hidden="1">1</definedName>
    <definedName name="solver_itr" localSheetId="2" hidden="1">2147483647</definedName>
    <definedName name="solver_itr" localSheetId="0" hidden="1">2147483647</definedName>
    <definedName name="solver_lhs1" localSheetId="2" hidden="1">Solver!$I$49:$I$52</definedName>
    <definedName name="solver_lhs1" localSheetId="0" hidden="1">'Solver (2)'!$C$66:$C$69</definedName>
    <definedName name="solver_lhs2" localSheetId="2" hidden="1">Solver!$I$54:$I$56</definedName>
    <definedName name="solver_lhs2" localSheetId="0" hidden="1">'Solver (2)'!$C$70:$C$72</definedName>
    <definedName name="solver_lhs3" localSheetId="2" hidden="1">Solver!$C$43</definedName>
    <definedName name="solver_lhs3" localSheetId="0" hidden="1">'Solver (2)'!$C$43</definedName>
    <definedName name="solver_lhs4" localSheetId="2" hidden="1">Solver!$J$30</definedName>
    <definedName name="solver_lhs4" localSheetId="0" hidden="1">'Solver (2)'!$I$30</definedName>
    <definedName name="solver_lhs5" localSheetId="2" hidden="1">Solver!$J$31</definedName>
    <definedName name="solver_lhs5" localSheetId="0" hidden="1">'Solver (2)'!$I$31</definedName>
    <definedName name="solver_lhs6" localSheetId="2" hidden="1">Solver!$J$32</definedName>
    <definedName name="solver_lhs6" localSheetId="0" hidden="1">'Solver (2)'!$I$32</definedName>
    <definedName name="solver_lhs7" localSheetId="2" hidden="1">Solver!$J$33</definedName>
    <definedName name="solver_lhs7" localSheetId="0" hidden="1">'Solver (2)'!$J$33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"0,075"</definedName>
    <definedName name="solver_mrt" localSheetId="0" hidden="1">"""""""""""""""0,075"""""""""""""""</definedName>
    <definedName name="solver_msl" localSheetId="2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1" hidden="1">0</definedName>
    <definedName name="solver_num" localSheetId="2" hidden="1">2</definedName>
    <definedName name="solver_num" localSheetId="0" hidden="1">2</definedName>
    <definedName name="solver_nwt" localSheetId="2" hidden="1">1</definedName>
    <definedName name="solver_nwt" localSheetId="0" hidden="1">1</definedName>
    <definedName name="solver_opt" localSheetId="1" hidden="1">'Buscar Objetivo'!$I$9</definedName>
    <definedName name="solver_opt" localSheetId="2" hidden="1">Solver!$I$58</definedName>
    <definedName name="solver_opt" localSheetId="0" hidden="1">'Solver (2)'!$F$51</definedName>
    <definedName name="solver_pre" localSheetId="2" hidden="1">"0,000001"</definedName>
    <definedName name="solver_pre" localSheetId="0" hidden="1">"""""""""""""""0,000001"""""""""""""""</definedName>
    <definedName name="solver_rbv" localSheetId="2" hidden="1">1</definedName>
    <definedName name="solver_rbv" localSheetId="0" hidden="1">1</definedName>
    <definedName name="solver_rel1" localSheetId="2" hidden="1">1</definedName>
    <definedName name="solver_rel1" localSheetId="0" hidden="1">1</definedName>
    <definedName name="solver_rel2" localSheetId="2" hidden="1">3</definedName>
    <definedName name="solver_rel2" localSheetId="0" hidden="1">3</definedName>
    <definedName name="solver_rel3" localSheetId="2" hidden="1">3</definedName>
    <definedName name="solver_rel3" localSheetId="0" hidden="1">3</definedName>
    <definedName name="solver_rel4" localSheetId="2" hidden="1">1</definedName>
    <definedName name="solver_rel4" localSheetId="0" hidden="1">1</definedName>
    <definedName name="solver_rel5" localSheetId="2" hidden="1">1</definedName>
    <definedName name="solver_rel5" localSheetId="0" hidden="1">1</definedName>
    <definedName name="solver_rel6" localSheetId="2" hidden="1">1</definedName>
    <definedName name="solver_rel6" localSheetId="0" hidden="1">1</definedName>
    <definedName name="solver_rel7" localSheetId="2" hidden="1">1</definedName>
    <definedName name="solver_rel7" localSheetId="0" hidden="1">1</definedName>
    <definedName name="solver_rhs1" localSheetId="2" hidden="1">Solver!$K$49:$K$52</definedName>
    <definedName name="solver_rhs1" localSheetId="0" hidden="1">'Solver (2)'!$E$66:$E$69</definedName>
    <definedName name="solver_rhs2" localSheetId="2" hidden="1">Solver!$K$54:$K$56</definedName>
    <definedName name="solver_rhs2" localSheetId="0" hidden="1">'Solver (2)'!$E$70:$E$72</definedName>
    <definedName name="solver_rhs3" localSheetId="2" hidden="1">30</definedName>
    <definedName name="solver_rhs3" localSheetId="0" hidden="1">30</definedName>
    <definedName name="solver_rhs4" localSheetId="2" hidden="1">Solver!$L$30</definedName>
    <definedName name="solver_rhs4" localSheetId="0" hidden="1">'Solver (2)'!$K$30</definedName>
    <definedName name="solver_rhs5" localSheetId="2" hidden="1">Solver!$L$31</definedName>
    <definedName name="solver_rhs5" localSheetId="0" hidden="1">'Solver (2)'!$K$31</definedName>
    <definedName name="solver_rhs6" localSheetId="2" hidden="1">Solver!$L$32</definedName>
    <definedName name="solver_rhs6" localSheetId="0" hidden="1">'Solver (2)'!$K$32</definedName>
    <definedName name="solver_rhs7" localSheetId="2" hidden="1">Solver!$L$33</definedName>
    <definedName name="solver_rhs7" localSheetId="0" hidden="1">'Solver (2)'!$L$33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2" hidden="1">1</definedName>
    <definedName name="solver_scl" localSheetId="0" hidden="1">1</definedName>
    <definedName name="solver_sho" localSheetId="2" hidden="1">2</definedName>
    <definedName name="solver_sho" localSheetId="0" hidden="1">2</definedName>
    <definedName name="solver_ssz" localSheetId="2" hidden="1">100</definedName>
    <definedName name="solver_ssz" localSheetId="0" hidden="1">100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1" hidden="1">1</definedName>
    <definedName name="solver_typ" localSheetId="2" hidden="1">1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3" l="1"/>
  <c r="E72" i="3"/>
  <c r="E70" i="3"/>
  <c r="C71" i="3"/>
  <c r="C72" i="3"/>
  <c r="C70" i="3"/>
  <c r="E66" i="3" a="1"/>
  <c r="E66" i="3" s="1"/>
  <c r="B66" i="3" a="1"/>
  <c r="B66" i="3" s="1"/>
  <c r="C62" i="3"/>
  <c r="D62" i="3"/>
  <c r="E62" i="3"/>
  <c r="F62" i="3"/>
  <c r="C63" i="3"/>
  <c r="D63" i="3"/>
  <c r="E63" i="3"/>
  <c r="F63" i="3"/>
  <c r="F61" i="3"/>
  <c r="D61" i="3"/>
  <c r="E61" i="3"/>
  <c r="C61" i="3"/>
  <c r="E52" i="3"/>
  <c r="E53" i="3"/>
  <c r="E51" i="3"/>
  <c r="D52" i="3"/>
  <c r="D53" i="3"/>
  <c r="D51" i="3"/>
  <c r="F8" i="2"/>
  <c r="F9" i="3"/>
  <c r="F10" i="3"/>
  <c r="F11" i="3"/>
  <c r="F12" i="3"/>
  <c r="F8" i="3"/>
  <c r="E13" i="3"/>
  <c r="I58" i="2"/>
  <c r="I52" i="2"/>
  <c r="I51" i="2"/>
  <c r="I50" i="2"/>
  <c r="I49" i="2"/>
  <c r="K55" i="2"/>
  <c r="K56" i="2"/>
  <c r="K54" i="2"/>
  <c r="K52" i="2"/>
  <c r="K51" i="2"/>
  <c r="K50" i="2"/>
  <c r="K49" i="2"/>
  <c r="F9" i="2"/>
  <c r="F13" i="2"/>
  <c r="E13" i="2"/>
  <c r="F10" i="2"/>
  <c r="F11" i="2"/>
  <c r="F12" i="2"/>
  <c r="E54" i="3" l="1"/>
  <c r="C66" i="3"/>
  <c r="C68" i="3"/>
  <c r="C67" i="3"/>
  <c r="C69" i="3"/>
  <c r="D54" i="3"/>
  <c r="F13" i="3"/>
  <c r="J30" i="2"/>
  <c r="J35" i="2"/>
  <c r="J41" i="2"/>
  <c r="J40" i="2"/>
  <c r="J37" i="2"/>
  <c r="J36" i="2"/>
  <c r="L31" i="2"/>
  <c r="L30" i="2"/>
  <c r="L33" i="2"/>
  <c r="J33" i="2"/>
  <c r="J32" i="2"/>
  <c r="J31" i="2"/>
  <c r="L32" i="2"/>
  <c r="I24" i="1"/>
  <c r="H24" i="1" a="1"/>
  <c r="H24" i="1" s="1"/>
  <c r="F51" i="3" l="1"/>
  <c r="J4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<sst xmlns="http://schemas.openxmlformats.org/spreadsheetml/2006/main" count="199" uniqueCount="73">
  <si>
    <t>Encontrar el punto de intersección entre las siguientes dos funciones</t>
  </si>
  <si>
    <t>x</t>
  </si>
  <si>
    <t>y1</t>
  </si>
  <si>
    <t>y2</t>
  </si>
  <si>
    <t>y1-y2</t>
  </si>
  <si>
    <t>Concepto</t>
  </si>
  <si>
    <t>Nota</t>
  </si>
  <si>
    <t>Peso [%]</t>
  </si>
  <si>
    <t>Parcial 1</t>
  </si>
  <si>
    <t>Parcial 2</t>
  </si>
  <si>
    <t>Tareas</t>
  </si>
  <si>
    <t>Participación</t>
  </si>
  <si>
    <t>Parcial 3</t>
  </si>
  <si>
    <t>Proytecto</t>
  </si>
  <si>
    <t>Nota Final</t>
  </si>
  <si>
    <t>¿Cuánto debería sacar este estudiante en el parcial 3 para poder pasar el curso?</t>
  </si>
  <si>
    <t>¿Cuánto hubiera necesitado sacar el estudiante en el parcial 3 para pasar el curso si su participación hubiera sido sobreslaiente (4)?</t>
  </si>
  <si>
    <t>En Bogotá hay escasez de tapabocas, sin embargo, en otras ciudades hay un excedente del producto. ¿ Qué cantidad de tapabocas se debe traer de cada ciudad, de manera que la demanda de bogotá se satisfaga y sea la manera más barata posible?</t>
  </si>
  <si>
    <t>Ciudad</t>
  </si>
  <si>
    <t>Medellín</t>
  </si>
  <si>
    <t>Barranquilla</t>
  </si>
  <si>
    <t>Cali</t>
  </si>
  <si>
    <t>Pasto</t>
  </si>
  <si>
    <t>Leticia</t>
  </si>
  <si>
    <t>Tapabocas disponibles</t>
  </si>
  <si>
    <t>Tapabocas llevados a Bogotá</t>
  </si>
  <si>
    <t>Costo unitario de transporte [COP/tapabocas]</t>
  </si>
  <si>
    <t>Costo por el transporte de cada ciudad [COP]</t>
  </si>
  <si>
    <t>TOTAL</t>
  </si>
  <si>
    <t>Demanda tapabocas</t>
  </si>
  <si>
    <t>Producto</t>
  </si>
  <si>
    <t>Pan</t>
  </si>
  <si>
    <t>Galleta</t>
  </si>
  <si>
    <t>Pastel</t>
  </si>
  <si>
    <t>Información de los productos</t>
  </si>
  <si>
    <t>Ingredientes</t>
  </si>
  <si>
    <t>Harina [kg]</t>
  </si>
  <si>
    <t>Huevos [unidades]</t>
  </si>
  <si>
    <t>Pasas [unidades]</t>
  </si>
  <si>
    <t>Leche [l]</t>
  </si>
  <si>
    <t>Información de los ingredientes</t>
  </si>
  <si>
    <t>Ingrediente</t>
  </si>
  <si>
    <t>Disponibilidad</t>
  </si>
  <si>
    <t>Información financiera de los productos</t>
  </si>
  <si>
    <t>Costo producción [COP/unidad]</t>
  </si>
  <si>
    <t>Precio venta [COP/unidad]</t>
  </si>
  <si>
    <t>Demanda mínima [unidades]</t>
  </si>
  <si>
    <t>Usted es el dueño de una panadería que produce pan, galletas y pasteles. Cada producto tiene una demanda mínima, un costo unitario de producción, un precio de venta unitario y  requiere de unos ingredientes. ¿Cuáles son las cantidades de cada producto que debe hacer para maximizar su rentabilidad, teniendo en cuenta no superar las cantidades disponibles de los ingredientes y satisfacer la demanda de sus productos?</t>
  </si>
  <si>
    <t>Usted tiene la oportunidad de comprar un lote de 350 m2 pero lo debe cercar inmediatamente. El terreno debe ser de forma rectangular y usted puede elegir el largo y ancho de su terreno. Si su objetivos es minimizar los costos de carcado que ancho y largo escogerìa?</t>
  </si>
  <si>
    <t>Área</t>
  </si>
  <si>
    <t>Largo</t>
  </si>
  <si>
    <t>Ancho</t>
  </si>
  <si>
    <t>m2</t>
  </si>
  <si>
    <t>m</t>
  </si>
  <si>
    <t>Restricciones</t>
  </si>
  <si>
    <t>Harina</t>
  </si>
  <si>
    <t>&lt;=</t>
  </si>
  <si>
    <t>Huevos</t>
  </si>
  <si>
    <t>Pasas</t>
  </si>
  <si>
    <t>Lecha</t>
  </si>
  <si>
    <t>&gt;=</t>
  </si>
  <si>
    <t>galleta</t>
  </si>
  <si>
    <t>Costo Produccion</t>
  </si>
  <si>
    <t>Precio Venta</t>
  </si>
  <si>
    <t>Utilidad</t>
  </si>
  <si>
    <t xml:space="preserve">Restricciones </t>
  </si>
  <si>
    <t>Leche</t>
  </si>
  <si>
    <t>Gananciea Neta</t>
  </si>
  <si>
    <t>Cantidad</t>
  </si>
  <si>
    <t>Costo</t>
  </si>
  <si>
    <t>Precio</t>
  </si>
  <si>
    <t>Ganancias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</si>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</sst>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0" xfId="0" applyFill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8</xdr:col>
      <xdr:colOff>581025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1906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8</xdr:col>
      <xdr:colOff>28575</xdr:colOff>
      <xdr:row>5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6381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2</xdr:col>
      <xdr:colOff>180975</xdr:colOff>
      <xdr:row>3</xdr:row>
      <xdr:rowOff>180975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7905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2</xdr:col>
      <xdr:colOff>219075</xdr:colOff>
      <xdr:row>5</xdr:row>
      <xdr:rowOff>180975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8286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55D6-13A5-497F-A0AC-763E3D266560}">
  <dimension ref="B2:U72"/>
  <sheetViews>
    <sheetView showGridLines="0" tabSelected="1" topLeftCell="A35" zoomScale="124" workbookViewId="0">
      <selection activeCell="D74" sqref="D74"/>
    </sheetView>
  </sheetViews>
  <sheetFormatPr baseColWidth="10" defaultRowHeight="14.4" x14ac:dyDescent="0.3"/>
  <cols>
    <col min="2" max="2" width="15.109375" customWidth="1"/>
    <col min="3" max="3" width="19" customWidth="1"/>
    <col min="4" max="4" width="25.88671875" bestFit="1" customWidth="1"/>
    <col min="5" max="5" width="16.5546875" bestFit="1" customWidth="1"/>
    <col min="6" max="6" width="21.33203125" customWidth="1"/>
    <col min="9" max="9" width="19" customWidth="1"/>
  </cols>
  <sheetData>
    <row r="2" spans="2:21" ht="15" customHeight="1" x14ac:dyDescent="0.3">
      <c r="B2" s="31" t="s">
        <v>17</v>
      </c>
      <c r="C2" s="31"/>
      <c r="D2" s="31"/>
      <c r="E2" s="31"/>
      <c r="F2" s="31"/>
      <c r="G2" s="31"/>
      <c r="H2" s="12"/>
      <c r="I2" s="12"/>
      <c r="J2" s="12"/>
      <c r="M2" s="31" t="s">
        <v>48</v>
      </c>
      <c r="N2" s="31"/>
      <c r="O2" s="31"/>
      <c r="P2" s="31"/>
      <c r="Q2" s="31"/>
      <c r="R2" s="31"/>
      <c r="S2" s="31"/>
      <c r="T2" s="31"/>
      <c r="U2" s="31"/>
    </row>
    <row r="3" spans="2:21" x14ac:dyDescent="0.3">
      <c r="B3" s="31"/>
      <c r="C3" s="31"/>
      <c r="D3" s="31"/>
      <c r="E3" s="31"/>
      <c r="F3" s="31"/>
      <c r="G3" s="31"/>
      <c r="H3" s="12"/>
      <c r="J3" s="12"/>
      <c r="M3" s="31"/>
      <c r="N3" s="31"/>
      <c r="O3" s="31"/>
      <c r="P3" s="31"/>
      <c r="Q3" s="31"/>
      <c r="R3" s="31"/>
      <c r="S3" s="31"/>
      <c r="T3" s="31"/>
      <c r="U3" s="31"/>
    </row>
    <row r="4" spans="2:21" x14ac:dyDescent="0.3">
      <c r="B4" s="31"/>
      <c r="C4" s="31"/>
      <c r="D4" s="31"/>
      <c r="E4" s="31"/>
      <c r="F4" s="31"/>
      <c r="G4" s="31"/>
      <c r="H4" s="12"/>
      <c r="I4" s="12"/>
      <c r="J4" s="12"/>
      <c r="M4" s="31"/>
      <c r="N4" s="31"/>
      <c r="O4" s="31"/>
      <c r="P4" s="31"/>
      <c r="Q4" s="31"/>
      <c r="R4" s="31"/>
      <c r="S4" s="31"/>
      <c r="T4" s="31"/>
      <c r="U4" s="31"/>
    </row>
    <row r="5" spans="2:21" x14ac:dyDescent="0.3">
      <c r="C5" s="12"/>
      <c r="D5" s="12"/>
      <c r="F5" s="12"/>
      <c r="G5" s="12"/>
      <c r="H5" s="12"/>
      <c r="I5" s="12"/>
      <c r="J5" s="12"/>
    </row>
    <row r="6" spans="2:21" x14ac:dyDescent="0.3">
      <c r="B6" s="8"/>
      <c r="C6" s="8"/>
      <c r="D6" s="8"/>
      <c r="E6" s="8"/>
      <c r="F6" s="8"/>
    </row>
    <row r="7" spans="2:21" ht="30" customHeight="1" x14ac:dyDescent="0.3">
      <c r="B7" s="14" t="s">
        <v>18</v>
      </c>
      <c r="C7" s="15" t="s">
        <v>24</v>
      </c>
      <c r="D7" s="15" t="s">
        <v>26</v>
      </c>
      <c r="E7" s="15" t="s">
        <v>25</v>
      </c>
      <c r="F7" s="15" t="s">
        <v>27</v>
      </c>
    </row>
    <row r="8" spans="2:21" x14ac:dyDescent="0.3">
      <c r="B8" s="16" t="s">
        <v>19</v>
      </c>
      <c r="C8" s="19">
        <v>500</v>
      </c>
      <c r="D8" s="16">
        <v>3000</v>
      </c>
      <c r="E8" s="17">
        <v>500</v>
      </c>
      <c r="F8" s="16">
        <f>E8*D8</f>
        <v>1500000</v>
      </c>
      <c r="M8" s="5" t="s">
        <v>49</v>
      </c>
      <c r="N8" s="5">
        <v>350</v>
      </c>
      <c r="O8" s="5" t="s">
        <v>52</v>
      </c>
    </row>
    <row r="9" spans="2:21" x14ac:dyDescent="0.3">
      <c r="B9" s="16" t="s">
        <v>20</v>
      </c>
      <c r="C9" s="19">
        <v>200</v>
      </c>
      <c r="D9" s="16">
        <v>3100</v>
      </c>
      <c r="E9" s="17">
        <v>200</v>
      </c>
      <c r="F9" s="16">
        <f t="shared" ref="F9:F12" si="0">E9*D9</f>
        <v>620000</v>
      </c>
      <c r="M9" s="5" t="s">
        <v>50</v>
      </c>
      <c r="N9" s="7"/>
      <c r="O9" s="5" t="s">
        <v>53</v>
      </c>
    </row>
    <row r="10" spans="2:21" x14ac:dyDescent="0.3">
      <c r="B10" s="16" t="s">
        <v>21</v>
      </c>
      <c r="C10" s="19">
        <v>800</v>
      </c>
      <c r="D10" s="16">
        <v>2800</v>
      </c>
      <c r="E10" s="17">
        <v>800</v>
      </c>
      <c r="F10" s="16">
        <f t="shared" si="0"/>
        <v>2240000</v>
      </c>
      <c r="M10" s="5" t="s">
        <v>51</v>
      </c>
      <c r="N10" s="7"/>
      <c r="O10" s="5" t="s">
        <v>53</v>
      </c>
    </row>
    <row r="11" spans="2:21" x14ac:dyDescent="0.3">
      <c r="B11" s="16" t="s">
        <v>22</v>
      </c>
      <c r="C11" s="19">
        <v>1000</v>
      </c>
      <c r="D11" s="16">
        <v>3200</v>
      </c>
      <c r="E11" s="17">
        <v>1000</v>
      </c>
      <c r="F11" s="16">
        <f t="shared" si="0"/>
        <v>3200000</v>
      </c>
    </row>
    <row r="12" spans="2:21" x14ac:dyDescent="0.3">
      <c r="B12" s="16" t="s">
        <v>23</v>
      </c>
      <c r="C12" s="19">
        <v>3000</v>
      </c>
      <c r="D12" s="16">
        <v>3500</v>
      </c>
      <c r="E12" s="17">
        <v>0</v>
      </c>
      <c r="F12" s="16">
        <f t="shared" si="0"/>
        <v>0</v>
      </c>
    </row>
    <row r="13" spans="2:21" x14ac:dyDescent="0.3">
      <c r="B13" s="8"/>
      <c r="C13" s="8"/>
      <c r="D13" s="11" t="s">
        <v>28</v>
      </c>
      <c r="E13" s="18">
        <f>SUM(E8:E12)</f>
        <v>2500</v>
      </c>
      <c r="F13" s="18">
        <f>SUM(F8:F12)</f>
        <v>7560000</v>
      </c>
    </row>
    <row r="14" spans="2:21" x14ac:dyDescent="0.3">
      <c r="B14" s="8"/>
      <c r="C14" s="8"/>
      <c r="D14" s="11" t="s">
        <v>29</v>
      </c>
      <c r="E14" s="18">
        <v>2500</v>
      </c>
      <c r="F14" s="16"/>
    </row>
    <row r="16" spans="2:21" x14ac:dyDescent="0.3">
      <c r="B16" s="10"/>
    </row>
    <row r="17" spans="2:6" s="4" customFormat="1" x14ac:dyDescent="0.3"/>
    <row r="19" spans="2:6" ht="15" customHeight="1" x14ac:dyDescent="0.3">
      <c r="B19" s="32" t="s">
        <v>47</v>
      </c>
      <c r="C19" s="33"/>
      <c r="D19" s="33"/>
      <c r="E19" s="33"/>
      <c r="F19" s="34"/>
    </row>
    <row r="20" spans="2:6" x14ac:dyDescent="0.3">
      <c r="B20" s="35"/>
      <c r="C20" s="36"/>
      <c r="D20" s="36"/>
      <c r="E20" s="36"/>
      <c r="F20" s="37"/>
    </row>
    <row r="21" spans="2:6" x14ac:dyDescent="0.3">
      <c r="B21" s="35"/>
      <c r="C21" s="36"/>
      <c r="D21" s="36"/>
      <c r="E21" s="36"/>
      <c r="F21" s="37"/>
    </row>
    <row r="22" spans="2:6" x14ac:dyDescent="0.3">
      <c r="B22" s="38"/>
      <c r="C22" s="39"/>
      <c r="D22" s="39"/>
      <c r="E22" s="39"/>
      <c r="F22" s="40"/>
    </row>
    <row r="23" spans="2:6" x14ac:dyDescent="0.3">
      <c r="B23" s="12"/>
      <c r="C23" s="12"/>
      <c r="D23" s="12"/>
      <c r="E23" s="12"/>
      <c r="F23" s="12"/>
    </row>
    <row r="25" spans="2:6" x14ac:dyDescent="0.3">
      <c r="B25" s="20" t="s">
        <v>34</v>
      </c>
    </row>
    <row r="27" spans="2:6" x14ac:dyDescent="0.3">
      <c r="B27" s="26" t="s">
        <v>30</v>
      </c>
      <c r="C27" s="27" t="s">
        <v>35</v>
      </c>
      <c r="D27" s="28"/>
      <c r="E27" s="28"/>
      <c r="F27" s="29"/>
    </row>
    <row r="28" spans="2:6" x14ac:dyDescent="0.3">
      <c r="B28" s="26"/>
      <c r="C28" s="14" t="s">
        <v>36</v>
      </c>
      <c r="D28" s="14" t="s">
        <v>37</v>
      </c>
      <c r="E28" s="14" t="s">
        <v>38</v>
      </c>
      <c r="F28" s="14" t="s">
        <v>39</v>
      </c>
    </row>
    <row r="29" spans="2:6" x14ac:dyDescent="0.3">
      <c r="B29" s="16" t="s">
        <v>31</v>
      </c>
      <c r="C29" s="16">
        <v>0.3</v>
      </c>
      <c r="D29" s="16">
        <v>1</v>
      </c>
      <c r="E29" s="16">
        <v>0</v>
      </c>
      <c r="F29" s="16">
        <v>0.2</v>
      </c>
    </row>
    <row r="30" spans="2:6" x14ac:dyDescent="0.3">
      <c r="B30" s="16" t="s">
        <v>32</v>
      </c>
      <c r="C30" s="16">
        <v>0.2</v>
      </c>
      <c r="D30" s="16">
        <v>1</v>
      </c>
      <c r="E30" s="16">
        <v>5</v>
      </c>
      <c r="F30" s="16">
        <v>0.4</v>
      </c>
    </row>
    <row r="31" spans="2:6" x14ac:dyDescent="0.3">
      <c r="B31" s="16" t="s">
        <v>33</v>
      </c>
      <c r="C31" s="16">
        <v>0.8</v>
      </c>
      <c r="D31" s="16">
        <v>3</v>
      </c>
      <c r="E31" s="16">
        <v>50</v>
      </c>
      <c r="F31" s="16">
        <v>0.6</v>
      </c>
    </row>
    <row r="33" spans="2:9" x14ac:dyDescent="0.3">
      <c r="B33" s="21" t="s">
        <v>40</v>
      </c>
    </row>
    <row r="35" spans="2:9" x14ac:dyDescent="0.3">
      <c r="B35" s="11" t="s">
        <v>41</v>
      </c>
      <c r="C35" s="14" t="s">
        <v>36</v>
      </c>
      <c r="D35" s="14" t="s">
        <v>37</v>
      </c>
      <c r="E35" s="14" t="s">
        <v>38</v>
      </c>
      <c r="F35" s="14" t="s">
        <v>39</v>
      </c>
      <c r="I35" s="23"/>
    </row>
    <row r="36" spans="2:9" x14ac:dyDescent="0.3">
      <c r="B36" s="11" t="s">
        <v>42</v>
      </c>
      <c r="C36" s="5">
        <v>380</v>
      </c>
      <c r="D36" s="5">
        <v>1500</v>
      </c>
      <c r="E36" s="5">
        <v>5000</v>
      </c>
      <c r="F36" s="5">
        <v>380</v>
      </c>
    </row>
    <row r="38" spans="2:9" x14ac:dyDescent="0.3">
      <c r="B38" t="s">
        <v>43</v>
      </c>
    </row>
    <row r="40" spans="2:9" ht="30" customHeight="1" x14ac:dyDescent="0.3">
      <c r="B40" s="14" t="s">
        <v>30</v>
      </c>
      <c r="C40" s="15" t="s">
        <v>46</v>
      </c>
      <c r="D40" s="13" t="s">
        <v>44</v>
      </c>
      <c r="E40" s="15" t="s">
        <v>45</v>
      </c>
    </row>
    <row r="41" spans="2:9" x14ac:dyDescent="0.3">
      <c r="B41" s="16" t="s">
        <v>31</v>
      </c>
      <c r="C41" s="5">
        <v>800</v>
      </c>
      <c r="D41" s="5">
        <v>50</v>
      </c>
      <c r="E41" s="5">
        <v>200</v>
      </c>
    </row>
    <row r="42" spans="2:9" x14ac:dyDescent="0.3">
      <c r="B42" s="16" t="s">
        <v>32</v>
      </c>
      <c r="C42" s="5">
        <v>500</v>
      </c>
      <c r="D42" s="5">
        <v>150</v>
      </c>
      <c r="E42" s="5">
        <v>500</v>
      </c>
    </row>
    <row r="43" spans="2:9" x14ac:dyDescent="0.3">
      <c r="B43" s="16" t="s">
        <v>33</v>
      </c>
      <c r="C43" s="5">
        <v>33.333333333333286</v>
      </c>
      <c r="D43" s="5">
        <v>5000</v>
      </c>
      <c r="E43" s="5">
        <v>8000</v>
      </c>
    </row>
    <row r="50" spans="2:6" x14ac:dyDescent="0.3">
      <c r="B50" s="14" t="s">
        <v>30</v>
      </c>
      <c r="C50" s="11" t="s">
        <v>68</v>
      </c>
      <c r="D50" s="11" t="s">
        <v>69</v>
      </c>
      <c r="E50" s="11" t="s">
        <v>70</v>
      </c>
      <c r="F50" s="11" t="s">
        <v>71</v>
      </c>
    </row>
    <row r="51" spans="2:6" x14ac:dyDescent="0.3">
      <c r="B51" s="16" t="s">
        <v>31</v>
      </c>
      <c r="C51" s="5">
        <v>800.00000000000011</v>
      </c>
      <c r="D51" s="5">
        <f>C51*D41</f>
        <v>40000.000000000007</v>
      </c>
      <c r="E51" s="5">
        <f>E41*C51</f>
        <v>160000.00000000003</v>
      </c>
      <c r="F51" s="5">
        <f>E54-D54</f>
        <v>394999.99999999988</v>
      </c>
    </row>
    <row r="52" spans="2:6" x14ac:dyDescent="0.3">
      <c r="B52" s="16" t="s">
        <v>32</v>
      </c>
      <c r="C52" s="5">
        <v>500</v>
      </c>
      <c r="D52" s="5">
        <f t="shared" ref="D52:D53" si="1">C52*D42</f>
        <v>75000</v>
      </c>
      <c r="E52" s="5">
        <f t="shared" ref="E52:E53" si="2">E42*C52</f>
        <v>250000</v>
      </c>
      <c r="F52" s="5"/>
    </row>
    <row r="53" spans="2:6" x14ac:dyDescent="0.3">
      <c r="B53" s="16" t="s">
        <v>33</v>
      </c>
      <c r="C53" s="5">
        <v>33.333333333333286</v>
      </c>
      <c r="D53" s="5">
        <f t="shared" si="1"/>
        <v>166666.66666666642</v>
      </c>
      <c r="E53" s="5">
        <f t="shared" si="2"/>
        <v>266666.66666666628</v>
      </c>
      <c r="F53" s="5"/>
    </row>
    <row r="54" spans="2:6" x14ac:dyDescent="0.3">
      <c r="B54" s="41" t="s">
        <v>72</v>
      </c>
      <c r="C54" s="5"/>
      <c r="D54" s="5">
        <f>SUM(D51:D53)</f>
        <v>281666.6666666664</v>
      </c>
      <c r="E54" s="5">
        <f>SUM(E51:E53)</f>
        <v>676666.66666666628</v>
      </c>
      <c r="F54" s="5"/>
    </row>
    <row r="58" spans="2:6" x14ac:dyDescent="0.3">
      <c r="B58" t="s">
        <v>65</v>
      </c>
    </row>
    <row r="60" spans="2:6" x14ac:dyDescent="0.3">
      <c r="B60" s="14" t="s">
        <v>30</v>
      </c>
      <c r="C60" s="11" t="s">
        <v>55</v>
      </c>
      <c r="D60" s="11" t="s">
        <v>57</v>
      </c>
      <c r="E60" s="11" t="s">
        <v>58</v>
      </c>
      <c r="F60" s="42" t="s">
        <v>66</v>
      </c>
    </row>
    <row r="61" spans="2:6" x14ac:dyDescent="0.3">
      <c r="B61" s="16" t="s">
        <v>31</v>
      </c>
      <c r="C61" s="5">
        <f>$C51*C29</f>
        <v>240.00000000000003</v>
      </c>
      <c r="D61" s="5">
        <f>$C51*D29</f>
        <v>800.00000000000011</v>
      </c>
      <c r="E61" s="5">
        <f t="shared" ref="D61:F61" si="3">$C51*E29</f>
        <v>0</v>
      </c>
      <c r="F61" s="5">
        <f>$C51*F29</f>
        <v>160.00000000000003</v>
      </c>
    </row>
    <row r="62" spans="2:6" x14ac:dyDescent="0.3">
      <c r="B62" s="16" t="s">
        <v>32</v>
      </c>
      <c r="C62" s="5">
        <f t="shared" ref="C62:F62" si="4">$C52*C30</f>
        <v>100</v>
      </c>
      <c r="D62" s="5">
        <f t="shared" si="4"/>
        <v>500</v>
      </c>
      <c r="E62" s="5">
        <f t="shared" si="4"/>
        <v>2500</v>
      </c>
      <c r="F62" s="5">
        <f t="shared" si="4"/>
        <v>200</v>
      </c>
    </row>
    <row r="63" spans="2:6" x14ac:dyDescent="0.3">
      <c r="B63" s="16" t="s">
        <v>33</v>
      </c>
      <c r="C63" s="5">
        <f t="shared" ref="C63:F63" si="5">$C53*C31</f>
        <v>26.666666666666629</v>
      </c>
      <c r="D63" s="5">
        <f t="shared" si="5"/>
        <v>99.999999999999858</v>
      </c>
      <c r="E63" s="5">
        <f t="shared" si="5"/>
        <v>1666.6666666666642</v>
      </c>
      <c r="F63" s="5">
        <f t="shared" si="5"/>
        <v>19.999999999999972</v>
      </c>
    </row>
    <row r="64" spans="2:6" x14ac:dyDescent="0.3">
      <c r="B64" s="41"/>
      <c r="C64" s="5"/>
      <c r="D64" s="5"/>
      <c r="E64" s="5"/>
      <c r="F64" s="5"/>
    </row>
    <row r="66" spans="2:5" x14ac:dyDescent="0.3">
      <c r="B66" s="5" t="str" cm="1">
        <f t="array" ref="B66:B69">TRANSPOSE(C60:F60)</f>
        <v>Harina</v>
      </c>
      <c r="C66" s="2">
        <f>SUM(C61:C63)</f>
        <v>366.66666666666663</v>
      </c>
      <c r="D66" s="2" t="s">
        <v>56</v>
      </c>
      <c r="E66" s="2" cm="1">
        <f t="array" ref="E66:E69">TRANSPOSE(C36:F36)</f>
        <v>380</v>
      </c>
    </row>
    <row r="67" spans="2:5" x14ac:dyDescent="0.3">
      <c r="B67" s="5" t="str">
        <v>Huevos</v>
      </c>
      <c r="C67" s="2">
        <f>SUM(D61:D63)</f>
        <v>1399.9999999999998</v>
      </c>
      <c r="D67" s="2" t="s">
        <v>56</v>
      </c>
      <c r="E67" s="2">
        <v>1500</v>
      </c>
    </row>
    <row r="68" spans="2:5" x14ac:dyDescent="0.3">
      <c r="B68" s="5" t="str">
        <v>Pasas</v>
      </c>
      <c r="C68" s="2">
        <f>SUM(E61:E63)</f>
        <v>4166.6666666666642</v>
      </c>
      <c r="D68" s="2" t="s">
        <v>56</v>
      </c>
      <c r="E68" s="2">
        <v>5000</v>
      </c>
    </row>
    <row r="69" spans="2:5" x14ac:dyDescent="0.3">
      <c r="B69" s="5" t="str">
        <v>Leche</v>
      </c>
      <c r="C69" s="2">
        <f>SUM(F61:F63)</f>
        <v>380</v>
      </c>
      <c r="D69" s="2" t="s">
        <v>56</v>
      </c>
      <c r="E69" s="2">
        <v>380</v>
      </c>
    </row>
    <row r="70" spans="2:5" x14ac:dyDescent="0.3">
      <c r="B70" s="16" t="s">
        <v>31</v>
      </c>
      <c r="C70" s="2">
        <f>C51</f>
        <v>800.00000000000011</v>
      </c>
      <c r="D70" s="2" t="s">
        <v>60</v>
      </c>
      <c r="E70" s="2">
        <f>C41</f>
        <v>800</v>
      </c>
    </row>
    <row r="71" spans="2:5" x14ac:dyDescent="0.3">
      <c r="B71" s="16" t="s">
        <v>32</v>
      </c>
      <c r="C71" s="2">
        <f t="shared" ref="C71:C72" si="6">C52</f>
        <v>500</v>
      </c>
      <c r="D71" s="2" t="s">
        <v>60</v>
      </c>
      <c r="E71" s="2">
        <f t="shared" ref="E71:E72" si="7">C42</f>
        <v>500</v>
      </c>
    </row>
    <row r="72" spans="2:5" x14ac:dyDescent="0.3">
      <c r="B72" s="16" t="s">
        <v>33</v>
      </c>
      <c r="C72" s="2">
        <f t="shared" si="6"/>
        <v>33.333333333333286</v>
      </c>
      <c r="D72" s="2" t="s">
        <v>60</v>
      </c>
      <c r="E72" s="2">
        <f t="shared" si="7"/>
        <v>33.333333333333286</v>
      </c>
    </row>
  </sheetData>
  <mergeCells count="5">
    <mergeCell ref="B2:G4"/>
    <mergeCell ref="M2:U4"/>
    <mergeCell ref="B19:F22"/>
    <mergeCell ref="B27:B28"/>
    <mergeCell ref="C27:F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J24"/>
  <sheetViews>
    <sheetView showGridLines="0" topLeftCell="A2" zoomScale="108" workbookViewId="0">
      <selection activeCell="H24" sqref="H24"/>
    </sheetView>
  </sheetViews>
  <sheetFormatPr baseColWidth="10" defaultColWidth="9.109375" defaultRowHeight="14.4" x14ac:dyDescent="0.3"/>
  <cols>
    <col min="6" max="6" width="12.44140625" bestFit="1" customWidth="1"/>
    <col min="7" max="7" width="10" bestFit="1" customWidth="1"/>
    <col min="8" max="8" width="8.5546875" customWidth="1"/>
  </cols>
  <sheetData>
    <row r="2" spans="2:9" x14ac:dyDescent="0.3">
      <c r="B2" t="s">
        <v>0</v>
      </c>
    </row>
    <row r="9" spans="2:9" x14ac:dyDescent="0.3">
      <c r="B9" t="s">
        <v>1</v>
      </c>
      <c r="C9" s="1"/>
      <c r="H9" t="s">
        <v>1</v>
      </c>
      <c r="I9" s="1"/>
    </row>
    <row r="10" spans="2:9" x14ac:dyDescent="0.3">
      <c r="B10" t="s">
        <v>2</v>
      </c>
      <c r="C10" s="2"/>
      <c r="H10" t="s">
        <v>2</v>
      </c>
      <c r="I10" s="2"/>
    </row>
    <row r="11" spans="2:9" x14ac:dyDescent="0.3">
      <c r="B11" t="s">
        <v>3</v>
      </c>
      <c r="C11" s="2"/>
      <c r="H11" t="s">
        <v>3</v>
      </c>
      <c r="I11" s="2"/>
    </row>
    <row r="12" spans="2:9" x14ac:dyDescent="0.3">
      <c r="B12" t="s">
        <v>4</v>
      </c>
      <c r="C12" s="3"/>
      <c r="H12" t="s">
        <v>4</v>
      </c>
      <c r="I12" s="3"/>
    </row>
    <row r="14" spans="2:9" s="4" customFormat="1" x14ac:dyDescent="0.3"/>
    <row r="17" spans="6:10" x14ac:dyDescent="0.3">
      <c r="F17" s="11" t="s">
        <v>5</v>
      </c>
      <c r="G17" s="11" t="s">
        <v>7</v>
      </c>
      <c r="H17" s="11" t="s">
        <v>6</v>
      </c>
      <c r="J17" s="10" t="s">
        <v>15</v>
      </c>
    </row>
    <row r="18" spans="6:10" x14ac:dyDescent="0.3">
      <c r="F18" s="5" t="s">
        <v>8</v>
      </c>
      <c r="G18" s="6">
        <v>0.15</v>
      </c>
      <c r="H18" s="5">
        <v>2</v>
      </c>
      <c r="J18" t="s">
        <v>16</v>
      </c>
    </row>
    <row r="19" spans="6:10" x14ac:dyDescent="0.3">
      <c r="F19" s="5" t="s">
        <v>9</v>
      </c>
      <c r="G19" s="6">
        <v>0.15</v>
      </c>
      <c r="H19" s="5">
        <v>2.2999999999999998</v>
      </c>
    </row>
    <row r="20" spans="6:10" x14ac:dyDescent="0.3">
      <c r="F20" s="5" t="s">
        <v>12</v>
      </c>
      <c r="G20" s="6">
        <v>0.3</v>
      </c>
      <c r="H20" s="7">
        <v>4.5166666666666657</v>
      </c>
    </row>
    <row r="21" spans="6:10" x14ac:dyDescent="0.3">
      <c r="F21" s="5" t="s">
        <v>13</v>
      </c>
      <c r="G21" s="6">
        <v>0.2</v>
      </c>
      <c r="H21" s="5">
        <v>2.2000000000000002</v>
      </c>
    </row>
    <row r="22" spans="6:10" x14ac:dyDescent="0.3">
      <c r="F22" s="5" t="s">
        <v>10</v>
      </c>
      <c r="G22" s="6">
        <v>0.15</v>
      </c>
      <c r="H22" s="5">
        <v>2.4</v>
      </c>
    </row>
    <row r="23" spans="6:10" x14ac:dyDescent="0.3">
      <c r="F23" s="5" t="s">
        <v>11</v>
      </c>
      <c r="G23" s="6">
        <v>0.05</v>
      </c>
      <c r="H23" s="5">
        <v>4</v>
      </c>
    </row>
    <row r="24" spans="6:10" x14ac:dyDescent="0.3">
      <c r="F24" s="8"/>
      <c r="G24" s="6" t="s">
        <v>14</v>
      </c>
      <c r="H24" s="9" cm="1">
        <f t="array" ref="H24">SUM(G18:G23*H18:H23)</f>
        <v>3</v>
      </c>
      <c r="I24">
        <f>SUMPRODUCT(G18:G23,H18:H23)</f>
        <v>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U64"/>
  <sheetViews>
    <sheetView showGridLines="0" topLeftCell="A44" zoomScale="96" workbookViewId="0">
      <selection activeCell="F9" sqref="F9"/>
    </sheetView>
  </sheetViews>
  <sheetFormatPr baseColWidth="10" defaultRowHeight="14.4" x14ac:dyDescent="0.3"/>
  <cols>
    <col min="2" max="2" width="15.109375" customWidth="1"/>
    <col min="3" max="3" width="19" customWidth="1"/>
    <col min="4" max="4" width="25.88671875" bestFit="1" customWidth="1"/>
    <col min="5" max="5" width="16.5546875" bestFit="1" customWidth="1"/>
    <col min="6" max="6" width="21.33203125" customWidth="1"/>
    <col min="9" max="9" width="19" customWidth="1"/>
  </cols>
  <sheetData>
    <row r="2" spans="2:21" ht="15" customHeight="1" x14ac:dyDescent="0.3">
      <c r="B2" s="31" t="s">
        <v>17</v>
      </c>
      <c r="C2" s="31"/>
      <c r="D2" s="31"/>
      <c r="E2" s="31"/>
      <c r="F2" s="31"/>
      <c r="G2" s="31"/>
      <c r="H2" s="12"/>
      <c r="I2" s="12"/>
      <c r="J2" s="12"/>
      <c r="M2" s="31" t="s">
        <v>48</v>
      </c>
      <c r="N2" s="31"/>
      <c r="O2" s="31"/>
      <c r="P2" s="31"/>
      <c r="Q2" s="31"/>
      <c r="R2" s="31"/>
      <c r="S2" s="31"/>
      <c r="T2" s="31"/>
      <c r="U2" s="31"/>
    </row>
    <row r="3" spans="2:21" x14ac:dyDescent="0.3">
      <c r="B3" s="31"/>
      <c r="C3" s="31"/>
      <c r="D3" s="31"/>
      <c r="E3" s="31"/>
      <c r="F3" s="31"/>
      <c r="G3" s="31"/>
      <c r="H3" s="12"/>
      <c r="J3" s="12"/>
      <c r="M3" s="31"/>
      <c r="N3" s="31"/>
      <c r="O3" s="31"/>
      <c r="P3" s="31"/>
      <c r="Q3" s="31"/>
      <c r="R3" s="31"/>
      <c r="S3" s="31"/>
      <c r="T3" s="31"/>
      <c r="U3" s="31"/>
    </row>
    <row r="4" spans="2:21" x14ac:dyDescent="0.3">
      <c r="B4" s="31"/>
      <c r="C4" s="31"/>
      <c r="D4" s="31"/>
      <c r="E4" s="31"/>
      <c r="F4" s="31"/>
      <c r="G4" s="31"/>
      <c r="H4" s="12"/>
      <c r="I4" s="12"/>
      <c r="J4" s="12"/>
      <c r="M4" s="31"/>
      <c r="N4" s="31"/>
      <c r="O4" s="31"/>
      <c r="P4" s="31"/>
      <c r="Q4" s="31"/>
      <c r="R4" s="31"/>
      <c r="S4" s="31"/>
      <c r="T4" s="31"/>
      <c r="U4" s="31"/>
    </row>
    <row r="5" spans="2:21" x14ac:dyDescent="0.3">
      <c r="C5" s="12"/>
      <c r="D5" s="12"/>
      <c r="F5" s="12"/>
      <c r="G5" s="12"/>
      <c r="H5" s="12"/>
      <c r="I5" s="12"/>
      <c r="J5" s="12"/>
    </row>
    <row r="6" spans="2:21" x14ac:dyDescent="0.3">
      <c r="B6" s="8"/>
      <c r="C6" s="8"/>
      <c r="D6" s="8"/>
      <c r="E6" s="8"/>
      <c r="F6" s="8"/>
    </row>
    <row r="7" spans="2:21" ht="30" customHeight="1" x14ac:dyDescent="0.3">
      <c r="B7" s="14" t="s">
        <v>18</v>
      </c>
      <c r="C7" s="15" t="s">
        <v>24</v>
      </c>
      <c r="D7" s="15" t="s">
        <v>26</v>
      </c>
      <c r="E7" s="15" t="s">
        <v>25</v>
      </c>
      <c r="F7" s="15" t="s">
        <v>27</v>
      </c>
    </row>
    <row r="8" spans="2:21" x14ac:dyDescent="0.3">
      <c r="B8" s="16" t="s">
        <v>19</v>
      </c>
      <c r="C8" s="19">
        <v>500</v>
      </c>
      <c r="D8" s="16">
        <v>3000</v>
      </c>
      <c r="E8" s="17">
        <v>500</v>
      </c>
      <c r="F8" s="16">
        <f>E8*D8</f>
        <v>1500000</v>
      </c>
      <c r="M8" s="5" t="s">
        <v>49</v>
      </c>
      <c r="N8" s="5">
        <v>350</v>
      </c>
      <c r="O8" s="5" t="s">
        <v>52</v>
      </c>
    </row>
    <row r="9" spans="2:21" x14ac:dyDescent="0.3">
      <c r="B9" s="16" t="s">
        <v>20</v>
      </c>
      <c r="C9" s="19">
        <v>200</v>
      </c>
      <c r="D9" s="16">
        <v>3100</v>
      </c>
      <c r="E9" s="17">
        <v>200</v>
      </c>
      <c r="F9" s="16">
        <f>E9*D9</f>
        <v>620000</v>
      </c>
      <c r="M9" s="5" t="s">
        <v>50</v>
      </c>
      <c r="N9" s="7"/>
      <c r="O9" s="5" t="s">
        <v>53</v>
      </c>
    </row>
    <row r="10" spans="2:21" x14ac:dyDescent="0.3">
      <c r="B10" s="16" t="s">
        <v>21</v>
      </c>
      <c r="C10" s="19">
        <v>800</v>
      </c>
      <c r="D10" s="16">
        <v>2800</v>
      </c>
      <c r="E10" s="17">
        <v>800</v>
      </c>
      <c r="F10" s="16">
        <f t="shared" ref="F10:F12" si="0">E10*D10</f>
        <v>2240000</v>
      </c>
      <c r="M10" s="5" t="s">
        <v>51</v>
      </c>
      <c r="N10" s="7"/>
      <c r="O10" s="5" t="s">
        <v>53</v>
      </c>
    </row>
    <row r="11" spans="2:21" x14ac:dyDescent="0.3">
      <c r="B11" s="16" t="s">
        <v>22</v>
      </c>
      <c r="C11" s="19">
        <v>1000</v>
      </c>
      <c r="D11" s="16">
        <v>3200</v>
      </c>
      <c r="E11" s="17">
        <v>1000</v>
      </c>
      <c r="F11" s="16">
        <f t="shared" si="0"/>
        <v>3200000</v>
      </c>
    </row>
    <row r="12" spans="2:21" x14ac:dyDescent="0.3">
      <c r="B12" s="16" t="s">
        <v>23</v>
      </c>
      <c r="C12" s="19">
        <v>3000</v>
      </c>
      <c r="D12" s="16">
        <v>3500</v>
      </c>
      <c r="E12" s="17">
        <v>0</v>
      </c>
      <c r="F12" s="16">
        <f t="shared" si="0"/>
        <v>0</v>
      </c>
    </row>
    <row r="13" spans="2:21" x14ac:dyDescent="0.3">
      <c r="B13" s="8"/>
      <c r="C13" s="8"/>
      <c r="D13" s="11" t="s">
        <v>28</v>
      </c>
      <c r="E13" s="18">
        <f>SUM(E8:E12)</f>
        <v>2500</v>
      </c>
      <c r="F13" s="18">
        <f>SUM(F8:F12)</f>
        <v>7560000</v>
      </c>
    </row>
    <row r="14" spans="2:21" x14ac:dyDescent="0.3">
      <c r="B14" s="8"/>
      <c r="C14" s="8"/>
      <c r="D14" s="11" t="s">
        <v>29</v>
      </c>
      <c r="E14" s="18">
        <v>2500</v>
      </c>
      <c r="F14" s="16"/>
    </row>
    <row r="16" spans="2:21" x14ac:dyDescent="0.3">
      <c r="B16" s="10"/>
    </row>
    <row r="17" spans="2:12" s="4" customFormat="1" x14ac:dyDescent="0.3"/>
    <row r="19" spans="2:12" ht="15" customHeight="1" x14ac:dyDescent="0.3">
      <c r="B19" s="32" t="s">
        <v>47</v>
      </c>
      <c r="C19" s="33"/>
      <c r="D19" s="33"/>
      <c r="E19" s="33"/>
      <c r="F19" s="34"/>
    </row>
    <row r="20" spans="2:12" x14ac:dyDescent="0.3">
      <c r="B20" s="35"/>
      <c r="C20" s="36"/>
      <c r="D20" s="36"/>
      <c r="E20" s="36"/>
      <c r="F20" s="37"/>
    </row>
    <row r="21" spans="2:12" x14ac:dyDescent="0.3">
      <c r="B21" s="35"/>
      <c r="C21" s="36"/>
      <c r="D21" s="36"/>
      <c r="E21" s="36"/>
      <c r="F21" s="37"/>
    </row>
    <row r="22" spans="2:12" x14ac:dyDescent="0.3">
      <c r="B22" s="38"/>
      <c r="C22" s="39"/>
      <c r="D22" s="39"/>
      <c r="E22" s="39"/>
      <c r="F22" s="40"/>
    </row>
    <row r="23" spans="2:12" x14ac:dyDescent="0.3">
      <c r="B23" s="12"/>
      <c r="C23" s="12"/>
      <c r="D23" s="12"/>
      <c r="E23" s="12"/>
      <c r="F23" s="12"/>
    </row>
    <row r="25" spans="2:12" x14ac:dyDescent="0.3">
      <c r="B25" s="20" t="s">
        <v>34</v>
      </c>
    </row>
    <row r="27" spans="2:12" x14ac:dyDescent="0.3">
      <c r="B27" s="26" t="s">
        <v>30</v>
      </c>
      <c r="C27" s="27" t="s">
        <v>35</v>
      </c>
      <c r="D27" s="28"/>
      <c r="E27" s="28"/>
      <c r="F27" s="29"/>
    </row>
    <row r="28" spans="2:12" x14ac:dyDescent="0.3">
      <c r="B28" s="26"/>
      <c r="C28" s="14" t="s">
        <v>36</v>
      </c>
      <c r="D28" s="14" t="s">
        <v>37</v>
      </c>
      <c r="E28" s="14" t="s">
        <v>38</v>
      </c>
      <c r="F28" s="14" t="s">
        <v>39</v>
      </c>
      <c r="I28" s="22" t="s">
        <v>54</v>
      </c>
    </row>
    <row r="29" spans="2:12" x14ac:dyDescent="0.3">
      <c r="B29" s="16" t="s">
        <v>31</v>
      </c>
      <c r="C29" s="16">
        <v>0.3</v>
      </c>
      <c r="D29" s="16">
        <v>1</v>
      </c>
      <c r="E29" s="16">
        <v>0</v>
      </c>
      <c r="F29" s="16">
        <v>0.2</v>
      </c>
    </row>
    <row r="30" spans="2:12" x14ac:dyDescent="0.3">
      <c r="B30" s="16" t="s">
        <v>32</v>
      </c>
      <c r="C30" s="16">
        <v>0.2</v>
      </c>
      <c r="D30" s="16">
        <v>1</v>
      </c>
      <c r="E30" s="16">
        <v>5</v>
      </c>
      <c r="F30" s="16">
        <v>0.4</v>
      </c>
      <c r="I30" t="s">
        <v>55</v>
      </c>
      <c r="J30">
        <f>SUMPRODUCT(C29:C31,C41:C43)</f>
        <v>366.66666666666663</v>
      </c>
      <c r="K30" t="s">
        <v>56</v>
      </c>
      <c r="L30">
        <f>$C$36</f>
        <v>380</v>
      </c>
    </row>
    <row r="31" spans="2:12" x14ac:dyDescent="0.3">
      <c r="B31" s="16" t="s">
        <v>33</v>
      </c>
      <c r="C31" s="16">
        <v>0.8</v>
      </c>
      <c r="D31" s="16">
        <v>3</v>
      </c>
      <c r="E31" s="16">
        <v>50</v>
      </c>
      <c r="F31" s="16">
        <v>0.6</v>
      </c>
      <c r="I31" t="s">
        <v>57</v>
      </c>
      <c r="J31">
        <f>SUMPRODUCT(D29:D31,C41:C43)</f>
        <v>1399.9999999999998</v>
      </c>
      <c r="K31" t="s">
        <v>56</v>
      </c>
      <c r="L31">
        <f>$D$36</f>
        <v>1500</v>
      </c>
    </row>
    <row r="32" spans="2:12" x14ac:dyDescent="0.3">
      <c r="I32" t="s">
        <v>58</v>
      </c>
      <c r="J32">
        <f>SUMPRODUCT(E29:E31,C41:C43)</f>
        <v>4166.6666666666642</v>
      </c>
      <c r="K32" t="s">
        <v>56</v>
      </c>
      <c r="L32">
        <f>E36</f>
        <v>5000</v>
      </c>
    </row>
    <row r="33" spans="2:12" x14ac:dyDescent="0.3">
      <c r="B33" s="21" t="s">
        <v>40</v>
      </c>
      <c r="I33" t="s">
        <v>59</v>
      </c>
      <c r="J33">
        <f>SUMPRODUCT(F29:F31,C41:C43)</f>
        <v>380</v>
      </c>
      <c r="K33" t="s">
        <v>56</v>
      </c>
      <c r="L33">
        <f>F36</f>
        <v>380</v>
      </c>
    </row>
    <row r="35" spans="2:12" x14ac:dyDescent="0.3">
      <c r="B35" s="11" t="s">
        <v>41</v>
      </c>
      <c r="C35" s="14" t="s">
        <v>36</v>
      </c>
      <c r="D35" s="14" t="s">
        <v>37</v>
      </c>
      <c r="E35" s="14" t="s">
        <v>38</v>
      </c>
      <c r="F35" s="14" t="s">
        <v>39</v>
      </c>
      <c r="I35" s="23" t="s">
        <v>31</v>
      </c>
      <c r="J35">
        <f>C41</f>
        <v>800</v>
      </c>
      <c r="K35" t="s">
        <v>60</v>
      </c>
    </row>
    <row r="36" spans="2:12" x14ac:dyDescent="0.3">
      <c r="B36" s="11" t="s">
        <v>42</v>
      </c>
      <c r="C36" s="5">
        <v>380</v>
      </c>
      <c r="D36" s="5">
        <v>1500</v>
      </c>
      <c r="E36" s="5">
        <v>5000</v>
      </c>
      <c r="F36" s="5">
        <v>380</v>
      </c>
      <c r="I36" t="s">
        <v>61</v>
      </c>
      <c r="J36">
        <f>C42</f>
        <v>500</v>
      </c>
      <c r="K36" t="s">
        <v>60</v>
      </c>
    </row>
    <row r="37" spans="2:12" x14ac:dyDescent="0.3">
      <c r="I37" t="s">
        <v>33</v>
      </c>
      <c r="J37">
        <f>C43</f>
        <v>33.333333333333286</v>
      </c>
      <c r="K37" t="s">
        <v>60</v>
      </c>
    </row>
    <row r="38" spans="2:12" x14ac:dyDescent="0.3">
      <c r="B38" t="s">
        <v>43</v>
      </c>
    </row>
    <row r="40" spans="2:12" ht="30" customHeight="1" x14ac:dyDescent="0.3">
      <c r="B40" s="14" t="s">
        <v>30</v>
      </c>
      <c r="C40" s="15" t="s">
        <v>46</v>
      </c>
      <c r="D40" s="13" t="s">
        <v>44</v>
      </c>
      <c r="E40" s="15" t="s">
        <v>45</v>
      </c>
      <c r="I40" t="s">
        <v>62</v>
      </c>
      <c r="J40">
        <f>SUMPRODUCT(D41:D43,C41:C43)</f>
        <v>281666.6666666664</v>
      </c>
    </row>
    <row r="41" spans="2:12" x14ac:dyDescent="0.3">
      <c r="B41" s="16" t="s">
        <v>31</v>
      </c>
      <c r="C41" s="5">
        <v>800</v>
      </c>
      <c r="D41" s="5">
        <v>50</v>
      </c>
      <c r="E41" s="5">
        <v>200</v>
      </c>
      <c r="I41" t="s">
        <v>63</v>
      </c>
      <c r="J41">
        <f>SUMPRODUCT(E41:E43,C41:C43)</f>
        <v>676666.66666666628</v>
      </c>
    </row>
    <row r="42" spans="2:12" x14ac:dyDescent="0.3">
      <c r="B42" s="16" t="s">
        <v>32</v>
      </c>
      <c r="C42" s="5">
        <v>500</v>
      </c>
      <c r="D42" s="5">
        <v>150</v>
      </c>
      <c r="E42" s="5">
        <v>500</v>
      </c>
      <c r="I42" t="s">
        <v>64</v>
      </c>
      <c r="J42">
        <f>J41-J40</f>
        <v>394999.99999999988</v>
      </c>
    </row>
    <row r="43" spans="2:12" x14ac:dyDescent="0.3">
      <c r="B43" s="16" t="s">
        <v>33</v>
      </c>
      <c r="C43" s="5">
        <v>33.333333333333286</v>
      </c>
      <c r="D43" s="5">
        <v>5000</v>
      </c>
      <c r="E43" s="5">
        <v>8000</v>
      </c>
    </row>
    <row r="48" spans="2:12" x14ac:dyDescent="0.3">
      <c r="B48" s="26" t="s">
        <v>30</v>
      </c>
      <c r="C48" s="27" t="s">
        <v>35</v>
      </c>
      <c r="D48" s="28"/>
      <c r="E48" s="28"/>
      <c r="F48" s="29"/>
      <c r="I48" s="30" t="s">
        <v>65</v>
      </c>
      <c r="J48" s="30"/>
      <c r="K48" s="30"/>
    </row>
    <row r="49" spans="2:11" x14ac:dyDescent="0.3">
      <c r="B49" s="26"/>
      <c r="C49" s="14" t="s">
        <v>36</v>
      </c>
      <c r="D49" s="14" t="s">
        <v>37</v>
      </c>
      <c r="E49" s="14" t="s">
        <v>38</v>
      </c>
      <c r="F49" s="14" t="s">
        <v>39</v>
      </c>
      <c r="H49" s="24" t="s">
        <v>55</v>
      </c>
      <c r="I49">
        <f>SUMPRODUCT(C50:C52,I54:I56)</f>
        <v>366.66666666666663</v>
      </c>
      <c r="J49" t="s">
        <v>56</v>
      </c>
      <c r="K49">
        <f>C57</f>
        <v>380</v>
      </c>
    </row>
    <row r="50" spans="2:11" x14ac:dyDescent="0.3">
      <c r="B50" s="16" t="s">
        <v>31</v>
      </c>
      <c r="C50" s="16">
        <v>0.3</v>
      </c>
      <c r="D50" s="16">
        <v>1</v>
      </c>
      <c r="E50" s="16">
        <v>0</v>
      </c>
      <c r="F50" s="16">
        <v>0.2</v>
      </c>
      <c r="H50" t="s">
        <v>57</v>
      </c>
      <c r="I50">
        <f>SUMPRODUCT(D50:D52,I54:I56)</f>
        <v>1399.9999999999998</v>
      </c>
      <c r="J50" t="s">
        <v>56</v>
      </c>
      <c r="K50">
        <f>D57</f>
        <v>1500</v>
      </c>
    </row>
    <row r="51" spans="2:11" x14ac:dyDescent="0.3">
      <c r="B51" s="16" t="s">
        <v>32</v>
      </c>
      <c r="C51" s="16">
        <v>0.2</v>
      </c>
      <c r="D51" s="16">
        <v>1</v>
      </c>
      <c r="E51" s="16">
        <v>5</v>
      </c>
      <c r="F51" s="16">
        <v>0.4</v>
      </c>
      <c r="H51" t="s">
        <v>58</v>
      </c>
      <c r="I51">
        <f>SUMPRODUCT(I54:I56,E50:E52)</f>
        <v>4166.6666666666642</v>
      </c>
      <c r="J51" t="s">
        <v>56</v>
      </c>
      <c r="K51">
        <f>E57</f>
        <v>5000</v>
      </c>
    </row>
    <row r="52" spans="2:11" x14ac:dyDescent="0.3">
      <c r="B52" s="16" t="s">
        <v>33</v>
      </c>
      <c r="C52" s="16">
        <v>0.8</v>
      </c>
      <c r="D52" s="16">
        <v>3</v>
      </c>
      <c r="E52" s="16">
        <v>50</v>
      </c>
      <c r="F52" s="16">
        <v>0.6</v>
      </c>
      <c r="H52" t="s">
        <v>66</v>
      </c>
      <c r="I52">
        <f>SUMPRODUCT(F50:F52,I54:I56)</f>
        <v>380</v>
      </c>
      <c r="J52" t="s">
        <v>56</v>
      </c>
      <c r="K52">
        <f>F57</f>
        <v>380</v>
      </c>
    </row>
    <row r="54" spans="2:11" x14ac:dyDescent="0.3">
      <c r="B54" s="21" t="s">
        <v>40</v>
      </c>
      <c r="H54" s="16" t="s">
        <v>31</v>
      </c>
      <c r="I54">
        <v>800</v>
      </c>
      <c r="J54" t="s">
        <v>60</v>
      </c>
      <c r="K54">
        <f>C62</f>
        <v>800</v>
      </c>
    </row>
    <row r="55" spans="2:11" x14ac:dyDescent="0.3">
      <c r="H55" s="16" t="s">
        <v>32</v>
      </c>
      <c r="I55">
        <v>500</v>
      </c>
      <c r="J55" t="s">
        <v>60</v>
      </c>
      <c r="K55">
        <f t="shared" ref="K55:K56" si="1">C63</f>
        <v>500</v>
      </c>
    </row>
    <row r="56" spans="2:11" x14ac:dyDescent="0.3">
      <c r="B56" s="11" t="s">
        <v>41</v>
      </c>
      <c r="C56" s="14" t="s">
        <v>36</v>
      </c>
      <c r="D56" s="14" t="s">
        <v>37</v>
      </c>
      <c r="E56" s="14" t="s">
        <v>38</v>
      </c>
      <c r="F56" s="14" t="s">
        <v>39</v>
      </c>
      <c r="H56" s="16" t="s">
        <v>33</v>
      </c>
      <c r="I56">
        <v>33.333333333333286</v>
      </c>
      <c r="J56" t="s">
        <v>60</v>
      </c>
      <c r="K56">
        <f t="shared" si="1"/>
        <v>33.333333333333286</v>
      </c>
    </row>
    <row r="57" spans="2:11" x14ac:dyDescent="0.3">
      <c r="B57" s="11" t="s">
        <v>42</v>
      </c>
      <c r="C57" s="5">
        <v>380</v>
      </c>
      <c r="D57" s="5">
        <v>1500</v>
      </c>
      <c r="E57" s="5">
        <v>5000</v>
      </c>
      <c r="F57" s="5">
        <v>380</v>
      </c>
    </row>
    <row r="58" spans="2:11" x14ac:dyDescent="0.3">
      <c r="H58" s="25" t="s">
        <v>67</v>
      </c>
      <c r="I58">
        <f>SUMPRODUCT(I54:I56,E62:E64)-SUMPRODUCT(D62:D64,I54:I56)</f>
        <v>394999.99999999988</v>
      </c>
    </row>
    <row r="59" spans="2:11" x14ac:dyDescent="0.3">
      <c r="B59" t="s">
        <v>43</v>
      </c>
    </row>
    <row r="61" spans="2:11" ht="28.8" x14ac:dyDescent="0.3">
      <c r="B61" s="14" t="s">
        <v>30</v>
      </c>
      <c r="C61" s="15" t="s">
        <v>46</v>
      </c>
      <c r="D61" s="13" t="s">
        <v>44</v>
      </c>
      <c r="E61" s="15" t="s">
        <v>45</v>
      </c>
    </row>
    <row r="62" spans="2:11" x14ac:dyDescent="0.3">
      <c r="B62" s="16" t="s">
        <v>31</v>
      </c>
      <c r="C62" s="5">
        <v>800</v>
      </c>
      <c r="D62" s="5">
        <v>50</v>
      </c>
      <c r="E62" s="5">
        <v>200</v>
      </c>
    </row>
    <row r="63" spans="2:11" x14ac:dyDescent="0.3">
      <c r="B63" s="16" t="s">
        <v>32</v>
      </c>
      <c r="C63" s="5">
        <v>500</v>
      </c>
      <c r="D63" s="5">
        <v>150</v>
      </c>
      <c r="E63" s="5">
        <v>500</v>
      </c>
    </row>
    <row r="64" spans="2:11" x14ac:dyDescent="0.3">
      <c r="B64" s="16" t="s">
        <v>33</v>
      </c>
      <c r="C64" s="5">
        <v>33.333333333333286</v>
      </c>
      <c r="D64" s="5">
        <v>5000</v>
      </c>
      <c r="E64" s="5">
        <v>8000</v>
      </c>
    </row>
  </sheetData>
  <mergeCells count="8">
    <mergeCell ref="B2:G4"/>
    <mergeCell ref="B19:F22"/>
    <mergeCell ref="M2:U4"/>
    <mergeCell ref="B48:B49"/>
    <mergeCell ref="C48:F48"/>
    <mergeCell ref="I48:K48"/>
    <mergeCell ref="B27:B28"/>
    <mergeCell ref="C27:F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Solver (2)</vt:lpstr>
      <vt:lpstr>Buscar Objetivo</vt:lpstr>
      <vt:lpstr>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2025-10-09T00:34:24Z</dcterms:modified>
</cp:coreProperties>
</file>