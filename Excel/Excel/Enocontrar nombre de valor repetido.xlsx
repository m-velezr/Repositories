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ariana Velez\Documents\6 SEMESTRE\SAD\"/>
    </mc:Choice>
  </mc:AlternateContent>
  <xr:revisionPtr revIDLastSave="0" documentId="13_ncr:1_{16E82C08-4B29-4717-A617-808BFDA32E02}" xr6:coauthVersionLast="47" xr6:coauthVersionMax="47" xr10:uidLastSave="{00000000-0000-0000-0000-000000000000}"/>
  <bookViews>
    <workbookView xWindow="-120" yWindow="-120" windowWidth="20730" windowHeight="11760" activeTab="1" xr2:uid="{2816D666-3BDD-4646-B1F7-9D4E67372194}"/>
  </bookViews>
  <sheets>
    <sheet name="Parcial 1" sheetId="1" r:id="rId1"/>
    <sheet name="Matriz Asbesto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 a="1"/>
  <c r="H2" i="4" s="1"/>
  <c r="J3" i="4"/>
  <c r="G3" i="4" a="1"/>
  <c r="G3" i="4" s="1"/>
  <c r="F2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D15" i="1"/>
  <c r="D48" i="1"/>
  <c r="D10" i="1"/>
  <c r="F10" i="1"/>
  <c r="F11" i="1"/>
  <c r="D11" i="1"/>
  <c r="D7" i="1"/>
  <c r="D23" i="1"/>
  <c r="D35" i="1"/>
  <c r="D13" i="1"/>
  <c r="D21" i="1"/>
  <c r="D16" i="1"/>
  <c r="F16" i="1" s="1"/>
  <c r="D8" i="1"/>
  <c r="D34" i="1"/>
  <c r="D2" i="1"/>
  <c r="D24" i="1"/>
  <c r="F24" i="1" s="1"/>
  <c r="D4" i="1"/>
  <c r="D41" i="1"/>
  <c r="F50" i="1"/>
  <c r="D20" i="1"/>
  <c r="F20" i="1" s="1"/>
  <c r="D43" i="1"/>
  <c r="D9" i="1"/>
  <c r="D36" i="1"/>
  <c r="F36" i="1" s="1"/>
  <c r="D49" i="1"/>
  <c r="F49" i="1" s="1"/>
  <c r="D32" i="1"/>
  <c r="F3" i="1"/>
  <c r="F4" i="1"/>
  <c r="F5" i="1"/>
  <c r="F6" i="1"/>
  <c r="F7" i="1"/>
  <c r="F8" i="1"/>
  <c r="F9" i="1"/>
  <c r="F12" i="1"/>
  <c r="F13" i="1"/>
  <c r="F14" i="1"/>
  <c r="F15" i="1"/>
  <c r="F17" i="1"/>
  <c r="F18" i="1"/>
  <c r="F19" i="1"/>
  <c r="F21" i="1"/>
  <c r="F22" i="1"/>
  <c r="F23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D14" i="1"/>
  <c r="F52" i="4" l="1"/>
  <c r="F5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<sst xmlns="http://schemas.openxmlformats.org/spreadsheetml/2006/main" count="111" uniqueCount="56">
  <si>
    <t>Comentario</t>
  </si>
  <si>
    <t>Puntaje obtenido</t>
  </si>
  <si>
    <t>Puntaje total</t>
  </si>
  <si>
    <t>Nota</t>
  </si>
  <si>
    <t>Ariza Olarte, Arley</t>
  </si>
  <si>
    <t>Beltran Paris, Juan Diego</t>
  </si>
  <si>
    <t>Blanco Ramirez, Isabella</t>
  </si>
  <si>
    <t>Cancino Suarez, Edgar David</t>
  </si>
  <si>
    <t>Castillo Mahecha, Valentina Katherine</t>
  </si>
  <si>
    <t>Cespedes Ramirez, Laura Geraldinne</t>
  </si>
  <si>
    <t xml:space="preserve">Chaparro Quintero, Carlos Daniel </t>
  </si>
  <si>
    <t>Chaves Osorio, Lorena</t>
  </si>
  <si>
    <t xml:space="preserve">Duarte Calderon, Gabriel Alejandro </t>
  </si>
  <si>
    <t xml:space="preserve">Duque Bolivar, Julian David </t>
  </si>
  <si>
    <t xml:space="preserve">Duran Lopez, Juliana </t>
  </si>
  <si>
    <t>Escobar Pineda, Samuel Alejandro</t>
  </si>
  <si>
    <t>Florez Dowse, Pablo</t>
  </si>
  <si>
    <t>Gonzalez, Sofia</t>
  </si>
  <si>
    <t xml:space="preserve">Guzman Castellanos, Juan David </t>
  </si>
  <si>
    <t>Hernandez Prieto, Paula Daniela</t>
  </si>
  <si>
    <t xml:space="preserve">Herrera Fajardo, Paula Daniela </t>
  </si>
  <si>
    <t>Jimenez Rubio, Daniel Antonio</t>
  </si>
  <si>
    <t>Laguna Amezquita, Nissy Juliana</t>
  </si>
  <si>
    <t>Limas Zuluaga, Julian David</t>
  </si>
  <si>
    <t>Londoño Cuellar, Sara Maria</t>
  </si>
  <si>
    <t>Lopez Cadena, Rossy Daniela</t>
  </si>
  <si>
    <t>Maestre Toro, Catalina</t>
  </si>
  <si>
    <t xml:space="preserve">Maldonado Corredor, Andres Felipe </t>
  </si>
  <si>
    <t>Mantilla Meza, Paula Daniela</t>
  </si>
  <si>
    <t>Martinez Gonzalez, Juan Manuel</t>
  </si>
  <si>
    <t>Montañez Arellana, Martin</t>
  </si>
  <si>
    <t>Nasreddine Taha Concha, Said</t>
  </si>
  <si>
    <t xml:space="preserve">Nova Pulido, Daniel Felipe </t>
  </si>
  <si>
    <t xml:space="preserve">Ortiz Pinto, Fabio Andres </t>
  </si>
  <si>
    <t>Pardo Parra, Daniela</t>
  </si>
  <si>
    <t xml:space="preserve">Restrepo Nuñez, Emilio </t>
  </si>
  <si>
    <t>Restrepo Valencia, Sara Catalina</t>
  </si>
  <si>
    <t>Jorge Luis Reyes</t>
  </si>
  <si>
    <t xml:space="preserve">Rodriguez Sanchez, Ana Maria </t>
  </si>
  <si>
    <t xml:space="preserve">Ruiz Forero, Maria Alejandra </t>
  </si>
  <si>
    <t>Samboni Argote, Juan Felipe</t>
  </si>
  <si>
    <t>Sanchez Novoa, Edward Camilo</t>
  </si>
  <si>
    <t xml:space="preserve">Sandoval Leon, Carolina </t>
  </si>
  <si>
    <t xml:space="preserve">Sandoval Santana, Jesus Ernesto </t>
  </si>
  <si>
    <t>Sierra Pedraza, Martin</t>
  </si>
  <si>
    <t xml:space="preserve">Subh, Celina </t>
  </si>
  <si>
    <t xml:space="preserve">Toro Novoa, Nicolas </t>
  </si>
  <si>
    <t xml:space="preserve">Vargas Vargas, Felipe </t>
  </si>
  <si>
    <t xml:space="preserve">Vasquez Polania, Juan Jose </t>
  </si>
  <si>
    <t>Villa Cruz, Ariangna</t>
  </si>
  <si>
    <t>Zapata Orozco, David Leonardo</t>
  </si>
  <si>
    <t>Delgado, Ana</t>
  </si>
  <si>
    <t>Perdieron</t>
  </si>
  <si>
    <t xml:space="preserve">201618989
</t>
  </si>
  <si>
    <t>Harry benavides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</si>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</sst>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1" applyNumberFormat="1" applyFont="1"/>
    <xf numFmtId="1" fontId="0" fillId="0" borderId="0" xfId="1" applyNumberFormat="1" applyFont="1"/>
    <xf numFmtId="0" fontId="4" fillId="0" borderId="0" xfId="0" applyFont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84A7-745D-4C60-95E4-F3732B53BD12}">
  <dimension ref="A1:F52"/>
  <sheetViews>
    <sheetView topLeftCell="A25" workbookViewId="0">
      <selection activeCell="O32" sqref="O32"/>
    </sheetView>
  </sheetViews>
  <sheetFormatPr baseColWidth="10" defaultColWidth="11.42578125" defaultRowHeight="15" x14ac:dyDescent="0.25"/>
  <cols>
    <col min="1" max="1" width="35.28515625" bestFit="1" customWidth="1"/>
    <col min="4" max="4" width="14.85546875" bestFit="1" customWidth="1"/>
    <col min="5" max="5" width="11.140625" bestFit="1" customWidth="1"/>
    <col min="6" max="6" width="11.28515625" bestFit="1" customWidth="1"/>
  </cols>
  <sheetData>
    <row r="1" spans="1:6" x14ac:dyDescent="0.25">
      <c r="A1" s="1" t="s">
        <v>0</v>
      </c>
      <c r="B1" s="2"/>
      <c r="C1" s="2"/>
      <c r="D1" s="2" t="s">
        <v>1</v>
      </c>
      <c r="E1" s="2" t="s">
        <v>2</v>
      </c>
      <c r="F1" s="5" t="s">
        <v>3</v>
      </c>
    </row>
    <row r="2" spans="1:6" x14ac:dyDescent="0.25">
      <c r="A2" s="3" t="s">
        <v>4</v>
      </c>
      <c r="B2" s="4"/>
      <c r="C2" s="4">
        <v>201911446</v>
      </c>
      <c r="D2" s="4">
        <f>10+18+8+10+10+12</f>
        <v>68</v>
      </c>
      <c r="E2" s="4">
        <v>150</v>
      </c>
      <c r="F2" s="6">
        <f t="shared" ref="F2:F49" si="0">(((D2/E2)*5))</f>
        <v>2.2666666666666666</v>
      </c>
    </row>
    <row r="3" spans="1:6" x14ac:dyDescent="0.25">
      <c r="A3" s="3" t="s">
        <v>5</v>
      </c>
      <c r="B3" s="4"/>
      <c r="C3" s="4">
        <v>202414569</v>
      </c>
      <c r="D3" s="4">
        <v>99</v>
      </c>
      <c r="E3" s="4">
        <v>150</v>
      </c>
      <c r="F3" s="6">
        <f t="shared" si="0"/>
        <v>3.3000000000000003</v>
      </c>
    </row>
    <row r="4" spans="1:6" x14ac:dyDescent="0.25">
      <c r="A4" s="3" t="s">
        <v>6</v>
      </c>
      <c r="B4" s="4"/>
      <c r="C4" s="4">
        <v>202220197</v>
      </c>
      <c r="D4" s="4">
        <f>12+22+20+14+8+14+20</f>
        <v>110</v>
      </c>
      <c r="E4" s="4">
        <v>150</v>
      </c>
      <c r="F4" s="6">
        <f t="shared" si="0"/>
        <v>3.6666666666666665</v>
      </c>
    </row>
    <row r="5" spans="1:6" x14ac:dyDescent="0.25">
      <c r="A5" s="3" t="s">
        <v>7</v>
      </c>
      <c r="B5" s="4"/>
      <c r="C5" s="4">
        <v>202210627</v>
      </c>
      <c r="D5" s="4">
        <v>106</v>
      </c>
      <c r="E5" s="4">
        <v>150</v>
      </c>
      <c r="F5" s="6">
        <f t="shared" si="0"/>
        <v>3.5333333333333332</v>
      </c>
    </row>
    <row r="6" spans="1:6" x14ac:dyDescent="0.25">
      <c r="A6" s="3" t="s">
        <v>8</v>
      </c>
      <c r="B6" s="4"/>
      <c r="C6" s="4">
        <v>202011767</v>
      </c>
      <c r="D6" s="4">
        <v>0</v>
      </c>
      <c r="E6" s="4">
        <v>150</v>
      </c>
      <c r="F6" s="6">
        <f t="shared" si="0"/>
        <v>0</v>
      </c>
    </row>
    <row r="7" spans="1:6" x14ac:dyDescent="0.25">
      <c r="A7" s="3" t="s">
        <v>9</v>
      </c>
      <c r="B7" s="4"/>
      <c r="C7" s="4">
        <v>202214974</v>
      </c>
      <c r="D7" s="4">
        <f>16+22+20+24+12+14+24</f>
        <v>132</v>
      </c>
      <c r="E7" s="4">
        <v>150</v>
      </c>
      <c r="F7" s="6">
        <f t="shared" si="0"/>
        <v>4.4000000000000004</v>
      </c>
    </row>
    <row r="8" spans="1:6" x14ac:dyDescent="0.25">
      <c r="A8" s="3" t="s">
        <v>10</v>
      </c>
      <c r="B8" s="4"/>
      <c r="C8" s="4">
        <v>202214985</v>
      </c>
      <c r="D8" s="4">
        <f>12+18+16+16+8+22+20</f>
        <v>112</v>
      </c>
      <c r="E8" s="4">
        <v>150</v>
      </c>
      <c r="F8" s="6">
        <f t="shared" si="0"/>
        <v>3.7333333333333334</v>
      </c>
    </row>
    <row r="9" spans="1:6" x14ac:dyDescent="0.25">
      <c r="A9" s="3" t="s">
        <v>11</v>
      </c>
      <c r="B9" s="4"/>
      <c r="C9" s="4">
        <v>202222104</v>
      </c>
      <c r="D9" s="4">
        <f>14+20+6+16+10+10+8</f>
        <v>84</v>
      </c>
      <c r="E9" s="4">
        <v>150</v>
      </c>
      <c r="F9" s="6">
        <f t="shared" si="0"/>
        <v>2.8000000000000003</v>
      </c>
    </row>
    <row r="10" spans="1:6" x14ac:dyDescent="0.25">
      <c r="A10" s="3" t="s">
        <v>51</v>
      </c>
      <c r="B10" s="4"/>
      <c r="C10" s="4">
        <v>202125123</v>
      </c>
      <c r="D10" s="4">
        <f>14+18+20+8+4+14+20</f>
        <v>98</v>
      </c>
      <c r="E10" s="4">
        <v>150</v>
      </c>
      <c r="F10" s="6">
        <f>(((D10/E10)*5))</f>
        <v>3.2666666666666666</v>
      </c>
    </row>
    <row r="11" spans="1:6" x14ac:dyDescent="0.25">
      <c r="A11" s="4" t="s">
        <v>12</v>
      </c>
      <c r="B11" s="4"/>
      <c r="C11" s="4">
        <v>202215067</v>
      </c>
      <c r="D11" s="4">
        <f>12+22+14+20+8+22+16</f>
        <v>114</v>
      </c>
      <c r="E11" s="4">
        <v>150</v>
      </c>
      <c r="F11" s="6">
        <f>(((D11/E11)*5))</f>
        <v>3.8</v>
      </c>
    </row>
    <row r="12" spans="1:6" x14ac:dyDescent="0.25">
      <c r="A12" s="3" t="s">
        <v>13</v>
      </c>
      <c r="B12" s="4"/>
      <c r="C12" s="4">
        <v>202225305</v>
      </c>
      <c r="D12" s="4">
        <v>114</v>
      </c>
      <c r="E12" s="4">
        <v>150</v>
      </c>
      <c r="F12" s="6">
        <f t="shared" si="0"/>
        <v>3.8</v>
      </c>
    </row>
    <row r="13" spans="1:6" x14ac:dyDescent="0.25">
      <c r="A13" s="3" t="s">
        <v>14</v>
      </c>
      <c r="B13" s="4"/>
      <c r="C13" s="4">
        <v>202220671</v>
      </c>
      <c r="D13" s="4">
        <f>14+16+18+16+12+16+20</f>
        <v>112</v>
      </c>
      <c r="E13" s="4">
        <v>150</v>
      </c>
      <c r="F13" s="6">
        <f t="shared" si="0"/>
        <v>3.7333333333333334</v>
      </c>
    </row>
    <row r="14" spans="1:6" x14ac:dyDescent="0.25">
      <c r="A14" s="3" t="s">
        <v>15</v>
      </c>
      <c r="B14" s="4"/>
      <c r="C14" s="4">
        <v>202310474</v>
      </c>
      <c r="D14" s="4">
        <f>4+2+4+2+4+6+2+4+6+4+2+4+4+2+4+2+4+4+4+4+8+2+4+4+4</f>
        <v>94</v>
      </c>
      <c r="E14" s="4">
        <v>150</v>
      </c>
      <c r="F14" s="6">
        <f t="shared" si="0"/>
        <v>3.1333333333333337</v>
      </c>
    </row>
    <row r="15" spans="1:6" x14ac:dyDescent="0.25">
      <c r="A15" s="4" t="s">
        <v>16</v>
      </c>
      <c r="B15" s="4"/>
      <c r="C15" s="4">
        <v>202021093</v>
      </c>
      <c r="D15" s="4">
        <f>16+18+16+22+8+22+12</f>
        <v>114</v>
      </c>
      <c r="E15" s="4">
        <v>150</v>
      </c>
      <c r="F15" s="6">
        <f t="shared" si="0"/>
        <v>3.8</v>
      </c>
    </row>
    <row r="16" spans="1:6" x14ac:dyDescent="0.25">
      <c r="A16" s="4" t="s">
        <v>17</v>
      </c>
      <c r="B16" s="4"/>
      <c r="C16" s="4">
        <v>202222252</v>
      </c>
      <c r="D16" s="4">
        <f>2+18+12+12+4+2+8</f>
        <v>58</v>
      </c>
      <c r="E16" s="4">
        <v>150</v>
      </c>
      <c r="F16" s="6">
        <f t="shared" si="0"/>
        <v>1.9333333333333333</v>
      </c>
    </row>
    <row r="17" spans="1:6" x14ac:dyDescent="0.25">
      <c r="A17" s="4" t="s">
        <v>18</v>
      </c>
      <c r="B17" s="4"/>
      <c r="C17" s="4">
        <v>202310567</v>
      </c>
      <c r="D17" s="4">
        <v>56</v>
      </c>
      <c r="E17" s="4">
        <v>150</v>
      </c>
      <c r="F17" s="6">
        <f t="shared" si="0"/>
        <v>1.8666666666666667</v>
      </c>
    </row>
    <row r="18" spans="1:6" x14ac:dyDescent="0.25">
      <c r="A18" s="4" t="s">
        <v>19</v>
      </c>
      <c r="B18" s="4"/>
      <c r="C18" s="4">
        <v>202313647</v>
      </c>
      <c r="D18" s="4">
        <v>119</v>
      </c>
      <c r="E18" s="4">
        <v>150</v>
      </c>
      <c r="F18" s="6">
        <f t="shared" si="0"/>
        <v>3.9666666666666668</v>
      </c>
    </row>
    <row r="19" spans="1:6" x14ac:dyDescent="0.25">
      <c r="A19" s="4" t="s">
        <v>20</v>
      </c>
      <c r="B19" s="4"/>
      <c r="C19" s="4">
        <v>202113704</v>
      </c>
      <c r="D19" s="4">
        <v>124</v>
      </c>
      <c r="E19" s="4">
        <v>150</v>
      </c>
      <c r="F19" s="6">
        <f t="shared" si="0"/>
        <v>4.1333333333333329</v>
      </c>
    </row>
    <row r="20" spans="1:6" x14ac:dyDescent="0.25">
      <c r="A20" s="4" t="s">
        <v>21</v>
      </c>
      <c r="B20" s="4"/>
      <c r="C20" s="4">
        <v>202220934</v>
      </c>
      <c r="D20" s="4">
        <f>12+18+10+12+12+10+16</f>
        <v>90</v>
      </c>
      <c r="E20" s="4">
        <v>150</v>
      </c>
      <c r="F20" s="7">
        <f t="shared" si="0"/>
        <v>3</v>
      </c>
    </row>
    <row r="21" spans="1:6" x14ac:dyDescent="0.25">
      <c r="A21" s="4" t="s">
        <v>22</v>
      </c>
      <c r="B21" s="4"/>
      <c r="C21" s="4">
        <v>202226928</v>
      </c>
      <c r="D21" s="4">
        <f>12+20+16+18+12+16+22</f>
        <v>116</v>
      </c>
      <c r="E21" s="4">
        <v>150</v>
      </c>
      <c r="F21" s="6">
        <f t="shared" si="0"/>
        <v>3.8666666666666667</v>
      </c>
    </row>
    <row r="22" spans="1:6" x14ac:dyDescent="0.25">
      <c r="A22" s="4" t="s">
        <v>23</v>
      </c>
      <c r="B22" s="4"/>
      <c r="C22" s="4">
        <v>202122819</v>
      </c>
      <c r="D22" s="4">
        <v>0</v>
      </c>
      <c r="E22" s="4">
        <v>150</v>
      </c>
      <c r="F22" s="6">
        <f t="shared" si="0"/>
        <v>0</v>
      </c>
    </row>
    <row r="23" spans="1:6" x14ac:dyDescent="0.25">
      <c r="A23" s="4" t="s">
        <v>24</v>
      </c>
      <c r="B23" s="4"/>
      <c r="C23" s="4">
        <v>202220982</v>
      </c>
      <c r="D23" s="4">
        <f>16+22+20+20+4+22+14</f>
        <v>118</v>
      </c>
      <c r="E23" s="4">
        <v>150</v>
      </c>
      <c r="F23" s="6">
        <f t="shared" si="0"/>
        <v>3.9333333333333331</v>
      </c>
    </row>
    <row r="24" spans="1:6" x14ac:dyDescent="0.25">
      <c r="A24" s="4" t="s">
        <v>25</v>
      </c>
      <c r="B24" s="4"/>
      <c r="C24" s="4">
        <v>202212532</v>
      </c>
      <c r="D24" s="4">
        <f>12+18+16+6+4+10+16</f>
        <v>82</v>
      </c>
      <c r="E24" s="4">
        <v>150</v>
      </c>
      <c r="F24" s="6">
        <f t="shared" si="0"/>
        <v>2.7333333333333334</v>
      </c>
    </row>
    <row r="25" spans="1:6" x14ac:dyDescent="0.25">
      <c r="A25" s="4" t="s">
        <v>26</v>
      </c>
      <c r="B25" s="4"/>
      <c r="C25" s="4">
        <v>202122897</v>
      </c>
      <c r="D25" s="4">
        <v>107</v>
      </c>
      <c r="E25" s="4">
        <v>150</v>
      </c>
      <c r="F25" s="6">
        <f t="shared" si="0"/>
        <v>3.5666666666666669</v>
      </c>
    </row>
    <row r="26" spans="1:6" x14ac:dyDescent="0.25">
      <c r="A26" s="4" t="s">
        <v>27</v>
      </c>
      <c r="B26" s="4"/>
      <c r="C26" s="4">
        <v>202213826</v>
      </c>
      <c r="D26" s="4">
        <v>120</v>
      </c>
      <c r="E26" s="4">
        <v>150</v>
      </c>
      <c r="F26" s="6">
        <f t="shared" si="0"/>
        <v>4</v>
      </c>
    </row>
    <row r="27" spans="1:6" x14ac:dyDescent="0.25">
      <c r="A27" s="4" t="s">
        <v>28</v>
      </c>
      <c r="B27" s="4"/>
      <c r="C27" s="4">
        <v>202223645</v>
      </c>
      <c r="D27" s="4">
        <v>94</v>
      </c>
      <c r="E27" s="4">
        <v>150</v>
      </c>
      <c r="F27" s="6">
        <f t="shared" si="0"/>
        <v>3.1333333333333337</v>
      </c>
    </row>
    <row r="28" spans="1:6" x14ac:dyDescent="0.25">
      <c r="A28" s="4" t="s">
        <v>29</v>
      </c>
      <c r="B28" s="4"/>
      <c r="C28" s="4">
        <v>202221908</v>
      </c>
      <c r="D28" s="4">
        <v>118</v>
      </c>
      <c r="E28" s="4">
        <v>150</v>
      </c>
      <c r="F28" s="6">
        <f t="shared" si="0"/>
        <v>3.9333333333333331</v>
      </c>
    </row>
    <row r="29" spans="1:6" x14ac:dyDescent="0.25">
      <c r="A29" s="4" t="s">
        <v>30</v>
      </c>
      <c r="B29" s="4"/>
      <c r="C29" s="4">
        <v>202323554</v>
      </c>
      <c r="D29" s="4">
        <v>142</v>
      </c>
      <c r="E29" s="4">
        <v>150</v>
      </c>
      <c r="F29" s="6">
        <f t="shared" si="0"/>
        <v>4.7333333333333334</v>
      </c>
    </row>
    <row r="30" spans="1:6" x14ac:dyDescent="0.25">
      <c r="A30" s="4" t="s">
        <v>31</v>
      </c>
      <c r="B30" s="4"/>
      <c r="C30" s="4">
        <v>202123117</v>
      </c>
      <c r="D30" s="4">
        <v>137</v>
      </c>
      <c r="E30" s="4">
        <v>150</v>
      </c>
      <c r="F30" s="6">
        <f t="shared" si="0"/>
        <v>4.5666666666666664</v>
      </c>
    </row>
    <row r="31" spans="1:6" x14ac:dyDescent="0.25">
      <c r="A31" s="4" t="s">
        <v>32</v>
      </c>
      <c r="B31" s="4"/>
      <c r="C31" s="4">
        <v>202212669</v>
      </c>
      <c r="D31" s="4">
        <v>145</v>
      </c>
      <c r="E31" s="4">
        <v>150</v>
      </c>
      <c r="F31" s="6">
        <f t="shared" si="0"/>
        <v>4.833333333333333</v>
      </c>
    </row>
    <row r="32" spans="1:6" x14ac:dyDescent="0.25">
      <c r="A32" s="4" t="s">
        <v>33</v>
      </c>
      <c r="B32" s="4"/>
      <c r="C32" s="4">
        <v>202112377</v>
      </c>
      <c r="D32" s="4">
        <f>16+18+20+18+16+22+18</f>
        <v>128</v>
      </c>
      <c r="E32" s="4">
        <v>150</v>
      </c>
      <c r="F32" s="6">
        <f t="shared" si="0"/>
        <v>4.2666666666666666</v>
      </c>
    </row>
    <row r="33" spans="1:6" x14ac:dyDescent="0.25">
      <c r="A33" s="4" t="s">
        <v>34</v>
      </c>
      <c r="B33" s="4"/>
      <c r="C33" s="4">
        <v>202112451</v>
      </c>
      <c r="D33" s="4">
        <v>129</v>
      </c>
      <c r="E33" s="4">
        <v>150</v>
      </c>
      <c r="F33" s="6">
        <f t="shared" si="0"/>
        <v>4.3</v>
      </c>
    </row>
    <row r="34" spans="1:6" x14ac:dyDescent="0.25">
      <c r="A34" s="4" t="s">
        <v>35</v>
      </c>
      <c r="B34" s="4"/>
      <c r="C34" s="4">
        <v>202221386</v>
      </c>
      <c r="D34" s="4">
        <f>16+22+12+30+4+14+16</f>
        <v>114</v>
      </c>
      <c r="E34" s="4">
        <v>150</v>
      </c>
      <c r="F34" s="6">
        <f t="shared" si="0"/>
        <v>3.8</v>
      </c>
    </row>
    <row r="35" spans="1:6" x14ac:dyDescent="0.25">
      <c r="A35" s="4" t="s">
        <v>36</v>
      </c>
      <c r="B35" s="4"/>
      <c r="C35" s="4">
        <v>202310845</v>
      </c>
      <c r="D35" s="4">
        <f>14+22+16+18+8+22+16</f>
        <v>116</v>
      </c>
      <c r="E35" s="4">
        <v>150</v>
      </c>
      <c r="F35" s="6">
        <f t="shared" si="0"/>
        <v>3.8666666666666667</v>
      </c>
    </row>
    <row r="36" spans="1:6" x14ac:dyDescent="0.25">
      <c r="A36" s="4" t="s">
        <v>37</v>
      </c>
      <c r="B36" s="4"/>
      <c r="C36" s="4">
        <v>202323874</v>
      </c>
      <c r="D36" s="4">
        <f>16+22+18+8+8+18+20</f>
        <v>110</v>
      </c>
      <c r="E36" s="4">
        <v>150</v>
      </c>
      <c r="F36" s="6">
        <f t="shared" si="0"/>
        <v>3.6666666666666665</v>
      </c>
    </row>
    <row r="37" spans="1:6" x14ac:dyDescent="0.25">
      <c r="A37" s="4" t="s">
        <v>38</v>
      </c>
      <c r="B37" s="4"/>
      <c r="C37" s="4">
        <v>201923423</v>
      </c>
      <c r="D37" s="4">
        <v>105</v>
      </c>
      <c r="E37" s="4">
        <v>150</v>
      </c>
      <c r="F37" s="6">
        <f t="shared" si="0"/>
        <v>3.5</v>
      </c>
    </row>
    <row r="38" spans="1:6" x14ac:dyDescent="0.25">
      <c r="A38" s="4" t="s">
        <v>39</v>
      </c>
      <c r="B38" s="4"/>
      <c r="C38" s="4">
        <v>202220105</v>
      </c>
      <c r="D38" s="4">
        <v>136</v>
      </c>
      <c r="E38" s="4">
        <v>150</v>
      </c>
      <c r="F38" s="6">
        <f t="shared" si="0"/>
        <v>4.5333333333333332</v>
      </c>
    </row>
    <row r="39" spans="1:6" x14ac:dyDescent="0.25">
      <c r="A39" s="4" t="s">
        <v>40</v>
      </c>
      <c r="B39" s="4"/>
      <c r="C39" s="4">
        <v>202211536</v>
      </c>
      <c r="D39" s="4">
        <v>117</v>
      </c>
      <c r="E39" s="4">
        <v>150</v>
      </c>
      <c r="F39" s="6">
        <f t="shared" si="0"/>
        <v>3.9000000000000004</v>
      </c>
    </row>
    <row r="40" spans="1:6" x14ac:dyDescent="0.25">
      <c r="A40" s="4" t="s">
        <v>41</v>
      </c>
      <c r="B40" s="4"/>
      <c r="C40" s="4">
        <v>202113020</v>
      </c>
      <c r="D40" s="4">
        <v>0</v>
      </c>
      <c r="E40" s="4">
        <v>150</v>
      </c>
      <c r="F40" s="6">
        <f t="shared" si="0"/>
        <v>0</v>
      </c>
    </row>
    <row r="41" spans="1:6" x14ac:dyDescent="0.25">
      <c r="A41" s="4" t="s">
        <v>42</v>
      </c>
      <c r="B41" s="4"/>
      <c r="D41" s="4">
        <f>16+22+16+24+12+22+12</f>
        <v>124</v>
      </c>
      <c r="E41" s="4">
        <v>150</v>
      </c>
      <c r="F41" s="6">
        <f t="shared" si="0"/>
        <v>4.1333333333333329</v>
      </c>
    </row>
    <row r="42" spans="1:6" x14ac:dyDescent="0.25">
      <c r="A42" s="4" t="s">
        <v>43</v>
      </c>
      <c r="B42" s="4"/>
      <c r="C42" s="4">
        <v>202215917</v>
      </c>
      <c r="D42" s="4">
        <v>120</v>
      </c>
      <c r="E42" s="4">
        <v>150</v>
      </c>
      <c r="F42" s="6">
        <f t="shared" si="0"/>
        <v>4</v>
      </c>
    </row>
    <row r="43" spans="1:6" x14ac:dyDescent="0.25">
      <c r="A43" s="4" t="s">
        <v>44</v>
      </c>
      <c r="B43" s="4"/>
      <c r="C43" s="4">
        <v>202123720</v>
      </c>
      <c r="D43" s="4">
        <f>16+22+16+14+12+10+12</f>
        <v>102</v>
      </c>
      <c r="E43" s="4">
        <v>150</v>
      </c>
      <c r="F43" s="6">
        <f t="shared" si="0"/>
        <v>3.4000000000000004</v>
      </c>
    </row>
    <row r="44" spans="1:6" x14ac:dyDescent="0.25">
      <c r="A44" s="4" t="s">
        <v>45</v>
      </c>
      <c r="B44" s="4"/>
      <c r="C44" s="4">
        <v>202216525</v>
      </c>
      <c r="D44" s="4">
        <v>78</v>
      </c>
      <c r="E44" s="4">
        <v>150</v>
      </c>
      <c r="F44" s="6">
        <f t="shared" si="0"/>
        <v>2.6</v>
      </c>
    </row>
    <row r="45" spans="1:6" x14ac:dyDescent="0.25">
      <c r="A45" s="4" t="s">
        <v>46</v>
      </c>
      <c r="B45" s="4"/>
      <c r="C45" s="4">
        <v>202222690</v>
      </c>
      <c r="D45" s="4">
        <v>144</v>
      </c>
      <c r="E45" s="4">
        <v>150</v>
      </c>
      <c r="F45" s="6">
        <f t="shared" si="0"/>
        <v>4.8</v>
      </c>
    </row>
    <row r="46" spans="1:6" x14ac:dyDescent="0.25">
      <c r="A46" s="4" t="s">
        <v>47</v>
      </c>
      <c r="B46" s="4"/>
      <c r="C46" s="4">
        <v>202123900</v>
      </c>
      <c r="D46" s="4">
        <v>108</v>
      </c>
      <c r="E46" s="4">
        <v>150</v>
      </c>
      <c r="F46" s="6">
        <f t="shared" si="0"/>
        <v>3.5999999999999996</v>
      </c>
    </row>
    <row r="47" spans="1:6" x14ac:dyDescent="0.25">
      <c r="A47" s="4" t="s">
        <v>48</v>
      </c>
      <c r="B47" s="4"/>
      <c r="C47" s="4">
        <v>202216047</v>
      </c>
      <c r="D47" s="4">
        <v>109</v>
      </c>
      <c r="E47" s="4">
        <v>150</v>
      </c>
      <c r="F47" s="6">
        <f t="shared" si="0"/>
        <v>3.6333333333333333</v>
      </c>
    </row>
    <row r="48" spans="1:6" x14ac:dyDescent="0.25">
      <c r="A48" s="4" t="s">
        <v>49</v>
      </c>
      <c r="B48" s="4"/>
      <c r="C48" s="4">
        <v>202020506</v>
      </c>
      <c r="D48" s="4">
        <f>14+18+10+4+6+10+16</f>
        <v>78</v>
      </c>
      <c r="E48" s="4">
        <v>150</v>
      </c>
      <c r="F48" s="6">
        <f t="shared" si="0"/>
        <v>2.6</v>
      </c>
    </row>
    <row r="49" spans="1:6" x14ac:dyDescent="0.25">
      <c r="A49" s="4" t="s">
        <v>50</v>
      </c>
      <c r="B49" s="4"/>
      <c r="C49" s="4">
        <v>202211714</v>
      </c>
      <c r="D49" s="4">
        <f>12+10+12+4+2+8+12</f>
        <v>60</v>
      </c>
      <c r="E49" s="4">
        <v>150</v>
      </c>
      <c r="F49" s="6">
        <f t="shared" si="0"/>
        <v>2</v>
      </c>
    </row>
    <row r="50" spans="1:6" ht="30" x14ac:dyDescent="0.25">
      <c r="A50" s="8" t="s">
        <v>54</v>
      </c>
      <c r="C50" s="8" t="s">
        <v>53</v>
      </c>
      <c r="D50" s="4">
        <v>114</v>
      </c>
      <c r="E50" s="4">
        <v>150</v>
      </c>
      <c r="F50" s="6">
        <f>(((D50/E50)*5))</f>
        <v>3.8</v>
      </c>
    </row>
    <row r="52" spans="1:6" x14ac:dyDescent="0.25">
      <c r="E52" t="s">
        <v>52</v>
      </c>
      <c r="F52">
        <f>COUNTIF(F2:F50,"&lt;3")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0994-4B56-4D78-98D7-A8A67F7564A6}">
  <dimension ref="A1:J52"/>
  <sheetViews>
    <sheetView tabSelected="1" topLeftCell="A2" zoomScale="95" zoomScaleNormal="95" workbookViewId="0">
      <selection activeCell="H2" sqref="H2"/>
    </sheetView>
  </sheetViews>
  <sheetFormatPr baseColWidth="10" defaultColWidth="11.42578125" defaultRowHeight="15" x14ac:dyDescent="0.25"/>
  <cols>
    <col min="1" max="1" width="35.28515625" bestFit="1" customWidth="1"/>
    <col min="4" max="4" width="16.5703125" bestFit="1" customWidth="1"/>
    <col min="5" max="5" width="12.42578125" customWidth="1"/>
    <col min="6" max="6" width="11.28515625" bestFit="1" customWidth="1"/>
  </cols>
  <sheetData>
    <row r="1" spans="1:10" x14ac:dyDescent="0.25">
      <c r="A1" s="1" t="s">
        <v>0</v>
      </c>
      <c r="B1" s="2"/>
      <c r="C1" s="2" t="s">
        <v>55</v>
      </c>
      <c r="D1" s="2" t="s">
        <v>1</v>
      </c>
      <c r="E1" s="2" t="s">
        <v>2</v>
      </c>
      <c r="F1" s="5" t="s">
        <v>3</v>
      </c>
    </row>
    <row r="2" spans="1:10" x14ac:dyDescent="0.25">
      <c r="A2" s="3" t="s">
        <v>4</v>
      </c>
      <c r="B2" s="4"/>
      <c r="C2" s="4">
        <v>201911446</v>
      </c>
      <c r="D2" s="4">
        <v>6.2</v>
      </c>
      <c r="E2" s="4">
        <v>8</v>
      </c>
      <c r="F2" s="6">
        <f>(((D2/E2)*5))</f>
        <v>3.875</v>
      </c>
      <c r="H2" t="str" cm="1">
        <f t="array" ref="H2:H50">IF((IF(F3=F2:F50,SEARCH(F3,F2:F50),0)),A2:A50," ")</f>
        <v xml:space="preserve"> </v>
      </c>
    </row>
    <row r="3" spans="1:10" x14ac:dyDescent="0.25">
      <c r="A3" s="3" t="s">
        <v>5</v>
      </c>
      <c r="B3" s="4"/>
      <c r="C3" s="4">
        <v>202414569</v>
      </c>
      <c r="D3" s="4">
        <v>5.7</v>
      </c>
      <c r="E3" s="4">
        <v>8</v>
      </c>
      <c r="F3" s="6">
        <f t="shared" ref="F2:F49" si="0">(((D3/E3)*5))</f>
        <v>3.5625</v>
      </c>
      <c r="G3" t="e" cm="1">
        <f t="array" ref="G3">LARGE(IF((IF(F3=F2:F50,SEARCH(F3,F2:F50),0)),A2:A50,""),COUNT(IF((IF(F3=F2:F50,SEARCH(F3,F2:F50),0)),A2:A50,"")))</f>
        <v>#NUM!</v>
      </c>
      <c r="H3" t="str">
        <v>Beltran Paris, Juan Diego</v>
      </c>
      <c r="J3">
        <f>COUNTA(H3:H50)</f>
        <v>48</v>
      </c>
    </row>
    <row r="4" spans="1:10" x14ac:dyDescent="0.25">
      <c r="A4" s="3" t="s">
        <v>6</v>
      </c>
      <c r="B4" s="4"/>
      <c r="C4" s="4">
        <v>202220197</v>
      </c>
      <c r="D4" s="4"/>
      <c r="E4" s="4">
        <v>8</v>
      </c>
      <c r="F4" s="6">
        <f t="shared" si="0"/>
        <v>0</v>
      </c>
      <c r="H4" t="str">
        <v xml:space="preserve"> </v>
      </c>
    </row>
    <row r="5" spans="1:10" x14ac:dyDescent="0.25">
      <c r="A5" s="3" t="s">
        <v>7</v>
      </c>
      <c r="B5" s="4"/>
      <c r="C5" s="4">
        <v>202210627</v>
      </c>
      <c r="D5" s="4"/>
      <c r="E5" s="4">
        <v>8</v>
      </c>
      <c r="F5" s="6">
        <f t="shared" si="0"/>
        <v>0</v>
      </c>
      <c r="H5" t="str">
        <v xml:space="preserve"> </v>
      </c>
    </row>
    <row r="6" spans="1:10" x14ac:dyDescent="0.25">
      <c r="A6" s="3" t="s">
        <v>8</v>
      </c>
      <c r="B6" s="4"/>
      <c r="C6" s="4">
        <v>202011767</v>
      </c>
      <c r="D6" s="4"/>
      <c r="E6" s="4">
        <v>8</v>
      </c>
      <c r="F6" s="6">
        <f t="shared" si="0"/>
        <v>0</v>
      </c>
      <c r="H6" t="str">
        <v xml:space="preserve"> </v>
      </c>
    </row>
    <row r="7" spans="1:10" x14ac:dyDescent="0.25">
      <c r="A7" s="3" t="s">
        <v>9</v>
      </c>
      <c r="B7" s="4"/>
      <c r="C7" s="4">
        <v>202214974</v>
      </c>
      <c r="D7" s="4">
        <v>6.8</v>
      </c>
      <c r="E7" s="4">
        <v>8</v>
      </c>
      <c r="F7" s="6">
        <f t="shared" si="0"/>
        <v>4.25</v>
      </c>
      <c r="H7" t="str">
        <v xml:space="preserve"> </v>
      </c>
    </row>
    <row r="8" spans="1:10" x14ac:dyDescent="0.25">
      <c r="A8" s="3" t="s">
        <v>10</v>
      </c>
      <c r="B8" s="4"/>
      <c r="C8" s="4">
        <v>202214985</v>
      </c>
      <c r="D8" s="4">
        <v>7.2</v>
      </c>
      <c r="E8" s="4">
        <v>8</v>
      </c>
      <c r="F8" s="6">
        <f t="shared" si="0"/>
        <v>4.5</v>
      </c>
      <c r="H8" t="str">
        <v xml:space="preserve"> </v>
      </c>
    </row>
    <row r="9" spans="1:10" x14ac:dyDescent="0.25">
      <c r="A9" s="3" t="s">
        <v>11</v>
      </c>
      <c r="B9" s="4"/>
      <c r="C9" s="4">
        <v>202222104</v>
      </c>
      <c r="D9" s="4">
        <v>6.8</v>
      </c>
      <c r="E9" s="4">
        <v>8</v>
      </c>
      <c r="F9" s="6">
        <f t="shared" si="0"/>
        <v>4.25</v>
      </c>
      <c r="H9" t="str">
        <v xml:space="preserve"> </v>
      </c>
    </row>
    <row r="10" spans="1:10" x14ac:dyDescent="0.25">
      <c r="A10" s="3" t="s">
        <v>51</v>
      </c>
      <c r="B10" s="4"/>
      <c r="C10" s="4">
        <v>202125123</v>
      </c>
      <c r="D10" s="4"/>
      <c r="E10" s="4">
        <v>8</v>
      </c>
      <c r="F10" s="6">
        <f>(((D10/E10)*5))</f>
        <v>0</v>
      </c>
      <c r="H10" t="str">
        <v xml:space="preserve"> </v>
      </c>
    </row>
    <row r="11" spans="1:10" x14ac:dyDescent="0.25">
      <c r="A11" s="4" t="s">
        <v>12</v>
      </c>
      <c r="B11" s="4"/>
      <c r="C11" s="4">
        <v>202215067</v>
      </c>
      <c r="D11" s="4"/>
      <c r="E11" s="4">
        <v>8</v>
      </c>
      <c r="F11" s="6">
        <f>(((D11/E11)*5))</f>
        <v>0</v>
      </c>
      <c r="H11" t="str">
        <v xml:space="preserve"> </v>
      </c>
    </row>
    <row r="12" spans="1:10" x14ac:dyDescent="0.25">
      <c r="A12" s="3" t="s">
        <v>13</v>
      </c>
      <c r="B12" s="4"/>
      <c r="C12" s="4">
        <v>202225305</v>
      </c>
      <c r="D12" s="4">
        <v>7.4</v>
      </c>
      <c r="E12" s="4">
        <v>8</v>
      </c>
      <c r="F12" s="6">
        <f t="shared" si="0"/>
        <v>4.625</v>
      </c>
      <c r="H12" t="str">
        <v xml:space="preserve"> </v>
      </c>
    </row>
    <row r="13" spans="1:10" x14ac:dyDescent="0.25">
      <c r="A13" s="3" t="s">
        <v>14</v>
      </c>
      <c r="B13" s="4"/>
      <c r="C13" s="4">
        <v>202220671</v>
      </c>
      <c r="D13" s="4">
        <v>7.1</v>
      </c>
      <c r="E13" s="4">
        <v>8</v>
      </c>
      <c r="F13" s="6">
        <f t="shared" si="0"/>
        <v>4.4375</v>
      </c>
      <c r="H13" t="str">
        <v xml:space="preserve"> </v>
      </c>
    </row>
    <row r="14" spans="1:10" x14ac:dyDescent="0.25">
      <c r="A14" s="3" t="s">
        <v>15</v>
      </c>
      <c r="B14" s="4"/>
      <c r="C14" s="4">
        <v>202310474</v>
      </c>
      <c r="D14" s="4"/>
      <c r="E14" s="4">
        <v>8</v>
      </c>
      <c r="F14" s="6">
        <f t="shared" si="0"/>
        <v>0</v>
      </c>
      <c r="H14" t="str">
        <v xml:space="preserve"> </v>
      </c>
    </row>
    <row r="15" spans="1:10" x14ac:dyDescent="0.25">
      <c r="A15" s="4" t="s">
        <v>16</v>
      </c>
      <c r="B15" s="4"/>
      <c r="C15" s="4">
        <v>202021093</v>
      </c>
      <c r="D15" s="4">
        <v>7.4</v>
      </c>
      <c r="E15" s="4">
        <v>8</v>
      </c>
      <c r="F15" s="6">
        <f t="shared" si="0"/>
        <v>4.625</v>
      </c>
      <c r="H15" t="str">
        <v xml:space="preserve"> </v>
      </c>
    </row>
    <row r="16" spans="1:10" x14ac:dyDescent="0.25">
      <c r="A16" s="4" t="s">
        <v>17</v>
      </c>
      <c r="B16" s="4"/>
      <c r="C16" s="4">
        <v>202222252</v>
      </c>
      <c r="D16" s="4">
        <v>7.1</v>
      </c>
      <c r="E16" s="4">
        <v>8</v>
      </c>
      <c r="F16" s="6">
        <f t="shared" si="0"/>
        <v>4.4375</v>
      </c>
      <c r="H16" t="str">
        <v xml:space="preserve"> </v>
      </c>
    </row>
    <row r="17" spans="1:8" x14ac:dyDescent="0.25">
      <c r="A17" s="4" t="s">
        <v>18</v>
      </c>
      <c r="B17" s="4"/>
      <c r="C17" s="4">
        <v>202310567</v>
      </c>
      <c r="D17" s="4">
        <v>7.2</v>
      </c>
      <c r="E17" s="4">
        <v>8</v>
      </c>
      <c r="F17" s="6">
        <f t="shared" si="0"/>
        <v>4.5</v>
      </c>
      <c r="H17" t="str">
        <v xml:space="preserve"> </v>
      </c>
    </row>
    <row r="18" spans="1:8" x14ac:dyDescent="0.25">
      <c r="A18" s="4" t="s">
        <v>19</v>
      </c>
      <c r="B18" s="4"/>
      <c r="C18" s="4">
        <v>202313647</v>
      </c>
      <c r="D18" s="4"/>
      <c r="E18" s="4">
        <v>8</v>
      </c>
      <c r="F18" s="6">
        <f t="shared" si="0"/>
        <v>0</v>
      </c>
      <c r="H18" t="str">
        <v xml:space="preserve"> </v>
      </c>
    </row>
    <row r="19" spans="1:8" x14ac:dyDescent="0.25">
      <c r="A19" s="4" t="s">
        <v>20</v>
      </c>
      <c r="B19" s="4"/>
      <c r="C19" s="4">
        <v>202113704</v>
      </c>
      <c r="D19" s="4"/>
      <c r="E19" s="4">
        <v>8</v>
      </c>
      <c r="F19" s="6">
        <f t="shared" si="0"/>
        <v>0</v>
      </c>
      <c r="H19" t="str">
        <v xml:space="preserve"> </v>
      </c>
    </row>
    <row r="20" spans="1:8" x14ac:dyDescent="0.25">
      <c r="A20" s="4" t="s">
        <v>21</v>
      </c>
      <c r="B20" s="4"/>
      <c r="C20" s="4">
        <v>202220934</v>
      </c>
      <c r="D20" s="4">
        <v>7.4</v>
      </c>
      <c r="E20" s="4">
        <v>8</v>
      </c>
      <c r="F20" s="7">
        <f t="shared" si="0"/>
        <v>4.625</v>
      </c>
      <c r="H20" t="str">
        <v xml:space="preserve"> </v>
      </c>
    </row>
    <row r="21" spans="1:8" x14ac:dyDescent="0.25">
      <c r="A21" s="4" t="s">
        <v>22</v>
      </c>
      <c r="B21" s="4"/>
      <c r="C21" s="4">
        <v>202226928</v>
      </c>
      <c r="D21" s="4">
        <v>7.4</v>
      </c>
      <c r="E21" s="4">
        <v>8</v>
      </c>
      <c r="F21" s="6">
        <f t="shared" si="0"/>
        <v>4.625</v>
      </c>
      <c r="H21" t="str">
        <v xml:space="preserve"> </v>
      </c>
    </row>
    <row r="22" spans="1:8" x14ac:dyDescent="0.25">
      <c r="A22" s="4" t="s">
        <v>23</v>
      </c>
      <c r="B22" s="4"/>
      <c r="C22" s="4">
        <v>202122819</v>
      </c>
      <c r="D22" s="4"/>
      <c r="E22" s="4">
        <v>8</v>
      </c>
      <c r="F22" s="6">
        <f t="shared" si="0"/>
        <v>0</v>
      </c>
      <c r="H22" t="str">
        <v xml:space="preserve"> </v>
      </c>
    </row>
    <row r="23" spans="1:8" x14ac:dyDescent="0.25">
      <c r="A23" s="4" t="s">
        <v>24</v>
      </c>
      <c r="B23" s="4"/>
      <c r="C23" s="4">
        <v>202220982</v>
      </c>
      <c r="D23" s="4"/>
      <c r="E23" s="4">
        <v>8</v>
      </c>
      <c r="F23" s="6">
        <f t="shared" si="0"/>
        <v>0</v>
      </c>
      <c r="H23" t="str">
        <v xml:space="preserve"> </v>
      </c>
    </row>
    <row r="24" spans="1:8" x14ac:dyDescent="0.25">
      <c r="A24" s="4" t="s">
        <v>25</v>
      </c>
      <c r="B24" s="4"/>
      <c r="C24" s="4">
        <v>202212532</v>
      </c>
      <c r="D24" s="4"/>
      <c r="E24" s="4">
        <v>8</v>
      </c>
      <c r="F24" s="6">
        <f t="shared" si="0"/>
        <v>0</v>
      </c>
      <c r="H24" t="str">
        <v xml:space="preserve"> </v>
      </c>
    </row>
    <row r="25" spans="1:8" x14ac:dyDescent="0.25">
      <c r="A25" s="4" t="s">
        <v>26</v>
      </c>
      <c r="B25" s="4"/>
      <c r="C25" s="4">
        <v>202122897</v>
      </c>
      <c r="D25" s="4"/>
      <c r="E25" s="4">
        <v>8</v>
      </c>
      <c r="F25" s="6">
        <f t="shared" si="0"/>
        <v>0</v>
      </c>
      <c r="H25" t="str">
        <v xml:space="preserve"> </v>
      </c>
    </row>
    <row r="26" spans="1:8" x14ac:dyDescent="0.25">
      <c r="A26" s="4" t="s">
        <v>27</v>
      </c>
      <c r="B26" s="4"/>
      <c r="C26" s="4">
        <v>202213826</v>
      </c>
      <c r="D26" s="4">
        <v>6.2</v>
      </c>
      <c r="E26" s="4">
        <v>8</v>
      </c>
      <c r="F26" s="6">
        <f t="shared" si="0"/>
        <v>3.875</v>
      </c>
      <c r="H26" t="str">
        <v xml:space="preserve"> </v>
      </c>
    </row>
    <row r="27" spans="1:8" x14ac:dyDescent="0.25">
      <c r="A27" s="4" t="s">
        <v>28</v>
      </c>
      <c r="B27" s="4"/>
      <c r="C27" s="4">
        <v>202223645</v>
      </c>
      <c r="D27" s="4">
        <v>7.1</v>
      </c>
      <c r="E27" s="4">
        <v>8</v>
      </c>
      <c r="F27" s="6">
        <f t="shared" si="0"/>
        <v>4.4375</v>
      </c>
      <c r="H27" t="str">
        <v xml:space="preserve"> </v>
      </c>
    </row>
    <row r="28" spans="1:8" x14ac:dyDescent="0.25">
      <c r="A28" s="4" t="s">
        <v>29</v>
      </c>
      <c r="B28" s="4"/>
      <c r="C28" s="4">
        <v>202221908</v>
      </c>
      <c r="D28" s="4"/>
      <c r="E28" s="4">
        <v>8</v>
      </c>
      <c r="F28" s="6">
        <f t="shared" si="0"/>
        <v>0</v>
      </c>
      <c r="H28" t="str">
        <v xml:space="preserve"> </v>
      </c>
    </row>
    <row r="29" spans="1:8" x14ac:dyDescent="0.25">
      <c r="A29" s="4" t="s">
        <v>30</v>
      </c>
      <c r="B29" s="4"/>
      <c r="C29" s="4">
        <v>202323554</v>
      </c>
      <c r="D29" s="4"/>
      <c r="E29" s="4">
        <v>8</v>
      </c>
      <c r="F29" s="6">
        <f t="shared" si="0"/>
        <v>0</v>
      </c>
      <c r="H29" t="str">
        <v xml:space="preserve"> </v>
      </c>
    </row>
    <row r="30" spans="1:8" x14ac:dyDescent="0.25">
      <c r="A30" s="4" t="s">
        <v>31</v>
      </c>
      <c r="B30" s="4"/>
      <c r="C30" s="4">
        <v>202123117</v>
      </c>
      <c r="D30" s="4">
        <v>7.4</v>
      </c>
      <c r="E30" s="4">
        <v>8</v>
      </c>
      <c r="F30" s="6">
        <f t="shared" si="0"/>
        <v>4.625</v>
      </c>
      <c r="H30" t="str">
        <v xml:space="preserve"> </v>
      </c>
    </row>
    <row r="31" spans="1:8" x14ac:dyDescent="0.25">
      <c r="A31" s="4" t="s">
        <v>32</v>
      </c>
      <c r="B31" s="4"/>
      <c r="C31" s="4">
        <v>202212669</v>
      </c>
      <c r="D31" s="4"/>
      <c r="E31" s="4">
        <v>8</v>
      </c>
      <c r="F31" s="6">
        <f t="shared" si="0"/>
        <v>0</v>
      </c>
      <c r="H31" t="str">
        <v xml:space="preserve"> </v>
      </c>
    </row>
    <row r="32" spans="1:8" x14ac:dyDescent="0.25">
      <c r="A32" s="4" t="s">
        <v>33</v>
      </c>
      <c r="B32" s="4"/>
      <c r="C32" s="4">
        <v>202112377</v>
      </c>
      <c r="D32" s="4"/>
      <c r="E32" s="4">
        <v>8</v>
      </c>
      <c r="F32" s="6">
        <f t="shared" si="0"/>
        <v>0</v>
      </c>
      <c r="H32" t="str">
        <v xml:space="preserve"> </v>
      </c>
    </row>
    <row r="33" spans="1:8" x14ac:dyDescent="0.25">
      <c r="A33" s="4" t="s">
        <v>34</v>
      </c>
      <c r="B33" s="4"/>
      <c r="C33" s="4">
        <v>202112451</v>
      </c>
      <c r="D33" s="4">
        <v>6.8</v>
      </c>
      <c r="E33" s="4">
        <v>8</v>
      </c>
      <c r="F33" s="6">
        <f t="shared" si="0"/>
        <v>4.25</v>
      </c>
      <c r="H33" t="str">
        <v xml:space="preserve"> </v>
      </c>
    </row>
    <row r="34" spans="1:8" x14ac:dyDescent="0.25">
      <c r="A34" s="4" t="s">
        <v>35</v>
      </c>
      <c r="B34" s="4"/>
      <c r="C34" s="4">
        <v>202221386</v>
      </c>
      <c r="D34" s="4"/>
      <c r="E34" s="4">
        <v>8</v>
      </c>
      <c r="F34" s="6">
        <f t="shared" si="0"/>
        <v>0</v>
      </c>
      <c r="H34" t="str">
        <v xml:space="preserve"> </v>
      </c>
    </row>
    <row r="35" spans="1:8" x14ac:dyDescent="0.25">
      <c r="A35" s="4" t="s">
        <v>36</v>
      </c>
      <c r="B35" s="4"/>
      <c r="C35" s="4">
        <v>202310845</v>
      </c>
      <c r="D35" s="4"/>
      <c r="E35" s="4">
        <v>8</v>
      </c>
      <c r="F35" s="6">
        <f t="shared" si="0"/>
        <v>0</v>
      </c>
      <c r="H35" t="str">
        <v xml:space="preserve"> </v>
      </c>
    </row>
    <row r="36" spans="1:8" x14ac:dyDescent="0.25">
      <c r="A36" s="4" t="s">
        <v>37</v>
      </c>
      <c r="B36" s="4"/>
      <c r="C36" s="4">
        <v>202323874</v>
      </c>
      <c r="D36" s="4">
        <v>6.8</v>
      </c>
      <c r="E36" s="4">
        <v>8</v>
      </c>
      <c r="F36" s="6">
        <f t="shared" si="0"/>
        <v>4.25</v>
      </c>
      <c r="H36" t="str">
        <v xml:space="preserve"> </v>
      </c>
    </row>
    <row r="37" spans="1:8" x14ac:dyDescent="0.25">
      <c r="A37" s="4" t="s">
        <v>38</v>
      </c>
      <c r="B37" s="4"/>
      <c r="C37" s="4">
        <v>201923423</v>
      </c>
      <c r="D37" s="4"/>
      <c r="E37" s="4">
        <v>8</v>
      </c>
      <c r="F37" s="6">
        <f t="shared" si="0"/>
        <v>0</v>
      </c>
      <c r="H37" t="str">
        <v xml:space="preserve"> </v>
      </c>
    </row>
    <row r="38" spans="1:8" x14ac:dyDescent="0.25">
      <c r="A38" s="4" t="s">
        <v>39</v>
      </c>
      <c r="B38" s="4"/>
      <c r="C38" s="4">
        <v>202220105</v>
      </c>
      <c r="D38" s="4">
        <v>5.7</v>
      </c>
      <c r="E38" s="4">
        <v>8</v>
      </c>
      <c r="F38" s="6">
        <f t="shared" si="0"/>
        <v>3.5625</v>
      </c>
      <c r="H38" t="str">
        <v xml:space="preserve">Ruiz Forero, Maria Alejandra </v>
      </c>
    </row>
    <row r="39" spans="1:8" x14ac:dyDescent="0.25">
      <c r="A39" s="4" t="s">
        <v>40</v>
      </c>
      <c r="B39" s="4"/>
      <c r="C39" s="4">
        <v>202211536</v>
      </c>
      <c r="D39" s="4">
        <v>7.2</v>
      </c>
      <c r="E39" s="4">
        <v>8</v>
      </c>
      <c r="F39" s="6">
        <f t="shared" si="0"/>
        <v>4.5</v>
      </c>
      <c r="H39" t="str">
        <v xml:space="preserve"> </v>
      </c>
    </row>
    <row r="40" spans="1:8" x14ac:dyDescent="0.25">
      <c r="A40" s="4" t="s">
        <v>41</v>
      </c>
      <c r="B40" s="4"/>
      <c r="C40" s="4">
        <v>202113020</v>
      </c>
      <c r="D40" s="4"/>
      <c r="E40" s="4">
        <v>8</v>
      </c>
      <c r="F40" s="6">
        <f t="shared" si="0"/>
        <v>0</v>
      </c>
      <c r="H40" t="str">
        <v xml:space="preserve"> </v>
      </c>
    </row>
    <row r="41" spans="1:8" x14ac:dyDescent="0.25">
      <c r="A41" s="4" t="s">
        <v>42</v>
      </c>
      <c r="B41" s="4"/>
      <c r="D41" s="4"/>
      <c r="E41" s="4">
        <v>8</v>
      </c>
      <c r="F41" s="6">
        <f t="shared" si="0"/>
        <v>0</v>
      </c>
      <c r="H41" t="str">
        <v xml:space="preserve"> </v>
      </c>
    </row>
    <row r="42" spans="1:8" x14ac:dyDescent="0.25">
      <c r="A42" s="4" t="s">
        <v>43</v>
      </c>
      <c r="B42" s="4"/>
      <c r="C42" s="4">
        <v>202215917</v>
      </c>
      <c r="D42" s="4">
        <v>6.8</v>
      </c>
      <c r="E42" s="4">
        <v>8</v>
      </c>
      <c r="F42" s="6">
        <f t="shared" si="0"/>
        <v>4.25</v>
      </c>
      <c r="H42" t="str">
        <v xml:space="preserve"> </v>
      </c>
    </row>
    <row r="43" spans="1:8" x14ac:dyDescent="0.25">
      <c r="A43" s="4" t="s">
        <v>44</v>
      </c>
      <c r="B43" s="4"/>
      <c r="C43" s="4">
        <v>202123720</v>
      </c>
      <c r="D43" s="4"/>
      <c r="E43" s="4">
        <v>8</v>
      </c>
      <c r="F43" s="6">
        <f t="shared" si="0"/>
        <v>0</v>
      </c>
      <c r="H43" t="str">
        <v xml:space="preserve"> </v>
      </c>
    </row>
    <row r="44" spans="1:8" x14ac:dyDescent="0.25">
      <c r="A44" s="4" t="s">
        <v>45</v>
      </c>
      <c r="B44" s="4"/>
      <c r="C44" s="4">
        <v>202216525</v>
      </c>
      <c r="D44" s="4"/>
      <c r="E44" s="4">
        <v>8</v>
      </c>
      <c r="F44" s="6">
        <f t="shared" si="0"/>
        <v>0</v>
      </c>
      <c r="H44" t="str">
        <v xml:space="preserve"> </v>
      </c>
    </row>
    <row r="45" spans="1:8" x14ac:dyDescent="0.25">
      <c r="A45" s="4" t="s">
        <v>46</v>
      </c>
      <c r="B45" s="4"/>
      <c r="C45" s="4">
        <v>202222690</v>
      </c>
      <c r="D45" s="4"/>
      <c r="E45" s="4">
        <v>8</v>
      </c>
      <c r="F45" s="6">
        <f t="shared" si="0"/>
        <v>0</v>
      </c>
      <c r="H45" t="str">
        <v xml:space="preserve"> </v>
      </c>
    </row>
    <row r="46" spans="1:8" x14ac:dyDescent="0.25">
      <c r="A46" s="4" t="s">
        <v>47</v>
      </c>
      <c r="B46" s="4"/>
      <c r="C46" s="4">
        <v>202123900</v>
      </c>
      <c r="D46" s="4">
        <v>7.1</v>
      </c>
      <c r="E46" s="4">
        <v>8</v>
      </c>
      <c r="F46" s="6">
        <f t="shared" si="0"/>
        <v>4.4375</v>
      </c>
      <c r="H46" t="str">
        <v xml:space="preserve"> </v>
      </c>
    </row>
    <row r="47" spans="1:8" x14ac:dyDescent="0.25">
      <c r="A47" s="4" t="s">
        <v>48</v>
      </c>
      <c r="B47" s="4"/>
      <c r="C47" s="4">
        <v>202216047</v>
      </c>
      <c r="D47" s="4"/>
      <c r="E47" s="4">
        <v>8</v>
      </c>
      <c r="F47" s="6">
        <f t="shared" si="0"/>
        <v>0</v>
      </c>
      <c r="H47" t="str">
        <v xml:space="preserve"> </v>
      </c>
    </row>
    <row r="48" spans="1:8" x14ac:dyDescent="0.25">
      <c r="A48" s="4" t="s">
        <v>49</v>
      </c>
      <c r="B48" s="4"/>
      <c r="C48" s="4">
        <v>202020506</v>
      </c>
      <c r="D48" s="4"/>
      <c r="E48" s="4">
        <v>8</v>
      </c>
      <c r="F48" s="6">
        <f t="shared" si="0"/>
        <v>0</v>
      </c>
      <c r="H48" t="str">
        <v xml:space="preserve"> </v>
      </c>
    </row>
    <row r="49" spans="1:8" x14ac:dyDescent="0.25">
      <c r="A49" s="4" t="s">
        <v>50</v>
      </c>
      <c r="B49" s="4"/>
      <c r="C49" s="4">
        <v>202211714</v>
      </c>
      <c r="D49" s="4"/>
      <c r="E49" s="4">
        <v>8</v>
      </c>
      <c r="F49" s="6">
        <f t="shared" si="0"/>
        <v>0</v>
      </c>
      <c r="H49" t="str">
        <v xml:space="preserve"> </v>
      </c>
    </row>
    <row r="50" spans="1:8" ht="30" x14ac:dyDescent="0.25">
      <c r="A50" s="8" t="s">
        <v>54</v>
      </c>
      <c r="C50" s="8" t="s">
        <v>53</v>
      </c>
      <c r="D50" s="4"/>
      <c r="E50" s="4">
        <v>8</v>
      </c>
      <c r="F50" s="6">
        <f>(((D50/E50)*5))</f>
        <v>0</v>
      </c>
      <c r="H50" t="str">
        <v xml:space="preserve"> </v>
      </c>
    </row>
    <row r="52" spans="1:8" x14ac:dyDescent="0.25">
      <c r="E52" t="s">
        <v>52</v>
      </c>
      <c r="F52">
        <f>COUNTIF(F2:F50,"&lt;3")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Parcial 1</vt:lpstr>
      <vt:lpstr>Matriz Asbesto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Carvajal Toro</dc:creator>
  <cp:keywords/>
  <dc:description/>
  <cp:lastModifiedBy>Mariana Velez Rivera</cp:lastModifiedBy>
  <cp:revision/>
  <dcterms:created xsi:type="dcterms:W3CDTF">2024-02-15T22:08:03Z</dcterms:created>
  <dcterms:modified xsi:type="dcterms:W3CDTF">2024-02-24T00:20:07Z</dcterms:modified>
  <cp:category/>
  <cp:contentStatus/>
</cp:coreProperties>
</file>