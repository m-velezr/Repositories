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niandes-my.sharepoint.com/personal/m_velezr_uniandes_edu_co/Documents/Documentos/Universidad/Programación/Excel/SAD-20250923T212200Z-1-001/SAD/Excel/"/>
    </mc:Choice>
  </mc:AlternateContent>
  <xr:revisionPtr revIDLastSave="615" documentId="13_ncr:1_{6771945D-9932-4A8D-8257-89CC67361B0D}" xr6:coauthVersionLast="47" xr6:coauthVersionMax="47" xr10:uidLastSave="{B9455062-809E-4F0C-BA35-6F5468C6DD3D}"/>
  <bookViews>
    <workbookView xWindow="-108" yWindow="-108" windowWidth="23256" windowHeight="12456" xr2:uid="{00000000-000D-0000-FFFF-FFFF00000000}"/>
  </bookViews>
  <sheets>
    <sheet name="Hoja1" sheetId="1" r:id="rId1"/>
    <sheet name="Hoja2" sheetId="2" r:id="rId2"/>
  </sheets>
  <definedNames>
    <definedName name="solver_adj" localSheetId="0" hidden="1">Hoja1!$C$48:$C$51</definedName>
    <definedName name="solver_adj" localSheetId="1" hidden="1">Hoja2!$C$37:$C$40</definedName>
    <definedName name="solver_cvg" localSheetId="0" hidden="1">"""0,0001"""</definedName>
    <definedName name="solver_cvg" localSheetId="1" hidden="1">0.0001</definedName>
    <definedName name="solver_drv" localSheetId="0" hidden="1">1</definedName>
    <definedName name="solver_drv" localSheetId="1" hidden="1">1</definedName>
    <definedName name="solver_eng" localSheetId="0" hidden="1">1</definedName>
    <definedName name="solver_eng" localSheetId="1" hidden="1">1</definedName>
    <definedName name="solver_est" localSheetId="0" hidden="1">1</definedName>
    <definedName name="solver_est" localSheetId="1" hidden="1">1</definedName>
    <definedName name="solver_itr" localSheetId="0" hidden="1">2147483647</definedName>
    <definedName name="solver_itr" localSheetId="1" hidden="1">2147483647</definedName>
    <definedName name="solver_lhs1" localSheetId="0" hidden="1">Hoja1!$C$57:$C$59</definedName>
    <definedName name="solver_lhs1" localSheetId="1" hidden="1">Hoja2!$C$22:$C$24</definedName>
    <definedName name="solver_lhs2" localSheetId="0" hidden="1">Hoja1!$C$61:$C$62</definedName>
    <definedName name="solver_lhs2" localSheetId="1" hidden="1">Hoja2!$C$26</definedName>
    <definedName name="solver_lhs3" localSheetId="0" hidden="1">Hoja1!$C$64</definedName>
    <definedName name="solver_lhs3" localSheetId="1" hidden="1">Hoja2!$C$30:$C$31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"""0,075"""</definedName>
    <definedName name="solver_mrt" localSheetId="1" hidden="1">0.075</definedName>
    <definedName name="solver_msl" localSheetId="0" hidden="1">2</definedName>
    <definedName name="solver_msl" localSheetId="1" hidden="1">2</definedName>
    <definedName name="solver_neg" localSheetId="0" hidden="1">1</definedName>
    <definedName name="solver_neg" localSheetId="1" hidden="1">1</definedName>
    <definedName name="solver_nod" localSheetId="0" hidden="1">2147483647</definedName>
    <definedName name="solver_nod" localSheetId="1" hidden="1">2147483647</definedName>
    <definedName name="solver_num" localSheetId="0" hidden="1">3</definedName>
    <definedName name="solver_num" localSheetId="1" hidden="1">3</definedName>
    <definedName name="solver_nwt" localSheetId="0" hidden="1">1</definedName>
    <definedName name="solver_nwt" localSheetId="1" hidden="1">1</definedName>
    <definedName name="solver_opt" localSheetId="0" hidden="1">Hoja1!$C$69</definedName>
    <definedName name="solver_opt" localSheetId="1" hidden="1">Hoja2!$F$37</definedName>
    <definedName name="solver_pre" localSheetId="0" hidden="1">"""0,000001"""</definedName>
    <definedName name="solver_pre" localSheetId="1" hidden="1">0.000001</definedName>
    <definedName name="solver_rbv" localSheetId="0" hidden="1">1</definedName>
    <definedName name="solver_rbv" localSheetId="1" hidden="1">1</definedName>
    <definedName name="solver_rel1" localSheetId="0" hidden="1">1</definedName>
    <definedName name="solver_rel1" localSheetId="1" hidden="1">1</definedName>
    <definedName name="solver_rel2" localSheetId="0" hidden="1">3</definedName>
    <definedName name="solver_rel2" localSheetId="1" hidden="1">1</definedName>
    <definedName name="solver_rel3" localSheetId="0" hidden="1">1</definedName>
    <definedName name="solver_rel3" localSheetId="1" hidden="1">3</definedName>
    <definedName name="solver_rhs1" localSheetId="0" hidden="1">Hoja1!$E$57:$E$59</definedName>
    <definedName name="solver_rhs1" localSheetId="1" hidden="1">Hoja2!$E$22:$E$24</definedName>
    <definedName name="solver_rhs2" localSheetId="0" hidden="1">Hoja1!$E$61:$E$62</definedName>
    <definedName name="solver_rhs2" localSheetId="1" hidden="1">Hoja2!$E$26</definedName>
    <definedName name="solver_rhs3" localSheetId="0" hidden="1">Hoja1!$E$64</definedName>
    <definedName name="solver_rhs3" localSheetId="1" hidden="1">Hoja2!$E$30:$E$31</definedName>
    <definedName name="solver_rlx" localSheetId="0" hidden="1">2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scl" localSheetId="0" hidden="1">1</definedName>
    <definedName name="solver_scl" localSheetId="1" hidden="1">1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100</definedName>
    <definedName name="solver_tim" localSheetId="0" hidden="1">2147483647</definedName>
    <definedName name="solver_tim" localSheetId="1" hidden="1">2147483647</definedName>
    <definedName name="solver_tol" localSheetId="0" hidden="1">0.01</definedName>
    <definedName name="solver_tol" localSheetId="1" hidden="1">0.01</definedName>
    <definedName name="solver_typ" localSheetId="0" hidden="1">1</definedName>
    <definedName name="solver_typ" localSheetId="1" hidden="1">1</definedName>
    <definedName name="solver_val" localSheetId="0" hidden="1">0</definedName>
    <definedName name="solver_val" localSheetId="1" hidden="1">0</definedName>
    <definedName name="solver_ver" localSheetId="0" hidden="1">3</definedName>
    <definedName name="solver_ver" localSheetId="1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9" i="2" l="1"/>
  <c r="D38" i="2"/>
  <c r="D40" i="2"/>
  <c r="D37" i="2"/>
  <c r="E31" i="2"/>
  <c r="C30" i="2"/>
  <c r="C57" i="1"/>
  <c r="C69" i="1"/>
  <c r="E62" i="1"/>
  <c r="C62" i="1"/>
  <c r="E37" i="2"/>
  <c r="E38" i="2"/>
  <c r="E39" i="2"/>
  <c r="E40" i="2"/>
  <c r="C22" i="2"/>
  <c r="F26" i="2"/>
  <c r="E26" i="2"/>
  <c r="C25" i="2"/>
  <c r="C31" i="2"/>
  <c r="C23" i="2"/>
  <c r="C24" i="2"/>
  <c r="F29" i="1"/>
  <c r="C26" i="2" l="1"/>
  <c r="D41" i="2"/>
  <c r="E41" i="2"/>
  <c r="C61" i="1"/>
  <c r="C59" i="1"/>
  <c r="C58" i="1"/>
  <c r="H33" i="1"/>
  <c r="F33" i="1"/>
  <c r="F32" i="1"/>
  <c r="F31" i="1"/>
  <c r="F30" i="1"/>
  <c r="F28" i="1"/>
  <c r="F37" i="2" l="1"/>
  <c r="C64" i="1"/>
</calcChain>
</file>

<file path=xl/sharedStrings.xml><?xml version="1.0" encoding="utf-8"?>
<sst xmlns="http://schemas.openxmlformats.org/spreadsheetml/2006/main" count="119" uniqueCount="49">
  <si>
    <t>IIND 2109</t>
  </si>
  <si>
    <t>2017 - 10</t>
  </si>
  <si>
    <t>Complementaria 5: Toma de decisiones usando Solver</t>
  </si>
  <si>
    <t>Parámetros</t>
  </si>
  <si>
    <t>Tabla 1.</t>
  </si>
  <si>
    <t>Precio Por Bolsa (COP)</t>
  </si>
  <si>
    <r>
      <t>Costo Semillas (m</t>
    </r>
    <r>
      <rPr>
        <b/>
        <sz val="11"/>
        <color theme="1"/>
        <rFont val="Calibri"/>
        <family val="2"/>
      </rPr>
      <t>²)</t>
    </r>
  </si>
  <si>
    <t>Luna</t>
  </si>
  <si>
    <t>Sol</t>
  </si>
  <si>
    <t>Lumbre</t>
  </si>
  <si>
    <t>Meteoro</t>
  </si>
  <si>
    <t>Terreno (m2)</t>
  </si>
  <si>
    <t>Bolsas producidas</t>
  </si>
  <si>
    <t>Variables de decisión</t>
  </si>
  <si>
    <t>Restricciones</t>
  </si>
  <si>
    <t>Terreno total disponible (m2)</t>
  </si>
  <si>
    <t>Conversión bolsas a m2</t>
  </si>
  <si>
    <t>&lt;=</t>
  </si>
  <si>
    <t>Disponibilidad</t>
  </si>
  <si>
    <t>Max luna</t>
  </si>
  <si>
    <t>Max lumbre</t>
  </si>
  <si>
    <t>Max meteoro</t>
  </si>
  <si>
    <t>Bolsas lumbre</t>
  </si>
  <si>
    <t>&gt;=</t>
  </si>
  <si>
    <t>Bolsas sol</t>
  </si>
  <si>
    <t>Bolsas meteoro</t>
  </si>
  <si>
    <t>Total Disponible</t>
  </si>
  <si>
    <t>Terreno m2/bolsa</t>
  </si>
  <si>
    <t>Terreno</t>
  </si>
  <si>
    <t>Bolsas</t>
  </si>
  <si>
    <t>Funcion objetivo</t>
  </si>
  <si>
    <t>Ganacia max</t>
  </si>
  <si>
    <t>Área Total</t>
  </si>
  <si>
    <t>m2</t>
  </si>
  <si>
    <t>bolsas</t>
  </si>
  <si>
    <t>Restricciones en Terreno</t>
  </si>
  <si>
    <t>Restricción en Producción</t>
  </si>
  <si>
    <t xml:space="preserve">Sol </t>
  </si>
  <si>
    <t xml:space="preserve">Información Terreno </t>
  </si>
  <si>
    <t xml:space="preserve">Información Financiera </t>
  </si>
  <si>
    <t>Maximizar Ganancias -&gt; cuantas m2 de café debo plantar de cada tipo</t>
  </si>
  <si>
    <t xml:space="preserve">Bolsas </t>
  </si>
  <si>
    <t>Total</t>
  </si>
  <si>
    <t>Precio</t>
  </si>
  <si>
    <t>m2/bolsa</t>
  </si>
  <si>
    <t>Costo</t>
  </si>
  <si>
    <t>Precio (COP/bolsa)</t>
  </si>
  <si>
    <t>Costo Semillas (COP/m2)</t>
  </si>
  <si>
    <t>Utilidad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</si>
</sst>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* #,##0_-;\-&quot;$&quot;* #,##0_-;_-&quot;$&quot;* &quot;-&quot;_-;_-@_-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5" fillId="0" borderId="0" applyFont="0" applyFill="0" applyBorder="0" applyAlignment="0" applyProtection="0"/>
  </cellStyleXfs>
  <cellXfs count="28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0" fontId="2" fillId="2" borderId="0" xfId="0" applyFont="1" applyFill="1" applyAlignment="1">
      <alignment horizontal="right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0" fillId="2" borderId="1" xfId="0" applyFill="1" applyBorder="1"/>
    <xf numFmtId="0" fontId="4" fillId="2" borderId="1" xfId="0" applyFon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horizontal="left" vertical="center"/>
    </xf>
    <xf numFmtId="0" fontId="0" fillId="0" borderId="6" xfId="0" applyBorder="1"/>
    <xf numFmtId="0" fontId="1" fillId="0" borderId="7" xfId="0" applyFont="1" applyBorder="1"/>
    <xf numFmtId="164" fontId="0" fillId="0" borderId="7" xfId="1" applyFont="1" applyBorder="1"/>
    <xf numFmtId="0" fontId="1" fillId="0" borderId="0" xfId="0" applyFont="1"/>
    <xf numFmtId="0" fontId="1" fillId="4" borderId="0" xfId="0" applyFont="1" applyFill="1"/>
    <xf numFmtId="0" fontId="0" fillId="0" borderId="7" xfId="0" applyBorder="1"/>
    <xf numFmtId="0" fontId="1" fillId="0" borderId="3" xfId="0" applyFont="1" applyBorder="1"/>
    <xf numFmtId="0" fontId="0" fillId="0" borderId="3" xfId="0" applyBorder="1"/>
    <xf numFmtId="0" fontId="1" fillId="0" borderId="8" xfId="0" applyFont="1" applyBorder="1"/>
    <xf numFmtId="3" fontId="0" fillId="0" borderId="0" xfId="0" applyNumberFormat="1"/>
    <xf numFmtId="0" fontId="0" fillId="0" borderId="7" xfId="1" applyNumberFormat="1" applyFont="1" applyBorder="1"/>
    <xf numFmtId="0" fontId="1" fillId="0" borderId="9" xfId="0" applyFont="1" applyBorder="1"/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2" borderId="0" xfId="0" applyFont="1" applyFill="1" applyAlignment="1">
      <alignment horizontal="left" vertical="center"/>
    </xf>
    <xf numFmtId="0" fontId="1" fillId="0" borderId="0" xfId="0" applyFont="1" applyAlignment="1">
      <alignment horizontal="center"/>
    </xf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104775</xdr:rowOff>
    </xdr:from>
    <xdr:to>
      <xdr:col>12</xdr:col>
      <xdr:colOff>662940</xdr:colOff>
      <xdr:row>4</xdr:row>
      <xdr:rowOff>19050</xdr:rowOff>
    </xdr:to>
    <xdr:sp macro="" textlink="">
      <xdr:nvSpPr>
        <xdr:cNvPr id="5" name="CuadroTexto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2514600" y="104775"/>
          <a:ext cx="8254365" cy="723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l"/>
          <a:r>
            <a:rPr lang="en-US" sz="4400" b="1"/>
            <a:t>Sistemas de Apoyo a la Decisión</a:t>
          </a:r>
        </a:p>
      </xdr:txBody>
    </xdr:sp>
    <xdr:clientData/>
  </xdr:twoCellAnchor>
  <xdr:twoCellAnchor editAs="oneCell">
    <xdr:from>
      <xdr:col>0</xdr:col>
      <xdr:colOff>47625</xdr:colOff>
      <xdr:row>0</xdr:row>
      <xdr:rowOff>152400</xdr:rowOff>
    </xdr:from>
    <xdr:to>
      <xdr:col>1</xdr:col>
      <xdr:colOff>621300</xdr:colOff>
      <xdr:row>4</xdr:row>
      <xdr:rowOff>89537</xdr:rowOff>
    </xdr:to>
    <xdr:pic>
      <xdr:nvPicPr>
        <xdr:cNvPr id="6" name="Imagen 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58" t="16753" r="6388" b="16581"/>
        <a:stretch/>
      </xdr:blipFill>
      <xdr:spPr>
        <a:xfrm>
          <a:off x="47625" y="152400"/>
          <a:ext cx="2412000" cy="746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Q69"/>
  <sheetViews>
    <sheetView tabSelected="1" topLeftCell="A33" zoomScale="108" workbookViewId="0">
      <selection activeCell="C58" sqref="C58"/>
    </sheetView>
  </sheetViews>
  <sheetFormatPr baseColWidth="10" defaultColWidth="11.44140625" defaultRowHeight="14.4" x14ac:dyDescent="0.3"/>
  <cols>
    <col min="1" max="1" width="27.5546875" customWidth="1"/>
    <col min="2" max="2" width="27.6640625" customWidth="1"/>
    <col min="3" max="3" width="29.88671875" customWidth="1"/>
    <col min="4" max="4" width="18.33203125" bestFit="1" customWidth="1"/>
    <col min="5" max="5" width="19.109375" customWidth="1"/>
    <col min="6" max="6" width="17.5546875" customWidth="1"/>
  </cols>
  <sheetData>
    <row r="1" spans="1:1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3"/>
    </row>
    <row r="2" spans="1:17" ht="18" x14ac:dyDescent="0.35">
      <c r="A2" s="4"/>
      <c r="B2" s="1"/>
      <c r="C2" s="1"/>
      <c r="D2" s="1"/>
      <c r="F2" s="1"/>
      <c r="H2" s="1"/>
      <c r="I2" s="1"/>
      <c r="J2" s="1"/>
      <c r="K2" s="1"/>
      <c r="L2" s="1"/>
      <c r="M2" s="1"/>
      <c r="N2" s="1"/>
      <c r="O2" s="1"/>
      <c r="P2" s="2"/>
      <c r="Q2" s="3"/>
    </row>
    <row r="3" spans="1:17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2"/>
      <c r="Q3" s="3"/>
    </row>
    <row r="4" spans="1:17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2"/>
      <c r="Q4" s="3"/>
    </row>
    <row r="5" spans="1:17" x14ac:dyDescent="0.3">
      <c r="A5" s="1"/>
      <c r="B5" s="1"/>
      <c r="C5" s="5" t="s">
        <v>0</v>
      </c>
      <c r="D5" s="6" t="s">
        <v>1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2"/>
      <c r="Q5" s="3"/>
    </row>
    <row r="6" spans="1:17" x14ac:dyDescent="0.3">
      <c r="A6" s="1"/>
      <c r="B6" s="1"/>
      <c r="C6" s="3"/>
      <c r="D6" s="1"/>
      <c r="E6" s="2"/>
      <c r="F6" s="3"/>
      <c r="G6" s="1"/>
      <c r="H6" s="1"/>
      <c r="I6" s="1"/>
      <c r="J6" s="1"/>
      <c r="K6" s="1"/>
      <c r="L6" s="1"/>
      <c r="M6" s="1"/>
      <c r="N6" s="1"/>
      <c r="O6" s="1"/>
      <c r="P6" s="2"/>
      <c r="Q6" s="3"/>
    </row>
    <row r="7" spans="1:17" ht="25.8" x14ac:dyDescent="0.3">
      <c r="A7" s="1"/>
      <c r="B7" s="1"/>
      <c r="C7" s="26" t="s">
        <v>2</v>
      </c>
      <c r="D7" s="26"/>
      <c r="E7" s="26"/>
      <c r="F7" s="26"/>
      <c r="G7" s="26"/>
      <c r="H7" s="26"/>
      <c r="I7" s="26"/>
      <c r="J7" s="26"/>
      <c r="K7" s="2"/>
      <c r="L7" s="2"/>
      <c r="M7" s="2"/>
      <c r="N7" s="1"/>
      <c r="O7" s="1"/>
      <c r="P7" s="2"/>
      <c r="Q7" s="3"/>
    </row>
    <row r="8" spans="1:17" ht="16.2" thickBot="1" x14ac:dyDescent="0.35">
      <c r="A8" s="7"/>
      <c r="B8" s="8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10"/>
      <c r="Q8" s="3"/>
    </row>
    <row r="9" spans="1:17" ht="26.4" thickTop="1" x14ac:dyDescent="0.5">
      <c r="A9" s="23" t="s">
        <v>3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5"/>
      <c r="Q9" s="3"/>
    </row>
    <row r="11" spans="1:17" x14ac:dyDescent="0.3">
      <c r="B11" t="s">
        <v>4</v>
      </c>
    </row>
    <row r="12" spans="1:17" x14ac:dyDescent="0.3">
      <c r="B12" s="11"/>
      <c r="C12" s="12" t="s">
        <v>5</v>
      </c>
      <c r="D12" s="12" t="s">
        <v>6</v>
      </c>
      <c r="E12" t="s">
        <v>11</v>
      </c>
      <c r="G12" t="s">
        <v>12</v>
      </c>
    </row>
    <row r="13" spans="1:17" x14ac:dyDescent="0.3">
      <c r="B13" s="12" t="s">
        <v>7</v>
      </c>
      <c r="C13" s="13">
        <v>8125</v>
      </c>
      <c r="D13" s="13">
        <v>1200</v>
      </c>
      <c r="E13">
        <v>15000</v>
      </c>
    </row>
    <row r="14" spans="1:17" x14ac:dyDescent="0.3">
      <c r="B14" s="12" t="s">
        <v>8</v>
      </c>
      <c r="C14" s="13">
        <v>14750</v>
      </c>
      <c r="D14" s="13">
        <v>1300</v>
      </c>
    </row>
    <row r="15" spans="1:17" x14ac:dyDescent="0.3">
      <c r="B15" s="12" t="s">
        <v>9</v>
      </c>
      <c r="C15" s="13">
        <v>20150</v>
      </c>
      <c r="D15" s="13">
        <v>700</v>
      </c>
      <c r="E15">
        <v>20000</v>
      </c>
    </row>
    <row r="16" spans="1:17" x14ac:dyDescent="0.3">
      <c r="B16" s="12" t="s">
        <v>10</v>
      </c>
      <c r="C16" s="13">
        <v>15450</v>
      </c>
      <c r="D16" s="13">
        <v>1450</v>
      </c>
      <c r="E16">
        <v>16500</v>
      </c>
    </row>
    <row r="18" spans="2:8" x14ac:dyDescent="0.3">
      <c r="B18" s="15" t="s">
        <v>13</v>
      </c>
    </row>
    <row r="20" spans="2:8" x14ac:dyDescent="0.3">
      <c r="B20" s="16"/>
      <c r="C20" s="17" t="s">
        <v>11</v>
      </c>
      <c r="D20" s="14"/>
    </row>
    <row r="21" spans="2:8" x14ac:dyDescent="0.3">
      <c r="B21" s="12" t="s">
        <v>7</v>
      </c>
      <c r="C21" s="17"/>
      <c r="D21" s="14"/>
    </row>
    <row r="22" spans="2:8" x14ac:dyDescent="0.3">
      <c r="B22" s="12" t="s">
        <v>8</v>
      </c>
      <c r="C22" s="17"/>
      <c r="D22" s="14"/>
    </row>
    <row r="23" spans="2:8" x14ac:dyDescent="0.3">
      <c r="B23" s="12" t="s">
        <v>9</v>
      </c>
      <c r="C23" s="17"/>
      <c r="D23" s="14"/>
    </row>
    <row r="24" spans="2:8" x14ac:dyDescent="0.3">
      <c r="B24" s="12" t="s">
        <v>10</v>
      </c>
      <c r="C24" s="18"/>
    </row>
    <row r="26" spans="2:8" x14ac:dyDescent="0.3">
      <c r="B26" s="15" t="s">
        <v>14</v>
      </c>
    </row>
    <row r="28" spans="2:8" x14ac:dyDescent="0.3">
      <c r="B28" s="14" t="s">
        <v>15</v>
      </c>
      <c r="C28">
        <v>50000</v>
      </c>
      <c r="E28" t="s">
        <v>18</v>
      </c>
      <c r="F28">
        <f>SUM(C21:C24)</f>
        <v>0</v>
      </c>
      <c r="G28" t="s">
        <v>17</v>
      </c>
      <c r="H28">
        <v>50000</v>
      </c>
    </row>
    <row r="29" spans="2:8" x14ac:dyDescent="0.3">
      <c r="B29" s="16"/>
      <c r="C29" s="12" t="s">
        <v>16</v>
      </c>
      <c r="E29" t="s">
        <v>19</v>
      </c>
      <c r="F29">
        <f>C21</f>
        <v>0</v>
      </c>
      <c r="G29" t="s">
        <v>17</v>
      </c>
      <c r="H29">
        <v>15000</v>
      </c>
    </row>
    <row r="30" spans="2:8" x14ac:dyDescent="0.3">
      <c r="B30" s="12" t="s">
        <v>7</v>
      </c>
      <c r="C30" s="12">
        <v>1</v>
      </c>
      <c r="E30" t="s">
        <v>20</v>
      </c>
      <c r="F30">
        <f>C23</f>
        <v>0</v>
      </c>
      <c r="G30" t="s">
        <v>17</v>
      </c>
      <c r="H30">
        <v>20000</v>
      </c>
    </row>
    <row r="31" spans="2:8" x14ac:dyDescent="0.3">
      <c r="B31" s="12" t="s">
        <v>8</v>
      </c>
      <c r="C31" s="12">
        <v>2</v>
      </c>
      <c r="E31" t="s">
        <v>21</v>
      </c>
      <c r="F31">
        <f>C24</f>
        <v>0</v>
      </c>
      <c r="G31" t="s">
        <v>17</v>
      </c>
      <c r="H31">
        <v>16500</v>
      </c>
    </row>
    <row r="32" spans="2:8" x14ac:dyDescent="0.3">
      <c r="B32" s="12" t="s">
        <v>9</v>
      </c>
      <c r="C32" s="12">
        <v>3</v>
      </c>
      <c r="E32" t="s">
        <v>22</v>
      </c>
      <c r="F32">
        <f>C23/C32</f>
        <v>0</v>
      </c>
      <c r="G32" t="s">
        <v>23</v>
      </c>
      <c r="H32">
        <v>6000</v>
      </c>
    </row>
    <row r="33" spans="2:8" x14ac:dyDescent="0.3">
      <c r="B33" s="12" t="s">
        <v>10</v>
      </c>
      <c r="C33" s="12">
        <v>2</v>
      </c>
      <c r="E33" t="s">
        <v>24</v>
      </c>
      <c r="F33">
        <f>C22/C31</f>
        <v>0</v>
      </c>
      <c r="G33" t="s">
        <v>23</v>
      </c>
      <c r="H33">
        <f>2*C24/C33</f>
        <v>0</v>
      </c>
    </row>
    <row r="34" spans="2:8" x14ac:dyDescent="0.3">
      <c r="E34" t="s">
        <v>25</v>
      </c>
    </row>
    <row r="37" spans="2:8" x14ac:dyDescent="0.3">
      <c r="B37" t="s">
        <v>3</v>
      </c>
    </row>
    <row r="38" spans="2:8" x14ac:dyDescent="0.3">
      <c r="B38" s="11"/>
      <c r="C38" s="12" t="s">
        <v>5</v>
      </c>
      <c r="D38" s="12" t="s">
        <v>6</v>
      </c>
      <c r="E38" s="12" t="s">
        <v>27</v>
      </c>
    </row>
    <row r="39" spans="2:8" x14ac:dyDescent="0.3">
      <c r="B39" s="12" t="s">
        <v>7</v>
      </c>
      <c r="C39" s="13">
        <v>8125</v>
      </c>
      <c r="D39" s="13">
        <v>1200</v>
      </c>
      <c r="E39" s="21">
        <v>1</v>
      </c>
    </row>
    <row r="40" spans="2:8" x14ac:dyDescent="0.3">
      <c r="B40" s="12" t="s">
        <v>8</v>
      </c>
      <c r="C40" s="13">
        <v>14750</v>
      </c>
      <c r="D40" s="13">
        <v>1300</v>
      </c>
      <c r="E40" s="21">
        <v>2</v>
      </c>
    </row>
    <row r="41" spans="2:8" x14ac:dyDescent="0.3">
      <c r="B41" s="12" t="s">
        <v>9</v>
      </c>
      <c r="C41" s="13">
        <v>20150</v>
      </c>
      <c r="D41" s="13">
        <v>700</v>
      </c>
      <c r="E41" s="21">
        <v>3</v>
      </c>
    </row>
    <row r="42" spans="2:8" x14ac:dyDescent="0.3">
      <c r="B42" s="12" t="s">
        <v>10</v>
      </c>
      <c r="C42" s="13">
        <v>15450</v>
      </c>
      <c r="D42" s="13">
        <v>1450</v>
      </c>
      <c r="E42" s="21">
        <v>2</v>
      </c>
    </row>
    <row r="43" spans="2:8" x14ac:dyDescent="0.3">
      <c r="B43" s="19" t="s">
        <v>26</v>
      </c>
      <c r="E43" s="20">
        <v>50000</v>
      </c>
    </row>
    <row r="45" spans="2:8" x14ac:dyDescent="0.3">
      <c r="B45" s="14" t="s">
        <v>13</v>
      </c>
    </row>
    <row r="47" spans="2:8" x14ac:dyDescent="0.3">
      <c r="B47" s="11"/>
      <c r="C47" s="12" t="s">
        <v>29</v>
      </c>
    </row>
    <row r="48" spans="2:8" x14ac:dyDescent="0.3">
      <c r="B48" s="12" t="s">
        <v>7</v>
      </c>
      <c r="C48" s="21">
        <v>15000</v>
      </c>
    </row>
    <row r="49" spans="2:5" x14ac:dyDescent="0.3">
      <c r="B49" s="12" t="s">
        <v>8</v>
      </c>
      <c r="C49" s="21">
        <v>11666.666666666666</v>
      </c>
    </row>
    <row r="50" spans="2:5" x14ac:dyDescent="0.3">
      <c r="B50" s="12" t="s">
        <v>9</v>
      </c>
      <c r="C50" s="21">
        <v>0</v>
      </c>
    </row>
    <row r="51" spans="2:5" x14ac:dyDescent="0.3">
      <c r="B51" s="12" t="s">
        <v>10</v>
      </c>
      <c r="C51" s="21">
        <v>5833.333333333333</v>
      </c>
    </row>
    <row r="52" spans="2:5" x14ac:dyDescent="0.3">
      <c r="B52" s="19"/>
      <c r="C52" s="20"/>
    </row>
    <row r="55" spans="2:5" x14ac:dyDescent="0.3">
      <c r="B55" s="14" t="s">
        <v>14</v>
      </c>
    </row>
    <row r="56" spans="2:5" x14ac:dyDescent="0.3">
      <c r="B56" s="27" t="s">
        <v>28</v>
      </c>
      <c r="C56" s="27"/>
      <c r="D56" s="27"/>
      <c r="E56" s="27"/>
    </row>
    <row r="57" spans="2:5" x14ac:dyDescent="0.3">
      <c r="B57" s="12" t="s">
        <v>7</v>
      </c>
      <c r="C57">
        <f>C48*E39</f>
        <v>15000</v>
      </c>
      <c r="D57" t="s">
        <v>17</v>
      </c>
      <c r="E57" s="20">
        <v>15000</v>
      </c>
    </row>
    <row r="58" spans="2:5" x14ac:dyDescent="0.3">
      <c r="B58" s="12" t="s">
        <v>9</v>
      </c>
      <c r="C58">
        <f>C50*E41</f>
        <v>0</v>
      </c>
      <c r="D58" t="s">
        <v>17</v>
      </c>
      <c r="E58" s="20">
        <v>20000</v>
      </c>
    </row>
    <row r="59" spans="2:5" x14ac:dyDescent="0.3">
      <c r="B59" s="12" t="s">
        <v>10</v>
      </c>
      <c r="C59">
        <f>C51*E42</f>
        <v>11666.666666666666</v>
      </c>
      <c r="D59" t="s">
        <v>17</v>
      </c>
      <c r="E59" s="20">
        <v>16500</v>
      </c>
    </row>
    <row r="60" spans="2:5" x14ac:dyDescent="0.3">
      <c r="B60" s="27" t="s">
        <v>29</v>
      </c>
      <c r="C60" s="27"/>
      <c r="D60" s="27"/>
      <c r="E60" s="27"/>
    </row>
    <row r="61" spans="2:5" x14ac:dyDescent="0.3">
      <c r="B61" s="12" t="s">
        <v>9</v>
      </c>
      <c r="C61">
        <f>C48</f>
        <v>15000</v>
      </c>
      <c r="D61" t="s">
        <v>23</v>
      </c>
      <c r="E61" s="20">
        <v>6000</v>
      </c>
    </row>
    <row r="62" spans="2:5" x14ac:dyDescent="0.3">
      <c r="B62" s="22" t="s">
        <v>8</v>
      </c>
      <c r="C62">
        <f>C49</f>
        <v>11666.666666666666</v>
      </c>
      <c r="D62" t="s">
        <v>23</v>
      </c>
      <c r="E62">
        <f>2*C51</f>
        <v>11666.666666666666</v>
      </c>
    </row>
    <row r="64" spans="2:5" x14ac:dyDescent="0.3">
      <c r="B64" s="14" t="s">
        <v>28</v>
      </c>
      <c r="C64">
        <f>SUM(C57:C59)+C49*E40</f>
        <v>50000</v>
      </c>
      <c r="D64" t="s">
        <v>17</v>
      </c>
      <c r="E64" s="20">
        <v>50000</v>
      </c>
    </row>
    <row r="67" spans="2:3" x14ac:dyDescent="0.3">
      <c r="B67" t="s">
        <v>30</v>
      </c>
    </row>
    <row r="69" spans="2:3" x14ac:dyDescent="0.3">
      <c r="B69" t="s">
        <v>31</v>
      </c>
      <c r="C69">
        <f>SUMPRODUCT(C48:C51,C39:C42)-SUMPRODUCT(E39:E42,C48:C51,D39:D42)</f>
        <v>318833333.33333331</v>
      </c>
    </row>
  </sheetData>
  <mergeCells count="4">
    <mergeCell ref="A9:P9"/>
    <mergeCell ref="C7:J7"/>
    <mergeCell ref="B56:E56"/>
    <mergeCell ref="B60:E6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58E6D-724D-4D6A-8ABB-868A6D8EC2BD}">
  <dimension ref="B3:F41"/>
  <sheetViews>
    <sheetView topLeftCell="A25" workbookViewId="0">
      <selection activeCell="D44" sqref="D44"/>
    </sheetView>
  </sheetViews>
  <sheetFormatPr baseColWidth="10" defaultRowHeight="14.4" x14ac:dyDescent="0.3"/>
  <cols>
    <col min="3" max="3" width="16.109375" bestFit="1" customWidth="1"/>
    <col min="4" max="4" width="21.33203125" bestFit="1" customWidth="1"/>
    <col min="5" max="5" width="17" customWidth="1"/>
  </cols>
  <sheetData>
    <row r="3" spans="2:4" x14ac:dyDescent="0.3">
      <c r="B3" t="s">
        <v>38</v>
      </c>
    </row>
    <row r="5" spans="2:4" x14ac:dyDescent="0.3">
      <c r="B5" t="s">
        <v>32</v>
      </c>
      <c r="C5">
        <v>50000</v>
      </c>
      <c r="D5" t="s">
        <v>33</v>
      </c>
    </row>
    <row r="6" spans="2:4" x14ac:dyDescent="0.3">
      <c r="B6" t="s">
        <v>7</v>
      </c>
      <c r="C6">
        <v>1</v>
      </c>
      <c r="D6" t="s">
        <v>44</v>
      </c>
    </row>
    <row r="7" spans="2:4" x14ac:dyDescent="0.3">
      <c r="B7" t="s">
        <v>10</v>
      </c>
      <c r="C7">
        <v>2</v>
      </c>
      <c r="D7" t="s">
        <v>44</v>
      </c>
    </row>
    <row r="8" spans="2:4" x14ac:dyDescent="0.3">
      <c r="B8" t="s">
        <v>9</v>
      </c>
      <c r="C8">
        <v>3</v>
      </c>
      <c r="D8" t="s">
        <v>44</v>
      </c>
    </row>
    <row r="9" spans="2:4" x14ac:dyDescent="0.3">
      <c r="B9" t="s">
        <v>8</v>
      </c>
      <c r="C9">
        <v>2</v>
      </c>
      <c r="D9" t="s">
        <v>44</v>
      </c>
    </row>
    <row r="11" spans="2:4" x14ac:dyDescent="0.3">
      <c r="B11" t="s">
        <v>39</v>
      </c>
    </row>
    <row r="13" spans="2:4" x14ac:dyDescent="0.3">
      <c r="C13" t="s">
        <v>46</v>
      </c>
      <c r="D13" t="s">
        <v>47</v>
      </c>
    </row>
    <row r="14" spans="2:4" x14ac:dyDescent="0.3">
      <c r="B14" t="s">
        <v>7</v>
      </c>
      <c r="C14">
        <v>8.125</v>
      </c>
      <c r="D14">
        <v>1.2</v>
      </c>
    </row>
    <row r="15" spans="2:4" x14ac:dyDescent="0.3">
      <c r="B15" t="s">
        <v>10</v>
      </c>
      <c r="C15">
        <v>15.45</v>
      </c>
      <c r="D15">
        <v>1.45</v>
      </c>
    </row>
    <row r="16" spans="2:4" x14ac:dyDescent="0.3">
      <c r="B16" t="s">
        <v>9</v>
      </c>
      <c r="C16">
        <v>20.149999999999999</v>
      </c>
      <c r="D16">
        <v>700</v>
      </c>
    </row>
    <row r="17" spans="2:6" x14ac:dyDescent="0.3">
      <c r="B17" t="s">
        <v>8</v>
      </c>
      <c r="C17">
        <v>14.75</v>
      </c>
      <c r="D17">
        <v>1.3</v>
      </c>
    </row>
    <row r="20" spans="2:6" x14ac:dyDescent="0.3">
      <c r="B20" t="s">
        <v>35</v>
      </c>
    </row>
    <row r="22" spans="2:6" x14ac:dyDescent="0.3">
      <c r="B22" t="s">
        <v>7</v>
      </c>
      <c r="C22">
        <f>C37*C6</f>
        <v>15000</v>
      </c>
      <c r="D22" t="s">
        <v>17</v>
      </c>
      <c r="E22">
        <v>15000</v>
      </c>
      <c r="F22" t="s">
        <v>33</v>
      </c>
    </row>
    <row r="23" spans="2:6" x14ac:dyDescent="0.3">
      <c r="B23" t="s">
        <v>10</v>
      </c>
      <c r="C23">
        <f>C38*C7</f>
        <v>0</v>
      </c>
      <c r="D23" t="s">
        <v>17</v>
      </c>
      <c r="E23">
        <v>16500</v>
      </c>
      <c r="F23" t="s">
        <v>33</v>
      </c>
    </row>
    <row r="24" spans="2:6" x14ac:dyDescent="0.3">
      <c r="B24" t="s">
        <v>9</v>
      </c>
      <c r="C24">
        <f t="shared" ref="C23:C24" si="0">C39*C8</f>
        <v>18000</v>
      </c>
      <c r="D24" t="s">
        <v>17</v>
      </c>
      <c r="E24">
        <v>20000</v>
      </c>
      <c r="F24" t="s">
        <v>33</v>
      </c>
    </row>
    <row r="25" spans="2:6" x14ac:dyDescent="0.3">
      <c r="B25" t="s">
        <v>8</v>
      </c>
      <c r="C25">
        <f>C40*C9</f>
        <v>17000.000000000004</v>
      </c>
    </row>
    <row r="26" spans="2:6" x14ac:dyDescent="0.3">
      <c r="B26" t="s">
        <v>42</v>
      </c>
      <c r="C26">
        <f>SUM(C22:C25)</f>
        <v>50000</v>
      </c>
      <c r="D26" t="s">
        <v>17</v>
      </c>
      <c r="E26">
        <f>C5</f>
        <v>50000</v>
      </c>
      <c r="F26" t="str">
        <f>D5</f>
        <v>m2</v>
      </c>
    </row>
    <row r="28" spans="2:6" x14ac:dyDescent="0.3">
      <c r="B28" t="s">
        <v>36</v>
      </c>
    </row>
    <row r="30" spans="2:6" x14ac:dyDescent="0.3">
      <c r="B30" t="s">
        <v>9</v>
      </c>
      <c r="C30">
        <f>C39</f>
        <v>6000</v>
      </c>
      <c r="D30" t="s">
        <v>23</v>
      </c>
      <c r="E30">
        <v>6000</v>
      </c>
      <c r="F30" t="s">
        <v>34</v>
      </c>
    </row>
    <row r="31" spans="2:6" x14ac:dyDescent="0.3">
      <c r="B31" t="s">
        <v>37</v>
      </c>
      <c r="C31">
        <f>C40</f>
        <v>8500.0000000000018</v>
      </c>
      <c r="D31" t="s">
        <v>23</v>
      </c>
      <c r="E31">
        <f>2*C38</f>
        <v>0</v>
      </c>
      <c r="F31" t="s">
        <v>34</v>
      </c>
    </row>
    <row r="34" spans="2:6" x14ac:dyDescent="0.3">
      <c r="B34" t="s">
        <v>40</v>
      </c>
    </row>
    <row r="36" spans="2:6" x14ac:dyDescent="0.3">
      <c r="C36" t="s">
        <v>41</v>
      </c>
      <c r="D36" t="s">
        <v>43</v>
      </c>
      <c r="E36" t="s">
        <v>45</v>
      </c>
      <c r="F36" t="s">
        <v>48</v>
      </c>
    </row>
    <row r="37" spans="2:6" x14ac:dyDescent="0.3">
      <c r="B37" t="s">
        <v>7</v>
      </c>
      <c r="C37">
        <v>15000</v>
      </c>
      <c r="D37">
        <f>C37*C14</f>
        <v>121875</v>
      </c>
      <c r="E37">
        <f>D14*C37*C6</f>
        <v>18000</v>
      </c>
      <c r="F37">
        <f>D41-E41</f>
        <v>301950</v>
      </c>
    </row>
    <row r="38" spans="2:6" x14ac:dyDescent="0.3">
      <c r="B38" t="s">
        <v>10</v>
      </c>
      <c r="C38">
        <v>0</v>
      </c>
      <c r="D38">
        <f>C38*C15</f>
        <v>0</v>
      </c>
      <c r="E38">
        <f>D16*C38*C7</f>
        <v>0</v>
      </c>
    </row>
    <row r="39" spans="2:6" x14ac:dyDescent="0.3">
      <c r="B39" t="s">
        <v>9</v>
      </c>
      <c r="C39">
        <v>6000</v>
      </c>
      <c r="D39">
        <f>C39*C16</f>
        <v>120899.99999999999</v>
      </c>
      <c r="E39">
        <f>D15*C39*C8</f>
        <v>26100</v>
      </c>
    </row>
    <row r="40" spans="2:6" x14ac:dyDescent="0.3">
      <c r="B40" t="s">
        <v>8</v>
      </c>
      <c r="C40">
        <v>8500.0000000000018</v>
      </c>
      <c r="D40">
        <f t="shared" ref="D39:D40" si="1">C40*C17</f>
        <v>125375.00000000003</v>
      </c>
      <c r="E40">
        <f>D17*C40*C9</f>
        <v>22100.000000000007</v>
      </c>
    </row>
    <row r="41" spans="2:6" x14ac:dyDescent="0.3">
      <c r="B41" t="s">
        <v>42</v>
      </c>
      <c r="D41">
        <f>SUM(D37:D40)</f>
        <v>368150</v>
      </c>
      <c r="E41">
        <f>SUM(E37:E40)</f>
        <v>66200</v>
      </c>
    </row>
  </sheetData>
  <phoneticPr fontId="7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D76F077D8BAE846B1BC71F9ACADFD43" ma:contentTypeVersion="16" ma:contentTypeDescription="Crear nuevo documento." ma:contentTypeScope="" ma:versionID="ead3bd53f3d2d6650aab52c999d88f4d">
  <xsd:schema xmlns:xsd="http://www.w3.org/2001/XMLSchema" xmlns:xs="http://www.w3.org/2001/XMLSchema" xmlns:p="http://schemas.microsoft.com/office/2006/metadata/properties" xmlns:ns2="d87bfc22-b946-4a27-992e-b569612e2370" xmlns:ns3="8e187d6d-71cf-4345-a05c-1ad4336251df" targetNamespace="http://schemas.microsoft.com/office/2006/metadata/properties" ma:root="true" ma:fieldsID="ab66830ee26907b9893b989f9f538f59" ns2:_="" ns3:_="">
    <xsd:import namespace="d87bfc22-b946-4a27-992e-b569612e2370"/>
    <xsd:import namespace="8e187d6d-71cf-4345-a05c-1ad4336251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7bfc22-b946-4a27-992e-b569612e23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Length (seconds)" ma:internalName="MediaLengthInSeconds" ma:readOnly="true">
      <xsd:simpleType>
        <xsd:restriction base="dms:Unknown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a38e7027-190f-4f90-8839-9f8250567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87d6d-71cf-4345-a05c-1ad4336251df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ecdefce6-cd2c-4b03-9764-5f947de3a291}" ma:internalName="TaxCatchAll" ma:showField="CatchAllData" ma:web="8e187d6d-71cf-4345-a05c-1ad4336251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8e187d6d-71cf-4345-a05c-1ad4336251df">
      <UserInfo>
        <DisplayName/>
        <AccountId xsi:nil="true"/>
        <AccountType/>
      </UserInfo>
    </SharedWithUsers>
    <MediaLengthInSeconds xmlns="d87bfc22-b946-4a27-992e-b569612e2370" xsi:nil="true"/>
    <TaxCatchAll xmlns="8e187d6d-71cf-4345-a05c-1ad4336251df" xsi:nil="true"/>
    <lcf76f155ced4ddcb4097134ff3c332f xmlns="d87bfc22-b946-4a27-992e-b569612e237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00B1A6-7404-484D-8008-5296A59030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7bfc22-b946-4a27-992e-b569612e2370"/>
    <ds:schemaRef ds:uri="8e187d6d-71cf-4345-a05c-1ad4336251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9884795-58CE-4F89-9225-CD391933679A}">
  <ds:schemaRefs>
    <ds:schemaRef ds:uri="http://schemas.microsoft.com/office/2006/metadata/properties"/>
    <ds:schemaRef ds:uri="http://schemas.microsoft.com/office/infopath/2007/PartnerControls"/>
    <ds:schemaRef ds:uri="8e187d6d-71cf-4345-a05c-1ad4336251df"/>
    <ds:schemaRef ds:uri="d87bfc22-b946-4a27-992e-b569612e2370"/>
  </ds:schemaRefs>
</ds:datastoreItem>
</file>

<file path=customXml/itemProps3.xml><?xml version="1.0" encoding="utf-8"?>
<ds:datastoreItem xmlns:ds="http://schemas.openxmlformats.org/officeDocument/2006/customXml" ds:itemID="{D2454A98-1F9F-4DB4-BB08-0F7CE91FA98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JuanJo</dc:creator>
  <cp:keywords/>
  <dc:description/>
  <cp:lastModifiedBy>Mariana Velez Rivera</cp:lastModifiedBy>
  <cp:revision/>
  <dcterms:created xsi:type="dcterms:W3CDTF">2014-09-05T20:12:05Z</dcterms:created>
  <dcterms:modified xsi:type="dcterms:W3CDTF">2025-10-08T23:31:06Z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0x010100DD76F077D8BAE846B1BC71F9ACADFD43</vt:lpwstr>
  </property>
  <property fmtid="{D5CDD505-2E9C-101B-9397-08002B2CF9AE}" pid="3" name="Order">
    <vt:r8>1394600</vt:r8>
  </property>
  <property fmtid="{D5CDD505-2E9C-101B-9397-08002B2CF9AE}" pid="4" name="_ExtendedDescription">
    <vt:lpwstr/>
  </property>
  <property fmtid="{D5CDD505-2E9C-101B-9397-08002B2CF9AE}" pid="5" name="ComplianceAssetId">
    <vt:lpwstr/>
  </property>
  <property fmtid="{D5CDD505-2E9C-101B-9397-08002B2CF9AE}" pid="6" name="MediaServiceImageTags">
    <vt:lpwstr/>
  </property>
</Properties>
</file>