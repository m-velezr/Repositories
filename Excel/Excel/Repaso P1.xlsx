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codeName="ThisWorkbook"/>
  <xr:revisionPtr revIDLastSave="0" documentId="13_ncr:1_{A11E602A-1132-4F48-AD8B-E041F46E1F19}" xr6:coauthVersionLast="47" xr6:coauthVersionMax="47" xr10:uidLastSave="{00000000-0000-0000-0000-000000000000}"/>
  <bookViews>
    <workbookView xWindow="-120" yWindow="-120" windowWidth="20730" windowHeight="11760" firstSheet="14" activeTab="19" xr2:uid="{00000000-000D-0000-FFFF-FFFF00000000}"/>
  </bookViews>
  <sheets>
    <sheet name="Aclaraciones" sheetId="5" r:id="rId1"/>
    <sheet name="Ejercicio 1" sheetId="18" r:id="rId2"/>
    <sheet name="Ejercicio 2" sheetId="57" r:id="rId3"/>
    <sheet name="Ejercicio 3" sheetId="20" r:id="rId4"/>
    <sheet name="Ejercicio 4" sheetId="40" r:id="rId5"/>
    <sheet name="Ejercicio 5" sheetId="22" r:id="rId6"/>
    <sheet name="Ejercicio 6" sheetId="46" r:id="rId7"/>
    <sheet name="Ejercicio 6 (2)" sheetId="68" r:id="rId8"/>
    <sheet name="Ejercicio 7" sheetId="52" r:id="rId9"/>
    <sheet name="Ejercicio 8" sheetId="21" r:id="rId10"/>
    <sheet name="Ejercicio 9" sheetId="23" r:id="rId11"/>
    <sheet name="Ejercicio 10" sheetId="39" r:id="rId12"/>
    <sheet name="Ejercicio 11" sheetId="27" r:id="rId13"/>
    <sheet name="Ejercicio 12" sheetId="24" r:id="rId14"/>
    <sheet name="Ejercicio 13" sheetId="29" r:id="rId15"/>
    <sheet name="Ejercicio 14" sheetId="58" r:id="rId16"/>
    <sheet name="Ejercicio 15" sheetId="32" r:id="rId17"/>
    <sheet name="Ejercicio 16" sheetId="54" r:id="rId18"/>
    <sheet name="Ejercicio 17" sheetId="41" r:id="rId19"/>
    <sheet name="Ejercicio 18" sheetId="55" r:id="rId20"/>
  </sheets>
  <definedNames>
    <definedName name="_xlnm._FilterDatabase" localSheetId="2" hidden="1">'Ejercicio 2'!$B$12:$F$82</definedName>
    <definedName name="solver_adj" localSheetId="17" hidden="1">'Ejercicio 16'!$C$70:$C$71</definedName>
    <definedName name="solver_adj" localSheetId="18" hidden="1">'Ejercicio 17'!$C$19:$C$21</definedName>
    <definedName name="solver_adj" localSheetId="19" hidden="1">'Ejercicio 18'!$C$56:$C$59</definedName>
    <definedName name="solver_cvg" localSheetId="17" hidden="1">"""0,0001"""</definedName>
    <definedName name="solver_cvg" localSheetId="18" hidden="1">0.0001</definedName>
    <definedName name="solver_cvg" localSheetId="19" hidden="1">0.0001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eng" localSheetId="16" hidden="1">1</definedName>
    <definedName name="solver_eng" localSheetId="17" hidden="1">2</definedName>
    <definedName name="solver_eng" localSheetId="18" hidden="1">2</definedName>
    <definedName name="solver_eng" localSheetId="19" hidden="1">2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lhs1" localSheetId="17" hidden="1">'Ejercicio 16'!$C$61:$C$65</definedName>
    <definedName name="solver_lhs1" localSheetId="18" hidden="1">'Ejercicio 17'!$C$25</definedName>
    <definedName name="solver_lhs1" localSheetId="19" hidden="1">'Ejercicio 18'!$C$63:$C$69</definedName>
    <definedName name="solver_lhs2" localSheetId="17" hidden="1">'Ejercicio 16'!$C$27</definedName>
    <definedName name="solver_lhs2" localSheetId="18" hidden="1">'Ejercicio 17'!$C$26</definedName>
    <definedName name="solver_lhs2" localSheetId="19" hidden="1">'Ejercicio 18'!$C$24</definedName>
    <definedName name="solver_lhs3" localSheetId="17" hidden="1">'Ejercicio 16'!$C$28</definedName>
    <definedName name="solver_lhs3" localSheetId="18" hidden="1">'Ejercicio 17'!$C$27</definedName>
    <definedName name="solver_lhs3" localSheetId="19" hidden="1">'Ejercicio 18'!$C$25</definedName>
    <definedName name="solver_lhs4" localSheetId="17" hidden="1">'Ejercicio 16'!$C$29</definedName>
    <definedName name="solver_lhs4" localSheetId="18" hidden="1">'Ejercicio 17'!$C$28</definedName>
    <definedName name="solver_lhs4" localSheetId="19" hidden="1">'Ejercicio 18'!$C$26</definedName>
    <definedName name="solver_lhs5" localSheetId="17" hidden="1">'Ejercicio 16'!$C$30</definedName>
    <definedName name="solver_lhs5" localSheetId="19" hidden="1">'Ejercicio 18'!$C$27</definedName>
    <definedName name="solver_lhs6" localSheetId="19" hidden="1">'Ejercicio 18'!$C$28</definedName>
    <definedName name="solver_lhs7" localSheetId="19" hidden="1">'Ejercicio 18'!$C$29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rt" localSheetId="17" hidden="1">"""0,075"""</definedName>
    <definedName name="solver_mrt" localSheetId="18" hidden="1">0.075</definedName>
    <definedName name="solver_mrt" localSheetId="19" hidden="1">0.075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um" localSheetId="16" hidden="1">0</definedName>
    <definedName name="solver_num" localSheetId="17" hidden="1">1</definedName>
    <definedName name="solver_num" localSheetId="18" hidden="1">4</definedName>
    <definedName name="solver_num" localSheetId="19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opt" localSheetId="16" hidden="1">'Ejercicio 15'!#REF!</definedName>
    <definedName name="solver_opt" localSheetId="17" hidden="1">'Ejercicio 16'!$C$73</definedName>
    <definedName name="solver_opt" localSheetId="18" hidden="1">'Ejercicio 17'!$C$33</definedName>
    <definedName name="solver_opt" localSheetId="19" hidden="1">'Ejercicio 18'!$C$73</definedName>
    <definedName name="solver_pre" localSheetId="17" hidden="1">"""0,000001"""</definedName>
    <definedName name="solver_pre" localSheetId="18" hidden="1">0.000001</definedName>
    <definedName name="solver_pre" localSheetId="19" hidden="1">0.000001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el1" localSheetId="17" hidden="1">1</definedName>
    <definedName name="solver_rel1" localSheetId="18" hidden="1">2</definedName>
    <definedName name="solver_rel1" localSheetId="19" hidden="1">1</definedName>
    <definedName name="solver_rel2" localSheetId="17" hidden="1">1</definedName>
    <definedName name="solver_rel2" localSheetId="18" hidden="1">3</definedName>
    <definedName name="solver_rel2" localSheetId="19" hidden="1">3</definedName>
    <definedName name="solver_rel3" localSheetId="17" hidden="1">1</definedName>
    <definedName name="solver_rel3" localSheetId="18" hidden="1">1</definedName>
    <definedName name="solver_rel3" localSheetId="19" hidden="1">3</definedName>
    <definedName name="solver_rel4" localSheetId="17" hidden="1">1</definedName>
    <definedName name="solver_rel4" localSheetId="18" hidden="1">3</definedName>
    <definedName name="solver_rel4" localSheetId="19" hidden="1">1</definedName>
    <definedName name="solver_rel5" localSheetId="17" hidden="1">1</definedName>
    <definedName name="solver_rel5" localSheetId="19" hidden="1">1</definedName>
    <definedName name="solver_rel6" localSheetId="19" hidden="1">1</definedName>
    <definedName name="solver_rel7" localSheetId="19" hidden="1">1</definedName>
    <definedName name="solver_rhs1" localSheetId="17" hidden="1">'Ejercicio 16'!$E$61:$E$65</definedName>
    <definedName name="solver_rhs1" localSheetId="18" hidden="1">'Ejercicio 17'!$E$25</definedName>
    <definedName name="solver_rhs1" localSheetId="19" hidden="1">'Ejercicio 18'!$E$63:$E$69</definedName>
    <definedName name="solver_rhs2" localSheetId="17" hidden="1">'Ejercicio 16'!$E$27</definedName>
    <definedName name="solver_rhs2" localSheetId="18" hidden="1">'Ejercicio 17'!$E$26</definedName>
    <definedName name="solver_rhs2" localSheetId="19" hidden="1">'Ejercicio 18'!$E$24</definedName>
    <definedName name="solver_rhs3" localSheetId="17" hidden="1">'Ejercicio 16'!$E$28</definedName>
    <definedName name="solver_rhs3" localSheetId="18" hidden="1">'Ejercicio 17'!$E$27</definedName>
    <definedName name="solver_rhs3" localSheetId="19" hidden="1">'Ejercicio 18'!$E$25</definedName>
    <definedName name="solver_rhs4" localSheetId="17" hidden="1">'Ejercicio 16'!$E$29</definedName>
    <definedName name="solver_rhs4" localSheetId="18" hidden="1">'Ejercicio 17'!$E$28</definedName>
    <definedName name="solver_rhs4" localSheetId="19" hidden="1">'Ejercicio 18'!$E$26</definedName>
    <definedName name="solver_rhs5" localSheetId="17" hidden="1">'Ejercicio 16'!$E$30</definedName>
    <definedName name="solver_rhs5" localSheetId="19" hidden="1">'Ejercicio 18'!$E$27</definedName>
    <definedName name="solver_rhs6" localSheetId="19" hidden="1">'Ejercicio 18'!$E$28</definedName>
    <definedName name="solver_rhs7" localSheetId="19" hidden="1">'Ejercicio 18'!$E$29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ol" localSheetId="17" hidden="1">1</definedName>
    <definedName name="solver_tol" localSheetId="18" hidden="1">1</definedName>
    <definedName name="solver_tol" localSheetId="19" hidden="1">1</definedName>
    <definedName name="solver_typ" localSheetId="16" hidden="1">1</definedName>
    <definedName name="solver_typ" localSheetId="17" hidden="1">1</definedName>
    <definedName name="solver_typ" localSheetId="18" hidden="1">1</definedName>
    <definedName name="solver_typ" localSheetId="19" hidden="1">2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55" l="1"/>
  <c r="C65" i="55"/>
  <c r="E65" i="55"/>
  <c r="E64" i="55"/>
  <c r="E63" i="55"/>
  <c r="C68" i="55"/>
  <c r="C69" i="55"/>
  <c r="C67" i="55"/>
  <c r="E69" i="55"/>
  <c r="E68" i="55"/>
  <c r="E67" i="55"/>
  <c r="C66" i="55"/>
  <c r="C63" i="54"/>
  <c r="C62" i="54"/>
  <c r="C61" i="54"/>
  <c r="E65" i="54"/>
  <c r="C65" i="54"/>
  <c r="E64" i="54"/>
  <c r="C64" i="54"/>
  <c r="E63" i="54"/>
  <c r="C73" i="54"/>
  <c r="D56" i="54"/>
  <c r="D57" i="54"/>
  <c r="C57" i="54"/>
  <c r="C56" i="54"/>
  <c r="F16" i="29" a="1"/>
  <c r="F16" i="29" s="1"/>
  <c r="H8" i="24"/>
  <c r="H7" i="24"/>
  <c r="H6" i="24"/>
  <c r="K9" i="27" a="1"/>
  <c r="K9" i="27" s="1"/>
  <c r="H9" i="27" a="1"/>
  <c r="H9" i="27" s="1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G18" i="39" a="1"/>
  <c r="G18" i="39" s="1"/>
  <c r="F18" i="39" a="1"/>
  <c r="F18" i="39" s="1"/>
  <c r="C13" i="39" a="1"/>
  <c r="C13" i="39" s="1"/>
  <c r="C14" i="23" a="1"/>
  <c r="C14" i="23" s="1"/>
  <c r="K31" i="21" a="1"/>
  <c r="K31" i="21" s="1"/>
  <c r="K27" i="21" a="1"/>
  <c r="K27" i="21" s="1"/>
  <c r="K28" i="21" a="1"/>
  <c r="K28" i="21"/>
  <c r="K29" i="21" a="1"/>
  <c r="K29" i="21" s="1"/>
  <c r="K30" i="21" a="1"/>
  <c r="K30" i="21"/>
  <c r="K26" i="21" a="1"/>
  <c r="K26" i="21" s="1"/>
  <c r="K41" i="21" a="1"/>
  <c r="K41" i="21" s="1"/>
  <c r="K32" i="21" a="1"/>
  <c r="K32" i="21"/>
  <c r="K33" i="21" a="1"/>
  <c r="K33" i="21" s="1"/>
  <c r="K34" i="21" a="1"/>
  <c r="K34" i="21"/>
  <c r="K35" i="21" a="1"/>
  <c r="K35" i="21" s="1"/>
  <c r="K36" i="21" a="1"/>
  <c r="K36" i="21"/>
  <c r="K37" i="21" a="1"/>
  <c r="K37" i="21" s="1"/>
  <c r="K38" i="21" a="1"/>
  <c r="K38" i="21"/>
  <c r="K39" i="21" a="1"/>
  <c r="K39" i="21" s="1"/>
  <c r="K40" i="21" a="1"/>
  <c r="K40" i="21"/>
  <c r="L15" i="52" a="1"/>
  <c r="L15" i="52" s="1"/>
  <c r="L17" i="52" a="1"/>
  <c r="L17" i="52" s="1"/>
  <c r="L14" i="52" a="1"/>
  <c r="L14" i="52" s="1"/>
  <c r="D26" i="46" a="1"/>
  <c r="D26" i="46" s="1"/>
  <c r="E26" i="46" a="1"/>
  <c r="E26" i="46"/>
  <c r="F26" i="46" a="1"/>
  <c r="F26" i="46" s="1"/>
  <c r="G26" i="46" a="1"/>
  <c r="G26" i="46" s="1"/>
  <c r="H26" i="46" a="1"/>
  <c r="H26" i="46" s="1"/>
  <c r="I26" i="46" a="1"/>
  <c r="I26" i="46" s="1"/>
  <c r="J26" i="46" a="1"/>
  <c r="J26" i="46" s="1"/>
  <c r="K26" i="46" a="1"/>
  <c r="K26" i="46"/>
  <c r="L26" i="46" a="1"/>
  <c r="L26" i="46" s="1"/>
  <c r="M26" i="46" a="1"/>
  <c r="M26" i="46"/>
  <c r="N26" i="46" a="1"/>
  <c r="N26" i="46" s="1"/>
  <c r="O26" i="46" a="1"/>
  <c r="O26" i="46" s="1"/>
  <c r="P26" i="46" a="1"/>
  <c r="P26" i="46" s="1"/>
  <c r="Q26" i="46" a="1"/>
  <c r="Q26" i="46" s="1"/>
  <c r="R26" i="46" a="1"/>
  <c r="R26" i="46" s="1"/>
  <c r="S26" i="46" a="1"/>
  <c r="S26" i="46"/>
  <c r="T26" i="46" a="1"/>
  <c r="T26" i="46" s="1"/>
  <c r="D27" i="46" a="1"/>
  <c r="D27" i="46"/>
  <c r="E27" i="46" a="1"/>
  <c r="E27" i="46" s="1"/>
  <c r="F27" i="46" a="1"/>
  <c r="F27" i="46" s="1"/>
  <c r="G27" i="46" a="1"/>
  <c r="G27" i="46" s="1"/>
  <c r="H27" i="46" a="1"/>
  <c r="H27" i="46" s="1"/>
  <c r="I27" i="46" a="1"/>
  <c r="I27" i="46" s="1"/>
  <c r="J27" i="46" a="1"/>
  <c r="J27" i="46"/>
  <c r="K27" i="46" a="1"/>
  <c r="K27" i="46" s="1"/>
  <c r="L27" i="46" a="1"/>
  <c r="L27" i="46"/>
  <c r="M27" i="46" a="1"/>
  <c r="M27" i="46" s="1"/>
  <c r="N27" i="46" a="1"/>
  <c r="N27" i="46" s="1"/>
  <c r="O27" i="46" a="1"/>
  <c r="O27" i="46" s="1"/>
  <c r="P27" i="46" a="1"/>
  <c r="P27" i="46" s="1"/>
  <c r="Q27" i="46" a="1"/>
  <c r="Q27" i="46" s="1"/>
  <c r="R27" i="46" a="1"/>
  <c r="R27" i="46"/>
  <c r="S27" i="46" a="1"/>
  <c r="S27" i="46" s="1"/>
  <c r="T27" i="46" a="1"/>
  <c r="T27" i="46"/>
  <c r="D28" i="46" a="1"/>
  <c r="D28" i="46" s="1"/>
  <c r="E28" i="46" a="1"/>
  <c r="E28" i="46" s="1"/>
  <c r="F28" i="46" a="1"/>
  <c r="F28" i="46" s="1"/>
  <c r="G28" i="46" a="1"/>
  <c r="G28" i="46" s="1"/>
  <c r="H28" i="46" a="1"/>
  <c r="H28" i="46" s="1"/>
  <c r="I28" i="46" a="1"/>
  <c r="I28" i="46"/>
  <c r="J28" i="46" a="1"/>
  <c r="J28" i="46" s="1"/>
  <c r="K28" i="46" a="1"/>
  <c r="K28" i="46"/>
  <c r="L28" i="46" a="1"/>
  <c r="L28" i="46" s="1"/>
  <c r="M28" i="46" a="1"/>
  <c r="M28" i="46" s="1"/>
  <c r="N28" i="46" a="1"/>
  <c r="N28" i="46" s="1"/>
  <c r="O28" i="46" a="1"/>
  <c r="O28" i="46" s="1"/>
  <c r="P28" i="46" a="1"/>
  <c r="P28" i="46" s="1"/>
  <c r="Q28" i="46" a="1"/>
  <c r="Q28" i="46"/>
  <c r="R28" i="46" a="1"/>
  <c r="R28" i="46" s="1"/>
  <c r="S28" i="46" a="1"/>
  <c r="S28" i="46"/>
  <c r="T28" i="46" a="1"/>
  <c r="T28" i="46" s="1"/>
  <c r="D29" i="46" a="1"/>
  <c r="D29" i="46" s="1"/>
  <c r="E29" i="46" a="1"/>
  <c r="E29" i="46" s="1"/>
  <c r="F29" i="46" a="1"/>
  <c r="F29" i="46" s="1"/>
  <c r="G29" i="46" a="1"/>
  <c r="G29" i="46" s="1"/>
  <c r="H29" i="46" a="1"/>
  <c r="H29" i="46"/>
  <c r="I29" i="46" a="1"/>
  <c r="I29" i="46" s="1"/>
  <c r="J29" i="46" a="1"/>
  <c r="J29" i="46"/>
  <c r="K29" i="46" a="1"/>
  <c r="K29" i="46" s="1"/>
  <c r="L29" i="46" a="1"/>
  <c r="L29" i="46" s="1"/>
  <c r="M29" i="46" a="1"/>
  <c r="M29" i="46" s="1"/>
  <c r="N29" i="46" a="1"/>
  <c r="N29" i="46" s="1"/>
  <c r="O29" i="46" a="1"/>
  <c r="O29" i="46" s="1"/>
  <c r="P29" i="46" a="1"/>
  <c r="P29" i="46"/>
  <c r="Q29" i="46" a="1"/>
  <c r="Q29" i="46" s="1"/>
  <c r="R29" i="46" a="1"/>
  <c r="R29" i="46"/>
  <c r="S29" i="46" a="1"/>
  <c r="S29" i="46" s="1"/>
  <c r="T29" i="46" a="1"/>
  <c r="T29" i="46" s="1"/>
  <c r="D30" i="46" a="1"/>
  <c r="D30" i="46" s="1"/>
  <c r="E30" i="46" a="1"/>
  <c r="E30" i="46" s="1"/>
  <c r="F30" i="46" a="1"/>
  <c r="F30" i="46" s="1"/>
  <c r="G30" i="46" a="1"/>
  <c r="G30" i="46"/>
  <c r="H30" i="46" a="1"/>
  <c r="H30" i="46" s="1"/>
  <c r="I30" i="46" a="1"/>
  <c r="I30" i="46"/>
  <c r="J30" i="46" a="1"/>
  <c r="J30" i="46" s="1"/>
  <c r="K30" i="46" a="1"/>
  <c r="K30" i="46" s="1"/>
  <c r="L30" i="46" a="1"/>
  <c r="L30" i="46" s="1"/>
  <c r="M30" i="46" a="1"/>
  <c r="M30" i="46" s="1"/>
  <c r="N30" i="46" a="1"/>
  <c r="N30" i="46" s="1"/>
  <c r="O30" i="46" a="1"/>
  <c r="O30" i="46"/>
  <c r="P30" i="46" a="1"/>
  <c r="P30" i="46" s="1"/>
  <c r="Q30" i="46" a="1"/>
  <c r="Q30" i="46"/>
  <c r="R30" i="46" a="1"/>
  <c r="R30" i="46" s="1"/>
  <c r="S30" i="46" a="1"/>
  <c r="S30" i="46" s="1"/>
  <c r="T30" i="46" a="1"/>
  <c r="T30" i="46" s="1"/>
  <c r="D31" i="46" a="1"/>
  <c r="D31" i="46" s="1"/>
  <c r="E31" i="46" a="1"/>
  <c r="E31" i="46" s="1"/>
  <c r="F31" i="46" a="1"/>
  <c r="F31" i="46"/>
  <c r="G31" i="46" a="1"/>
  <c r="G31" i="46" s="1"/>
  <c r="H31" i="46" a="1"/>
  <c r="H31" i="46"/>
  <c r="I31" i="46" a="1"/>
  <c r="I31" i="46" s="1"/>
  <c r="J31" i="46" a="1"/>
  <c r="J31" i="46" s="1"/>
  <c r="K31" i="46" a="1"/>
  <c r="K31" i="46" s="1"/>
  <c r="L31" i="46" a="1"/>
  <c r="L31" i="46" s="1"/>
  <c r="M31" i="46" a="1"/>
  <c r="M31" i="46" s="1"/>
  <c r="N31" i="46" a="1"/>
  <c r="N31" i="46" s="1"/>
  <c r="O31" i="46" a="1"/>
  <c r="O31" i="46" s="1"/>
  <c r="P31" i="46" a="1"/>
  <c r="P31" i="46"/>
  <c r="Q31" i="46" a="1"/>
  <c r="Q31" i="46" s="1"/>
  <c r="R31" i="46" a="1"/>
  <c r="R31" i="46" s="1"/>
  <c r="S31" i="46" a="1"/>
  <c r="S31" i="46" s="1"/>
  <c r="T31" i="46" a="1"/>
  <c r="T31" i="46" s="1"/>
  <c r="D32" i="46" a="1"/>
  <c r="D32" i="46" s="1"/>
  <c r="E32" i="46" a="1"/>
  <c r="E32" i="46" s="1"/>
  <c r="F32" i="46" a="1"/>
  <c r="F32" i="46" s="1"/>
  <c r="G32" i="46" a="1"/>
  <c r="G32" i="46"/>
  <c r="H32" i="46" a="1"/>
  <c r="H32" i="46" s="1"/>
  <c r="I32" i="46" a="1"/>
  <c r="I32" i="46" s="1"/>
  <c r="J32" i="46" a="1"/>
  <c r="J32" i="46" s="1"/>
  <c r="K32" i="46" a="1"/>
  <c r="K32" i="46" s="1"/>
  <c r="L32" i="46" a="1"/>
  <c r="L32" i="46" s="1"/>
  <c r="M32" i="46" a="1"/>
  <c r="M32" i="46"/>
  <c r="N32" i="46" a="1"/>
  <c r="N32" i="46" s="1"/>
  <c r="O32" i="46" a="1"/>
  <c r="O32" i="46"/>
  <c r="P32" i="46" a="1"/>
  <c r="P32" i="46" s="1"/>
  <c r="Q32" i="46" a="1"/>
  <c r="Q32" i="46" s="1"/>
  <c r="R32" i="46" a="1"/>
  <c r="R32" i="46" s="1"/>
  <c r="S32" i="46" a="1"/>
  <c r="S32" i="46" s="1"/>
  <c r="T32" i="46" a="1"/>
  <c r="T32" i="46" s="1"/>
  <c r="D33" i="46" a="1"/>
  <c r="D33" i="46"/>
  <c r="E33" i="46" a="1"/>
  <c r="E33" i="46" s="1"/>
  <c r="F33" i="46" a="1"/>
  <c r="F33" i="46"/>
  <c r="G33" i="46" a="1"/>
  <c r="G33" i="46" s="1"/>
  <c r="H33" i="46" a="1"/>
  <c r="H33" i="46" s="1"/>
  <c r="I33" i="46" a="1"/>
  <c r="I33" i="46" s="1"/>
  <c r="J33" i="46" a="1"/>
  <c r="J33" i="46" s="1"/>
  <c r="K33" i="46" a="1"/>
  <c r="K33" i="46" s="1"/>
  <c r="L33" i="46" a="1"/>
  <c r="L33" i="46"/>
  <c r="M33" i="46" a="1"/>
  <c r="M33" i="46" s="1"/>
  <c r="N33" i="46" a="1"/>
  <c r="N33" i="46"/>
  <c r="O33" i="46" a="1"/>
  <c r="O33" i="46" s="1"/>
  <c r="P33" i="46" a="1"/>
  <c r="P33" i="46" s="1"/>
  <c r="Q33" i="46" a="1"/>
  <c r="Q33" i="46" s="1"/>
  <c r="R33" i="46" a="1"/>
  <c r="R33" i="46" s="1"/>
  <c r="S33" i="46" a="1"/>
  <c r="S33" i="46" s="1"/>
  <c r="T33" i="46" a="1"/>
  <c r="T33" i="46"/>
  <c r="D34" i="46" a="1"/>
  <c r="D34" i="46" s="1"/>
  <c r="E34" i="46" a="1"/>
  <c r="E34" i="46"/>
  <c r="F34" i="46" a="1"/>
  <c r="F34" i="46" s="1"/>
  <c r="G34" i="46" a="1"/>
  <c r="G34" i="46" s="1"/>
  <c r="H34" i="46" a="1"/>
  <c r="H34" i="46" s="1"/>
  <c r="I34" i="46" a="1"/>
  <c r="I34" i="46" s="1"/>
  <c r="J34" i="46" a="1"/>
  <c r="J34" i="46" s="1"/>
  <c r="K34" i="46" a="1"/>
  <c r="K34" i="46" s="1"/>
  <c r="L34" i="46" a="1"/>
  <c r="L34" i="46" s="1"/>
  <c r="M34" i="46" a="1"/>
  <c r="M34" i="46"/>
  <c r="N34" i="46" a="1"/>
  <c r="N34" i="46" s="1"/>
  <c r="O34" i="46" a="1"/>
  <c r="O34" i="46" s="1"/>
  <c r="P34" i="46" a="1"/>
  <c r="P34" i="46" s="1"/>
  <c r="Q34" i="46" a="1"/>
  <c r="Q34" i="46" s="1"/>
  <c r="R34" i="46" a="1"/>
  <c r="R34" i="46" s="1"/>
  <c r="S34" i="46" a="1"/>
  <c r="S34" i="46" s="1"/>
  <c r="T34" i="46" a="1"/>
  <c r="T34" i="46" s="1"/>
  <c r="D35" i="46" a="1"/>
  <c r="D35" i="46"/>
  <c r="E35" i="46" a="1"/>
  <c r="E35" i="46" s="1"/>
  <c r="F35" i="46" a="1"/>
  <c r="F35" i="46" s="1"/>
  <c r="G35" i="46" a="1"/>
  <c r="G35" i="46" s="1"/>
  <c r="H35" i="46" a="1"/>
  <c r="H35" i="46" s="1"/>
  <c r="I35" i="46" a="1"/>
  <c r="I35" i="46" s="1"/>
  <c r="J35" i="46" a="1"/>
  <c r="J35" i="46" s="1"/>
  <c r="K35" i="46" a="1"/>
  <c r="K35" i="46" s="1"/>
  <c r="L35" i="46" a="1"/>
  <c r="L35" i="46"/>
  <c r="M35" i="46" a="1"/>
  <c r="M35" i="46" s="1"/>
  <c r="N35" i="46" a="1"/>
  <c r="N35" i="46" s="1"/>
  <c r="O35" i="46" a="1"/>
  <c r="O35" i="46" s="1"/>
  <c r="P35" i="46" a="1"/>
  <c r="P35" i="46" s="1"/>
  <c r="Q35" i="46" a="1"/>
  <c r="Q35" i="46" s="1"/>
  <c r="R35" i="46" a="1"/>
  <c r="R35" i="46" s="1"/>
  <c r="S35" i="46" a="1"/>
  <c r="S35" i="46" s="1"/>
  <c r="T35" i="46" a="1"/>
  <c r="T35" i="46"/>
  <c r="D36" i="46" a="1"/>
  <c r="D36" i="46" s="1"/>
  <c r="E36" i="46" a="1"/>
  <c r="E36" i="46"/>
  <c r="F36" i="46" a="1"/>
  <c r="F36" i="46" s="1"/>
  <c r="G36" i="46" a="1"/>
  <c r="G36" i="46"/>
  <c r="H36" i="46" a="1"/>
  <c r="H36" i="46" s="1"/>
  <c r="I36" i="46" a="1"/>
  <c r="I36" i="46" s="1"/>
  <c r="J36" i="46" a="1"/>
  <c r="J36" i="46" s="1"/>
  <c r="K36" i="46" a="1"/>
  <c r="K36" i="46"/>
  <c r="L36" i="46" a="1"/>
  <c r="L36" i="46" s="1"/>
  <c r="M36" i="46" a="1"/>
  <c r="M36" i="46" s="1"/>
  <c r="N36" i="46" a="1"/>
  <c r="N36" i="46" s="1"/>
  <c r="O36" i="46" a="1"/>
  <c r="O36" i="46" s="1"/>
  <c r="P36" i="46" a="1"/>
  <c r="P36" i="46" s="1"/>
  <c r="Q36" i="46" a="1"/>
  <c r="Q36" i="46" s="1"/>
  <c r="R36" i="46" a="1"/>
  <c r="R36" i="46" s="1"/>
  <c r="S36" i="46" a="1"/>
  <c r="S36" i="46"/>
  <c r="T36" i="46" a="1"/>
  <c r="T36" i="46" s="1"/>
  <c r="D37" i="46" a="1"/>
  <c r="D37" i="46" s="1"/>
  <c r="E37" i="46" a="1"/>
  <c r="E37" i="46" s="1"/>
  <c r="F37" i="46" a="1"/>
  <c r="F37" i="46" s="1"/>
  <c r="G37" i="46" a="1"/>
  <c r="G37" i="46" s="1"/>
  <c r="H37" i="46" a="1"/>
  <c r="H37" i="46" s="1"/>
  <c r="I37" i="46" a="1"/>
  <c r="I37" i="46" s="1"/>
  <c r="J37" i="46" a="1"/>
  <c r="J37" i="46"/>
  <c r="K37" i="46" a="1"/>
  <c r="K37" i="46" s="1"/>
  <c r="L37" i="46" a="1"/>
  <c r="L37" i="46" s="1"/>
  <c r="M37" i="46" a="1"/>
  <c r="M37" i="46" s="1"/>
  <c r="N37" i="46" a="1"/>
  <c r="N37" i="46" s="1"/>
  <c r="O37" i="46" a="1"/>
  <c r="O37" i="46" s="1"/>
  <c r="P37" i="46" a="1"/>
  <c r="P37" i="46" s="1"/>
  <c r="Q37" i="46" a="1"/>
  <c r="Q37" i="46" s="1"/>
  <c r="R37" i="46" a="1"/>
  <c r="R37" i="46"/>
  <c r="S37" i="46" a="1"/>
  <c r="S37" i="46" s="1"/>
  <c r="T37" i="46" a="1"/>
  <c r="T37" i="46" s="1"/>
  <c r="D38" i="46" a="1"/>
  <c r="D38" i="46" s="1"/>
  <c r="E38" i="46" a="1"/>
  <c r="E38" i="46" s="1"/>
  <c r="F38" i="46" a="1"/>
  <c r="F38" i="46" s="1"/>
  <c r="G38" i="46" a="1"/>
  <c r="G38" i="46" s="1"/>
  <c r="H38" i="46" a="1"/>
  <c r="H38" i="46" s="1"/>
  <c r="I38" i="46" a="1"/>
  <c r="I38" i="46"/>
  <c r="J38" i="46" a="1"/>
  <c r="J38" i="46" s="1"/>
  <c r="K38" i="46" a="1"/>
  <c r="K38" i="46" s="1"/>
  <c r="L38" i="46" a="1"/>
  <c r="L38" i="46" s="1"/>
  <c r="M38" i="46" a="1"/>
  <c r="M38" i="46" s="1"/>
  <c r="N38" i="46" a="1"/>
  <c r="N38" i="46" s="1"/>
  <c r="O38" i="46" a="1"/>
  <c r="O38" i="46" s="1"/>
  <c r="P38" i="46" a="1"/>
  <c r="P38" i="46" s="1"/>
  <c r="Q38" i="46" a="1"/>
  <c r="Q38" i="46"/>
  <c r="R38" i="46" a="1"/>
  <c r="R38" i="46" s="1"/>
  <c r="S38" i="46" a="1"/>
  <c r="S38" i="46" s="1"/>
  <c r="T38" i="46" a="1"/>
  <c r="T38" i="46" s="1"/>
  <c r="D39" i="46" a="1"/>
  <c r="D39" i="46"/>
  <c r="E39" i="46" a="1"/>
  <c r="E39" i="46" s="1"/>
  <c r="F39" i="46" a="1"/>
  <c r="F39" i="46" s="1"/>
  <c r="G39" i="46" a="1"/>
  <c r="G39" i="46" s="1"/>
  <c r="H39" i="46" a="1"/>
  <c r="H39" i="46"/>
  <c r="I39" i="46" a="1"/>
  <c r="I39" i="46" s="1"/>
  <c r="J39" i="46" a="1"/>
  <c r="J39" i="46" s="1"/>
  <c r="K39" i="46" a="1"/>
  <c r="K39" i="46" s="1"/>
  <c r="L39" i="46" a="1"/>
  <c r="L39" i="46"/>
  <c r="M39" i="46" a="1"/>
  <c r="M39" i="46" s="1"/>
  <c r="N39" i="46" a="1"/>
  <c r="N39" i="46" s="1"/>
  <c r="O39" i="46" a="1"/>
  <c r="O39" i="46" s="1"/>
  <c r="P39" i="46" a="1"/>
  <c r="P39" i="46"/>
  <c r="Q39" i="46" a="1"/>
  <c r="Q39" i="46" s="1"/>
  <c r="R39" i="46" a="1"/>
  <c r="R39" i="46" s="1"/>
  <c r="S39" i="46" a="1"/>
  <c r="S39" i="46" s="1"/>
  <c r="T39" i="46" a="1"/>
  <c r="T39" i="46"/>
  <c r="D40" i="46" a="1"/>
  <c r="D40" i="46" s="1"/>
  <c r="E40" i="46" a="1"/>
  <c r="E40" i="46" s="1"/>
  <c r="F40" i="46" a="1"/>
  <c r="F40" i="46" s="1"/>
  <c r="G40" i="46" a="1"/>
  <c r="G40" i="46"/>
  <c r="H40" i="46" a="1"/>
  <c r="H40" i="46" s="1"/>
  <c r="I40" i="46" a="1"/>
  <c r="I40" i="46" s="1"/>
  <c r="J40" i="46" a="1"/>
  <c r="J40" i="46" s="1"/>
  <c r="K40" i="46" a="1"/>
  <c r="K40" i="46" s="1"/>
  <c r="L40" i="46" a="1"/>
  <c r="L40" i="46" s="1"/>
  <c r="M40" i="46" a="1"/>
  <c r="M40" i="46"/>
  <c r="N40" i="46" a="1"/>
  <c r="N40" i="46" s="1"/>
  <c r="O40" i="46" a="1"/>
  <c r="O40" i="46"/>
  <c r="P40" i="46" a="1"/>
  <c r="P40" i="46" s="1"/>
  <c r="Q40" i="46" a="1"/>
  <c r="Q40" i="46" s="1"/>
  <c r="R40" i="46" a="1"/>
  <c r="R40" i="46" s="1"/>
  <c r="S40" i="46" a="1"/>
  <c r="S40" i="46" s="1"/>
  <c r="T40" i="46" a="1"/>
  <c r="T40" i="46" s="1"/>
  <c r="D41" i="46" a="1"/>
  <c r="D41" i="46"/>
  <c r="E41" i="46" a="1"/>
  <c r="E41" i="46" s="1"/>
  <c r="F41" i="46" a="1"/>
  <c r="F41" i="46"/>
  <c r="G41" i="46" a="1"/>
  <c r="G41" i="46" s="1"/>
  <c r="H41" i="46" a="1"/>
  <c r="H41" i="46" s="1"/>
  <c r="I41" i="46" a="1"/>
  <c r="I41" i="46" s="1"/>
  <c r="J41" i="46" a="1"/>
  <c r="J41" i="46" s="1"/>
  <c r="K41" i="46" a="1"/>
  <c r="K41" i="46" s="1"/>
  <c r="L41" i="46" a="1"/>
  <c r="L41" i="46"/>
  <c r="M41" i="46" a="1"/>
  <c r="M41" i="46" s="1"/>
  <c r="N41" i="46" a="1"/>
  <c r="N41" i="46"/>
  <c r="O41" i="46" a="1"/>
  <c r="O41" i="46" s="1"/>
  <c r="P41" i="46" a="1"/>
  <c r="P41" i="46" s="1"/>
  <c r="Q41" i="46" a="1"/>
  <c r="Q41" i="46" s="1"/>
  <c r="R41" i="46" a="1"/>
  <c r="R41" i="46" s="1"/>
  <c r="S41" i="46" a="1"/>
  <c r="S41" i="46" s="1"/>
  <c r="T41" i="46" a="1"/>
  <c r="T41" i="46"/>
  <c r="D42" i="46" a="1"/>
  <c r="D42" i="46" s="1"/>
  <c r="E42" i="46" a="1"/>
  <c r="E42" i="46"/>
  <c r="F42" i="46" a="1"/>
  <c r="F42" i="46" s="1"/>
  <c r="G42" i="46" a="1"/>
  <c r="G42" i="46" s="1"/>
  <c r="H42" i="46" a="1"/>
  <c r="H42" i="46" s="1"/>
  <c r="I42" i="46" a="1"/>
  <c r="I42" i="46" s="1"/>
  <c r="J42" i="46" a="1"/>
  <c r="J42" i="46" s="1"/>
  <c r="K42" i="46" a="1"/>
  <c r="K42" i="46"/>
  <c r="L42" i="46" a="1"/>
  <c r="L42" i="46" s="1"/>
  <c r="M42" i="46" a="1"/>
  <c r="M42" i="46"/>
  <c r="N42" i="46" a="1"/>
  <c r="N42" i="46" s="1"/>
  <c r="O42" i="46" a="1"/>
  <c r="O42" i="46" s="1"/>
  <c r="P42" i="46" a="1"/>
  <c r="P42" i="46" s="1"/>
  <c r="Q42" i="46" a="1"/>
  <c r="Q42" i="46" s="1"/>
  <c r="R42" i="46" a="1"/>
  <c r="R42" i="46" s="1"/>
  <c r="S42" i="46" a="1"/>
  <c r="S42" i="46"/>
  <c r="T42" i="46" a="1"/>
  <c r="T42" i="46" s="1"/>
  <c r="D43" i="46" a="1"/>
  <c r="D43" i="46"/>
  <c r="E43" i="46" a="1"/>
  <c r="E43" i="46" s="1"/>
  <c r="F43" i="46" a="1"/>
  <c r="F43" i="46" s="1"/>
  <c r="G43" i="46" a="1"/>
  <c r="G43" i="46" s="1"/>
  <c r="H43" i="46" a="1"/>
  <c r="H43" i="46" s="1"/>
  <c r="I43" i="46" a="1"/>
  <c r="I43" i="46" s="1"/>
  <c r="J43" i="46" a="1"/>
  <c r="J43" i="46"/>
  <c r="K43" i="46" a="1"/>
  <c r="K43" i="46" s="1"/>
  <c r="L43" i="46" a="1"/>
  <c r="L43" i="46"/>
  <c r="M43" i="46" a="1"/>
  <c r="M43" i="46"/>
  <c r="N43" i="46" a="1"/>
  <c r="N43" i="46" s="1"/>
  <c r="O43" i="46" a="1"/>
  <c r="O43" i="46" s="1"/>
  <c r="P43" i="46" a="1"/>
  <c r="P43" i="46" s="1"/>
  <c r="Q43" i="46" a="1"/>
  <c r="Q43" i="46" s="1"/>
  <c r="R43" i="46" a="1"/>
  <c r="R43" i="46" s="1"/>
  <c r="S43" i="46" a="1"/>
  <c r="S43" i="46" s="1"/>
  <c r="T43" i="46" a="1"/>
  <c r="T43" i="46" s="1"/>
  <c r="D44" i="46" a="1"/>
  <c r="D44" i="46" s="1"/>
  <c r="E44" i="46" a="1"/>
  <c r="E44" i="46" s="1"/>
  <c r="F44" i="46" a="1"/>
  <c r="F44" i="46" s="1"/>
  <c r="G44" i="46" a="1"/>
  <c r="G44" i="46" s="1"/>
  <c r="H44" i="46" a="1"/>
  <c r="H44" i="46" s="1"/>
  <c r="I44" i="46" a="1"/>
  <c r="I44" i="46" s="1"/>
  <c r="J44" i="46" a="1"/>
  <c r="J44" i="46" s="1"/>
  <c r="K44" i="46" a="1"/>
  <c r="K44" i="46" s="1"/>
  <c r="L44" i="46" a="1"/>
  <c r="L44" i="46" s="1"/>
  <c r="M44" i="46" a="1"/>
  <c r="M44" i="46" s="1"/>
  <c r="N44" i="46" a="1"/>
  <c r="N44" i="46" s="1"/>
  <c r="O44" i="46" a="1"/>
  <c r="O44" i="46" s="1"/>
  <c r="P44" i="46" a="1"/>
  <c r="P44" i="46" s="1"/>
  <c r="Q44" i="46" a="1"/>
  <c r="Q44" i="46" s="1"/>
  <c r="R44" i="46" a="1"/>
  <c r="R44" i="46" s="1"/>
  <c r="S44" i="46" a="1"/>
  <c r="S44" i="46" s="1"/>
  <c r="T44" i="46" a="1"/>
  <c r="T44" i="46" s="1"/>
  <c r="D45" i="46" a="1"/>
  <c r="D45" i="46" s="1"/>
  <c r="E45" i="46" a="1"/>
  <c r="E45" i="46" s="1"/>
  <c r="F45" i="46" a="1"/>
  <c r="F45" i="46" s="1"/>
  <c r="G45" i="46" a="1"/>
  <c r="G45" i="46" s="1"/>
  <c r="H45" i="46" a="1"/>
  <c r="H45" i="46" s="1"/>
  <c r="I45" i="46" a="1"/>
  <c r="I45" i="46" s="1"/>
  <c r="J45" i="46" a="1"/>
  <c r="J45" i="46" s="1"/>
  <c r="K45" i="46" a="1"/>
  <c r="K45" i="46" s="1"/>
  <c r="L45" i="46" a="1"/>
  <c r="L45" i="46" s="1"/>
  <c r="M45" i="46" a="1"/>
  <c r="M45" i="46" s="1"/>
  <c r="N45" i="46" a="1"/>
  <c r="N45" i="46" s="1"/>
  <c r="O45" i="46" a="1"/>
  <c r="O45" i="46" s="1"/>
  <c r="P45" i="46" a="1"/>
  <c r="P45" i="46" s="1"/>
  <c r="Q45" i="46" a="1"/>
  <c r="Q45" i="46" s="1"/>
  <c r="R45" i="46" a="1"/>
  <c r="R45" i="46" s="1"/>
  <c r="S45" i="46" a="1"/>
  <c r="S45" i="46" s="1"/>
  <c r="T45" i="46" a="1"/>
  <c r="T45" i="46" s="1"/>
  <c r="D46" i="46" a="1"/>
  <c r="D46" i="46" s="1"/>
  <c r="E46" i="46" a="1"/>
  <c r="E46" i="46" s="1"/>
  <c r="F46" i="46" a="1"/>
  <c r="F46" i="46" s="1"/>
  <c r="G46" i="46" a="1"/>
  <c r="G46" i="46" s="1"/>
  <c r="H46" i="46" a="1"/>
  <c r="H46" i="46" s="1"/>
  <c r="I46" i="46" a="1"/>
  <c r="I46" i="46" s="1"/>
  <c r="J46" i="46" a="1"/>
  <c r="J46" i="46" s="1"/>
  <c r="K46" i="46" a="1"/>
  <c r="K46" i="46" s="1"/>
  <c r="L46" i="46" a="1"/>
  <c r="L46" i="46" s="1"/>
  <c r="M46" i="46" a="1"/>
  <c r="M46" i="46" s="1"/>
  <c r="N46" i="46" a="1"/>
  <c r="N46" i="46" s="1"/>
  <c r="O46" i="46" a="1"/>
  <c r="O46" i="46" s="1"/>
  <c r="P46" i="46" a="1"/>
  <c r="P46" i="46" s="1"/>
  <c r="Q46" i="46" a="1"/>
  <c r="Q46" i="46" s="1"/>
  <c r="R46" i="46" a="1"/>
  <c r="R46" i="46" s="1"/>
  <c r="S46" i="46" a="1"/>
  <c r="S46" i="46" s="1"/>
  <c r="T46" i="46" a="1"/>
  <c r="T46" i="46" s="1"/>
  <c r="D47" i="46" a="1"/>
  <c r="D47" i="46" s="1"/>
  <c r="E47" i="46" a="1"/>
  <c r="E47" i="46" s="1"/>
  <c r="F47" i="46" a="1"/>
  <c r="F47" i="46" s="1"/>
  <c r="G47" i="46" a="1"/>
  <c r="G47" i="46" s="1"/>
  <c r="H47" i="46" a="1"/>
  <c r="H47" i="46" s="1"/>
  <c r="I47" i="46" a="1"/>
  <c r="I47" i="46" s="1"/>
  <c r="J47" i="46" a="1"/>
  <c r="J47" i="46" s="1"/>
  <c r="K47" i="46" a="1"/>
  <c r="K47" i="46" s="1"/>
  <c r="L47" i="46" a="1"/>
  <c r="L47" i="46" s="1"/>
  <c r="M47" i="46" a="1"/>
  <c r="M47" i="46" s="1"/>
  <c r="N47" i="46" a="1"/>
  <c r="N47" i="46" s="1"/>
  <c r="O47" i="46" a="1"/>
  <c r="O47" i="46" s="1"/>
  <c r="P47" i="46" a="1"/>
  <c r="P47" i="46" s="1"/>
  <c r="Q47" i="46" a="1"/>
  <c r="Q47" i="46" s="1"/>
  <c r="R47" i="46" a="1"/>
  <c r="R47" i="46" s="1"/>
  <c r="S47" i="46" a="1"/>
  <c r="S47" i="46" s="1"/>
  <c r="T47" i="46" a="1"/>
  <c r="T47" i="46" s="1"/>
  <c r="D48" i="46" a="1"/>
  <c r="D48" i="46" s="1"/>
  <c r="E48" i="46" a="1"/>
  <c r="E48" i="46" s="1"/>
  <c r="F48" i="46" a="1"/>
  <c r="F48" i="46" s="1"/>
  <c r="G48" i="46" a="1"/>
  <c r="G48" i="46" s="1"/>
  <c r="H48" i="46" a="1"/>
  <c r="H48" i="46" s="1"/>
  <c r="I48" i="46" a="1"/>
  <c r="I48" i="46" s="1"/>
  <c r="J48" i="46" a="1"/>
  <c r="J48" i="46" s="1"/>
  <c r="K48" i="46" a="1"/>
  <c r="K48" i="46" s="1"/>
  <c r="L48" i="46" a="1"/>
  <c r="L48" i="46" s="1"/>
  <c r="M48" i="46" a="1"/>
  <c r="M48" i="46" s="1"/>
  <c r="N48" i="46" a="1"/>
  <c r="N48" i="46" s="1"/>
  <c r="O48" i="46" a="1"/>
  <c r="O48" i="46" s="1"/>
  <c r="P48" i="46" a="1"/>
  <c r="P48" i="46" s="1"/>
  <c r="Q48" i="46" a="1"/>
  <c r="Q48" i="46" s="1"/>
  <c r="R48" i="46" a="1"/>
  <c r="R48" i="46" s="1"/>
  <c r="S48" i="46" a="1"/>
  <c r="S48" i="46" s="1"/>
  <c r="T48" i="46" a="1"/>
  <c r="T48" i="46" s="1"/>
  <c r="D49" i="46" a="1"/>
  <c r="D49" i="46" s="1"/>
  <c r="E49" i="46" a="1"/>
  <c r="E49" i="46" s="1"/>
  <c r="F49" i="46" a="1"/>
  <c r="F49" i="46" s="1"/>
  <c r="G49" i="46" a="1"/>
  <c r="G49" i="46" s="1"/>
  <c r="H49" i="46" a="1"/>
  <c r="H49" i="46" s="1"/>
  <c r="I49" i="46" a="1"/>
  <c r="I49" i="46" s="1"/>
  <c r="J49" i="46" a="1"/>
  <c r="J49" i="46" s="1"/>
  <c r="K49" i="46" a="1"/>
  <c r="K49" i="46" s="1"/>
  <c r="L49" i="46" a="1"/>
  <c r="L49" i="46" s="1"/>
  <c r="M49" i="46" a="1"/>
  <c r="M49" i="46" s="1"/>
  <c r="N49" i="46" a="1"/>
  <c r="N49" i="46" s="1"/>
  <c r="O49" i="46" a="1"/>
  <c r="O49" i="46" s="1"/>
  <c r="P49" i="46" a="1"/>
  <c r="P49" i="46" s="1"/>
  <c r="Q49" i="46" a="1"/>
  <c r="Q49" i="46" s="1"/>
  <c r="R49" i="46" a="1"/>
  <c r="R49" i="46" s="1"/>
  <c r="S49" i="46" a="1"/>
  <c r="S49" i="46" s="1"/>
  <c r="T49" i="46" a="1"/>
  <c r="T49" i="46" s="1"/>
  <c r="D50" i="46" a="1"/>
  <c r="D50" i="46" s="1"/>
  <c r="E50" i="46" a="1"/>
  <c r="E50" i="46" s="1"/>
  <c r="F50" i="46" a="1"/>
  <c r="F50" i="46" s="1"/>
  <c r="G50" i="46" a="1"/>
  <c r="G50" i="46" s="1"/>
  <c r="H50" i="46" a="1"/>
  <c r="H50" i="46" s="1"/>
  <c r="I50" i="46" a="1"/>
  <c r="I50" i="46" s="1"/>
  <c r="J50" i="46" a="1"/>
  <c r="J50" i="46" s="1"/>
  <c r="K50" i="46" a="1"/>
  <c r="K50" i="46" s="1"/>
  <c r="L50" i="46" a="1"/>
  <c r="L50" i="46" s="1"/>
  <c r="M50" i="46" a="1"/>
  <c r="M50" i="46" s="1"/>
  <c r="N50" i="46" a="1"/>
  <c r="N50" i="46" s="1"/>
  <c r="O50" i="46" a="1"/>
  <c r="O50" i="46" s="1"/>
  <c r="P50" i="46" a="1"/>
  <c r="P50" i="46" s="1"/>
  <c r="Q50" i="46" a="1"/>
  <c r="Q50" i="46" s="1"/>
  <c r="R50" i="46" a="1"/>
  <c r="R50" i="46" s="1"/>
  <c r="S50" i="46" a="1"/>
  <c r="S50" i="46" s="1"/>
  <c r="T50" i="46" a="1"/>
  <c r="T50" i="46" s="1"/>
  <c r="D51" i="46" a="1"/>
  <c r="D51" i="46" s="1"/>
  <c r="E51" i="46" a="1"/>
  <c r="E51" i="46" s="1"/>
  <c r="F51" i="46" a="1"/>
  <c r="F51" i="46" s="1"/>
  <c r="G51" i="46" a="1"/>
  <c r="G51" i="46" s="1"/>
  <c r="H51" i="46" a="1"/>
  <c r="H51" i="46" s="1"/>
  <c r="I51" i="46" a="1"/>
  <c r="I51" i="46" s="1"/>
  <c r="J51" i="46" a="1"/>
  <c r="J51" i="46" s="1"/>
  <c r="K51" i="46" a="1"/>
  <c r="K51" i="46" s="1"/>
  <c r="L51" i="46" a="1"/>
  <c r="L51" i="46" s="1"/>
  <c r="M51" i="46" a="1"/>
  <c r="M51" i="46" s="1"/>
  <c r="N51" i="46" a="1"/>
  <c r="N51" i="46" s="1"/>
  <c r="O51" i="46" a="1"/>
  <c r="O51" i="46" s="1"/>
  <c r="P51" i="46" a="1"/>
  <c r="P51" i="46" s="1"/>
  <c r="Q51" i="46" a="1"/>
  <c r="Q51" i="46" s="1"/>
  <c r="R51" i="46" a="1"/>
  <c r="R51" i="46" s="1"/>
  <c r="S51" i="46" a="1"/>
  <c r="S51" i="46" s="1"/>
  <c r="T51" i="46" a="1"/>
  <c r="T51" i="46" s="1"/>
  <c r="D52" i="46" a="1"/>
  <c r="D52" i="46" s="1"/>
  <c r="E52" i="46" a="1"/>
  <c r="E52" i="46" s="1"/>
  <c r="F52" i="46" a="1"/>
  <c r="F52" i="46" s="1"/>
  <c r="G52" i="46" a="1"/>
  <c r="G52" i="46" s="1"/>
  <c r="H52" i="46" a="1"/>
  <c r="H52" i="46"/>
  <c r="I52" i="46" a="1"/>
  <c r="I52" i="46" s="1"/>
  <c r="J52" i="46" a="1"/>
  <c r="J52" i="46" s="1"/>
  <c r="K52" i="46" a="1"/>
  <c r="K52" i="46" s="1"/>
  <c r="L52" i="46" a="1"/>
  <c r="L52" i="46"/>
  <c r="M52" i="46" a="1"/>
  <c r="M52" i="46" s="1"/>
  <c r="N52" i="46" a="1"/>
  <c r="N52" i="46" s="1"/>
  <c r="O52" i="46" a="1"/>
  <c r="O52" i="46" s="1"/>
  <c r="P52" i="46" a="1"/>
  <c r="P52" i="46"/>
  <c r="Q52" i="46" a="1"/>
  <c r="Q52" i="46" s="1"/>
  <c r="R52" i="46" a="1"/>
  <c r="R52" i="46" s="1"/>
  <c r="S52" i="46" a="1"/>
  <c r="S52" i="46" s="1"/>
  <c r="T52" i="46" a="1"/>
  <c r="T52" i="46"/>
  <c r="D53" i="46" a="1"/>
  <c r="D53" i="46" s="1"/>
  <c r="E53" i="46" a="1"/>
  <c r="E53" i="46" s="1"/>
  <c r="F53" i="46" a="1"/>
  <c r="F53" i="46" s="1"/>
  <c r="G53" i="46" a="1"/>
  <c r="G53" i="46"/>
  <c r="H53" i="46" a="1"/>
  <c r="H53" i="46" s="1"/>
  <c r="I53" i="46" a="1"/>
  <c r="I53" i="46" s="1"/>
  <c r="J53" i="46" a="1"/>
  <c r="J53" i="46" s="1"/>
  <c r="K53" i="46" a="1"/>
  <c r="K53" i="46"/>
  <c r="L53" i="46" a="1"/>
  <c r="L53" i="46" s="1"/>
  <c r="M53" i="46" a="1"/>
  <c r="M53" i="46" s="1"/>
  <c r="N53" i="46" a="1"/>
  <c r="N53" i="46" s="1"/>
  <c r="O53" i="46" a="1"/>
  <c r="O53" i="46"/>
  <c r="P53" i="46" a="1"/>
  <c r="P53" i="46" s="1"/>
  <c r="Q53" i="46" a="1"/>
  <c r="Q53" i="46" s="1"/>
  <c r="R53" i="46" a="1"/>
  <c r="R53" i="46" s="1"/>
  <c r="S53" i="46" a="1"/>
  <c r="S53" i="46" s="1"/>
  <c r="T53" i="46" a="1"/>
  <c r="T53" i="46" s="1"/>
  <c r="D12" i="46" a="1"/>
  <c r="D12" i="46" s="1"/>
  <c r="E12" i="46" a="1"/>
  <c r="E12" i="46"/>
  <c r="F12" i="46" a="1"/>
  <c r="F12" i="46" s="1"/>
  <c r="G12" i="46" a="1"/>
  <c r="G12" i="46" s="1"/>
  <c r="H12" i="46" a="1"/>
  <c r="H12" i="46" s="1"/>
  <c r="I12" i="46" a="1"/>
  <c r="I12" i="46" s="1"/>
  <c r="J12" i="46" a="1"/>
  <c r="J12" i="46" s="1"/>
  <c r="K12" i="46" a="1"/>
  <c r="K12" i="46"/>
  <c r="L12" i="46" a="1"/>
  <c r="L12" i="46" s="1"/>
  <c r="M12" i="46" a="1"/>
  <c r="M12" i="46"/>
  <c r="N12" i="46" a="1"/>
  <c r="N12" i="46" s="1"/>
  <c r="O12" i="46" a="1"/>
  <c r="O12" i="46" s="1"/>
  <c r="P12" i="46" a="1"/>
  <c r="P12" i="46" s="1"/>
  <c r="Q12" i="46" a="1"/>
  <c r="Q12" i="46" s="1"/>
  <c r="R12" i="46" a="1"/>
  <c r="R12" i="46" s="1"/>
  <c r="S12" i="46" a="1"/>
  <c r="S12" i="46"/>
  <c r="T12" i="46" a="1"/>
  <c r="T12" i="46" s="1"/>
  <c r="D13" i="46" a="1"/>
  <c r="D13" i="46"/>
  <c r="E13" i="46" a="1"/>
  <c r="E13" i="46" s="1"/>
  <c r="F13" i="46" a="1"/>
  <c r="F13" i="46" s="1"/>
  <c r="G13" i="46" a="1"/>
  <c r="G13" i="46" s="1"/>
  <c r="H13" i="46" a="1"/>
  <c r="H13" i="46" s="1"/>
  <c r="I13" i="46" a="1"/>
  <c r="I13" i="46" s="1"/>
  <c r="J13" i="46" a="1"/>
  <c r="J13" i="46"/>
  <c r="K13" i="46" a="1"/>
  <c r="K13" i="46" s="1"/>
  <c r="L13" i="46" a="1"/>
  <c r="L13" i="46"/>
  <c r="M13" i="46" a="1"/>
  <c r="M13" i="46" s="1"/>
  <c r="N13" i="46" a="1"/>
  <c r="N13" i="46" s="1"/>
  <c r="O13" i="46" a="1"/>
  <c r="O13" i="46" s="1"/>
  <c r="P13" i="46" a="1"/>
  <c r="P13" i="46" s="1"/>
  <c r="Q13" i="46" a="1"/>
  <c r="Q13" i="46" s="1"/>
  <c r="R13" i="46" a="1"/>
  <c r="R13" i="46"/>
  <c r="S13" i="46" a="1"/>
  <c r="S13" i="46" s="1"/>
  <c r="T13" i="46" a="1"/>
  <c r="T13" i="46"/>
  <c r="D14" i="46" a="1"/>
  <c r="D14" i="46" s="1"/>
  <c r="E14" i="46" a="1"/>
  <c r="E14" i="46" s="1"/>
  <c r="F14" i="46" a="1"/>
  <c r="F14" i="46" s="1"/>
  <c r="G14" i="46" a="1"/>
  <c r="G14" i="46" s="1"/>
  <c r="H14" i="46" a="1"/>
  <c r="H14" i="46" s="1"/>
  <c r="I14" i="46" a="1"/>
  <c r="I14" i="46"/>
  <c r="J14" i="46" a="1"/>
  <c r="J14" i="46" s="1"/>
  <c r="K14" i="46" a="1"/>
  <c r="K14" i="46"/>
  <c r="L14" i="46" a="1"/>
  <c r="L14" i="46" s="1"/>
  <c r="M14" i="46" a="1"/>
  <c r="M14" i="46" s="1"/>
  <c r="N14" i="46" a="1"/>
  <c r="N14" i="46" s="1"/>
  <c r="O14" i="46" a="1"/>
  <c r="O14" i="46" s="1"/>
  <c r="P14" i="46" a="1"/>
  <c r="P14" i="46" s="1"/>
  <c r="Q14" i="46" a="1"/>
  <c r="Q14" i="46"/>
  <c r="R14" i="46" a="1"/>
  <c r="R14" i="46" s="1"/>
  <c r="S14" i="46" a="1"/>
  <c r="S14" i="46"/>
  <c r="T14" i="46" a="1"/>
  <c r="T14" i="46" s="1"/>
  <c r="D15" i="46" a="1"/>
  <c r="D15" i="46" s="1"/>
  <c r="E15" i="46" a="1"/>
  <c r="E15" i="46" s="1"/>
  <c r="F15" i="46" a="1"/>
  <c r="F15" i="46" s="1"/>
  <c r="G15" i="46" a="1"/>
  <c r="G15" i="46" s="1"/>
  <c r="H15" i="46" a="1"/>
  <c r="H15" i="46"/>
  <c r="I15" i="46" a="1"/>
  <c r="I15" i="46" s="1"/>
  <c r="J15" i="46" a="1"/>
  <c r="J15" i="46"/>
  <c r="K15" i="46" a="1"/>
  <c r="K15" i="46" s="1"/>
  <c r="L15" i="46" a="1"/>
  <c r="L15" i="46" s="1"/>
  <c r="M15" i="46" a="1"/>
  <c r="M15" i="46" s="1"/>
  <c r="N15" i="46" a="1"/>
  <c r="N15" i="46" s="1"/>
  <c r="O15" i="46" a="1"/>
  <c r="O15" i="46" s="1"/>
  <c r="P15" i="46" a="1"/>
  <c r="P15" i="46"/>
  <c r="Q15" i="46" a="1"/>
  <c r="Q15" i="46" s="1"/>
  <c r="R15" i="46" a="1"/>
  <c r="R15" i="46"/>
  <c r="S15" i="46" a="1"/>
  <c r="S15" i="46" s="1"/>
  <c r="T15" i="46" a="1"/>
  <c r="T15" i="46" s="1"/>
  <c r="D16" i="46" a="1"/>
  <c r="D16" i="46" s="1"/>
  <c r="E16" i="46" a="1"/>
  <c r="E16" i="46" s="1"/>
  <c r="F16" i="46" a="1"/>
  <c r="F16" i="46" s="1"/>
  <c r="G16" i="46" a="1"/>
  <c r="G16" i="46"/>
  <c r="H16" i="46" a="1"/>
  <c r="H16" i="46" s="1"/>
  <c r="I16" i="46" a="1"/>
  <c r="I16" i="46"/>
  <c r="J16" i="46" a="1"/>
  <c r="J16" i="46" s="1"/>
  <c r="K16" i="46" a="1"/>
  <c r="K16" i="46" s="1"/>
  <c r="L16" i="46" a="1"/>
  <c r="L16" i="46" s="1"/>
  <c r="M16" i="46" a="1"/>
  <c r="M16" i="46" s="1"/>
  <c r="N16" i="46" a="1"/>
  <c r="N16" i="46" s="1"/>
  <c r="O16" i="46" a="1"/>
  <c r="O16" i="46"/>
  <c r="P16" i="46" a="1"/>
  <c r="P16" i="46" s="1"/>
  <c r="Q16" i="46" a="1"/>
  <c r="Q16" i="46"/>
  <c r="R16" i="46" a="1"/>
  <c r="R16" i="46" s="1"/>
  <c r="S16" i="46" a="1"/>
  <c r="S16" i="46" s="1"/>
  <c r="T16" i="46" a="1"/>
  <c r="T16" i="46" s="1"/>
  <c r="D17" i="46" a="1"/>
  <c r="D17" i="46" s="1"/>
  <c r="E17" i="46" a="1"/>
  <c r="E17" i="46" s="1"/>
  <c r="F17" i="46" a="1"/>
  <c r="F17" i="46"/>
  <c r="G17" i="46" a="1"/>
  <c r="G17" i="46" s="1"/>
  <c r="H17" i="46" a="1"/>
  <c r="H17" i="46"/>
  <c r="I17" i="46" a="1"/>
  <c r="I17" i="46" s="1"/>
  <c r="J17" i="46" a="1"/>
  <c r="J17" i="46" s="1"/>
  <c r="K17" i="46" a="1"/>
  <c r="K17" i="46" s="1"/>
  <c r="L17" i="46" a="1"/>
  <c r="L17" i="46" s="1"/>
  <c r="M17" i="46" a="1"/>
  <c r="M17" i="46" s="1"/>
  <c r="N17" i="46" a="1"/>
  <c r="N17" i="46"/>
  <c r="O17" i="46" a="1"/>
  <c r="O17" i="46" s="1"/>
  <c r="P17" i="46" a="1"/>
  <c r="P17" i="46"/>
  <c r="Q17" i="46" a="1"/>
  <c r="Q17" i="46" s="1"/>
  <c r="R17" i="46" a="1"/>
  <c r="R17" i="46" s="1"/>
  <c r="S17" i="46" a="1"/>
  <c r="S17" i="46" s="1"/>
  <c r="T17" i="46" a="1"/>
  <c r="T17" i="46" s="1"/>
  <c r="D18" i="46" a="1"/>
  <c r="D18" i="46" s="1"/>
  <c r="E18" i="46" a="1"/>
  <c r="E18" i="46"/>
  <c r="F18" i="46" a="1"/>
  <c r="F18" i="46" s="1"/>
  <c r="G18" i="46" a="1"/>
  <c r="G18" i="46"/>
  <c r="H18" i="46" a="1"/>
  <c r="H18" i="46" s="1"/>
  <c r="I18" i="46" a="1"/>
  <c r="I18" i="46" s="1"/>
  <c r="J18" i="46" a="1"/>
  <c r="J18" i="46" s="1"/>
  <c r="K18" i="46" a="1"/>
  <c r="K18" i="46" s="1"/>
  <c r="L18" i="46" a="1"/>
  <c r="L18" i="46" s="1"/>
  <c r="M18" i="46" a="1"/>
  <c r="M18" i="46"/>
  <c r="N18" i="46" a="1"/>
  <c r="N18" i="46" s="1"/>
  <c r="O18" i="46" a="1"/>
  <c r="O18" i="46"/>
  <c r="P18" i="46" a="1"/>
  <c r="P18" i="46" s="1"/>
  <c r="Q18" i="46" a="1"/>
  <c r="Q18" i="46" s="1"/>
  <c r="R18" i="46" a="1"/>
  <c r="R18" i="46" s="1"/>
  <c r="S18" i="46" a="1"/>
  <c r="S18" i="46" s="1"/>
  <c r="T18" i="46" a="1"/>
  <c r="T18" i="46" s="1"/>
  <c r="D19" i="46" a="1"/>
  <c r="D19" i="46"/>
  <c r="E19" i="46" a="1"/>
  <c r="E19" i="46" s="1"/>
  <c r="F19" i="46" a="1"/>
  <c r="F19" i="46"/>
  <c r="G19" i="46" a="1"/>
  <c r="G19" i="46" s="1"/>
  <c r="H19" i="46" a="1"/>
  <c r="H19" i="46" s="1"/>
  <c r="I19" i="46" a="1"/>
  <c r="I19" i="46" s="1"/>
  <c r="J19" i="46" a="1"/>
  <c r="J19" i="46" s="1"/>
  <c r="K19" i="46" a="1"/>
  <c r="K19" i="46" s="1"/>
  <c r="L19" i="46" a="1"/>
  <c r="L19" i="46"/>
  <c r="M19" i="46" a="1"/>
  <c r="M19" i="46" s="1"/>
  <c r="N19" i="46" a="1"/>
  <c r="N19" i="46"/>
  <c r="O19" i="46" a="1"/>
  <c r="O19" i="46" s="1"/>
  <c r="P19" i="46" a="1"/>
  <c r="P19" i="46" s="1"/>
  <c r="Q19" i="46" a="1"/>
  <c r="Q19" i="46" s="1"/>
  <c r="R19" i="46" a="1"/>
  <c r="R19" i="46" s="1"/>
  <c r="S19" i="46" a="1"/>
  <c r="S19" i="46" s="1"/>
  <c r="T19" i="46" a="1"/>
  <c r="T19" i="46"/>
  <c r="D20" i="46" a="1"/>
  <c r="D20" i="46" s="1"/>
  <c r="E20" i="46" a="1"/>
  <c r="E20" i="46"/>
  <c r="F20" i="46" a="1"/>
  <c r="F20" i="46" s="1"/>
  <c r="G20" i="46" a="1"/>
  <c r="G20" i="46" s="1"/>
  <c r="H20" i="46" a="1"/>
  <c r="H20" i="46" s="1"/>
  <c r="I20" i="46" a="1"/>
  <c r="I20" i="46" s="1"/>
  <c r="J20" i="46" a="1"/>
  <c r="J20" i="46" s="1"/>
  <c r="K20" i="46" a="1"/>
  <c r="K20" i="46"/>
  <c r="L20" i="46" a="1"/>
  <c r="L20" i="46" s="1"/>
  <c r="M20" i="46" a="1"/>
  <c r="M20" i="46"/>
  <c r="N20" i="46" a="1"/>
  <c r="N20" i="46" s="1"/>
  <c r="O20" i="46" a="1"/>
  <c r="O20" i="46" s="1"/>
  <c r="P20" i="46" a="1"/>
  <c r="P20" i="46" s="1"/>
  <c r="Q20" i="46" a="1"/>
  <c r="Q20" i="46" s="1"/>
  <c r="R20" i="46" a="1"/>
  <c r="R20" i="46" s="1"/>
  <c r="S20" i="46" a="1"/>
  <c r="S20" i="46"/>
  <c r="T20" i="46" a="1"/>
  <c r="T20" i="46" s="1"/>
  <c r="D21" i="46" a="1"/>
  <c r="D21" i="46"/>
  <c r="E21" i="46" a="1"/>
  <c r="E21" i="46" s="1"/>
  <c r="F21" i="46" a="1"/>
  <c r="F21" i="46" s="1"/>
  <c r="G21" i="46" a="1"/>
  <c r="G21" i="46" s="1"/>
  <c r="H21" i="46" a="1"/>
  <c r="H21" i="46" s="1"/>
  <c r="I21" i="46" a="1"/>
  <c r="I21" i="46" s="1"/>
  <c r="J21" i="46" a="1"/>
  <c r="J21" i="46"/>
  <c r="K21" i="46" a="1"/>
  <c r="K21" i="46" s="1"/>
  <c r="L21" i="46" a="1"/>
  <c r="L21" i="46"/>
  <c r="M21" i="46" a="1"/>
  <c r="M21" i="46" s="1"/>
  <c r="N21" i="46" a="1"/>
  <c r="N21" i="46" s="1"/>
  <c r="O21" i="46" a="1"/>
  <c r="O21" i="46" s="1"/>
  <c r="P21" i="46" a="1"/>
  <c r="P21" i="46" s="1"/>
  <c r="Q21" i="46" a="1"/>
  <c r="Q21" i="46" s="1"/>
  <c r="R21" i="46" a="1"/>
  <c r="R21" i="46"/>
  <c r="S21" i="46" a="1"/>
  <c r="S21" i="46" s="1"/>
  <c r="T21" i="46" a="1"/>
  <c r="T21" i="46"/>
  <c r="D22" i="46" a="1"/>
  <c r="D22" i="46" s="1"/>
  <c r="E22" i="46" a="1"/>
  <c r="E22" i="46"/>
  <c r="F22" i="46" a="1"/>
  <c r="F22" i="46" s="1"/>
  <c r="G22" i="46" a="1"/>
  <c r="G22" i="46"/>
  <c r="H22" i="46" a="1"/>
  <c r="H22" i="46" s="1"/>
  <c r="I22" i="46" a="1"/>
  <c r="I22" i="46"/>
  <c r="J22" i="46" a="1"/>
  <c r="J22" i="46" s="1"/>
  <c r="K22" i="46" a="1"/>
  <c r="K22" i="46"/>
  <c r="L22" i="46" a="1"/>
  <c r="L22" i="46" s="1"/>
  <c r="M22" i="46" a="1"/>
  <c r="M22" i="46"/>
  <c r="N22" i="46" a="1"/>
  <c r="N22" i="46" s="1"/>
  <c r="O22" i="46" a="1"/>
  <c r="O22" i="46"/>
  <c r="P22" i="46" a="1"/>
  <c r="P22" i="46" s="1"/>
  <c r="Q22" i="46" a="1"/>
  <c r="Q22" i="46"/>
  <c r="R22" i="46" a="1"/>
  <c r="R22" i="46" s="1"/>
  <c r="S22" i="46" a="1"/>
  <c r="S22" i="46"/>
  <c r="T22" i="46" a="1"/>
  <c r="T22" i="46" s="1"/>
  <c r="D23" i="46" a="1"/>
  <c r="D23" i="46"/>
  <c r="E23" i="46" a="1"/>
  <c r="E23" i="46" s="1"/>
  <c r="F23" i="46" a="1"/>
  <c r="F23" i="46"/>
  <c r="G23" i="46" a="1"/>
  <c r="G23" i="46" s="1"/>
  <c r="H23" i="46" a="1"/>
  <c r="H23" i="46"/>
  <c r="I23" i="46" a="1"/>
  <c r="I23" i="46" s="1"/>
  <c r="J23" i="46" a="1"/>
  <c r="J23" i="46"/>
  <c r="K23" i="46" a="1"/>
  <c r="K23" i="46" s="1"/>
  <c r="L23" i="46" a="1"/>
  <c r="L23" i="46"/>
  <c r="M23" i="46" a="1"/>
  <c r="M23" i="46" s="1"/>
  <c r="N23" i="46" a="1"/>
  <c r="N23" i="46"/>
  <c r="O23" i="46" a="1"/>
  <c r="O23" i="46" s="1"/>
  <c r="P23" i="46" a="1"/>
  <c r="P23" i="46"/>
  <c r="Q23" i="46" a="1"/>
  <c r="Q23" i="46" s="1"/>
  <c r="R23" i="46" a="1"/>
  <c r="R23" i="46"/>
  <c r="S23" i="46" a="1"/>
  <c r="S23" i="46" s="1"/>
  <c r="T23" i="46" a="1"/>
  <c r="T23" i="46"/>
  <c r="D24" i="46" a="1"/>
  <c r="D24" i="46" s="1"/>
  <c r="E24" i="46" a="1"/>
  <c r="E24" i="46"/>
  <c r="F24" i="46" a="1"/>
  <c r="F24" i="46" s="1"/>
  <c r="G24" i="46" a="1"/>
  <c r="G24" i="46"/>
  <c r="H24" i="46" a="1"/>
  <c r="H24" i="46" s="1"/>
  <c r="I24" i="46" a="1"/>
  <c r="I24" i="46"/>
  <c r="J24" i="46" a="1"/>
  <c r="J24" i="46" s="1"/>
  <c r="K24" i="46" a="1"/>
  <c r="K24" i="46"/>
  <c r="L24" i="46" a="1"/>
  <c r="L24" i="46" s="1"/>
  <c r="M24" i="46" a="1"/>
  <c r="M24" i="46"/>
  <c r="N24" i="46" a="1"/>
  <c r="N24" i="46" s="1"/>
  <c r="O24" i="46" a="1"/>
  <c r="O24" i="46"/>
  <c r="P24" i="46" a="1"/>
  <c r="P24" i="46" s="1"/>
  <c r="Q24" i="46" a="1"/>
  <c r="Q24" i="46"/>
  <c r="R24" i="46" a="1"/>
  <c r="R24" i="46" s="1"/>
  <c r="S24" i="46" a="1"/>
  <c r="S24" i="46" s="1"/>
  <c r="T24" i="46" a="1"/>
  <c r="T24" i="46" s="1"/>
  <c r="D25" i="46" a="1"/>
  <c r="D25" i="46" s="1"/>
  <c r="E25" i="46" a="1"/>
  <c r="E25" i="46" s="1"/>
  <c r="F25" i="46" a="1"/>
  <c r="F25" i="46" s="1"/>
  <c r="G25" i="46" a="1"/>
  <c r="G25" i="46" s="1"/>
  <c r="H25" i="46" a="1"/>
  <c r="H25" i="46" s="1"/>
  <c r="I25" i="46" a="1"/>
  <c r="I25" i="46" s="1"/>
  <c r="J25" i="46" a="1"/>
  <c r="J25" i="46" s="1"/>
  <c r="K25" i="46" a="1"/>
  <c r="K25" i="46" s="1"/>
  <c r="L25" i="46" a="1"/>
  <c r="L25" i="46" s="1"/>
  <c r="M25" i="46" a="1"/>
  <c r="M25" i="46" s="1"/>
  <c r="N25" i="46" a="1"/>
  <c r="N25" i="46" s="1"/>
  <c r="O25" i="46" a="1"/>
  <c r="O25" i="46" s="1"/>
  <c r="P25" i="46" a="1"/>
  <c r="P25" i="46" s="1"/>
  <c r="Q25" i="46" a="1"/>
  <c r="Q25" i="46" s="1"/>
  <c r="R25" i="46" a="1"/>
  <c r="R25" i="46" s="1"/>
  <c r="S25" i="46" a="1"/>
  <c r="S25" i="46" s="1"/>
  <c r="T25" i="46" a="1"/>
  <c r="T25" i="46" s="1"/>
  <c r="E11" i="46" a="1"/>
  <c r="E11" i="46" s="1"/>
  <c r="F11" i="46" a="1"/>
  <c r="F11" i="46"/>
  <c r="G11" i="46" a="1"/>
  <c r="G11" i="46" s="1"/>
  <c r="H11" i="46" a="1"/>
  <c r="H11" i="46"/>
  <c r="I11" i="46" a="1"/>
  <c r="I11" i="46" s="1"/>
  <c r="J11" i="46" a="1"/>
  <c r="J11" i="46"/>
  <c r="K11" i="46" a="1"/>
  <c r="K11" i="46" s="1"/>
  <c r="L11" i="46" a="1"/>
  <c r="L11" i="46"/>
  <c r="M11" i="46" a="1"/>
  <c r="M11" i="46" s="1"/>
  <c r="N11" i="46" a="1"/>
  <c r="N11" i="46"/>
  <c r="O11" i="46" a="1"/>
  <c r="O11" i="46" s="1"/>
  <c r="P11" i="46" a="1"/>
  <c r="P11" i="46"/>
  <c r="Q11" i="46" a="1"/>
  <c r="Q11" i="46" s="1"/>
  <c r="R11" i="46" a="1"/>
  <c r="R11" i="46"/>
  <c r="S11" i="46" a="1"/>
  <c r="S11" i="46" s="1"/>
  <c r="T11" i="46" a="1"/>
  <c r="T11" i="46"/>
  <c r="D11" i="46" a="1"/>
  <c r="D11" i="46" s="1"/>
  <c r="D8" i="46" a="1"/>
  <c r="D8" i="46" s="1"/>
  <c r="C16" i="22" a="1"/>
  <c r="C16" i="22" s="1"/>
  <c r="D16" i="22" a="1"/>
  <c r="D16" i="22" s="1"/>
  <c r="F14" i="40"/>
  <c r="E14" i="40"/>
  <c r="C14" i="40"/>
  <c r="G8" i="57" a="1"/>
  <c r="G8" i="57" s="1"/>
  <c r="G7" i="57"/>
  <c r="G6" i="57"/>
  <c r="I13" i="57"/>
  <c r="C12" i="18"/>
  <c r="C14" i="18"/>
  <c r="B37" i="21" a="1"/>
  <c r="B37" i="21"/>
  <c r="C37" i="21" a="1"/>
  <c r="C37" i="21"/>
  <c r="D37" i="21" a="1"/>
  <c r="D37" i="21"/>
  <c r="E37" i="21" a="1"/>
  <c r="E37" i="21" s="1"/>
  <c r="F37" i="21" a="1"/>
  <c r="F37" i="21"/>
  <c r="G37" i="21" a="1"/>
  <c r="G37" i="21"/>
  <c r="H37" i="21" a="1"/>
  <c r="H37" i="21"/>
  <c r="B38" i="21" a="1"/>
  <c r="B38" i="21"/>
  <c r="C38" i="21" a="1"/>
  <c r="C38" i="21" s="1"/>
  <c r="D38" i="21" a="1"/>
  <c r="D38" i="21"/>
  <c r="E38" i="21" a="1"/>
  <c r="E38" i="21" s="1"/>
  <c r="F38" i="21" a="1"/>
  <c r="F38" i="21"/>
  <c r="G38" i="21" a="1"/>
  <c r="G38" i="21" s="1"/>
  <c r="H38" i="21" a="1"/>
  <c r="H38" i="21"/>
  <c r="B39" i="21" a="1"/>
  <c r="B39" i="21" s="1"/>
  <c r="C39" i="21" a="1"/>
  <c r="C39" i="21"/>
  <c r="D39" i="21" a="1"/>
  <c r="D39" i="21" s="1"/>
  <c r="E39" i="21" a="1"/>
  <c r="E39" i="21"/>
  <c r="F39" i="21" a="1"/>
  <c r="F39" i="21" s="1"/>
  <c r="G39" i="21" a="1"/>
  <c r="G39" i="21"/>
  <c r="H39" i="21" a="1"/>
  <c r="H39" i="21" s="1"/>
  <c r="B40" i="21" a="1"/>
  <c r="B40" i="21"/>
  <c r="C40" i="21" a="1"/>
  <c r="C40" i="21" s="1"/>
  <c r="D40" i="21" a="1"/>
  <c r="D40" i="21"/>
  <c r="E40" i="21" a="1"/>
  <c r="E40" i="21" s="1"/>
  <c r="F40" i="21" a="1"/>
  <c r="F40" i="21"/>
  <c r="G40" i="21" a="1"/>
  <c r="G40" i="21" s="1"/>
  <c r="H40" i="21" a="1"/>
  <c r="H40" i="21"/>
  <c r="B41" i="21" a="1"/>
  <c r="B41" i="21" s="1"/>
  <c r="C41" i="21" a="1"/>
  <c r="C41" i="21"/>
  <c r="D41" i="21" a="1"/>
  <c r="D41" i="21" s="1"/>
  <c r="E41" i="21" a="1"/>
  <c r="E41" i="21"/>
  <c r="F41" i="21" a="1"/>
  <c r="F41" i="21" s="1"/>
  <c r="G41" i="21" a="1"/>
  <c r="G41" i="21"/>
  <c r="H41" i="21" a="1"/>
  <c r="H41" i="21" s="1"/>
  <c r="C26" i="21" a="1"/>
  <c r="C26" i="21" s="1"/>
  <c r="D26" i="21" a="1"/>
  <c r="D26" i="21"/>
  <c r="E26" i="21" a="1"/>
  <c r="E26" i="21" s="1"/>
  <c r="F26" i="21" a="1"/>
  <c r="F26" i="21"/>
  <c r="G26" i="21" a="1"/>
  <c r="G26" i="21" s="1"/>
  <c r="H26" i="21" a="1"/>
  <c r="H26" i="21"/>
  <c r="C27" i="21" a="1"/>
  <c r="C27" i="21" s="1"/>
  <c r="D27" i="21" a="1"/>
  <c r="D27" i="21"/>
  <c r="E27" i="21" a="1"/>
  <c r="E27" i="21" s="1"/>
  <c r="F27" i="21" a="1"/>
  <c r="F27" i="21"/>
  <c r="G27" i="21" a="1"/>
  <c r="G27" i="21" s="1"/>
  <c r="H27" i="21" a="1"/>
  <c r="H27" i="21"/>
  <c r="C28" i="21" a="1"/>
  <c r="C28" i="21" s="1"/>
  <c r="D28" i="21" a="1"/>
  <c r="D28" i="21"/>
  <c r="E28" i="21" a="1"/>
  <c r="E28" i="21" s="1"/>
  <c r="F28" i="21" a="1"/>
  <c r="F28" i="21"/>
  <c r="G28" i="21" a="1"/>
  <c r="G28" i="21" s="1"/>
  <c r="H28" i="21" a="1"/>
  <c r="H28" i="21"/>
  <c r="C29" i="21" a="1"/>
  <c r="C29" i="21" s="1"/>
  <c r="D29" i="21" a="1"/>
  <c r="D29" i="21"/>
  <c r="E29" i="21" a="1"/>
  <c r="E29" i="21" s="1"/>
  <c r="F29" i="21" a="1"/>
  <c r="F29" i="21"/>
  <c r="G29" i="21" a="1"/>
  <c r="G29" i="21" s="1"/>
  <c r="H29" i="21" a="1"/>
  <c r="H29" i="21"/>
  <c r="C30" i="21" a="1"/>
  <c r="C30" i="21" s="1"/>
  <c r="D30" i="21" a="1"/>
  <c r="D30" i="21"/>
  <c r="E30" i="21" a="1"/>
  <c r="E30" i="21" s="1"/>
  <c r="F30" i="21" a="1"/>
  <c r="F30" i="21"/>
  <c r="G30" i="21" a="1"/>
  <c r="G30" i="21" s="1"/>
  <c r="H30" i="21" a="1"/>
  <c r="H30" i="21"/>
  <c r="C31" i="21" a="1"/>
  <c r="C31" i="21" s="1"/>
  <c r="D31" i="21" a="1"/>
  <c r="D31" i="21"/>
  <c r="E31" i="21" a="1"/>
  <c r="E31" i="21" s="1"/>
  <c r="F31" i="21" a="1"/>
  <c r="F31" i="21"/>
  <c r="G31" i="21" a="1"/>
  <c r="G31" i="21" s="1"/>
  <c r="H31" i="21" a="1"/>
  <c r="H31" i="21"/>
  <c r="C32" i="21" a="1"/>
  <c r="C32" i="21" s="1"/>
  <c r="D32" i="21" a="1"/>
  <c r="D32" i="21"/>
  <c r="E32" i="21" a="1"/>
  <c r="E32" i="21" s="1"/>
  <c r="F32" i="21" a="1"/>
  <c r="F32" i="21"/>
  <c r="G32" i="21" a="1"/>
  <c r="G32" i="21" s="1"/>
  <c r="H32" i="21" a="1"/>
  <c r="H32" i="21"/>
  <c r="C33" i="21" a="1"/>
  <c r="C33" i="21" s="1"/>
  <c r="D33" i="21" a="1"/>
  <c r="D33" i="21"/>
  <c r="E33" i="21" a="1"/>
  <c r="E33" i="21" s="1"/>
  <c r="F33" i="21" a="1"/>
  <c r="F33" i="21"/>
  <c r="G33" i="21" a="1"/>
  <c r="G33" i="21" s="1"/>
  <c r="H33" i="21" a="1"/>
  <c r="H33" i="21"/>
  <c r="C34" i="21" a="1"/>
  <c r="C34" i="21" s="1"/>
  <c r="D34" i="21" a="1"/>
  <c r="D34" i="21"/>
  <c r="E34" i="21" a="1"/>
  <c r="E34" i="21" s="1"/>
  <c r="F34" i="21" a="1"/>
  <c r="F34" i="21"/>
  <c r="G34" i="21" a="1"/>
  <c r="G34" i="21" s="1"/>
  <c r="H34" i="21" a="1"/>
  <c r="H34" i="21"/>
  <c r="C35" i="21" a="1"/>
  <c r="C35" i="21" s="1"/>
  <c r="D35" i="21" a="1"/>
  <c r="D35" i="21"/>
  <c r="E35" i="21" a="1"/>
  <c r="E35" i="21" s="1"/>
  <c r="F35" i="21" a="1"/>
  <c r="F35" i="21"/>
  <c r="G35" i="21" a="1"/>
  <c r="G35" i="21" s="1"/>
  <c r="H35" i="21" a="1"/>
  <c r="H35" i="21"/>
  <c r="C36" i="21" a="1"/>
  <c r="C36" i="21" s="1"/>
  <c r="D36" i="21" a="1"/>
  <c r="D36" i="21"/>
  <c r="E36" i="21" a="1"/>
  <c r="E36" i="21" s="1"/>
  <c r="F36" i="21" a="1"/>
  <c r="F36" i="21"/>
  <c r="G36" i="21" a="1"/>
  <c r="G36" i="21" s="1"/>
  <c r="H36" i="21" a="1"/>
  <c r="H36" i="21"/>
  <c r="B27" i="21" a="1"/>
  <c r="B27" i="21" s="1"/>
  <c r="B28" i="21" a="1"/>
  <c r="B28" i="21"/>
  <c r="B29" i="21" a="1"/>
  <c r="B29" i="21" s="1"/>
  <c r="B30" i="21" a="1"/>
  <c r="B30" i="21"/>
  <c r="B31" i="21" a="1"/>
  <c r="B31" i="21" s="1"/>
  <c r="B32" i="21" a="1"/>
  <c r="B32" i="21"/>
  <c r="B33" i="21" a="1"/>
  <c r="B33" i="21" s="1"/>
  <c r="B34" i="21" a="1"/>
  <c r="B34" i="21"/>
  <c r="B35" i="21" a="1"/>
  <c r="B35" i="21" s="1"/>
  <c r="B36" i="21" a="1"/>
  <c r="B36" i="21"/>
  <c r="B26" i="21" a="1"/>
  <c r="B26" i="21" s="1"/>
  <c r="D12" i="68" a="1"/>
  <c r="D12" i="68" s="1"/>
  <c r="E12" i="68" a="1"/>
  <c r="E12" i="68"/>
  <c r="F12" i="68" a="1"/>
  <c r="F12" i="68" s="1"/>
  <c r="G12" i="68" a="1"/>
  <c r="G12" i="68" s="1"/>
  <c r="H12" i="68" a="1"/>
  <c r="H12" i="68" s="1"/>
  <c r="I12" i="68" a="1"/>
  <c r="I12" i="68" s="1"/>
  <c r="J12" i="68" a="1"/>
  <c r="J12" i="68" s="1"/>
  <c r="K12" i="68" a="1"/>
  <c r="K12" i="68"/>
  <c r="L12" i="68" a="1"/>
  <c r="L12" i="68" s="1"/>
  <c r="M12" i="68" a="1"/>
  <c r="M12" i="68"/>
  <c r="N12" i="68" a="1"/>
  <c r="N12" i="68" s="1"/>
  <c r="O12" i="68" a="1"/>
  <c r="O12" i="68" s="1"/>
  <c r="P12" i="68" a="1"/>
  <c r="P12" i="68" s="1"/>
  <c r="Q12" i="68" a="1"/>
  <c r="Q12" i="68" s="1"/>
  <c r="R12" i="68" a="1"/>
  <c r="R12" i="68" s="1"/>
  <c r="S12" i="68" a="1"/>
  <c r="S12" i="68"/>
  <c r="T12" i="68" a="1"/>
  <c r="T12" i="68" s="1"/>
  <c r="D13" i="68" a="1"/>
  <c r="D13" i="68"/>
  <c r="E13" i="68" a="1"/>
  <c r="E13" i="68" s="1"/>
  <c r="F13" i="68" a="1"/>
  <c r="F13" i="68"/>
  <c r="G13" i="68" a="1"/>
  <c r="G13" i="68" s="1"/>
  <c r="H13" i="68" a="1"/>
  <c r="H13" i="68" s="1"/>
  <c r="I13" i="68" a="1"/>
  <c r="I13" i="68" s="1"/>
  <c r="J13" i="68" a="1"/>
  <c r="J13" i="68"/>
  <c r="K13" i="68" a="1"/>
  <c r="K13" i="68" s="1"/>
  <c r="L13" i="68" a="1"/>
  <c r="L13" i="68"/>
  <c r="M13" i="68" a="1"/>
  <c r="M13" i="68" s="1"/>
  <c r="N13" i="68" a="1"/>
  <c r="N13" i="68"/>
  <c r="O13" i="68" a="1"/>
  <c r="O13" i="68" s="1"/>
  <c r="P13" i="68" a="1"/>
  <c r="P13" i="68" s="1"/>
  <c r="Q13" i="68" a="1"/>
  <c r="Q13" i="68" s="1"/>
  <c r="R13" i="68" a="1"/>
  <c r="R13" i="68"/>
  <c r="S13" i="68" a="1"/>
  <c r="S13" i="68" s="1"/>
  <c r="T13" i="68" a="1"/>
  <c r="T13" i="68" s="1"/>
  <c r="D14" i="68" a="1"/>
  <c r="D14" i="68" s="1"/>
  <c r="E14" i="68" a="1"/>
  <c r="E14" i="68"/>
  <c r="F14" i="68" a="1"/>
  <c r="F14" i="68" s="1"/>
  <c r="G14" i="68" a="1"/>
  <c r="G14" i="68" s="1"/>
  <c r="H14" i="68" a="1"/>
  <c r="H14" i="68" s="1"/>
  <c r="I14" i="68" a="1"/>
  <c r="I14" i="68"/>
  <c r="J14" i="68" a="1"/>
  <c r="J14" i="68" s="1"/>
  <c r="K14" i="68" a="1"/>
  <c r="K14" i="68" s="1"/>
  <c r="L14" i="68" a="1"/>
  <c r="L14" i="68" s="1"/>
  <c r="M14" i="68" a="1"/>
  <c r="M14" i="68"/>
  <c r="N14" i="68" a="1"/>
  <c r="N14" i="68" s="1"/>
  <c r="O14" i="68" a="1"/>
  <c r="O14" i="68" s="1"/>
  <c r="P14" i="68" a="1"/>
  <c r="P14" i="68" s="1"/>
  <c r="Q14" i="68" a="1"/>
  <c r="Q14" i="68"/>
  <c r="R14" i="68" a="1"/>
  <c r="R14" i="68" s="1"/>
  <c r="S14" i="68" a="1"/>
  <c r="S14" i="68" s="1"/>
  <c r="T14" i="68" a="1"/>
  <c r="T14" i="68" s="1"/>
  <c r="D15" i="68" a="1"/>
  <c r="D15" i="68"/>
  <c r="E15" i="68" a="1"/>
  <c r="E15" i="68" s="1"/>
  <c r="F15" i="68" a="1"/>
  <c r="F15" i="68" s="1"/>
  <c r="G15" i="68" a="1"/>
  <c r="G15" i="68" s="1"/>
  <c r="H15" i="68" a="1"/>
  <c r="H15" i="68"/>
  <c r="I15" i="68" a="1"/>
  <c r="I15" i="68" s="1"/>
  <c r="J15" i="68" a="1"/>
  <c r="J15" i="68" s="1"/>
  <c r="K15" i="68" a="1"/>
  <c r="K15" i="68" s="1"/>
  <c r="L15" i="68" a="1"/>
  <c r="L15" i="68"/>
  <c r="M15" i="68" a="1"/>
  <c r="M15" i="68" s="1"/>
  <c r="N15" i="68" a="1"/>
  <c r="N15" i="68" s="1"/>
  <c r="O15" i="68" a="1"/>
  <c r="O15" i="68" s="1"/>
  <c r="P15" i="68" a="1"/>
  <c r="P15" i="68"/>
  <c r="Q15" i="68" a="1"/>
  <c r="Q15" i="68" s="1"/>
  <c r="R15" i="68" a="1"/>
  <c r="R15" i="68"/>
  <c r="S15" i="68" a="1"/>
  <c r="S15" i="68" s="1"/>
  <c r="T15" i="68" a="1"/>
  <c r="T15" i="68"/>
  <c r="D16" i="68" a="1"/>
  <c r="D16" i="68" s="1"/>
  <c r="E16" i="68" a="1"/>
  <c r="E16" i="68" s="1"/>
  <c r="F16" i="68" a="1"/>
  <c r="F16" i="68" s="1"/>
  <c r="G16" i="68" a="1"/>
  <c r="G16" i="68"/>
  <c r="H16" i="68" a="1"/>
  <c r="H16" i="68" s="1"/>
  <c r="I16" i="68" a="1"/>
  <c r="I16" i="68"/>
  <c r="J16" i="68" a="1"/>
  <c r="J16" i="68" s="1"/>
  <c r="K16" i="68" a="1"/>
  <c r="K16" i="68"/>
  <c r="L16" i="68" a="1"/>
  <c r="L16" i="68" s="1"/>
  <c r="M16" i="68" a="1"/>
  <c r="M16" i="68" s="1"/>
  <c r="N16" i="68" a="1"/>
  <c r="N16" i="68" s="1"/>
  <c r="O16" i="68" a="1"/>
  <c r="O16" i="68"/>
  <c r="P16" i="68" a="1"/>
  <c r="P16" i="68" s="1"/>
  <c r="Q16" i="68" a="1"/>
  <c r="Q16" i="68" s="1"/>
  <c r="R16" i="68" a="1"/>
  <c r="R16" i="68" s="1"/>
  <c r="S16" i="68" a="1"/>
  <c r="S16" i="68"/>
  <c r="T16" i="68" a="1"/>
  <c r="T16" i="68" s="1"/>
  <c r="D17" i="68" a="1"/>
  <c r="D17" i="68" s="1"/>
  <c r="E17" i="68" a="1"/>
  <c r="E17" i="68" s="1"/>
  <c r="F17" i="68" a="1"/>
  <c r="F17" i="68"/>
  <c r="G17" i="68" a="1"/>
  <c r="G17" i="68" s="1"/>
  <c r="H17" i="68" a="1"/>
  <c r="H17" i="68" s="1"/>
  <c r="I17" i="68" a="1"/>
  <c r="I17" i="68" s="1"/>
  <c r="J17" i="68" a="1"/>
  <c r="J17" i="68"/>
  <c r="K17" i="68" a="1"/>
  <c r="K17" i="68" s="1"/>
  <c r="L17" i="68" a="1"/>
  <c r="L17" i="68" s="1"/>
  <c r="M17" i="68" a="1"/>
  <c r="M17" i="68" s="1"/>
  <c r="N17" i="68" a="1"/>
  <c r="N17" i="68"/>
  <c r="O17" i="68" a="1"/>
  <c r="O17" i="68" s="1"/>
  <c r="P17" i="68" a="1"/>
  <c r="P17" i="68" s="1"/>
  <c r="Q17" i="68" a="1"/>
  <c r="Q17" i="68" s="1"/>
  <c r="R17" i="68" a="1"/>
  <c r="R17" i="68"/>
  <c r="S17" i="68" a="1"/>
  <c r="S17" i="68" s="1"/>
  <c r="T17" i="68" a="1"/>
  <c r="T17" i="68" s="1"/>
  <c r="D18" i="68" a="1"/>
  <c r="D18" i="68" s="1"/>
  <c r="E18" i="68" a="1"/>
  <c r="E18" i="68"/>
  <c r="F18" i="68" a="1"/>
  <c r="F18" i="68" s="1"/>
  <c r="G18" i="68" a="1"/>
  <c r="G18" i="68" s="1"/>
  <c r="H18" i="68" a="1"/>
  <c r="H18" i="68" s="1"/>
  <c r="I18" i="68" a="1"/>
  <c r="I18" i="68"/>
  <c r="J18" i="68" a="1"/>
  <c r="J18" i="68" s="1"/>
  <c r="K18" i="68" a="1"/>
  <c r="K18" i="68" s="1"/>
  <c r="L18" i="68" a="1"/>
  <c r="L18" i="68" s="1"/>
  <c r="M18" i="68" a="1"/>
  <c r="M18" i="68"/>
  <c r="N18" i="68" a="1"/>
  <c r="N18" i="68" s="1"/>
  <c r="O18" i="68" a="1"/>
  <c r="O18" i="68" s="1"/>
  <c r="P18" i="68" a="1"/>
  <c r="P18" i="68" s="1"/>
  <c r="Q18" i="68" a="1"/>
  <c r="Q18" i="68"/>
  <c r="R18" i="68" a="1"/>
  <c r="R18" i="68" s="1"/>
  <c r="S18" i="68" a="1"/>
  <c r="S18" i="68" s="1"/>
  <c r="T18" i="68" a="1"/>
  <c r="T18" i="68" s="1"/>
  <c r="D19" i="68" a="1"/>
  <c r="D19" i="68"/>
  <c r="E19" i="68" a="1"/>
  <c r="E19" i="68" s="1"/>
  <c r="F19" i="68" a="1"/>
  <c r="F19" i="68" s="1"/>
  <c r="G19" i="68" a="1"/>
  <c r="G19" i="68" s="1"/>
  <c r="H19" i="68" a="1"/>
  <c r="H19" i="68" s="1"/>
  <c r="I19" i="68" a="1"/>
  <c r="I19" i="68" s="1"/>
  <c r="J19" i="68" a="1"/>
  <c r="J19" i="68"/>
  <c r="K19" i="68" a="1"/>
  <c r="K19" i="68" s="1"/>
  <c r="L19" i="68" a="1"/>
  <c r="L19" i="68"/>
  <c r="M19" i="68" a="1"/>
  <c r="M19" i="68" s="1"/>
  <c r="N19" i="68" a="1"/>
  <c r="N19" i="68" s="1"/>
  <c r="O19" i="68" a="1"/>
  <c r="O19" i="68" s="1"/>
  <c r="P19" i="68" a="1"/>
  <c r="P19" i="68" s="1"/>
  <c r="Q19" i="68" a="1"/>
  <c r="Q19" i="68" s="1"/>
  <c r="R19" i="68" a="1"/>
  <c r="R19" i="68"/>
  <c r="S19" i="68" a="1"/>
  <c r="S19" i="68" s="1"/>
  <c r="T19" i="68" a="1"/>
  <c r="T19" i="68"/>
  <c r="D20" i="68" a="1"/>
  <c r="D20" i="68" s="1"/>
  <c r="E20" i="68" a="1"/>
  <c r="E20" i="68" s="1"/>
  <c r="F20" i="68" a="1"/>
  <c r="F20" i="68" s="1"/>
  <c r="G20" i="68" a="1"/>
  <c r="G20" i="68" s="1"/>
  <c r="H20" i="68" a="1"/>
  <c r="H20" i="68" s="1"/>
  <c r="I20" i="68" a="1"/>
  <c r="I20" i="68"/>
  <c r="J20" i="68" a="1"/>
  <c r="J20" i="68" s="1"/>
  <c r="K20" i="68" a="1"/>
  <c r="K20" i="68"/>
  <c r="L20" i="68" a="1"/>
  <c r="L20" i="68" s="1"/>
  <c r="M20" i="68" a="1"/>
  <c r="M20" i="68" s="1"/>
  <c r="N20" i="68" a="1"/>
  <c r="N20" i="68" s="1"/>
  <c r="O20" i="68" a="1"/>
  <c r="O20" i="68" s="1"/>
  <c r="P20" i="68" a="1"/>
  <c r="P20" i="68" s="1"/>
  <c r="Q20" i="68" a="1"/>
  <c r="Q20" i="68"/>
  <c r="R20" i="68" a="1"/>
  <c r="R20" i="68" s="1"/>
  <c r="S20" i="68" a="1"/>
  <c r="S20" i="68"/>
  <c r="T20" i="68" a="1"/>
  <c r="T20" i="68" s="1"/>
  <c r="D21" i="68" a="1"/>
  <c r="D21" i="68" s="1"/>
  <c r="E21" i="68" a="1"/>
  <c r="E21" i="68" s="1"/>
  <c r="F21" i="68" a="1"/>
  <c r="F21" i="68" s="1"/>
  <c r="G21" i="68" a="1"/>
  <c r="G21" i="68" s="1"/>
  <c r="H21" i="68" a="1"/>
  <c r="H21" i="68"/>
  <c r="I21" i="68" a="1"/>
  <c r="I21" i="68" s="1"/>
  <c r="J21" i="68" a="1"/>
  <c r="J21" i="68"/>
  <c r="K21" i="68" a="1"/>
  <c r="K21" i="68" s="1"/>
  <c r="L21" i="68" a="1"/>
  <c r="L21" i="68" s="1"/>
  <c r="M21" i="68" a="1"/>
  <c r="M21" i="68" s="1"/>
  <c r="N21" i="68" a="1"/>
  <c r="N21" i="68" s="1"/>
  <c r="O21" i="68" a="1"/>
  <c r="O21" i="68" s="1"/>
  <c r="P21" i="68" a="1"/>
  <c r="P21" i="68"/>
  <c r="Q21" i="68" a="1"/>
  <c r="Q21" i="68" s="1"/>
  <c r="R21" i="68" a="1"/>
  <c r="R21" i="68"/>
  <c r="S21" i="68" a="1"/>
  <c r="S21" i="68" s="1"/>
  <c r="T21" i="68" a="1"/>
  <c r="T21" i="68" s="1"/>
  <c r="D22" i="68" a="1"/>
  <c r="D22" i="68" s="1"/>
  <c r="E22" i="68" a="1"/>
  <c r="E22" i="68" s="1"/>
  <c r="F22" i="68" a="1"/>
  <c r="F22" i="68"/>
  <c r="G22" i="68" a="1"/>
  <c r="G22" i="68" s="1"/>
  <c r="H22" i="68" a="1"/>
  <c r="H22" i="68" s="1"/>
  <c r="I22" i="68" a="1"/>
  <c r="I22" i="68" s="1"/>
  <c r="J22" i="68" a="1"/>
  <c r="J22" i="68"/>
  <c r="K22" i="68" a="1"/>
  <c r="K22" i="68" s="1"/>
  <c r="L22" i="68" a="1"/>
  <c r="L22" i="68"/>
  <c r="M22" i="68" a="1"/>
  <c r="M22" i="68" s="1"/>
  <c r="N22" i="68" a="1"/>
  <c r="N22" i="68"/>
  <c r="O22" i="68" a="1"/>
  <c r="O22" i="68" s="1"/>
  <c r="P22" i="68" a="1"/>
  <c r="P22" i="68" s="1"/>
  <c r="Q22" i="68" a="1"/>
  <c r="Q22" i="68" s="1"/>
  <c r="R22" i="68" a="1"/>
  <c r="R22" i="68"/>
  <c r="S22" i="68" a="1"/>
  <c r="S22" i="68" s="1"/>
  <c r="T22" i="68" a="1"/>
  <c r="T22" i="68"/>
  <c r="D23" i="68" a="1"/>
  <c r="D23" i="68" s="1"/>
  <c r="E23" i="68" a="1"/>
  <c r="E23" i="68"/>
  <c r="F23" i="68" a="1"/>
  <c r="F23" i="68" s="1"/>
  <c r="G23" i="68" a="1"/>
  <c r="G23" i="68" s="1"/>
  <c r="H23" i="68" a="1"/>
  <c r="H23" i="68" s="1"/>
  <c r="I23" i="68" a="1"/>
  <c r="I23" i="68"/>
  <c r="J23" i="68" a="1"/>
  <c r="J23" i="68" s="1"/>
  <c r="K23" i="68" a="1"/>
  <c r="K23" i="68"/>
  <c r="L23" i="68" a="1"/>
  <c r="L23" i="68" s="1"/>
  <c r="M23" i="68" a="1"/>
  <c r="M23" i="68"/>
  <c r="N23" i="68" a="1"/>
  <c r="N23" i="68" s="1"/>
  <c r="O23" i="68" a="1"/>
  <c r="O23" i="68" s="1"/>
  <c r="P23" i="68" a="1"/>
  <c r="P23" i="68" s="1"/>
  <c r="Q23" i="68" a="1"/>
  <c r="Q23" i="68"/>
  <c r="R23" i="68" a="1"/>
  <c r="R23" i="68" s="1"/>
  <c r="S23" i="68" a="1"/>
  <c r="S23" i="68"/>
  <c r="T23" i="68" a="1"/>
  <c r="T23" i="68" s="1"/>
  <c r="D24" i="68" a="1"/>
  <c r="D24" i="68"/>
  <c r="E24" i="68" a="1"/>
  <c r="E24" i="68" s="1"/>
  <c r="F24" i="68" a="1"/>
  <c r="F24" i="68" s="1"/>
  <c r="G24" i="68" a="1"/>
  <c r="G24" i="68" s="1"/>
  <c r="H24" i="68" a="1"/>
  <c r="H24" i="68"/>
  <c r="I24" i="68" a="1"/>
  <c r="I24" i="68" s="1"/>
  <c r="J24" i="68" a="1"/>
  <c r="J24" i="68"/>
  <c r="K24" i="68" a="1"/>
  <c r="K24" i="68" s="1"/>
  <c r="L24" i="68" a="1"/>
  <c r="L24" i="68"/>
  <c r="M24" i="68" a="1"/>
  <c r="M24" i="68" s="1"/>
  <c r="N24" i="68" a="1"/>
  <c r="N24" i="68" s="1"/>
  <c r="O24" i="68" a="1"/>
  <c r="O24" i="68" s="1"/>
  <c r="P24" i="68" a="1"/>
  <c r="P24" i="68"/>
  <c r="Q24" i="68" a="1"/>
  <c r="Q24" i="68" s="1"/>
  <c r="R24" i="68" a="1"/>
  <c r="R24" i="68"/>
  <c r="S24" i="68" a="1"/>
  <c r="S24" i="68" s="1"/>
  <c r="T24" i="68" a="1"/>
  <c r="T24" i="68"/>
  <c r="D25" i="68" a="1"/>
  <c r="D25" i="68" s="1"/>
  <c r="E25" i="68" a="1"/>
  <c r="E25" i="68" s="1"/>
  <c r="F25" i="68" a="1"/>
  <c r="F25" i="68" s="1"/>
  <c r="G25" i="68" a="1"/>
  <c r="G25" i="68"/>
  <c r="H25" i="68" a="1"/>
  <c r="H25" i="68" s="1"/>
  <c r="I25" i="68" a="1"/>
  <c r="I25" i="68"/>
  <c r="J25" i="68" a="1"/>
  <c r="J25" i="68" s="1"/>
  <c r="K25" i="68" a="1"/>
  <c r="K25" i="68"/>
  <c r="L25" i="68" a="1"/>
  <c r="L25" i="68" s="1"/>
  <c r="M25" i="68" a="1"/>
  <c r="M25" i="68" s="1"/>
  <c r="N25" i="68" a="1"/>
  <c r="N25" i="68" s="1"/>
  <c r="O25" i="68" a="1"/>
  <c r="O25" i="68"/>
  <c r="P25" i="68" a="1"/>
  <c r="P25" i="68" s="1"/>
  <c r="Q25" i="68" a="1"/>
  <c r="Q25" i="68"/>
  <c r="R25" i="68" a="1"/>
  <c r="R25" i="68" s="1"/>
  <c r="S25" i="68" a="1"/>
  <c r="S25" i="68"/>
  <c r="T25" i="68" a="1"/>
  <c r="T25" i="68" s="1"/>
  <c r="D26" i="68" a="1"/>
  <c r="D26" i="68" s="1"/>
  <c r="E26" i="68" a="1"/>
  <c r="E26" i="68" s="1"/>
  <c r="F26" i="68" a="1"/>
  <c r="F26" i="68"/>
  <c r="G26" i="68" a="1"/>
  <c r="G26" i="68" s="1"/>
  <c r="H26" i="68" a="1"/>
  <c r="H26" i="68"/>
  <c r="I26" i="68" a="1"/>
  <c r="I26" i="68" s="1"/>
  <c r="J26" i="68" a="1"/>
  <c r="J26" i="68"/>
  <c r="K26" i="68" a="1"/>
  <c r="K26" i="68" s="1"/>
  <c r="L26" i="68" a="1"/>
  <c r="L26" i="68" s="1"/>
  <c r="M26" i="68" a="1"/>
  <c r="M26" i="68" s="1"/>
  <c r="N26" i="68" a="1"/>
  <c r="N26" i="68"/>
  <c r="O26" i="68" a="1"/>
  <c r="O26" i="68" s="1"/>
  <c r="P26" i="68" a="1"/>
  <c r="P26" i="68"/>
  <c r="Q26" i="68" a="1"/>
  <c r="Q26" i="68" s="1"/>
  <c r="R26" i="68" a="1"/>
  <c r="R26" i="68"/>
  <c r="S26" i="68" a="1"/>
  <c r="S26" i="68" s="1"/>
  <c r="T26" i="68" a="1"/>
  <c r="T26" i="68" s="1"/>
  <c r="D27" i="68" a="1"/>
  <c r="D27" i="68" s="1"/>
  <c r="E27" i="68" a="1"/>
  <c r="E27" i="68"/>
  <c r="F27" i="68" a="1"/>
  <c r="F27" i="68" s="1"/>
  <c r="G27" i="68" a="1"/>
  <c r="G27" i="68"/>
  <c r="H27" i="68" a="1"/>
  <c r="H27" i="68" s="1"/>
  <c r="I27" i="68" a="1"/>
  <c r="I27" i="68"/>
  <c r="J27" i="68" a="1"/>
  <c r="J27" i="68" s="1"/>
  <c r="K27" i="68" a="1"/>
  <c r="K27" i="68" s="1"/>
  <c r="L27" i="68" a="1"/>
  <c r="L27" i="68" s="1"/>
  <c r="M27" i="68" a="1"/>
  <c r="M27" i="68"/>
  <c r="N27" i="68" a="1"/>
  <c r="N27" i="68" s="1"/>
  <c r="O27" i="68" a="1"/>
  <c r="O27" i="68"/>
  <c r="P27" i="68" a="1"/>
  <c r="P27" i="68" s="1"/>
  <c r="Q27" i="68" a="1"/>
  <c r="Q27" i="68"/>
  <c r="R27" i="68" a="1"/>
  <c r="R27" i="68" s="1"/>
  <c r="S27" i="68" a="1"/>
  <c r="S27" i="68" s="1"/>
  <c r="T27" i="68" a="1"/>
  <c r="T27" i="68" s="1"/>
  <c r="D28" i="68" a="1"/>
  <c r="D28" i="68" s="1"/>
  <c r="E28" i="68" a="1"/>
  <c r="E28" i="68" s="1"/>
  <c r="F28" i="68" a="1"/>
  <c r="F28" i="68"/>
  <c r="G28" i="68" a="1"/>
  <c r="G28" i="68" s="1"/>
  <c r="H28" i="68" a="1"/>
  <c r="H28" i="68"/>
  <c r="I28" i="68" a="1"/>
  <c r="I28" i="68" s="1"/>
  <c r="J28" i="68" a="1"/>
  <c r="J28" i="68" s="1"/>
  <c r="K28" i="68" a="1"/>
  <c r="K28" i="68" s="1"/>
  <c r="L28" i="68" a="1"/>
  <c r="L28" i="68"/>
  <c r="M28" i="68" a="1"/>
  <c r="M28" i="68" s="1"/>
  <c r="N28" i="68" a="1"/>
  <c r="N28" i="68"/>
  <c r="O28" i="68" a="1"/>
  <c r="O28" i="68" s="1"/>
  <c r="P28" i="68" a="1"/>
  <c r="P28" i="68"/>
  <c r="Q28" i="68" a="1"/>
  <c r="Q28" i="68" s="1"/>
  <c r="R28" i="68" a="1"/>
  <c r="R28" i="68" s="1"/>
  <c r="S28" i="68" a="1"/>
  <c r="S28" i="68" s="1"/>
  <c r="T28" i="68" a="1"/>
  <c r="T28" i="68"/>
  <c r="D29" i="68" a="1"/>
  <c r="D29" i="68" s="1"/>
  <c r="E29" i="68" a="1"/>
  <c r="E29" i="68"/>
  <c r="F29" i="68" a="1"/>
  <c r="F29" i="68" s="1"/>
  <c r="G29" i="68" a="1"/>
  <c r="G29" i="68"/>
  <c r="H29" i="68" a="1"/>
  <c r="H29" i="68" s="1"/>
  <c r="I29" i="68" a="1"/>
  <c r="I29" i="68" s="1"/>
  <c r="J29" i="68" a="1"/>
  <c r="J29" i="68" s="1"/>
  <c r="K29" i="68" a="1"/>
  <c r="K29" i="68" s="1"/>
  <c r="L29" i="68" a="1"/>
  <c r="L29" i="68" s="1"/>
  <c r="M29" i="68" a="1"/>
  <c r="M29" i="68"/>
  <c r="N29" i="68" a="1"/>
  <c r="N29" i="68" s="1"/>
  <c r="O29" i="68" a="1"/>
  <c r="O29" i="68"/>
  <c r="P29" i="68" a="1"/>
  <c r="P29" i="68" s="1"/>
  <c r="Q29" i="68" a="1"/>
  <c r="Q29" i="68" s="1"/>
  <c r="R29" i="68" a="1"/>
  <c r="R29" i="68" s="1"/>
  <c r="S29" i="68" a="1"/>
  <c r="S29" i="68" s="1"/>
  <c r="T29" i="68" a="1"/>
  <c r="T29" i="68" s="1"/>
  <c r="D30" i="68" a="1"/>
  <c r="D30" i="68"/>
  <c r="E30" i="68" a="1"/>
  <c r="E30" i="68" s="1"/>
  <c r="F30" i="68" a="1"/>
  <c r="F30" i="68"/>
  <c r="G30" i="68" a="1"/>
  <c r="G30" i="68" s="1"/>
  <c r="H30" i="68" a="1"/>
  <c r="H30" i="68"/>
  <c r="I30" i="68" a="1"/>
  <c r="I30" i="68" s="1"/>
  <c r="J30" i="68" a="1"/>
  <c r="J30" i="68"/>
  <c r="K30" i="68" a="1"/>
  <c r="K30" i="68" s="1"/>
  <c r="L30" i="68" a="1"/>
  <c r="L30" i="68" s="1"/>
  <c r="M30" i="68" a="1"/>
  <c r="M30" i="68"/>
  <c r="N30" i="68" a="1"/>
  <c r="N30" i="68" s="1"/>
  <c r="O30" i="68" a="1"/>
  <c r="O30" i="68"/>
  <c r="P30" i="68" a="1"/>
  <c r="P30" i="68" s="1"/>
  <c r="Q30" i="68" a="1"/>
  <c r="Q30" i="68" s="1"/>
  <c r="R30" i="68" a="1"/>
  <c r="R30" i="68" s="1"/>
  <c r="S30" i="68" a="1"/>
  <c r="S30" i="68" s="1"/>
  <c r="T30" i="68" a="1"/>
  <c r="T30" i="68" s="1"/>
  <c r="D31" i="68" a="1"/>
  <c r="D31" i="68"/>
  <c r="E31" i="68" a="1"/>
  <c r="E31" i="68" s="1"/>
  <c r="F31" i="68" a="1"/>
  <c r="F31" i="68"/>
  <c r="G31" i="68" a="1"/>
  <c r="G31" i="68" s="1"/>
  <c r="H31" i="68" a="1"/>
  <c r="H31" i="68" s="1"/>
  <c r="I31" i="68" a="1"/>
  <c r="I31" i="68" s="1"/>
  <c r="J31" i="68" a="1"/>
  <c r="J31" i="68" s="1"/>
  <c r="K31" i="68" a="1"/>
  <c r="K31" i="68" s="1"/>
  <c r="L31" i="68" a="1"/>
  <c r="L31" i="68"/>
  <c r="M31" i="68" a="1"/>
  <c r="M31" i="68" s="1"/>
  <c r="N31" i="68" a="1"/>
  <c r="N31" i="68"/>
  <c r="O31" i="68" a="1"/>
  <c r="O31" i="68" s="1"/>
  <c r="P31" i="68" a="1"/>
  <c r="P31" i="68" s="1"/>
  <c r="Q31" i="68" a="1"/>
  <c r="Q31" i="68" s="1"/>
  <c r="R31" i="68" a="1"/>
  <c r="R31" i="68" s="1"/>
  <c r="S31" i="68" a="1"/>
  <c r="S31" i="68" s="1"/>
  <c r="T31" i="68" a="1"/>
  <c r="T31" i="68"/>
  <c r="D32" i="68" a="1"/>
  <c r="D32" i="68" s="1"/>
  <c r="E32" i="68" a="1"/>
  <c r="E32" i="68"/>
  <c r="F32" i="68" a="1"/>
  <c r="F32" i="68" s="1"/>
  <c r="G32" i="68" a="1"/>
  <c r="G32" i="68" s="1"/>
  <c r="H32" i="68" a="1"/>
  <c r="H32" i="68" s="1"/>
  <c r="I32" i="68" a="1"/>
  <c r="I32" i="68" s="1"/>
  <c r="J32" i="68" a="1"/>
  <c r="J32" i="68" s="1"/>
  <c r="K32" i="68" a="1"/>
  <c r="K32" i="68"/>
  <c r="L32" i="68" a="1"/>
  <c r="L32" i="68" s="1"/>
  <c r="M32" i="68" a="1"/>
  <c r="M32" i="68"/>
  <c r="N32" i="68" a="1"/>
  <c r="N32" i="68" s="1"/>
  <c r="O32" i="68" a="1"/>
  <c r="O32" i="68" s="1"/>
  <c r="P32" i="68" a="1"/>
  <c r="P32" i="68" s="1"/>
  <c r="Q32" i="68" a="1"/>
  <c r="Q32" i="68" s="1"/>
  <c r="R32" i="68" a="1"/>
  <c r="R32" i="68" s="1"/>
  <c r="S32" i="68" a="1"/>
  <c r="S32" i="68"/>
  <c r="T32" i="68" a="1"/>
  <c r="T32" i="68" s="1"/>
  <c r="D33" i="68" a="1"/>
  <c r="D33" i="68"/>
  <c r="E33" i="68" a="1"/>
  <c r="E33" i="68" s="1"/>
  <c r="F33" i="68" a="1"/>
  <c r="F33" i="68" s="1"/>
  <c r="G33" i="68" a="1"/>
  <c r="G33" i="68" s="1"/>
  <c r="H33" i="68" a="1"/>
  <c r="H33" i="68" s="1"/>
  <c r="I33" i="68" a="1"/>
  <c r="I33" i="68" s="1"/>
  <c r="J33" i="68" a="1"/>
  <c r="J33" i="68"/>
  <c r="K33" i="68" a="1"/>
  <c r="K33" i="68" s="1"/>
  <c r="L33" i="68" a="1"/>
  <c r="L33" i="68"/>
  <c r="M33" i="68" a="1"/>
  <c r="M33" i="68" s="1"/>
  <c r="N33" i="68" a="1"/>
  <c r="N33" i="68" s="1"/>
  <c r="O33" i="68" a="1"/>
  <c r="O33" i="68" s="1"/>
  <c r="P33" i="68" a="1"/>
  <c r="P33" i="68" s="1"/>
  <c r="Q33" i="68" a="1"/>
  <c r="Q33" i="68" s="1"/>
  <c r="R33" i="68" a="1"/>
  <c r="R33" i="68"/>
  <c r="S33" i="68" a="1"/>
  <c r="S33" i="68" s="1"/>
  <c r="T33" i="68" a="1"/>
  <c r="T33" i="68"/>
  <c r="D34" i="68" a="1"/>
  <c r="D34" i="68" s="1"/>
  <c r="E34" i="68" a="1"/>
  <c r="E34" i="68" s="1"/>
  <c r="F34" i="68" a="1"/>
  <c r="F34" i="68" s="1"/>
  <c r="G34" i="68" a="1"/>
  <c r="G34" i="68" s="1"/>
  <c r="H34" i="68" a="1"/>
  <c r="H34" i="68" s="1"/>
  <c r="I34" i="68" a="1"/>
  <c r="I34" i="68"/>
  <c r="J34" i="68" a="1"/>
  <c r="J34" i="68" s="1"/>
  <c r="K34" i="68" a="1"/>
  <c r="K34" i="68"/>
  <c r="L34" i="68" a="1"/>
  <c r="L34" i="68" s="1"/>
  <c r="M34" i="68" a="1"/>
  <c r="M34" i="68" s="1"/>
  <c r="N34" i="68" a="1"/>
  <c r="N34" i="68" s="1"/>
  <c r="O34" i="68" a="1"/>
  <c r="O34" i="68" s="1"/>
  <c r="P34" i="68" a="1"/>
  <c r="P34" i="68" s="1"/>
  <c r="Q34" i="68" a="1"/>
  <c r="Q34" i="68"/>
  <c r="R34" i="68" a="1"/>
  <c r="R34" i="68" s="1"/>
  <c r="S34" i="68" a="1"/>
  <c r="S34" i="68"/>
  <c r="T34" i="68" a="1"/>
  <c r="T34" i="68" s="1"/>
  <c r="D35" i="68" a="1"/>
  <c r="D35" i="68" s="1"/>
  <c r="E35" i="68" a="1"/>
  <c r="E35" i="68" s="1"/>
  <c r="F35" i="68" a="1"/>
  <c r="F35" i="68" s="1"/>
  <c r="G35" i="68" a="1"/>
  <c r="G35" i="68" s="1"/>
  <c r="H35" i="68" a="1"/>
  <c r="H35" i="68"/>
  <c r="I35" i="68" a="1"/>
  <c r="I35" i="68" s="1"/>
  <c r="J35" i="68" a="1"/>
  <c r="J35" i="68"/>
  <c r="K35" i="68" a="1"/>
  <c r="K35" i="68" s="1"/>
  <c r="L35" i="68" a="1"/>
  <c r="L35" i="68" s="1"/>
  <c r="M35" i="68" a="1"/>
  <c r="M35" i="68" s="1"/>
  <c r="N35" i="68" a="1"/>
  <c r="N35" i="68" s="1"/>
  <c r="O35" i="68" a="1"/>
  <c r="O35" i="68" s="1"/>
  <c r="P35" i="68" a="1"/>
  <c r="P35" i="68"/>
  <c r="Q35" i="68" a="1"/>
  <c r="Q35" i="68" s="1"/>
  <c r="R35" i="68" a="1"/>
  <c r="R35" i="68"/>
  <c r="S35" i="68" a="1"/>
  <c r="S35" i="68" s="1"/>
  <c r="T35" i="68" a="1"/>
  <c r="T35" i="68" s="1"/>
  <c r="D36" i="68" a="1"/>
  <c r="D36" i="68" s="1"/>
  <c r="E36" i="68" a="1"/>
  <c r="E36" i="68" s="1"/>
  <c r="F36" i="68" a="1"/>
  <c r="F36" i="68" s="1"/>
  <c r="G36" i="68" a="1"/>
  <c r="G36" i="68"/>
  <c r="H36" i="68" a="1"/>
  <c r="H36" i="68" s="1"/>
  <c r="I36" i="68" a="1"/>
  <c r="I36" i="68"/>
  <c r="J36" i="68" a="1"/>
  <c r="J36" i="68" s="1"/>
  <c r="K36" i="68" a="1"/>
  <c r="K36" i="68" s="1"/>
  <c r="L36" i="68" a="1"/>
  <c r="L36" i="68" s="1"/>
  <c r="M36" i="68" a="1"/>
  <c r="M36" i="68" s="1"/>
  <c r="N36" i="68" a="1"/>
  <c r="N36" i="68" s="1"/>
  <c r="O36" i="68" a="1"/>
  <c r="O36" i="68"/>
  <c r="P36" i="68" a="1"/>
  <c r="P36" i="68" s="1"/>
  <c r="Q36" i="68" a="1"/>
  <c r="Q36" i="68"/>
  <c r="R36" i="68" a="1"/>
  <c r="R36" i="68" s="1"/>
  <c r="S36" i="68" a="1"/>
  <c r="S36" i="68" s="1"/>
  <c r="T36" i="68" a="1"/>
  <c r="T36" i="68" s="1"/>
  <c r="D37" i="68" a="1"/>
  <c r="D37" i="68" s="1"/>
  <c r="E37" i="68" a="1"/>
  <c r="E37" i="68" s="1"/>
  <c r="F37" i="68" a="1"/>
  <c r="F37" i="68"/>
  <c r="G37" i="68" a="1"/>
  <c r="G37" i="68" s="1"/>
  <c r="H37" i="68" a="1"/>
  <c r="H37" i="68"/>
  <c r="I37" i="68" a="1"/>
  <c r="I37" i="68" s="1"/>
  <c r="J37" i="68" a="1"/>
  <c r="J37" i="68" s="1"/>
  <c r="K37" i="68" a="1"/>
  <c r="K37" i="68" s="1"/>
  <c r="L37" i="68" a="1"/>
  <c r="L37" i="68" s="1"/>
  <c r="M37" i="68" a="1"/>
  <c r="M37" i="68" s="1"/>
  <c r="N37" i="68" a="1"/>
  <c r="N37" i="68"/>
  <c r="O37" i="68" a="1"/>
  <c r="O37" i="68" s="1"/>
  <c r="P37" i="68" a="1"/>
  <c r="P37" i="68"/>
  <c r="Q37" i="68" a="1"/>
  <c r="Q37" i="68" s="1"/>
  <c r="R37" i="68" a="1"/>
  <c r="R37" i="68" s="1"/>
  <c r="S37" i="68" a="1"/>
  <c r="S37" i="68" s="1"/>
  <c r="T37" i="68" a="1"/>
  <c r="T37" i="68" s="1"/>
  <c r="D38" i="68" a="1"/>
  <c r="D38" i="68" s="1"/>
  <c r="E38" i="68" a="1"/>
  <c r="E38" i="68"/>
  <c r="F38" i="68" a="1"/>
  <c r="F38" i="68" s="1"/>
  <c r="G38" i="68" a="1"/>
  <c r="G38" i="68"/>
  <c r="H38" i="68" a="1"/>
  <c r="H38" i="68" s="1"/>
  <c r="I38" i="68" a="1"/>
  <c r="I38" i="68" s="1"/>
  <c r="J38" i="68" a="1"/>
  <c r="J38" i="68" s="1"/>
  <c r="K38" i="68" a="1"/>
  <c r="K38" i="68" s="1"/>
  <c r="L38" i="68" a="1"/>
  <c r="L38" i="68" s="1"/>
  <c r="M38" i="68" a="1"/>
  <c r="M38" i="68"/>
  <c r="N38" i="68" a="1"/>
  <c r="N38" i="68" s="1"/>
  <c r="O38" i="68" a="1"/>
  <c r="O38" i="68"/>
  <c r="P38" i="68" a="1"/>
  <c r="P38" i="68" s="1"/>
  <c r="Q38" i="68" a="1"/>
  <c r="Q38" i="68" s="1"/>
  <c r="R38" i="68" a="1"/>
  <c r="R38" i="68" s="1"/>
  <c r="S38" i="68" a="1"/>
  <c r="S38" i="68" s="1"/>
  <c r="T38" i="68" a="1"/>
  <c r="T38" i="68" s="1"/>
  <c r="D39" i="68" a="1"/>
  <c r="D39" i="68"/>
  <c r="E39" i="68" a="1"/>
  <c r="E39" i="68" s="1"/>
  <c r="F39" i="68" a="1"/>
  <c r="F39" i="68"/>
  <c r="G39" i="68" a="1"/>
  <c r="G39" i="68" s="1"/>
  <c r="H39" i="68" a="1"/>
  <c r="H39" i="68" s="1"/>
  <c r="I39" i="68" a="1"/>
  <c r="I39" i="68" s="1"/>
  <c r="J39" i="68" a="1"/>
  <c r="J39" i="68" s="1"/>
  <c r="K39" i="68" a="1"/>
  <c r="K39" i="68" s="1"/>
  <c r="L39" i="68" a="1"/>
  <c r="L39" i="68"/>
  <c r="M39" i="68" a="1"/>
  <c r="M39" i="68" s="1"/>
  <c r="N39" i="68" a="1"/>
  <c r="N39" i="68"/>
  <c r="O39" i="68" a="1"/>
  <c r="O39" i="68" s="1"/>
  <c r="P39" i="68" a="1"/>
  <c r="P39" i="68" s="1"/>
  <c r="Q39" i="68" a="1"/>
  <c r="Q39" i="68" s="1"/>
  <c r="R39" i="68" a="1"/>
  <c r="R39" i="68" s="1"/>
  <c r="S39" i="68" a="1"/>
  <c r="S39" i="68" s="1"/>
  <c r="T39" i="68" a="1"/>
  <c r="T39" i="68"/>
  <c r="D40" i="68" a="1"/>
  <c r="D40" i="68" s="1"/>
  <c r="E40" i="68" a="1"/>
  <c r="E40" i="68"/>
  <c r="F40" i="68" a="1"/>
  <c r="F40" i="68" s="1"/>
  <c r="G40" i="68" a="1"/>
  <c r="G40" i="68" s="1"/>
  <c r="H40" i="68" a="1"/>
  <c r="H40" i="68" s="1"/>
  <c r="I40" i="68" a="1"/>
  <c r="I40" i="68" s="1"/>
  <c r="J40" i="68" a="1"/>
  <c r="J40" i="68" s="1"/>
  <c r="K40" i="68" a="1"/>
  <c r="K40" i="68"/>
  <c r="L40" i="68" a="1"/>
  <c r="L40" i="68" s="1"/>
  <c r="M40" i="68" a="1"/>
  <c r="M40" i="68"/>
  <c r="N40" i="68" a="1"/>
  <c r="N40" i="68" s="1"/>
  <c r="O40" i="68" a="1"/>
  <c r="O40" i="68"/>
  <c r="P40" i="68" a="1"/>
  <c r="P40" i="68" s="1"/>
  <c r="Q40" i="68" a="1"/>
  <c r="Q40" i="68"/>
  <c r="R40" i="68" a="1"/>
  <c r="R40" i="68" s="1"/>
  <c r="S40" i="68" a="1"/>
  <c r="S40" i="68"/>
  <c r="T40" i="68" a="1"/>
  <c r="T40" i="68" s="1"/>
  <c r="D41" i="68" a="1"/>
  <c r="D41" i="68"/>
  <c r="E41" i="68" a="1"/>
  <c r="E41" i="68" s="1"/>
  <c r="F41" i="68" a="1"/>
  <c r="F41" i="68"/>
  <c r="G41" i="68" a="1"/>
  <c r="G41" i="68" s="1"/>
  <c r="H41" i="68" a="1"/>
  <c r="H41" i="68"/>
  <c r="I41" i="68" a="1"/>
  <c r="I41" i="68" s="1"/>
  <c r="J41" i="68" a="1"/>
  <c r="J41" i="68"/>
  <c r="K41" i="68" a="1"/>
  <c r="K41" i="68" s="1"/>
  <c r="L41" i="68" a="1"/>
  <c r="L41" i="68"/>
  <c r="M41" i="68" a="1"/>
  <c r="M41" i="68" s="1"/>
  <c r="N41" i="68" a="1"/>
  <c r="N41" i="68"/>
  <c r="O41" i="68" a="1"/>
  <c r="O41" i="68" s="1"/>
  <c r="P41" i="68" a="1"/>
  <c r="P41" i="68"/>
  <c r="Q41" i="68" a="1"/>
  <c r="Q41" i="68" s="1"/>
  <c r="R41" i="68" a="1"/>
  <c r="R41" i="68"/>
  <c r="S41" i="68" a="1"/>
  <c r="S41" i="68" s="1"/>
  <c r="T41" i="68" a="1"/>
  <c r="T41" i="68"/>
  <c r="D42" i="68" a="1"/>
  <c r="D42" i="68" s="1"/>
  <c r="E42" i="68" a="1"/>
  <c r="E42" i="68"/>
  <c r="F42" i="68" a="1"/>
  <c r="F42" i="68" s="1"/>
  <c r="G42" i="68" a="1"/>
  <c r="G42" i="68"/>
  <c r="H42" i="68" a="1"/>
  <c r="H42" i="68" s="1"/>
  <c r="I42" i="68" a="1"/>
  <c r="I42" i="68"/>
  <c r="J42" i="68" a="1"/>
  <c r="J42" i="68" s="1"/>
  <c r="K42" i="68" a="1"/>
  <c r="K42" i="68"/>
  <c r="L42" i="68" a="1"/>
  <c r="L42" i="68" s="1"/>
  <c r="M42" i="68" a="1"/>
  <c r="M42" i="68"/>
  <c r="N42" i="68" a="1"/>
  <c r="N42" i="68" s="1"/>
  <c r="O42" i="68" a="1"/>
  <c r="O42" i="68"/>
  <c r="P42" i="68" a="1"/>
  <c r="P42" i="68" s="1"/>
  <c r="Q42" i="68" a="1"/>
  <c r="Q42" i="68"/>
  <c r="R42" i="68" a="1"/>
  <c r="R42" i="68" s="1"/>
  <c r="S42" i="68" a="1"/>
  <c r="S42" i="68"/>
  <c r="T42" i="68" a="1"/>
  <c r="T42" i="68" s="1"/>
  <c r="D43" i="68" a="1"/>
  <c r="D43" i="68"/>
  <c r="E43" i="68" a="1"/>
  <c r="E43" i="68" s="1"/>
  <c r="F43" i="68" a="1"/>
  <c r="F43" i="68"/>
  <c r="G43" i="68" a="1"/>
  <c r="G43" i="68" s="1"/>
  <c r="H43" i="68" a="1"/>
  <c r="H43" i="68"/>
  <c r="I43" i="68" a="1"/>
  <c r="I43" i="68" s="1"/>
  <c r="J43" i="68" a="1"/>
  <c r="J43" i="68"/>
  <c r="K43" i="68" a="1"/>
  <c r="K43" i="68" s="1"/>
  <c r="L43" i="68" a="1"/>
  <c r="L43" i="68"/>
  <c r="M43" i="68" a="1"/>
  <c r="M43" i="68" s="1"/>
  <c r="N43" i="68" a="1"/>
  <c r="N43" i="68"/>
  <c r="O43" i="68" a="1"/>
  <c r="O43" i="68" s="1"/>
  <c r="P43" i="68" a="1"/>
  <c r="P43" i="68"/>
  <c r="Q43" i="68" a="1"/>
  <c r="Q43" i="68" s="1"/>
  <c r="R43" i="68" a="1"/>
  <c r="R43" i="68"/>
  <c r="S43" i="68" a="1"/>
  <c r="S43" i="68" s="1"/>
  <c r="T43" i="68" a="1"/>
  <c r="T43" i="68"/>
  <c r="D44" i="68" a="1"/>
  <c r="D44" i="68" s="1"/>
  <c r="E44" i="68" a="1"/>
  <c r="E44" i="68"/>
  <c r="F44" i="68" a="1"/>
  <c r="F44" i="68" s="1"/>
  <c r="G44" i="68" a="1"/>
  <c r="G44" i="68"/>
  <c r="H44" i="68" a="1"/>
  <c r="H44" i="68" s="1"/>
  <c r="I44" i="68" a="1"/>
  <c r="I44" i="68"/>
  <c r="J44" i="68" a="1"/>
  <c r="J44" i="68" s="1"/>
  <c r="K44" i="68" a="1"/>
  <c r="K44" i="68"/>
  <c r="L44" i="68" a="1"/>
  <c r="L44" i="68" s="1"/>
  <c r="M44" i="68" a="1"/>
  <c r="M44" i="68"/>
  <c r="N44" i="68" a="1"/>
  <c r="N44" i="68" s="1"/>
  <c r="O44" i="68" a="1"/>
  <c r="O44" i="68"/>
  <c r="P44" i="68" a="1"/>
  <c r="P44" i="68" s="1"/>
  <c r="Q44" i="68" a="1"/>
  <c r="Q44" i="68"/>
  <c r="R44" i="68" a="1"/>
  <c r="R44" i="68" s="1"/>
  <c r="S44" i="68" a="1"/>
  <c r="S44" i="68"/>
  <c r="T44" i="68" a="1"/>
  <c r="T44" i="68" s="1"/>
  <c r="D45" i="68" a="1"/>
  <c r="D45" i="68"/>
  <c r="E45" i="68" a="1"/>
  <c r="E45" i="68" s="1"/>
  <c r="F45" i="68" a="1"/>
  <c r="F45" i="68"/>
  <c r="G45" i="68" a="1"/>
  <c r="G45" i="68" s="1"/>
  <c r="H45" i="68" a="1"/>
  <c r="H45" i="68"/>
  <c r="I45" i="68" a="1"/>
  <c r="I45" i="68" s="1"/>
  <c r="J45" i="68" a="1"/>
  <c r="J45" i="68"/>
  <c r="K45" i="68" a="1"/>
  <c r="K45" i="68" s="1"/>
  <c r="L45" i="68" a="1"/>
  <c r="L45" i="68"/>
  <c r="M45" i="68" a="1"/>
  <c r="M45" i="68" s="1"/>
  <c r="N45" i="68" a="1"/>
  <c r="N45" i="68"/>
  <c r="O45" i="68" a="1"/>
  <c r="O45" i="68" s="1"/>
  <c r="P45" i="68" a="1"/>
  <c r="P45" i="68"/>
  <c r="Q45" i="68" a="1"/>
  <c r="Q45" i="68" s="1"/>
  <c r="R45" i="68" a="1"/>
  <c r="R45" i="68"/>
  <c r="S45" i="68" a="1"/>
  <c r="S45" i="68" s="1"/>
  <c r="T45" i="68" a="1"/>
  <c r="T45" i="68"/>
  <c r="D46" i="68" a="1"/>
  <c r="D46" i="68" s="1"/>
  <c r="E46" i="68" a="1"/>
  <c r="E46" i="68"/>
  <c r="F46" i="68" a="1"/>
  <c r="F46" i="68" s="1"/>
  <c r="G46" i="68" a="1"/>
  <c r="G46" i="68"/>
  <c r="H46" i="68" a="1"/>
  <c r="H46" i="68" s="1"/>
  <c r="I46" i="68" a="1"/>
  <c r="I46" i="68"/>
  <c r="J46" i="68" a="1"/>
  <c r="J46" i="68" s="1"/>
  <c r="K46" i="68" a="1"/>
  <c r="K46" i="68"/>
  <c r="L46" i="68" a="1"/>
  <c r="L46" i="68" s="1"/>
  <c r="M46" i="68" a="1"/>
  <c r="M46" i="68"/>
  <c r="N46" i="68" a="1"/>
  <c r="N46" i="68" s="1"/>
  <c r="O46" i="68" a="1"/>
  <c r="O46" i="68"/>
  <c r="P46" i="68" a="1"/>
  <c r="P46" i="68" s="1"/>
  <c r="Q46" i="68" a="1"/>
  <c r="Q46" i="68"/>
  <c r="R46" i="68" a="1"/>
  <c r="R46" i="68" s="1"/>
  <c r="S46" i="68" a="1"/>
  <c r="S46" i="68"/>
  <c r="T46" i="68" a="1"/>
  <c r="T46" i="68" s="1"/>
  <c r="D47" i="68" a="1"/>
  <c r="D47" i="68"/>
  <c r="E47" i="68" a="1"/>
  <c r="E47" i="68" s="1"/>
  <c r="F47" i="68" a="1"/>
  <c r="F47" i="68"/>
  <c r="G47" i="68" a="1"/>
  <c r="G47" i="68" s="1"/>
  <c r="H47" i="68" a="1"/>
  <c r="H47" i="68"/>
  <c r="I47" i="68" a="1"/>
  <c r="I47" i="68" s="1"/>
  <c r="J47" i="68" a="1"/>
  <c r="J47" i="68"/>
  <c r="K47" i="68" a="1"/>
  <c r="K47" i="68" s="1"/>
  <c r="L47" i="68" a="1"/>
  <c r="L47" i="68"/>
  <c r="M47" i="68" a="1"/>
  <c r="M47" i="68" s="1"/>
  <c r="N47" i="68" a="1"/>
  <c r="N47" i="68"/>
  <c r="O47" i="68" a="1"/>
  <c r="O47" i="68" s="1"/>
  <c r="P47" i="68" a="1"/>
  <c r="P47" i="68"/>
  <c r="Q47" i="68" a="1"/>
  <c r="Q47" i="68" s="1"/>
  <c r="R47" i="68" a="1"/>
  <c r="R47" i="68"/>
  <c r="S47" i="68" a="1"/>
  <c r="S47" i="68" s="1"/>
  <c r="T47" i="68" a="1"/>
  <c r="T47" i="68"/>
  <c r="D48" i="68" a="1"/>
  <c r="D48" i="68" s="1"/>
  <c r="E48" i="68" a="1"/>
  <c r="E48" i="68"/>
  <c r="F48" i="68" a="1"/>
  <c r="F48" i="68" s="1"/>
  <c r="G48" i="68" a="1"/>
  <c r="G48" i="68"/>
  <c r="H48" i="68" a="1"/>
  <c r="H48" i="68" s="1"/>
  <c r="I48" i="68" a="1"/>
  <c r="I48" i="68"/>
  <c r="J48" i="68" a="1"/>
  <c r="J48" i="68" s="1"/>
  <c r="K48" i="68" a="1"/>
  <c r="K48" i="68"/>
  <c r="L48" i="68" a="1"/>
  <c r="L48" i="68" s="1"/>
  <c r="M48" i="68" a="1"/>
  <c r="M48" i="68"/>
  <c r="N48" i="68" a="1"/>
  <c r="N48" i="68" s="1"/>
  <c r="O48" i="68" a="1"/>
  <c r="O48" i="68"/>
  <c r="P48" i="68" a="1"/>
  <c r="P48" i="68" s="1"/>
  <c r="Q48" i="68" a="1"/>
  <c r="Q48" i="68"/>
  <c r="R48" i="68" a="1"/>
  <c r="R48" i="68" s="1"/>
  <c r="S48" i="68" a="1"/>
  <c r="S48" i="68"/>
  <c r="T48" i="68" a="1"/>
  <c r="T48" i="68" s="1"/>
  <c r="D49" i="68" a="1"/>
  <c r="D49" i="68"/>
  <c r="E49" i="68" a="1"/>
  <c r="E49" i="68" s="1"/>
  <c r="F49" i="68" a="1"/>
  <c r="F49" i="68"/>
  <c r="G49" i="68" a="1"/>
  <c r="G49" i="68" s="1"/>
  <c r="H49" i="68" a="1"/>
  <c r="H49" i="68"/>
  <c r="I49" i="68" a="1"/>
  <c r="I49" i="68" s="1"/>
  <c r="J49" i="68" a="1"/>
  <c r="J49" i="68"/>
  <c r="K49" i="68" a="1"/>
  <c r="K49" i="68" s="1"/>
  <c r="L49" i="68" a="1"/>
  <c r="L49" i="68"/>
  <c r="M49" i="68" a="1"/>
  <c r="M49" i="68" s="1"/>
  <c r="N49" i="68" a="1"/>
  <c r="N49" i="68"/>
  <c r="O49" i="68" a="1"/>
  <c r="O49" i="68" s="1"/>
  <c r="P49" i="68" a="1"/>
  <c r="P49" i="68"/>
  <c r="Q49" i="68" a="1"/>
  <c r="Q49" i="68" s="1"/>
  <c r="R49" i="68" a="1"/>
  <c r="R49" i="68"/>
  <c r="S49" i="68" a="1"/>
  <c r="S49" i="68" s="1"/>
  <c r="T49" i="68" a="1"/>
  <c r="T49" i="68"/>
  <c r="D50" i="68" a="1"/>
  <c r="D50" i="68" s="1"/>
  <c r="E50" i="68" a="1"/>
  <c r="E50" i="68"/>
  <c r="F50" i="68" a="1"/>
  <c r="F50" i="68" s="1"/>
  <c r="G50" i="68" a="1"/>
  <c r="G50" i="68"/>
  <c r="H50" i="68" a="1"/>
  <c r="H50" i="68" s="1"/>
  <c r="I50" i="68" a="1"/>
  <c r="I50" i="68"/>
  <c r="J50" i="68" a="1"/>
  <c r="J50" i="68" s="1"/>
  <c r="K50" i="68" a="1"/>
  <c r="K50" i="68"/>
  <c r="L50" i="68" a="1"/>
  <c r="L50" i="68" s="1"/>
  <c r="M50" i="68" a="1"/>
  <c r="M50" i="68"/>
  <c r="N50" i="68" a="1"/>
  <c r="N50" i="68" s="1"/>
  <c r="O50" i="68" a="1"/>
  <c r="O50" i="68"/>
  <c r="P50" i="68" a="1"/>
  <c r="P50" i="68" s="1"/>
  <c r="Q50" i="68" a="1"/>
  <c r="Q50" i="68"/>
  <c r="R50" i="68" a="1"/>
  <c r="R50" i="68" s="1"/>
  <c r="S50" i="68" a="1"/>
  <c r="S50" i="68"/>
  <c r="T50" i="68" a="1"/>
  <c r="T50" i="68" s="1"/>
  <c r="D51" i="68" a="1"/>
  <c r="D51" i="68"/>
  <c r="E51" i="68" a="1"/>
  <c r="E51" i="68" s="1"/>
  <c r="F51" i="68" a="1"/>
  <c r="F51" i="68"/>
  <c r="G51" i="68" a="1"/>
  <c r="G51" i="68" s="1"/>
  <c r="H51" i="68" a="1"/>
  <c r="H51" i="68"/>
  <c r="I51" i="68" a="1"/>
  <c r="I51" i="68" s="1"/>
  <c r="J51" i="68" a="1"/>
  <c r="J51" i="68"/>
  <c r="K51" i="68" a="1"/>
  <c r="K51" i="68" s="1"/>
  <c r="L51" i="68" a="1"/>
  <c r="L51" i="68"/>
  <c r="M51" i="68" a="1"/>
  <c r="M51" i="68" s="1"/>
  <c r="N51" i="68" a="1"/>
  <c r="N51" i="68"/>
  <c r="O51" i="68" a="1"/>
  <c r="O51" i="68" s="1"/>
  <c r="P51" i="68" a="1"/>
  <c r="P51" i="68"/>
  <c r="Q51" i="68" a="1"/>
  <c r="Q51" i="68" s="1"/>
  <c r="R51" i="68" a="1"/>
  <c r="R51" i="68"/>
  <c r="S51" i="68" a="1"/>
  <c r="S51" i="68" s="1"/>
  <c r="T51" i="68" a="1"/>
  <c r="T51" i="68"/>
  <c r="D52" i="68" a="1"/>
  <c r="D52" i="68" s="1"/>
  <c r="E52" i="68" a="1"/>
  <c r="E52" i="68"/>
  <c r="F52" i="68" a="1"/>
  <c r="F52" i="68" s="1"/>
  <c r="G52" i="68" a="1"/>
  <c r="G52" i="68"/>
  <c r="H52" i="68" a="1"/>
  <c r="H52" i="68" s="1"/>
  <c r="I52" i="68" a="1"/>
  <c r="I52" i="68"/>
  <c r="J52" i="68" a="1"/>
  <c r="J52" i="68" s="1"/>
  <c r="K52" i="68" a="1"/>
  <c r="K52" i="68"/>
  <c r="L52" i="68" a="1"/>
  <c r="L52" i="68" s="1"/>
  <c r="M52" i="68" a="1"/>
  <c r="M52" i="68"/>
  <c r="N52" i="68" a="1"/>
  <c r="N52" i="68" s="1"/>
  <c r="O52" i="68" a="1"/>
  <c r="O52" i="68"/>
  <c r="P52" i="68" a="1"/>
  <c r="P52" i="68" s="1"/>
  <c r="Q52" i="68" a="1"/>
  <c r="Q52" i="68"/>
  <c r="R52" i="68" a="1"/>
  <c r="R52" i="68" s="1"/>
  <c r="S52" i="68" a="1"/>
  <c r="S52" i="68"/>
  <c r="T52" i="68" a="1"/>
  <c r="T52" i="68" s="1"/>
  <c r="D53" i="68" a="1"/>
  <c r="D53" i="68"/>
  <c r="E53" i="68" a="1"/>
  <c r="E53" i="68" s="1"/>
  <c r="F53" i="68" a="1"/>
  <c r="F53" i="68"/>
  <c r="G53" i="68" a="1"/>
  <c r="G53" i="68" s="1"/>
  <c r="H53" i="68" a="1"/>
  <c r="H53" i="68"/>
  <c r="I53" i="68" a="1"/>
  <c r="I53" i="68" s="1"/>
  <c r="J53" i="68" a="1"/>
  <c r="J53" i="68"/>
  <c r="K53" i="68" a="1"/>
  <c r="K53" i="68" s="1"/>
  <c r="L53" i="68" a="1"/>
  <c r="L53" i="68"/>
  <c r="M53" i="68" a="1"/>
  <c r="M53" i="68" s="1"/>
  <c r="N53" i="68" a="1"/>
  <c r="N53" i="68"/>
  <c r="O53" i="68" a="1"/>
  <c r="O53" i="68" s="1"/>
  <c r="P53" i="68" a="1"/>
  <c r="P53" i="68"/>
  <c r="Q53" i="68" a="1"/>
  <c r="Q53" i="68" s="1"/>
  <c r="R53" i="68" a="1"/>
  <c r="R53" i="68"/>
  <c r="S53" i="68" a="1"/>
  <c r="S53" i="68" s="1"/>
  <c r="T53" i="68" a="1"/>
  <c r="T53" i="68"/>
  <c r="E11" i="68" a="1"/>
  <c r="E11" i="68" s="1"/>
  <c r="F11" i="68" a="1"/>
  <c r="F11" i="68" s="1"/>
  <c r="G11" i="68" a="1"/>
  <c r="G11" i="68" s="1"/>
  <c r="H11" i="68" a="1"/>
  <c r="H11" i="68" s="1"/>
  <c r="I11" i="68" a="1"/>
  <c r="I11" i="68" s="1"/>
  <c r="J11" i="68" a="1"/>
  <c r="J11" i="68" s="1"/>
  <c r="K11" i="68" a="1"/>
  <c r="K11" i="68" s="1"/>
  <c r="L11" i="68" a="1"/>
  <c r="L11" i="68" s="1"/>
  <c r="M11" i="68" a="1"/>
  <c r="M11" i="68" s="1"/>
  <c r="N11" i="68" a="1"/>
  <c r="N11" i="68" s="1"/>
  <c r="O11" i="68" a="1"/>
  <c r="O11" i="68" s="1"/>
  <c r="P11" i="68" a="1"/>
  <c r="P11" i="68" s="1"/>
  <c r="Q11" i="68" a="1"/>
  <c r="Q11" i="68" s="1"/>
  <c r="R11" i="68" a="1"/>
  <c r="R11" i="68" s="1"/>
  <c r="S11" i="68" a="1"/>
  <c r="S11" i="68" s="1"/>
  <c r="T11" i="68" a="1"/>
  <c r="T11" i="68" s="1"/>
  <c r="D11" i="68" a="1"/>
  <c r="D11" i="68" s="1"/>
  <c r="W11" i="68" a="1"/>
  <c r="W11" i="68" s="1"/>
  <c r="Z11" i="68"/>
  <c r="AD10" i="68" a="1"/>
  <c r="AD10" i="68" s="1"/>
  <c r="Z10" i="68"/>
  <c r="Z12" i="68" s="1"/>
  <c r="W10" i="68"/>
  <c r="W10" i="68" a="1"/>
  <c r="D16" i="20"/>
  <c r="AH5" i="58"/>
  <c r="C34" i="54"/>
  <c r="E30" i="54"/>
  <c r="C30" i="54"/>
  <c r="C29" i="54"/>
  <c r="C28" i="54"/>
  <c r="C27" i="54"/>
  <c r="C26" i="54"/>
  <c r="C31" i="55" a="1"/>
  <c r="C31" i="55" s="1"/>
  <c r="C29" i="55"/>
  <c r="E27" i="55"/>
  <c r="E28" i="55"/>
  <c r="E26" i="55"/>
  <c r="C27" i="55"/>
  <c r="C28" i="55"/>
  <c r="C26" i="55"/>
  <c r="C23" i="55"/>
  <c r="E25" i="55"/>
  <c r="C25" i="55"/>
  <c r="C24" i="55"/>
  <c r="C33" i="41"/>
  <c r="E28" i="41"/>
  <c r="C28" i="41"/>
  <c r="C27" i="41"/>
  <c r="C26" i="41"/>
  <c r="C25" i="41"/>
  <c r="Z5" i="68" l="1"/>
  <c r="Z4" i="68"/>
  <c r="Z6" i="68"/>
  <c r="H7" i="27" a="1"/>
  <c r="H7" i="27" s="1"/>
  <c r="H5" i="27" a="1"/>
  <c r="H5" i="27" s="1"/>
  <c r="AD10" i="46" a="1"/>
  <c r="AD10" i="46" s="1"/>
  <c r="C15" i="40"/>
  <c r="I15" i="57"/>
  <c r="Z6" i="46" l="1"/>
  <c r="Z5" i="46"/>
  <c r="Z4" i="46"/>
  <c r="W10" i="46" a="1"/>
  <c r="W10" i="46" s="1"/>
  <c r="Z10" i="46"/>
  <c r="Z11" i="46"/>
  <c r="Z12" i="46" s="1"/>
  <c r="AH6" i="58" l="1"/>
  <c r="AH4" i="58"/>
  <c r="AH3" i="58"/>
  <c r="F17" i="29" a="1"/>
  <c r="F17" i="29" s="1"/>
  <c r="F18" i="29" a="1"/>
  <c r="F18" i="29"/>
  <c r="F19" i="29" a="1"/>
  <c r="F19" i="29" s="1"/>
  <c r="F20" i="29" a="1"/>
  <c r="F20" i="29"/>
  <c r="F21" i="29" a="1"/>
  <c r="F21" i="29" s="1"/>
  <c r="F22" i="29" a="1"/>
  <c r="F22" i="29"/>
  <c r="F23" i="29" a="1"/>
  <c r="F23" i="29" s="1"/>
  <c r="F24" i="29" a="1"/>
  <c r="F24" i="29"/>
  <c r="F25" i="29" a="1"/>
  <c r="F25" i="29" s="1"/>
  <c r="F26" i="29" a="1"/>
  <c r="F26" i="29"/>
  <c r="F27" i="29" a="1"/>
  <c r="F27" i="29" s="1"/>
  <c r="F28" i="29" a="1"/>
  <c r="F28" i="29"/>
  <c r="F29" i="29" a="1"/>
  <c r="F29" i="29" s="1"/>
  <c r="F30" i="29" a="1"/>
  <c r="F30" i="29"/>
  <c r="F31" i="29" a="1"/>
  <c r="F31" i="29" s="1"/>
  <c r="F32" i="29" a="1"/>
  <c r="F32" i="29"/>
  <c r="F33" i="29" a="1"/>
  <c r="F33" i="29" s="1"/>
  <c r="F34" i="29" a="1"/>
  <c r="F34" i="29"/>
  <c r="F35" i="29" a="1"/>
  <c r="F35" i="29" s="1"/>
  <c r="F36" i="29" a="1"/>
  <c r="F36" i="29"/>
  <c r="F37" i="29" a="1"/>
  <c r="F37" i="29" s="1"/>
  <c r="F38" i="29" a="1"/>
  <c r="F38" i="29"/>
  <c r="F39" i="29" a="1"/>
  <c r="F39" i="29" s="1"/>
  <c r="F40" i="29" a="1"/>
  <c r="F40" i="29"/>
  <c r="C14" i="22" a="1"/>
  <c r="C14" i="22" s="1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E16" i="20"/>
  <c r="F16" i="20"/>
  <c r="G16" i="20"/>
  <c r="H16" i="20"/>
  <c r="I16" i="20"/>
  <c r="J16" i="20"/>
  <c r="K16" i="20"/>
  <c r="L16" i="20"/>
  <c r="M16" i="20"/>
  <c r="E17" i="20"/>
  <c r="F17" i="20"/>
  <c r="G17" i="20"/>
  <c r="H17" i="20"/>
  <c r="I17" i="20"/>
  <c r="J17" i="20"/>
  <c r="K17" i="20"/>
  <c r="L17" i="20"/>
  <c r="M17" i="20"/>
  <c r="E18" i="20"/>
  <c r="F18" i="20"/>
  <c r="G18" i="20"/>
  <c r="H18" i="20"/>
  <c r="I18" i="20"/>
  <c r="J18" i="20"/>
  <c r="K18" i="20"/>
  <c r="L18" i="20"/>
  <c r="M18" i="20"/>
  <c r="E19" i="20"/>
  <c r="F19" i="20"/>
  <c r="G19" i="20"/>
  <c r="H19" i="20"/>
  <c r="I19" i="20"/>
  <c r="J19" i="20"/>
  <c r="K19" i="20"/>
  <c r="L19" i="20"/>
  <c r="M19" i="20"/>
  <c r="E20" i="20"/>
  <c r="F20" i="20"/>
  <c r="G20" i="20"/>
  <c r="H20" i="20"/>
  <c r="I20" i="20"/>
  <c r="J20" i="20"/>
  <c r="K20" i="20"/>
  <c r="L20" i="20"/>
  <c r="M20" i="20"/>
  <c r="E21" i="20"/>
  <c r="F21" i="20"/>
  <c r="G21" i="20"/>
  <c r="H21" i="20"/>
  <c r="I21" i="20"/>
  <c r="J21" i="20"/>
  <c r="K21" i="20"/>
  <c r="L21" i="20"/>
  <c r="M21" i="20"/>
  <c r="E22" i="20"/>
  <c r="F22" i="20"/>
  <c r="G22" i="20"/>
  <c r="H22" i="20"/>
  <c r="I22" i="20"/>
  <c r="J22" i="20"/>
  <c r="K22" i="20"/>
  <c r="L22" i="20"/>
  <c r="M22" i="20"/>
  <c r="E23" i="20"/>
  <c r="F23" i="20"/>
  <c r="G23" i="20"/>
  <c r="H23" i="20"/>
  <c r="I23" i="20"/>
  <c r="J23" i="20"/>
  <c r="K23" i="20"/>
  <c r="L23" i="20"/>
  <c r="M23" i="20"/>
  <c r="E24" i="20"/>
  <c r="F24" i="20"/>
  <c r="G24" i="20"/>
  <c r="H24" i="20"/>
  <c r="I24" i="20"/>
  <c r="J24" i="20"/>
  <c r="K24" i="20"/>
  <c r="L24" i="20"/>
  <c r="M24" i="20"/>
  <c r="E25" i="20"/>
  <c r="F25" i="20"/>
  <c r="G25" i="20"/>
  <c r="H25" i="20"/>
  <c r="I25" i="20"/>
  <c r="J25" i="20"/>
  <c r="K25" i="20"/>
  <c r="L25" i="20"/>
  <c r="M25" i="20"/>
  <c r="D25" i="20"/>
  <c r="D17" i="20"/>
  <c r="D18" i="20"/>
  <c r="D19" i="20"/>
  <c r="D20" i="20"/>
  <c r="D21" i="20"/>
  <c r="D22" i="20"/>
  <c r="D23" i="20"/>
  <c r="D24" i="20"/>
  <c r="I14" i="57"/>
  <c r="C15" i="23" a="1"/>
  <c r="C15" i="23" s="1"/>
  <c r="C16" i="23" a="1"/>
  <c r="C16" i="23"/>
  <c r="C17" i="23" a="1"/>
  <c r="C17" i="23" s="1"/>
  <c r="C18" i="23" a="1"/>
  <c r="C18" i="23"/>
  <c r="C19" i="23" a="1"/>
  <c r="C19" i="23" s="1"/>
  <c r="C20" i="23" a="1"/>
  <c r="C20" i="23"/>
  <c r="C21" i="23" a="1"/>
  <c r="C21" i="23" s="1"/>
  <c r="C22" i="23" a="1"/>
  <c r="C22" i="23"/>
  <c r="C23" i="23" a="1"/>
  <c r="C23" i="23" s="1"/>
  <c r="C24" i="23" a="1"/>
  <c r="C24" i="23"/>
  <c r="C25" i="23" a="1"/>
  <c r="C25" i="23" s="1"/>
  <c r="C26" i="23" a="1"/>
  <c r="C26" i="23"/>
  <c r="C27" i="23" a="1"/>
  <c r="C27" i="23" s="1"/>
  <c r="C28" i="23" a="1"/>
  <c r="C28" i="23"/>
  <c r="C29" i="23" a="1"/>
  <c r="C29" i="23" s="1"/>
  <c r="C30" i="23" a="1"/>
  <c r="C30" i="23"/>
  <c r="C31" i="23" a="1"/>
  <c r="C31" i="23" s="1"/>
  <c r="C32" i="23" a="1"/>
  <c r="C32" i="23"/>
  <c r="C33" i="23" a="1"/>
  <c r="C33" i="23" s="1"/>
  <c r="J70" i="39"/>
  <c r="C11" i="39"/>
  <c r="H6" i="27" a="1"/>
  <c r="H6" i="2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<sst xmlns="http://schemas.openxmlformats.org/spreadsheetml/2006/main" count="2056" uniqueCount="743">
  <si>
    <t>Ejercicios de Práctica: Examen 1</t>
  </si>
  <si>
    <t>IIND2109 ‐ Sistemas de Apoyo a la Decisión</t>
  </si>
  <si>
    <t>*</t>
  </si>
  <si>
    <r>
      <t xml:space="preserve">Estos ejercicios </t>
    </r>
    <r>
      <rPr>
        <b/>
        <sz val="12"/>
        <color rgb="FF000000"/>
        <rFont val="Calibri Light"/>
        <family val="2"/>
        <scheme val="major"/>
      </rPr>
      <t xml:space="preserve">no tienen nota, no deben ser entregados y no se calificarán.  </t>
    </r>
    <r>
      <rPr>
        <sz val="12"/>
        <color rgb="FF000000"/>
        <rFont val="Calibri Light"/>
        <family val="2"/>
        <scheme val="major"/>
      </rPr>
      <t xml:space="preserve"> </t>
    </r>
  </si>
  <si>
    <r>
      <t xml:space="preserve">Para preparar el examen, se recomienda hacer los ejercicios </t>
    </r>
    <r>
      <rPr>
        <b/>
        <sz val="12"/>
        <color rgb="FF000000"/>
        <rFont val="Calibri Light"/>
        <family val="2"/>
        <scheme val="major"/>
      </rPr>
      <t>a consciencia, de manera individual y siguiendo las instrucciones</t>
    </r>
    <r>
      <rPr>
        <sz val="12"/>
        <color rgb="FF000000"/>
        <rFont val="Calibri Light"/>
        <family val="2"/>
        <scheme val="major"/>
      </rPr>
      <t xml:space="preserve"> presentadas continuación.</t>
    </r>
  </si>
  <si>
    <r>
      <t xml:space="preserve">La solución a cada ejercicio se debe desarrollar en las celdas indicadas de </t>
    </r>
    <r>
      <rPr>
        <b/>
        <sz val="12"/>
        <color theme="9"/>
        <rFont val="Calibri Light"/>
        <family val="2"/>
        <scheme val="major"/>
      </rPr>
      <t>color verde</t>
    </r>
    <r>
      <rPr>
        <sz val="12"/>
        <color theme="1"/>
        <rFont val="Calibri Light"/>
        <family val="2"/>
        <scheme val="major"/>
      </rPr>
      <t>. No use celdas adicionales, a menos de que se indique lo contrario.</t>
    </r>
  </si>
  <si>
    <t>La solución desarrollada debe ser independiente de la información consignada en las tablas o celdas respectivas. Es decir, su solución debe funcionar inclusive si los datos cambian.</t>
  </si>
  <si>
    <r>
      <t xml:space="preserve">Tenga en cuenta que las tablas de datos </t>
    </r>
    <r>
      <rPr>
        <b/>
        <sz val="12"/>
        <color rgb="FF000000"/>
        <rFont val="Calibri Light"/>
        <family val="2"/>
        <scheme val="major"/>
      </rPr>
      <t>NO</t>
    </r>
    <r>
      <rPr>
        <sz val="12"/>
        <color rgb="FF000000"/>
        <rFont val="Calibri Light"/>
        <family val="2"/>
        <scheme val="major"/>
      </rPr>
      <t xml:space="preserve"> podrán ser modificadas por usted a menos que el enunciado sea explícito y lo permita. </t>
    </r>
    <r>
      <rPr>
        <b/>
        <sz val="12"/>
        <color rgb="FF000000"/>
        <rFont val="Calibri Light"/>
        <family val="2"/>
        <scheme val="major"/>
      </rPr>
      <t>NO</t>
    </r>
    <r>
      <rPr>
        <sz val="12"/>
        <color rgb="FF000000"/>
        <rFont val="Calibri Light"/>
        <family val="2"/>
        <scheme val="major"/>
      </rPr>
      <t xml:space="preserve"> se permite ordenar ni manipular los datos de las tablas.</t>
    </r>
  </si>
  <si>
    <r>
      <t xml:space="preserve">Para resolver dudas sobre estos ejercicios debe asistir a un horario de atención. </t>
    </r>
    <r>
      <rPr>
        <b/>
        <sz val="12"/>
        <color rgb="FF000000"/>
        <rFont val="Calibri Light"/>
        <family val="2"/>
        <scheme val="major"/>
      </rPr>
      <t>No se responderán preguntas por correo</t>
    </r>
    <r>
      <rPr>
        <sz val="12"/>
        <color rgb="FF000000"/>
        <rFont val="Calibri Light"/>
        <family val="2"/>
        <scheme val="major"/>
      </rPr>
      <t xml:space="preserve"> ni por ningún otro medio.</t>
    </r>
  </si>
  <si>
    <r>
      <t xml:space="preserve">Para cada ejercicio, la solución a la que se debe llegar se señala en color </t>
    </r>
    <r>
      <rPr>
        <b/>
        <sz val="12"/>
        <color rgb="FFFFC000"/>
        <rFont val="Calibri Light"/>
        <family val="2"/>
        <scheme val="major"/>
      </rPr>
      <t>amarillo</t>
    </r>
    <r>
      <rPr>
        <sz val="12"/>
        <color rgb="FF000000"/>
        <rFont val="Calibri Light"/>
        <family val="2"/>
        <scheme val="major"/>
      </rPr>
      <t xml:space="preserve">. </t>
    </r>
  </si>
  <si>
    <t>Resolver estos ejercicios es lo mínimo que debe hacer para preparar el examen. Se recomienda revisar detalladamente todo el material del curso (p. ej., talleres magistrales o complementarias).</t>
  </si>
  <si>
    <r>
      <t xml:space="preserve">Los ejercicios no pretenden ser exhaustivos ni cubrir todos los temas del Examen 1. Recuerde que el Examen 1 abarca todos los temas de Excel vistos hasta (e incluyendo) </t>
    </r>
    <r>
      <rPr>
        <sz val="12"/>
        <color rgb="FF000000"/>
        <rFont val="Courier New"/>
        <family val="3"/>
      </rPr>
      <t>Solver</t>
    </r>
    <r>
      <rPr>
        <sz val="12"/>
        <color rgb="FF000000"/>
        <rFont val="Calibri Light"/>
        <family val="2"/>
        <scheme val="major"/>
      </rPr>
      <t xml:space="preserve"> y </t>
    </r>
    <r>
      <rPr>
        <sz val="12"/>
        <color rgb="FF000000"/>
        <rFont val="Courier New"/>
        <family val="3"/>
      </rPr>
      <t>Buscar Objetivo</t>
    </r>
    <r>
      <rPr>
        <sz val="12"/>
        <color rgb="FF000000"/>
        <rFont val="Calibri Light"/>
        <family val="2"/>
        <scheme val="major"/>
      </rPr>
      <t xml:space="preserve">. Es </t>
    </r>
    <r>
      <rPr>
        <b/>
        <sz val="12"/>
        <color rgb="FF000000"/>
        <rFont val="Calibri Light"/>
        <family val="2"/>
        <scheme val="major"/>
      </rPr>
      <t>su responsabilidad</t>
    </r>
    <r>
      <rPr>
        <sz val="12"/>
        <color rgb="FF000000"/>
        <rFont val="Calibri Light"/>
        <family val="2"/>
        <scheme val="major"/>
      </rPr>
      <t xml:space="preserve"> revisar, estudiar y entender todos los temas que abarca el examen.</t>
    </r>
  </si>
  <si>
    <t>En los enunciados se utiliza la coma "," como separador decimal y el punto "." como separador de miles.</t>
  </si>
  <si>
    <t>Ejercicio 1</t>
  </si>
  <si>
    <r>
      <t xml:space="preserve">En la celda </t>
    </r>
    <r>
      <rPr>
        <b/>
        <sz val="11"/>
        <color theme="1"/>
        <rFont val="Courier New"/>
        <family val="3"/>
      </rPr>
      <t>C12</t>
    </r>
    <r>
      <rPr>
        <sz val="11"/>
        <color theme="1"/>
        <rFont val="Calibri Light"/>
        <family val="2"/>
        <scheme val="major"/>
      </rPr>
      <t xml:space="preserve">, implemente una función que retorne "Sí" en caso de que el año en la celda </t>
    </r>
    <r>
      <rPr>
        <b/>
        <sz val="11"/>
        <color theme="1"/>
        <rFont val="Courier New"/>
        <family val="3"/>
      </rPr>
      <t>C11</t>
    </r>
    <r>
      <rPr>
        <sz val="11"/>
        <color theme="1"/>
        <rFont val="Calibri Light"/>
        <family val="2"/>
        <scheme val="major"/>
      </rPr>
      <t xml:space="preserve"> sea un año bisiesto y "No" en caso contrario. Recuerde que un año es bisiesto si:
</t>
    </r>
    <r>
      <rPr>
        <sz val="11"/>
        <color theme="1"/>
        <rFont val="Calibri"/>
        <family val="2"/>
      </rPr>
      <t>•</t>
    </r>
    <r>
      <rPr>
        <sz val="11"/>
        <color theme="1"/>
        <rFont val="Calibri Light"/>
        <family val="2"/>
      </rPr>
      <t xml:space="preserve"> Es divisible por 400; </t>
    </r>
    <r>
      <rPr>
        <b/>
        <sz val="11"/>
        <color theme="1"/>
        <rFont val="Calibri Light"/>
        <family val="2"/>
      </rPr>
      <t xml:space="preserve">o </t>
    </r>
    <r>
      <rPr>
        <sz val="11"/>
        <color theme="1"/>
        <rFont val="Calibri Light"/>
        <family val="2"/>
      </rPr>
      <t xml:space="preserve">
</t>
    </r>
    <r>
      <rPr>
        <sz val="11"/>
        <color theme="1"/>
        <rFont val="Calibri Light"/>
        <family val="2"/>
        <scheme val="major"/>
      </rPr>
      <t xml:space="preserve">• es divisible por 4 </t>
    </r>
    <r>
      <rPr>
        <b/>
        <sz val="11"/>
        <color theme="1"/>
        <rFont val="Calibri Light"/>
        <family val="2"/>
        <scheme val="major"/>
      </rPr>
      <t>y</t>
    </r>
    <r>
      <rPr>
        <sz val="11"/>
        <color theme="1"/>
        <rFont val="Calibri Light"/>
        <family val="2"/>
        <scheme val="major"/>
      </rPr>
      <t xml:space="preserve"> no es divisible por 100.</t>
    </r>
  </si>
  <si>
    <t>Respuesta</t>
  </si>
  <si>
    <t>Año</t>
  </si>
  <si>
    <t>¿Es bisiesto?</t>
  </si>
  <si>
    <t>No</t>
  </si>
  <si>
    <t>Sí</t>
  </si>
  <si>
    <t>Ejercicio 2</t>
  </si>
  <si>
    <r>
      <t xml:space="preserve">Con la información de la Tabla 1:
</t>
    </r>
    <r>
      <rPr>
        <b/>
        <sz val="11"/>
        <rFont val="Calibri Light"/>
        <family val="2"/>
        <scheme val="major"/>
      </rPr>
      <t>a.</t>
    </r>
    <r>
      <rPr>
        <sz val="11"/>
        <rFont val="Calibri Light"/>
        <family val="2"/>
        <scheme val="major"/>
      </rPr>
      <t xml:space="preserve"> En la celda </t>
    </r>
    <r>
      <rPr>
        <b/>
        <sz val="11"/>
        <rFont val="Courier New"/>
        <family val="3"/>
      </rPr>
      <t>I13</t>
    </r>
    <r>
      <rPr>
        <b/>
        <sz val="11"/>
        <rFont val="Calibri Light"/>
        <family val="2"/>
        <scheme val="major"/>
      </rPr>
      <t>,</t>
    </r>
    <r>
      <rPr>
        <sz val="11"/>
        <rFont val="Calibri Light"/>
        <family val="2"/>
        <scheme val="major"/>
      </rPr>
      <t xml:space="preserve"> halle la cantidad de películas del estudio "Walt Disney Pictures" cuyos ingresos mundiales fueron menores a 1,0 </t>
    </r>
    <r>
      <rPr>
        <b/>
        <sz val="11"/>
        <rFont val="Calibri Light"/>
        <family val="2"/>
        <scheme val="major"/>
      </rPr>
      <t>o</t>
    </r>
    <r>
      <rPr>
        <sz val="11"/>
        <rFont val="Calibri Light"/>
        <family val="2"/>
        <scheme val="major"/>
      </rPr>
      <t xml:space="preserve"> mayores a 2,5 (miles de millones de USD).
</t>
    </r>
    <r>
      <rPr>
        <b/>
        <sz val="11"/>
        <rFont val="Calibri Light"/>
        <family val="2"/>
        <scheme val="major"/>
      </rPr>
      <t>b.</t>
    </r>
    <r>
      <rPr>
        <sz val="11"/>
        <rFont val="Calibri Light"/>
        <family val="2"/>
        <scheme val="major"/>
      </rPr>
      <t xml:space="preserve"> En la celda </t>
    </r>
    <r>
      <rPr>
        <b/>
        <sz val="11"/>
        <rFont val="Courier New"/>
        <family val="3"/>
      </rPr>
      <t>I14</t>
    </r>
    <r>
      <rPr>
        <sz val="11"/>
        <rFont val="Calibri Light"/>
        <family val="2"/>
        <scheme val="major"/>
      </rPr>
      <t xml:space="preserve">, halle los ingresos totales del estudio "Marvel Studios" de sus películas del género de Acción.
</t>
    </r>
    <r>
      <rPr>
        <b/>
        <sz val="11"/>
        <rFont val="Calibri Light"/>
        <family val="2"/>
        <scheme val="major"/>
      </rPr>
      <t>c.</t>
    </r>
    <r>
      <rPr>
        <sz val="11"/>
        <rFont val="Calibri Light"/>
        <family val="2"/>
        <scheme val="major"/>
      </rPr>
      <t xml:space="preserve"> En la celda </t>
    </r>
    <r>
      <rPr>
        <b/>
        <sz val="11"/>
        <rFont val="Courier New"/>
        <family val="3"/>
      </rPr>
      <t>I15</t>
    </r>
    <r>
      <rPr>
        <sz val="11"/>
        <rFont val="Calibri Light"/>
        <family val="2"/>
        <scheme val="major"/>
      </rPr>
      <t xml:space="preserve">, halle el número de películas con un ingreso mayor al ingreso promedio de las películas en la tabla.    </t>
    </r>
  </si>
  <si>
    <t>Tabla 1. Información películas.</t>
  </si>
  <si>
    <t>Título</t>
  </si>
  <si>
    <t>Género</t>
  </si>
  <si>
    <t>Director</t>
  </si>
  <si>
    <t>Estudio</t>
  </si>
  <si>
    <t>Ingresos 
(miles de millones de USD)</t>
  </si>
  <si>
    <t>Avatar</t>
  </si>
  <si>
    <t>Ciencia Ficción</t>
  </si>
  <si>
    <t>James Cameron</t>
  </si>
  <si>
    <t>20th Century Fox</t>
  </si>
  <si>
    <t>Inciso a</t>
  </si>
  <si>
    <t>Avengers: Endgame</t>
  </si>
  <si>
    <t>Acción</t>
  </si>
  <si>
    <t>Anthony y Joe Russo</t>
  </si>
  <si>
    <t>Marvel Studios</t>
  </si>
  <si>
    <t>Inciso b</t>
  </si>
  <si>
    <t>Titanic</t>
  </si>
  <si>
    <t>Drama</t>
  </si>
  <si>
    <t>Paramount Pictures</t>
  </si>
  <si>
    <t>Inciso c</t>
  </si>
  <si>
    <t>The Lion King</t>
  </si>
  <si>
    <t>Animación</t>
  </si>
  <si>
    <t>Jon Favreau</t>
  </si>
  <si>
    <t>Walt Disney Pictures</t>
  </si>
  <si>
    <t>Star Wars: The Force Awakens</t>
  </si>
  <si>
    <t>Fantasía</t>
  </si>
  <si>
    <t>J.J. Abrams</t>
  </si>
  <si>
    <t>Lucasfilm</t>
  </si>
  <si>
    <t>Frozen</t>
  </si>
  <si>
    <t>Chris Buck</t>
  </si>
  <si>
    <t>Avengers: Infinity War</t>
  </si>
  <si>
    <t>The Incredibles</t>
  </si>
  <si>
    <t>Brad Bird</t>
  </si>
  <si>
    <t>Pixar Animation Studios</t>
  </si>
  <si>
    <t>Jurassic Park</t>
  </si>
  <si>
    <t>Aventura</t>
  </si>
  <si>
    <t>Steven Spielberg</t>
  </si>
  <si>
    <t>Universal Pictures</t>
  </si>
  <si>
    <t>The Dark Knight</t>
  </si>
  <si>
    <t>Christopher Nolan</t>
  </si>
  <si>
    <t>Warner Bros.</t>
  </si>
  <si>
    <t>The Lord of the Rings</t>
  </si>
  <si>
    <t>Peter Jackson</t>
  </si>
  <si>
    <t>New Line Cinema</t>
  </si>
  <si>
    <t>Jaws</t>
  </si>
  <si>
    <t>Suspense</t>
  </si>
  <si>
    <t>Toy Story 4</t>
  </si>
  <si>
    <t>Josh Cooley</t>
  </si>
  <si>
    <t>Black Panther</t>
  </si>
  <si>
    <t>Ryan Coogler</t>
  </si>
  <si>
    <t>The Sound of Music</t>
  </si>
  <si>
    <t>Musical</t>
  </si>
  <si>
    <t>Robert Wise</t>
  </si>
  <si>
    <t>Potter and the Philosopher's Stone</t>
  </si>
  <si>
    <t>Chris Columbus</t>
  </si>
  <si>
    <t>Wonder Woman</t>
  </si>
  <si>
    <t>Patty Jenkins</t>
  </si>
  <si>
    <t>The Avengers</t>
  </si>
  <si>
    <t>Joss Whedon</t>
  </si>
  <si>
    <t>The Jungle Book</t>
  </si>
  <si>
    <t>Interstellar</t>
  </si>
  <si>
    <t>Finding Dory</t>
  </si>
  <si>
    <t>Andrew Stanton</t>
  </si>
  <si>
    <t>Inception</t>
  </si>
  <si>
    <t>The Fate of the Furious</t>
  </si>
  <si>
    <t>F. Gary Gray</t>
  </si>
  <si>
    <t>Minions</t>
  </si>
  <si>
    <t>Kyle Balda</t>
  </si>
  <si>
    <t>Aquaman</t>
  </si>
  <si>
    <t>James Wan</t>
  </si>
  <si>
    <t>Toy Story 3</t>
  </si>
  <si>
    <t>Lee Unkrich</t>
  </si>
  <si>
    <t>Pirates of the Caribbean: Dead Man's</t>
  </si>
  <si>
    <t>Gore Verbinski</t>
  </si>
  <si>
    <t>Skyfall</t>
  </si>
  <si>
    <t>Sam Mendes</t>
  </si>
  <si>
    <t>Metro-Goldwyn-Mayer</t>
  </si>
  <si>
    <t>The Dark Knight Rises</t>
  </si>
  <si>
    <t>Despicable Me 3</t>
  </si>
  <si>
    <t>The Phantom Menace</t>
  </si>
  <si>
    <t>George Lucas</t>
  </si>
  <si>
    <t>Alice in Wonderland</t>
  </si>
  <si>
    <t>Tim Burton</t>
  </si>
  <si>
    <t>Zootopia</t>
  </si>
  <si>
    <t>Byron Howard</t>
  </si>
  <si>
    <t>The Hobbit: An Unexpected Journey</t>
  </si>
  <si>
    <t>Finding Nemo</t>
  </si>
  <si>
    <t>Potter and the Deathly Hallows – Part 2</t>
  </si>
  <si>
    <t>David Yates</t>
  </si>
  <si>
    <t>The Return of the King</t>
  </si>
  <si>
    <t>Spider-Man: Far From Home</t>
  </si>
  <si>
    <t>Jon Watts</t>
  </si>
  <si>
    <t>Columbia Pictures</t>
  </si>
  <si>
    <t>Transformers: Dark of the Moon</t>
  </si>
  <si>
    <t>Michael Bay</t>
  </si>
  <si>
    <t>Joker</t>
  </si>
  <si>
    <t>Todd Phillips</t>
  </si>
  <si>
    <t>Aladdin</t>
  </si>
  <si>
    <t>Guy Ritchie</t>
  </si>
  <si>
    <t>Captain Marvel</t>
  </si>
  <si>
    <t>Anna Boden</t>
  </si>
  <si>
    <t>Jurassic World: Fallen Kingdom</t>
  </si>
  <si>
    <t>J.A. Bayona</t>
  </si>
  <si>
    <t>Rob Minkoff</t>
  </si>
  <si>
    <t>Frozen II</t>
  </si>
  <si>
    <t>Beauty and the Beast</t>
  </si>
  <si>
    <t>Bill Condon</t>
  </si>
  <si>
    <t>The Hobbit: The Desolation of Smaug</t>
  </si>
  <si>
    <t>Hobbit: The Battle of the Five Armies</t>
  </si>
  <si>
    <t xml:space="preserve"> Breaking Dawn – Part 2</t>
  </si>
  <si>
    <t>Lionsgate</t>
  </si>
  <si>
    <t>The Hunger Games: Catching Fire</t>
  </si>
  <si>
    <t>Francis Lawrence</t>
  </si>
  <si>
    <t>The Secret Life of Pets</t>
  </si>
  <si>
    <t>Chris Renaud</t>
  </si>
  <si>
    <t>Illumination Entertainment</t>
  </si>
  <si>
    <t>Inside Out</t>
  </si>
  <si>
    <t>Pete Docter</t>
  </si>
  <si>
    <t>Furious 7</t>
  </si>
  <si>
    <t xml:space="preserve"> The Fellowship of the Ring</t>
  </si>
  <si>
    <t>The Twilight Saga: Eclipse</t>
  </si>
  <si>
    <t>David Slade</t>
  </si>
  <si>
    <t>Summit Entertainment</t>
  </si>
  <si>
    <t>Doctor Strange</t>
  </si>
  <si>
    <t>Scott Derrickson</t>
  </si>
  <si>
    <t>Spider-Man: No Way Home</t>
  </si>
  <si>
    <t>Harry Potter and the Half-Blood Prince</t>
  </si>
  <si>
    <t>The Twilight Saga: New Moon</t>
  </si>
  <si>
    <t>Chris Weitz</t>
  </si>
  <si>
    <t>The Chronicles of Narnia: The Lion</t>
  </si>
  <si>
    <t xml:space="preserve"> the Witch and the Wardrobe</t>
  </si>
  <si>
    <t>Shrek 2</t>
  </si>
  <si>
    <t>Andrew Adamson</t>
  </si>
  <si>
    <t>DreamWorks Animation</t>
  </si>
  <si>
    <t>The Twilight Saga</t>
  </si>
  <si>
    <t>On Stranger Tides</t>
  </si>
  <si>
    <t>Rob Marshall</t>
  </si>
  <si>
    <t>The Hunger Games</t>
  </si>
  <si>
    <t>Gary Ross</t>
  </si>
  <si>
    <t>Toy Story 2</t>
  </si>
  <si>
    <t>John Lasseter</t>
  </si>
  <si>
    <t>Toy Story</t>
  </si>
  <si>
    <t>Ejercicio 3</t>
  </si>
  <si>
    <r>
      <t xml:space="preserve">Cree </t>
    </r>
    <r>
      <rPr>
        <b/>
        <sz val="11"/>
        <color theme="1"/>
        <rFont val="Calibri Light"/>
        <family val="2"/>
        <scheme val="major"/>
      </rPr>
      <t>una única fórmula arrastrable</t>
    </r>
    <r>
      <rPr>
        <sz val="11"/>
        <color theme="1"/>
        <rFont val="Calibri Light"/>
        <family val="2"/>
        <scheme val="major"/>
      </rPr>
      <t xml:space="preserve"> en la celda </t>
    </r>
    <r>
      <rPr>
        <b/>
        <sz val="11"/>
        <color theme="1"/>
        <rFont val="Courier New"/>
        <family val="3"/>
      </rPr>
      <t>D16</t>
    </r>
    <r>
      <rPr>
        <sz val="11"/>
        <color theme="1"/>
        <rFont val="Calibri Light"/>
        <family val="2"/>
        <scheme val="major"/>
      </rPr>
      <t xml:space="preserve"> para llenar la Tabla 1 según la fórmula </t>
    </r>
    <r>
      <rPr>
        <i/>
        <sz val="11"/>
        <color theme="1"/>
        <rFont val="Cambria"/>
        <family val="1"/>
      </rPr>
      <t>r</t>
    </r>
    <r>
      <rPr>
        <sz val="11"/>
        <color theme="1"/>
        <rFont val="Calibri Light"/>
        <family val="2"/>
        <scheme val="major"/>
      </rPr>
      <t xml:space="preserve"> indicada. Para cada celda de dicha tabla debe evaluar la fórmula con la </t>
    </r>
    <r>
      <rPr>
        <sz val="11"/>
        <color theme="1"/>
        <rFont val="Courier New"/>
        <family val="3"/>
      </rPr>
      <t>x</t>
    </r>
    <r>
      <rPr>
        <sz val="11"/>
        <color theme="1"/>
        <rFont val="Calibri Light"/>
        <family val="2"/>
        <scheme val="major"/>
      </rPr>
      <t xml:space="preserve"> y </t>
    </r>
    <r>
      <rPr>
        <sz val="11"/>
        <color theme="1"/>
        <rFont val="Courier New"/>
        <family val="3"/>
      </rPr>
      <t>w</t>
    </r>
    <r>
      <rPr>
        <sz val="11"/>
        <color theme="1"/>
        <rFont val="Calibri Light"/>
        <family val="2"/>
        <scheme val="major"/>
      </rPr>
      <t xml:space="preserve"> de la columna correspondiente; y la </t>
    </r>
    <r>
      <rPr>
        <sz val="11"/>
        <color theme="1"/>
        <rFont val="Courier New"/>
        <family val="3"/>
      </rPr>
      <t>y</t>
    </r>
    <r>
      <rPr>
        <sz val="11"/>
        <color theme="1"/>
        <rFont val="Calibri Light"/>
        <family val="2"/>
        <scheme val="major"/>
      </rPr>
      <t xml:space="preserve"> y </t>
    </r>
    <r>
      <rPr>
        <sz val="11"/>
        <color theme="1"/>
        <rFont val="Courier New"/>
        <family val="3"/>
      </rPr>
      <t>z</t>
    </r>
    <r>
      <rPr>
        <sz val="11"/>
        <color theme="1"/>
        <rFont val="Calibri Light"/>
        <family val="2"/>
        <scheme val="major"/>
      </rPr>
      <t xml:space="preserve"> de la fila correspondiente. Por ejemplo, para la celda </t>
    </r>
    <r>
      <rPr>
        <b/>
        <sz val="11"/>
        <color theme="1"/>
        <rFont val="Courier New"/>
        <family val="3"/>
      </rPr>
      <t>D16</t>
    </r>
    <r>
      <rPr>
        <sz val="11"/>
        <color theme="1"/>
        <rFont val="Calibri Light"/>
        <family val="2"/>
        <scheme val="major"/>
      </rPr>
      <t xml:space="preserve">: </t>
    </r>
    <r>
      <rPr>
        <sz val="11"/>
        <color theme="1"/>
        <rFont val="Courier New"/>
        <family val="3"/>
      </rPr>
      <t>x</t>
    </r>
    <r>
      <rPr>
        <sz val="11"/>
        <color theme="1"/>
        <rFont val="Calibri Light"/>
        <family val="2"/>
        <scheme val="major"/>
      </rPr>
      <t xml:space="preserve"> = 2; </t>
    </r>
    <r>
      <rPr>
        <sz val="11"/>
        <color theme="1"/>
        <rFont val="Courier New"/>
        <family val="3"/>
      </rPr>
      <t>w</t>
    </r>
    <r>
      <rPr>
        <sz val="11"/>
        <color theme="1"/>
        <rFont val="Calibri Light"/>
        <family val="2"/>
        <scheme val="major"/>
      </rPr>
      <t xml:space="preserve"> = 0.13; </t>
    </r>
    <r>
      <rPr>
        <sz val="11"/>
        <color theme="1"/>
        <rFont val="Courier New"/>
        <family val="3"/>
      </rPr>
      <t>y</t>
    </r>
    <r>
      <rPr>
        <sz val="11"/>
        <color theme="1"/>
        <rFont val="Calibri Light"/>
        <family val="2"/>
        <scheme val="major"/>
      </rPr>
      <t xml:space="preserve"> = 2.8; </t>
    </r>
    <r>
      <rPr>
        <sz val="11"/>
        <color theme="1"/>
        <rFont val="Courier New"/>
        <family val="3"/>
      </rPr>
      <t>z</t>
    </r>
    <r>
      <rPr>
        <sz val="11"/>
        <color theme="1"/>
        <rFont val="Calibri Light"/>
        <family val="2"/>
        <scheme val="major"/>
      </rPr>
      <t xml:space="preserve"> = 8. </t>
    </r>
  </si>
  <si>
    <t>x →</t>
  </si>
  <si>
    <t>w →</t>
  </si>
  <si>
    <t>y ↓</t>
  </si>
  <si>
    <t>z ↓</t>
  </si>
  <si>
    <t>Tabla 1</t>
  </si>
  <si>
    <t>Ejercicio 4</t>
  </si>
  <si>
    <r>
      <t xml:space="preserve">Para cada estudiante, la "Información disponible" está cifrada como: </t>
    </r>
    <r>
      <rPr>
        <sz val="11"/>
        <color theme="1"/>
        <rFont val="Consolas"/>
        <family val="3"/>
      </rPr>
      <t>Nombre</t>
    </r>
    <r>
      <rPr>
        <sz val="11"/>
        <color theme="1"/>
        <rFont val="Calibri Light"/>
        <family val="2"/>
        <scheme val="major"/>
      </rPr>
      <t>_</t>
    </r>
    <r>
      <rPr>
        <sz val="11"/>
        <color theme="1"/>
        <rFont val="Consolas"/>
        <family val="3"/>
      </rPr>
      <t>FechaPrimerInicio</t>
    </r>
    <r>
      <rPr>
        <sz val="11"/>
        <color theme="1"/>
        <rFont val="Calibri Light"/>
        <family val="2"/>
        <scheme val="major"/>
      </rPr>
      <t>_</t>
    </r>
    <r>
      <rPr>
        <sz val="11"/>
        <color theme="1"/>
        <rFont val="Consolas"/>
        <family val="3"/>
      </rPr>
      <t>FechaUltimoInicio</t>
    </r>
    <r>
      <rPr>
        <sz val="11"/>
        <color theme="1"/>
        <rFont val="Calibri Light"/>
        <family val="2"/>
        <scheme val="major"/>
      </rPr>
      <t>_</t>
    </r>
    <r>
      <rPr>
        <sz val="11"/>
        <color theme="1"/>
        <rFont val="Consolas"/>
        <family val="3"/>
      </rPr>
      <t>SemestreActual</t>
    </r>
    <r>
      <rPr>
        <sz val="11"/>
        <color theme="1"/>
        <rFont val="Calibri Light"/>
        <family val="2"/>
        <scheme val="major"/>
      </rPr>
      <t xml:space="preserve">. </t>
    </r>
    <r>
      <rPr>
        <sz val="11"/>
        <color theme="1"/>
        <rFont val="Consolas"/>
        <family val="3"/>
      </rPr>
      <t>FechaPrimerInicio</t>
    </r>
    <r>
      <rPr>
        <sz val="11"/>
        <color theme="1"/>
        <rFont val="Calibri Light"/>
        <family val="2"/>
        <scheme val="major"/>
      </rPr>
      <t xml:space="preserve"> y </t>
    </r>
    <r>
      <rPr>
        <sz val="11"/>
        <color theme="1"/>
        <rFont val="Consolas"/>
        <family val="3"/>
      </rPr>
      <t>FechaUltimoInicio</t>
    </r>
    <r>
      <rPr>
        <sz val="11"/>
        <color theme="1"/>
        <rFont val="Calibri Light"/>
        <family val="2"/>
        <scheme val="major"/>
      </rPr>
      <t xml:space="preserve"> corresponden a las fechas (en formato </t>
    </r>
    <r>
      <rPr>
        <sz val="11"/>
        <color theme="1"/>
        <rFont val="Courier New"/>
        <family val="3"/>
      </rPr>
      <t>DD/MM/AAAA</t>
    </r>
    <r>
      <rPr>
        <sz val="11"/>
        <color theme="1"/>
        <rFont val="Calibri Light"/>
        <family val="2"/>
        <scheme val="major"/>
      </rPr>
      <t xml:space="preserve">) en las que se registró el primer y el último inicio de sesión del estudiante a Bloque Neón. En la celda </t>
    </r>
    <r>
      <rPr>
        <b/>
        <sz val="11"/>
        <color theme="1"/>
        <rFont val="Courier New"/>
        <family val="3"/>
      </rPr>
      <t>C14</t>
    </r>
    <r>
      <rPr>
        <sz val="11"/>
        <color theme="1"/>
        <rFont val="Calibri Light"/>
        <family val="2"/>
        <scheme val="major"/>
      </rPr>
      <t xml:space="preserve">, diseñe </t>
    </r>
    <r>
      <rPr>
        <b/>
        <sz val="11"/>
        <color theme="1"/>
        <rFont val="Calibri Light"/>
        <family val="2"/>
        <scheme val="major"/>
      </rPr>
      <t>una única fórmula arrastrable</t>
    </r>
    <r>
      <rPr>
        <sz val="11"/>
        <color theme="1"/>
        <rFont val="Calibri Light"/>
        <family val="2"/>
        <scheme val="major"/>
      </rPr>
      <t xml:space="preserve"> que calcule el número de días entre el primer y el último inicio de sesión de cada estudiante.   </t>
    </r>
  </si>
  <si>
    <t>Información disponible</t>
  </si>
  <si>
    <t>Información solicitada</t>
  </si>
  <si>
    <t>Juan_08/05/2023_20/12/2023_1</t>
  </si>
  <si>
    <t>Maria_15/08/2023_10/12/2023_2</t>
  </si>
  <si>
    <t>Carlos_10/09/2023_25/12/2023_1</t>
  </si>
  <si>
    <t>Laura_22/08/2023_15/12/2023_2</t>
  </si>
  <si>
    <t>Andres_08/10/2023_02/12/2023_1</t>
  </si>
  <si>
    <t>Sofia_18/09/2023_10/12/2023_2</t>
  </si>
  <si>
    <t>Javier_12/08/2023_28/11/2023_1</t>
  </si>
  <si>
    <t>Gabriela_03/11/2023_20/12/2023_2</t>
  </si>
  <si>
    <t>Alejandro_25/08/2023_15/12/2023_1</t>
  </si>
  <si>
    <t>Ana_10/09/2023_05/12/2023_2</t>
  </si>
  <si>
    <t>Oscar_15/09/2023_10/12/2023_3</t>
  </si>
  <si>
    <t>Elena_08/10/2023_25/11/2023_4</t>
  </si>
  <si>
    <t>Luis_22/08/2023_15/12/2023_3</t>
  </si>
  <si>
    <t>Marta_10/09/2023_02/12/2023_4</t>
  </si>
  <si>
    <t>Daniel_05/11/2023_20/12/2023_3</t>
  </si>
  <si>
    <t>Ejercicio 5</t>
  </si>
  <si>
    <r>
      <t xml:space="preserve">La empresa </t>
    </r>
    <r>
      <rPr>
        <i/>
        <sz val="11"/>
        <color theme="1"/>
        <rFont val="Calibri Light"/>
        <family val="2"/>
        <scheme val="major"/>
      </rPr>
      <t>InverSAD</t>
    </r>
    <r>
      <rPr>
        <sz val="11"/>
        <color theme="1"/>
        <rFont val="Calibri Light"/>
        <family val="2"/>
        <scheme val="major"/>
      </rPr>
      <t xml:space="preserve"> ha tomado la decisión de pagarles a sus empleados el primer martes de cada mes. En la celda </t>
    </r>
    <r>
      <rPr>
        <b/>
        <sz val="11"/>
        <color theme="1"/>
        <rFont val="Courier New"/>
        <family val="3"/>
      </rPr>
      <t>C14</t>
    </r>
    <r>
      <rPr>
        <sz val="11"/>
        <color theme="1"/>
        <rFont val="Calibri Light"/>
        <family val="2"/>
        <scheme val="major"/>
      </rPr>
      <t xml:space="preserve">, diseñe una fórmula que retorne la fecha correspondiente al primer martes del mes en la celda </t>
    </r>
    <r>
      <rPr>
        <b/>
        <sz val="11"/>
        <color theme="1"/>
        <rFont val="Courier New"/>
        <family val="3"/>
      </rPr>
      <t>C13</t>
    </r>
    <r>
      <rPr>
        <sz val="11"/>
        <color theme="1"/>
        <rFont val="Calibri Light"/>
        <family val="2"/>
        <scheme val="major"/>
      </rPr>
      <t xml:space="preserve"> y el año en la celda </t>
    </r>
    <r>
      <rPr>
        <b/>
        <sz val="11"/>
        <color theme="1"/>
        <rFont val="Courier New"/>
        <family val="3"/>
      </rPr>
      <t>C12</t>
    </r>
    <r>
      <rPr>
        <sz val="11"/>
        <color theme="1"/>
        <rFont val="Calibri Light"/>
        <family val="2"/>
        <scheme val="major"/>
      </rPr>
      <t xml:space="preserve">. </t>
    </r>
  </si>
  <si>
    <t>Mes</t>
  </si>
  <si>
    <t>Primer martes</t>
  </si>
  <si>
    <t>Ejercicio 6a</t>
  </si>
  <si>
    <t>Ejercicio 6b</t>
  </si>
  <si>
    <r>
      <t>La Tabla 1 muestra el número de comparendos que ocurren en cada localidad. La Tabla 2 muestra las posiciones en el E</t>
    </r>
    <r>
      <rPr>
        <sz val="11"/>
        <color theme="1"/>
        <rFont val="Courier New"/>
        <family val="3"/>
      </rPr>
      <t>je X</t>
    </r>
    <r>
      <rPr>
        <sz val="11"/>
        <color theme="1"/>
        <rFont val="Calibri Light"/>
        <family val="2"/>
        <scheme val="major"/>
      </rPr>
      <t xml:space="preserve"> y en el E</t>
    </r>
    <r>
      <rPr>
        <sz val="11"/>
        <color theme="1"/>
        <rFont val="Courier New"/>
        <family val="3"/>
      </rPr>
      <t>je Y</t>
    </r>
    <r>
      <rPr>
        <sz val="11"/>
        <color theme="1"/>
        <rFont val="Calibri Light"/>
        <family val="2"/>
        <scheme val="major"/>
      </rPr>
      <t xml:space="preserve"> de cada localidad en el mapa ubicado en el rango </t>
    </r>
    <r>
      <rPr>
        <b/>
        <sz val="11"/>
        <color theme="1"/>
        <rFont val="Courier New"/>
        <family val="3"/>
      </rPr>
      <t>D11:T53</t>
    </r>
    <r>
      <rPr>
        <sz val="11"/>
        <color theme="1"/>
        <rFont val="Calibri Light"/>
        <family val="2"/>
        <scheme val="major"/>
      </rPr>
      <t xml:space="preserve">. Por ejemplo, la celda </t>
    </r>
    <r>
      <rPr>
        <b/>
        <sz val="11"/>
        <color theme="1"/>
        <rFont val="Courier New"/>
        <family val="3"/>
      </rPr>
      <t>R11</t>
    </r>
    <r>
      <rPr>
        <sz val="11"/>
        <color theme="1"/>
        <rFont val="Calibri Light"/>
        <family val="2"/>
        <scheme val="major"/>
      </rPr>
      <t xml:space="preserve"> corresponde a la localidad de Usaquén dado que su coordenada </t>
    </r>
    <r>
      <rPr>
        <sz val="11"/>
        <color theme="1"/>
        <rFont val="Courier New"/>
        <family val="3"/>
      </rPr>
      <t>Y</t>
    </r>
    <r>
      <rPr>
        <sz val="11"/>
        <color theme="1"/>
        <rFont val="Calibri Light"/>
        <family val="2"/>
        <scheme val="major"/>
      </rPr>
      <t xml:space="preserve"> es 1 y su coordenada </t>
    </r>
    <r>
      <rPr>
        <sz val="11"/>
        <color theme="1"/>
        <rFont val="Courier New"/>
        <family val="3"/>
      </rPr>
      <t>X</t>
    </r>
    <r>
      <rPr>
        <sz val="11"/>
        <color theme="1"/>
        <rFont val="Calibri Light"/>
        <family val="2"/>
        <scheme val="major"/>
      </rPr>
      <t xml:space="preserve"> es 15.
Realice una única fórmula en la celda </t>
    </r>
    <r>
      <rPr>
        <b/>
        <sz val="11"/>
        <color theme="1"/>
        <rFont val="Courier New"/>
        <family val="3"/>
      </rPr>
      <t>D11</t>
    </r>
    <r>
      <rPr>
        <sz val="11"/>
        <color theme="1"/>
        <rFont val="Calibri Light"/>
        <family val="2"/>
        <scheme val="major"/>
      </rPr>
      <t xml:space="preserve"> que se pueda arrastrar en el rango </t>
    </r>
    <r>
      <rPr>
        <b/>
        <sz val="11"/>
        <color theme="1"/>
        <rFont val="Courier New"/>
        <family val="3"/>
      </rPr>
      <t xml:space="preserve">D11:T53 </t>
    </r>
    <r>
      <rPr>
        <sz val="11"/>
        <color theme="1"/>
        <rFont val="Calibri Light"/>
        <family val="2"/>
        <scheme val="major"/>
      </rPr>
      <t xml:space="preserve">y muestre, para cada celda, el número de comparendos de acuerdo con la localidad a la que pertenece (según sus coordenadas) y la cantidad de comparendos de la Tabla 1. </t>
    </r>
  </si>
  <si>
    <r>
      <t xml:space="preserve">Tras haber completo el ejercicio 6a, ahora agregue un formato condicional en todas las celdas del rango </t>
    </r>
    <r>
      <rPr>
        <b/>
        <sz val="11"/>
        <color theme="1"/>
        <rFont val="Courier New"/>
        <family val="3"/>
      </rPr>
      <t>D11:T53</t>
    </r>
    <r>
      <rPr>
        <sz val="11"/>
        <color theme="1"/>
        <rFont val="Calibri Light"/>
        <family val="2"/>
        <scheme val="major"/>
      </rPr>
      <t xml:space="preserve"> así:
</t>
    </r>
    <r>
      <rPr>
        <sz val="11"/>
        <color theme="1"/>
        <rFont val="Calibri"/>
        <family val="2"/>
      </rPr>
      <t>• S</t>
    </r>
    <r>
      <rPr>
        <sz val="11"/>
        <color theme="1"/>
        <rFont val="Calibri Light"/>
        <family val="2"/>
        <scheme val="major"/>
      </rPr>
      <t xml:space="preserve">i el número de comparendos está entre 9 y 143 rellene de color verde;
• Si el número de comparendos está entre 144 y 246 rellene de color naranja; por último, 
• Si el número de comparendos está entre 247 y 321 rellene de color rojo. </t>
    </r>
  </si>
  <si>
    <t>Tabla 1. Comparendos por localidad.</t>
  </si>
  <si>
    <t>Tabla 2.  Ubicación de la localidad.</t>
  </si>
  <si>
    <t>Eje X</t>
  </si>
  <si>
    <t>Localidad</t>
  </si>
  <si>
    <t>Comparendos</t>
  </si>
  <si>
    <t>Eje Y</t>
  </si>
  <si>
    <t>ANTONIO NARIÑO</t>
  </si>
  <si>
    <t>SUBA</t>
  </si>
  <si>
    <t>BARRIOS UNIDOS</t>
  </si>
  <si>
    <t>BOSA</t>
  </si>
  <si>
    <t>CANDELARIA</t>
  </si>
  <si>
    <t>CHAPINERO</t>
  </si>
  <si>
    <t>USAQUEN</t>
  </si>
  <si>
    <t>CIUDAD BOLIVAR</t>
  </si>
  <si>
    <t>ENGATIVA</t>
  </si>
  <si>
    <t>FONTIBON</t>
  </si>
  <si>
    <t>KENNEDY</t>
  </si>
  <si>
    <t>MARTIRES</t>
  </si>
  <si>
    <t>PUENTE ARANDA</t>
  </si>
  <si>
    <t>RAFAEL URIBE</t>
  </si>
  <si>
    <t>SAN CRISTOBAL</t>
  </si>
  <si>
    <t>SANTA FE</t>
  </si>
  <si>
    <t>TEUSAQUILLO</t>
  </si>
  <si>
    <t>TUNJUELITO</t>
  </si>
  <si>
    <t>USME</t>
  </si>
  <si>
    <t>Ejercicio 7</t>
  </si>
  <si>
    <t>Tabla 2. Columna de cada característica.</t>
  </si>
  <si>
    <r>
      <t xml:space="preserve">La Tabla 1 muestra los vinos más vendidos y sus características. Al seleccionar un vino y una característica de interés en las celdas </t>
    </r>
    <r>
      <rPr>
        <b/>
        <sz val="11"/>
        <color theme="1"/>
        <rFont val="Courier New"/>
        <family val="3"/>
      </rPr>
      <t>L11</t>
    </r>
    <r>
      <rPr>
        <b/>
        <sz val="11"/>
        <color theme="1"/>
        <rFont val="Calibri Light"/>
        <family val="2"/>
        <scheme val="major"/>
      </rPr>
      <t xml:space="preserve"> </t>
    </r>
    <r>
      <rPr>
        <sz val="11"/>
        <color theme="1"/>
        <rFont val="Calibri Light"/>
        <family val="2"/>
        <scheme val="major"/>
      </rPr>
      <t xml:space="preserve">y </t>
    </r>
    <r>
      <rPr>
        <b/>
        <sz val="11"/>
        <color theme="1"/>
        <rFont val="Courier New"/>
        <family val="3"/>
      </rPr>
      <t>L12</t>
    </r>
    <r>
      <rPr>
        <b/>
        <sz val="11"/>
        <color theme="1"/>
        <rFont val="Calibri Light"/>
        <family val="2"/>
        <scheme val="major"/>
      </rPr>
      <t xml:space="preserve">, </t>
    </r>
    <r>
      <rPr>
        <sz val="11"/>
        <color theme="1"/>
        <rFont val="Calibri Light"/>
        <family val="2"/>
        <scheme val="major"/>
      </rPr>
      <t xml:space="preserve">diseñe una fórmula en la celda </t>
    </r>
    <r>
      <rPr>
        <b/>
        <sz val="11"/>
        <color theme="1"/>
        <rFont val="Courier New"/>
        <family val="3"/>
      </rPr>
      <t>L14</t>
    </r>
    <r>
      <rPr>
        <b/>
        <sz val="11"/>
        <color theme="1"/>
        <rFont val="Calibri Light"/>
        <family val="2"/>
        <scheme val="major"/>
      </rPr>
      <t xml:space="preserve"> </t>
    </r>
    <r>
      <rPr>
        <sz val="11"/>
        <color theme="1"/>
        <rFont val="Calibri Light"/>
        <family val="2"/>
        <scheme val="major"/>
      </rPr>
      <t>que</t>
    </r>
    <r>
      <rPr>
        <b/>
        <sz val="11"/>
        <color theme="1"/>
        <rFont val="Calibri Light"/>
        <family val="2"/>
        <scheme val="major"/>
      </rPr>
      <t xml:space="preserve"> </t>
    </r>
    <r>
      <rPr>
        <sz val="11"/>
        <color theme="1"/>
        <rFont val="Calibri Light"/>
        <family val="2"/>
        <scheme val="major"/>
      </rPr>
      <t xml:space="preserve">calcule </t>
    </r>
    <r>
      <rPr>
        <b/>
        <sz val="11"/>
        <color theme="1"/>
        <rFont val="Calibri Light"/>
        <family val="2"/>
        <scheme val="major"/>
      </rPr>
      <t>la razón entre el valor de la característica de interés para el vino seleccionado y el promedio de la característica</t>
    </r>
    <r>
      <rPr>
        <sz val="11"/>
        <color theme="1"/>
        <rFont val="Calibri Light"/>
        <family val="2"/>
        <scheme val="major"/>
      </rPr>
      <t xml:space="preserve">. En caso de considerarlo necesario, puede hacer uso de la Tabla 2. </t>
    </r>
  </si>
  <si>
    <t>Característica</t>
  </si>
  <si>
    <t>Columna</t>
  </si>
  <si>
    <t>Fixed acidity</t>
  </si>
  <si>
    <t>C</t>
  </si>
  <si>
    <t>Volatile acidity</t>
  </si>
  <si>
    <t>D</t>
  </si>
  <si>
    <t>Residual sugar</t>
  </si>
  <si>
    <t>E</t>
  </si>
  <si>
    <t>Total sulfur dioxide</t>
  </si>
  <si>
    <t>F</t>
  </si>
  <si>
    <t>pH</t>
  </si>
  <si>
    <t>G</t>
  </si>
  <si>
    <t>Alcohol</t>
  </si>
  <si>
    <t>H</t>
  </si>
  <si>
    <t>Tabla 1. Características de los vinos.</t>
  </si>
  <si>
    <t xml:space="preserve">Nombre </t>
  </si>
  <si>
    <t>Característica de interés</t>
  </si>
  <si>
    <t>Cabernet Sauvignon</t>
  </si>
  <si>
    <t xml:space="preserve">Vino de interés </t>
  </si>
  <si>
    <t>Merlot</t>
  </si>
  <si>
    <t>Chardonnay</t>
  </si>
  <si>
    <t>Razón</t>
  </si>
  <si>
    <t>Pinot Noir</t>
  </si>
  <si>
    <t>Sauvignon Blanc</t>
  </si>
  <si>
    <t>Shiraz</t>
  </si>
  <si>
    <t>Malbec</t>
  </si>
  <si>
    <t>Zinfandel</t>
  </si>
  <si>
    <t>Riesling</t>
  </si>
  <si>
    <t>Syrah</t>
  </si>
  <si>
    <t>Tempranillo</t>
  </si>
  <si>
    <t>Sangiovese</t>
  </si>
  <si>
    <t>Grenache</t>
  </si>
  <si>
    <t>Pinot Grigio</t>
  </si>
  <si>
    <t>Gewürztraminer</t>
  </si>
  <si>
    <t>Chenin Blanc</t>
  </si>
  <si>
    <t>Viognier</t>
  </si>
  <si>
    <t>Barbera</t>
  </si>
  <si>
    <t>Nebbiolo</t>
  </si>
  <si>
    <t>Muscat</t>
  </si>
  <si>
    <t>Carmenere</t>
  </si>
  <si>
    <t>Vermentino</t>
  </si>
  <si>
    <t>Petit Verdot</t>
  </si>
  <si>
    <t>Albariño</t>
  </si>
  <si>
    <t>Cabernet Franc</t>
  </si>
  <si>
    <t>Gamay</t>
  </si>
  <si>
    <t>Mourvèdre</t>
  </si>
  <si>
    <t>Marsanne</t>
  </si>
  <si>
    <t>Semillon</t>
  </si>
  <si>
    <t>Grüner Veltliner</t>
  </si>
  <si>
    <t>Tannat</t>
  </si>
  <si>
    <t>Dolcetto</t>
  </si>
  <si>
    <t>Montepulciano</t>
  </si>
  <si>
    <t>Torrontés</t>
  </si>
  <si>
    <t>Petit Manseng</t>
  </si>
  <si>
    <t>Falanghina</t>
  </si>
  <si>
    <t>Aglianico</t>
  </si>
  <si>
    <t>Bonarda</t>
  </si>
  <si>
    <t>Blaufränkisch</t>
  </si>
  <si>
    <t>Touriga Nacional</t>
  </si>
  <si>
    <t>Arneis</t>
  </si>
  <si>
    <t>Garganega</t>
  </si>
  <si>
    <t>Glera</t>
  </si>
  <si>
    <t>Cortese</t>
  </si>
  <si>
    <t>Malvasia</t>
  </si>
  <si>
    <t>Carignan</t>
  </si>
  <si>
    <t>Cinsault</t>
  </si>
  <si>
    <t>Muscadet</t>
  </si>
  <si>
    <t>Picpoul Blanc</t>
  </si>
  <si>
    <t>Mencia</t>
  </si>
  <si>
    <t>Verdejo</t>
  </si>
  <si>
    <t>Xarel-lo</t>
  </si>
  <si>
    <t>Ugni Blanc</t>
  </si>
  <si>
    <t>Nero d'Avola</t>
  </si>
  <si>
    <t>Frappato</t>
  </si>
  <si>
    <t>Marselan</t>
  </si>
  <si>
    <t>Trebbiano</t>
  </si>
  <si>
    <t>Fiano</t>
  </si>
  <si>
    <t>Vernaccia</t>
  </si>
  <si>
    <t>Aligoté</t>
  </si>
  <si>
    <t>Melon de Bourgogne</t>
  </si>
  <si>
    <t>Colombard</t>
  </si>
  <si>
    <t>Macabeo</t>
  </si>
  <si>
    <t>Touriga Franca</t>
  </si>
  <si>
    <t>Moscato</t>
  </si>
  <si>
    <t>Graciano</t>
  </si>
  <si>
    <t>Carignane</t>
  </si>
  <si>
    <t>Bobal</t>
  </si>
  <si>
    <t>Monastrell</t>
  </si>
  <si>
    <t>Godello</t>
  </si>
  <si>
    <t>Hondarrabi Zuri</t>
  </si>
  <si>
    <t>Muscadelle</t>
  </si>
  <si>
    <t>Verdelho</t>
  </si>
  <si>
    <t>Aragonês</t>
  </si>
  <si>
    <t>Loureiro</t>
  </si>
  <si>
    <t>Castelão</t>
  </si>
  <si>
    <t>Jaen</t>
  </si>
  <si>
    <t>Trincadeira</t>
  </si>
  <si>
    <t>Arinto</t>
  </si>
  <si>
    <t>Encruzado</t>
  </si>
  <si>
    <t>Baga</t>
  </si>
  <si>
    <t>Antão Vaz</t>
  </si>
  <si>
    <t>Fernão Pires</t>
  </si>
  <si>
    <t>Alicante Bouschet</t>
  </si>
  <si>
    <t>Moschofilero</t>
  </si>
  <si>
    <t>Assyrtiko</t>
  </si>
  <si>
    <t>Xinomavro</t>
  </si>
  <si>
    <t>Tinta Barroca</t>
  </si>
  <si>
    <t>Tinta Roriz</t>
  </si>
  <si>
    <t>Tinta Cão</t>
  </si>
  <si>
    <t>Sousão</t>
  </si>
  <si>
    <t>Traminer</t>
  </si>
  <si>
    <t>Sauvignon Vert</t>
  </si>
  <si>
    <t>Mauzac</t>
  </si>
  <si>
    <t>Mondeuse</t>
  </si>
  <si>
    <t>Poulsard</t>
  </si>
  <si>
    <t>Dornfelder</t>
  </si>
  <si>
    <t>Ejercicio 8</t>
  </si>
  <si>
    <r>
      <t xml:space="preserve">Resalte en </t>
    </r>
    <r>
      <rPr>
        <b/>
        <sz val="11"/>
        <color theme="1"/>
        <rFont val="Calibri Light"/>
        <family val="2"/>
        <scheme val="major"/>
      </rPr>
      <t>negrita</t>
    </r>
    <r>
      <rPr>
        <sz val="11"/>
        <color theme="1"/>
        <rFont val="Calibri Light"/>
        <family val="2"/>
        <scheme val="major"/>
      </rPr>
      <t xml:space="preserve"> y de color rojo las fechas en el rango </t>
    </r>
    <r>
      <rPr>
        <b/>
        <sz val="11"/>
        <color theme="1"/>
        <rFont val="Courier New"/>
        <family val="3"/>
      </rPr>
      <t>B13:H25</t>
    </r>
    <r>
      <rPr>
        <sz val="11"/>
        <color theme="1"/>
        <rFont val="Calibri Light"/>
        <family val="2"/>
        <scheme val="major"/>
      </rPr>
      <t xml:space="preserve"> que cumplen la siguiente condición: "El número del día de la fecha es igual a la cantidad de veces que aparece el año de la fecha en las fechas ubicadas en esa columna (incluyendo la fecha que está evaluando)" 
Por ejemplo, la fecha 2018-10-03 en la celda </t>
    </r>
    <r>
      <rPr>
        <b/>
        <sz val="11"/>
        <color theme="1"/>
        <rFont val="Courier New"/>
        <family val="3"/>
      </rPr>
      <t>E13</t>
    </r>
    <r>
      <rPr>
        <sz val="11"/>
        <color theme="1"/>
        <rFont val="Calibri Light"/>
        <family val="2"/>
        <scheme val="major"/>
      </rPr>
      <t xml:space="preserve"> cumple la condición ya que en la misma columna hay tres (3) fechas con ese año: 2018-10-03 (celda </t>
    </r>
    <r>
      <rPr>
        <b/>
        <sz val="11"/>
        <color theme="1"/>
        <rFont val="Courier New"/>
        <family val="3"/>
      </rPr>
      <t>E13</t>
    </r>
    <r>
      <rPr>
        <sz val="11"/>
        <color theme="1"/>
        <rFont val="Calibri Light"/>
        <family val="2"/>
        <scheme val="major"/>
      </rPr>
      <t xml:space="preserve">), 2018-06-17 (celda </t>
    </r>
    <r>
      <rPr>
        <b/>
        <sz val="11"/>
        <color theme="1"/>
        <rFont val="Courier New"/>
        <family val="3"/>
      </rPr>
      <t>C14</t>
    </r>
    <r>
      <rPr>
        <sz val="11"/>
        <color theme="1"/>
        <rFont val="Calibri Light"/>
        <family val="2"/>
        <scheme val="major"/>
      </rPr>
      <t xml:space="preserve">) y 2018-12-01 (celda </t>
    </r>
    <r>
      <rPr>
        <b/>
        <sz val="11"/>
        <color theme="1"/>
        <rFont val="Courier New"/>
        <family val="3"/>
      </rPr>
      <t>E22</t>
    </r>
    <r>
      <rPr>
        <sz val="11"/>
        <color theme="1"/>
        <rFont val="Calibri Light"/>
        <family val="2"/>
        <scheme val="major"/>
      </rPr>
      <t>).</t>
    </r>
  </si>
  <si>
    <t>Ejercicio 9</t>
  </si>
  <si>
    <r>
      <t xml:space="preserve">En la celda </t>
    </r>
    <r>
      <rPr>
        <b/>
        <sz val="11"/>
        <color theme="1"/>
        <rFont val="Courier New"/>
        <family val="3"/>
      </rPr>
      <t>C14</t>
    </r>
    <r>
      <rPr>
        <sz val="11"/>
        <color theme="1"/>
        <rFont val="Calibri Light"/>
        <family val="2"/>
        <scheme val="major"/>
      </rPr>
      <t xml:space="preserve">, diseñe una única fórmula arrastrable que encuentre la </t>
    </r>
    <r>
      <rPr>
        <b/>
        <sz val="11"/>
        <color theme="1"/>
        <rFont val="Calibri Light"/>
        <family val="2"/>
        <scheme val="major"/>
      </rPr>
      <t>mayor</t>
    </r>
    <r>
      <rPr>
        <sz val="11"/>
        <color theme="1"/>
        <rFont val="Calibri Light"/>
        <family val="2"/>
        <scheme val="major"/>
      </rPr>
      <t xml:space="preserve"> letra en cada una de las palabras en la Tabla 1. Recuerde que </t>
    </r>
    <r>
      <rPr>
        <sz val="11"/>
        <color theme="1"/>
        <rFont val="Cambria"/>
        <family val="1"/>
      </rPr>
      <t>a&lt;b&lt;c&lt;…&lt;z</t>
    </r>
    <r>
      <rPr>
        <sz val="11"/>
        <color theme="1"/>
        <rFont val="Calibri Light"/>
        <family val="2"/>
        <scheme val="major"/>
      </rPr>
      <t xml:space="preserve">. 
</t>
    </r>
    <r>
      <rPr>
        <b/>
        <u/>
        <sz val="11"/>
        <color theme="1"/>
        <rFont val="Calibri Light"/>
        <family val="2"/>
        <scheme val="major"/>
      </rPr>
      <t>Ayuda:</t>
    </r>
    <r>
      <rPr>
        <sz val="11"/>
        <color theme="1"/>
        <rFont val="Calibri Light"/>
        <family val="2"/>
        <scheme val="major"/>
      </rPr>
      <t xml:space="preserve"> las fórmulas CODIGO y CARACTER pueden ser útiles. </t>
    </r>
  </si>
  <si>
    <t xml:space="preserve">Tabla 1. Palabras de interés. </t>
  </si>
  <si>
    <t>Palabra</t>
  </si>
  <si>
    <t>Mayor letra</t>
  </si>
  <si>
    <t>flor</t>
  </si>
  <si>
    <t>r</t>
  </si>
  <si>
    <t>mesa</t>
  </si>
  <si>
    <t>s</t>
  </si>
  <si>
    <t>sol</t>
  </si>
  <si>
    <t>papel</t>
  </si>
  <si>
    <t>p</t>
  </si>
  <si>
    <t>limon</t>
  </si>
  <si>
    <t>o</t>
  </si>
  <si>
    <t>casa</t>
  </si>
  <si>
    <t>libro</t>
  </si>
  <si>
    <t>luz</t>
  </si>
  <si>
    <t>z</t>
  </si>
  <si>
    <t>perro</t>
  </si>
  <si>
    <t>nube</t>
  </si>
  <si>
    <t>u</t>
  </si>
  <si>
    <t>color</t>
  </si>
  <si>
    <t>agua</t>
  </si>
  <si>
    <t>mar</t>
  </si>
  <si>
    <t>reloj</t>
  </si>
  <si>
    <t>dedo</t>
  </si>
  <si>
    <t>arbol</t>
  </si>
  <si>
    <t>montana</t>
  </si>
  <si>
    <t>t</t>
  </si>
  <si>
    <t>musica</t>
  </si>
  <si>
    <t>ventana</t>
  </si>
  <si>
    <t>v</t>
  </si>
  <si>
    <t>granja</t>
  </si>
  <si>
    <t>Ejercicio 10</t>
  </si>
  <si>
    <r>
      <t xml:space="preserve">La Tabla 1 muestra el precio unitario de un producto que depende de la cantidad de unidades a comprar. En la celda </t>
    </r>
    <r>
      <rPr>
        <b/>
        <sz val="11"/>
        <color theme="1"/>
        <rFont val="Courier New"/>
        <family val="3"/>
      </rPr>
      <t>C13</t>
    </r>
    <r>
      <rPr>
        <sz val="11"/>
        <color theme="1"/>
        <rFont val="Calibri Light"/>
        <family val="2"/>
        <scheme val="major"/>
      </rPr>
      <t xml:space="preserve">, implemente una función que calcule el </t>
    </r>
    <r>
      <rPr>
        <b/>
        <sz val="11"/>
        <color theme="1"/>
        <rFont val="Calibri Light"/>
        <family val="2"/>
        <scheme val="major"/>
      </rPr>
      <t>total a pagar</t>
    </r>
    <r>
      <rPr>
        <sz val="11"/>
        <color theme="1"/>
        <rFont val="Calibri Light"/>
        <family val="2"/>
        <scheme val="major"/>
      </rPr>
      <t xml:space="preserve"> si un cliente compra la cantidad de unidades en la celda </t>
    </r>
    <r>
      <rPr>
        <b/>
        <sz val="11"/>
        <color theme="1"/>
        <rFont val="Courier New"/>
        <family val="3"/>
      </rPr>
      <t>C12</t>
    </r>
    <r>
      <rPr>
        <sz val="11"/>
        <color theme="1"/>
        <rFont val="Calibri Light"/>
        <family val="2"/>
        <scheme val="major"/>
      </rPr>
      <t>.</t>
    </r>
  </si>
  <si>
    <t>Unidades a comprar</t>
  </si>
  <si>
    <t>Total a pagar</t>
  </si>
  <si>
    <t xml:space="preserve">Tabla 1. Precio unitario del producto según el número de unidades a comprar. </t>
  </si>
  <si>
    <t>Precio unitario</t>
  </si>
  <si>
    <t>1 a 5</t>
  </si>
  <si>
    <t>6 a 10</t>
  </si>
  <si>
    <t>11 a 17</t>
  </si>
  <si>
    <t>18 a 25</t>
  </si>
  <si>
    <t>26 a 33</t>
  </si>
  <si>
    <t>34 a 41</t>
  </si>
  <si>
    <t>42 a 49</t>
  </si>
  <si>
    <t>50 a 57</t>
  </si>
  <si>
    <t>58 a 65</t>
  </si>
  <si>
    <t>66 a 73</t>
  </si>
  <si>
    <t>74 a 81</t>
  </si>
  <si>
    <t>82 a 89</t>
  </si>
  <si>
    <t>90 a 97</t>
  </si>
  <si>
    <t>98 a 105</t>
  </si>
  <si>
    <t>106 a 113</t>
  </si>
  <si>
    <t>114 a 121</t>
  </si>
  <si>
    <t>122 a 129</t>
  </si>
  <si>
    <t>130 a 137</t>
  </si>
  <si>
    <t>138 a 145</t>
  </si>
  <si>
    <t>146 a 153</t>
  </si>
  <si>
    <t>154 a 161</t>
  </si>
  <si>
    <t>162 a 169</t>
  </si>
  <si>
    <t>170 a 177</t>
  </si>
  <si>
    <t>178 a 185</t>
  </si>
  <si>
    <t>186 a 193</t>
  </si>
  <si>
    <t>194 a 201</t>
  </si>
  <si>
    <t>202 a 209</t>
  </si>
  <si>
    <t>210 a 217</t>
  </si>
  <si>
    <t>218 a 225</t>
  </si>
  <si>
    <t>226 a 233</t>
  </si>
  <si>
    <t>234 a 241</t>
  </si>
  <si>
    <t>242 a 249</t>
  </si>
  <si>
    <t>250 a 257</t>
  </si>
  <si>
    <t>258 a 265</t>
  </si>
  <si>
    <t>266 a 273</t>
  </si>
  <si>
    <t>274 a 281</t>
  </si>
  <si>
    <t>282 a 289</t>
  </si>
  <si>
    <t>290 a 297</t>
  </si>
  <si>
    <t>298 a 305</t>
  </si>
  <si>
    <t>306 a 313</t>
  </si>
  <si>
    <t>314 a 321</t>
  </si>
  <si>
    <t>322 a 329</t>
  </si>
  <si>
    <t>330 a 337</t>
  </si>
  <si>
    <t>338 a 345</t>
  </si>
  <si>
    <t>346 a 353</t>
  </si>
  <si>
    <t>354 a 361</t>
  </si>
  <si>
    <t>362 a 369</t>
  </si>
  <si>
    <t>370 a 377</t>
  </si>
  <si>
    <t>378 a 385</t>
  </si>
  <si>
    <t>386 a 393</t>
  </si>
  <si>
    <t>394 a 400</t>
  </si>
  <si>
    <t>401 a 500</t>
  </si>
  <si>
    <t>Ejercicio 11</t>
  </si>
  <si>
    <r>
      <t xml:space="preserve">En las celdas </t>
    </r>
    <r>
      <rPr>
        <b/>
        <sz val="11"/>
        <color theme="1"/>
        <rFont val="Courier New"/>
        <family val="3"/>
      </rPr>
      <t>H5</t>
    </r>
    <r>
      <rPr>
        <sz val="11"/>
        <color theme="1"/>
        <rFont val="Calibri Light"/>
        <family val="2"/>
        <scheme val="major"/>
      </rPr>
      <t xml:space="preserve">, </t>
    </r>
    <r>
      <rPr>
        <b/>
        <sz val="11"/>
        <color theme="1"/>
        <rFont val="Courier New"/>
        <family val="3"/>
      </rPr>
      <t>H6</t>
    </r>
    <r>
      <rPr>
        <sz val="11"/>
        <color theme="1"/>
        <rFont val="Calibri Light"/>
        <family val="2"/>
        <scheme val="major"/>
      </rPr>
      <t xml:space="preserve"> y </t>
    </r>
    <r>
      <rPr>
        <b/>
        <sz val="11"/>
        <color theme="1"/>
        <rFont val="Courier New"/>
        <family val="3"/>
      </rPr>
      <t>H7</t>
    </r>
    <r>
      <rPr>
        <sz val="11"/>
        <color theme="1"/>
        <rFont val="Calibri Light"/>
        <family val="2"/>
        <scheme val="major"/>
      </rPr>
      <t>, y con la información de la Tabla 1, responda:
1. ¿Cuántas universidades tienen un</t>
    </r>
    <r>
      <rPr>
        <sz val="11"/>
        <color rgb="FFFF0000"/>
        <rFont val="Calibri Light"/>
        <family val="2"/>
        <scheme val="major"/>
      </rPr>
      <t xml:space="preserve"> </t>
    </r>
    <r>
      <rPr>
        <sz val="11"/>
        <rFont val="Calibri Light"/>
        <family val="2"/>
        <scheme val="major"/>
      </rPr>
      <t>ratio</t>
    </r>
    <r>
      <rPr>
        <sz val="11"/>
        <color theme="1"/>
        <rFont val="Calibri Light"/>
        <family val="2"/>
        <scheme val="major"/>
      </rPr>
      <t xml:space="preserve"> de estudiantes a empleados menor a 5?
2. ¿Cuál es el número promedio de estudiantes internacionales considerando solamente las universidades en "United States" y "United Kingdom"? 
3. ¿Cuál universidad tiene la menor diferencia (absoluta) al restar su puntaje de investigación y aquel de docencia?
Recuerde que </t>
    </r>
    <r>
      <rPr>
        <b/>
        <sz val="11"/>
        <color theme="1"/>
        <rFont val="Calibri Light"/>
        <family val="2"/>
        <scheme val="major"/>
      </rPr>
      <t>no puede utilizar celdas auxiliares</t>
    </r>
    <r>
      <rPr>
        <sz val="11"/>
        <color theme="1"/>
        <rFont val="Calibri Light"/>
        <family val="2"/>
        <scheme val="major"/>
      </rPr>
      <t xml:space="preserve">. </t>
    </r>
  </si>
  <si>
    <t>Respuesta 1</t>
  </si>
  <si>
    <t>Respuesta 2</t>
  </si>
  <si>
    <t>Respuesta 3</t>
  </si>
  <si>
    <t>Columbia University</t>
  </si>
  <si>
    <t>Tabla 1. Mejores universidades del mundo.</t>
  </si>
  <si>
    <t>Ranking</t>
  </si>
  <si>
    <t>Nombre</t>
  </si>
  <si>
    <t>País</t>
  </si>
  <si>
    <t>Núm. de estudiantes</t>
  </si>
  <si>
    <t>Núm. de empleados</t>
  </si>
  <si>
    <t>Estudiantes internacionales (%)</t>
  </si>
  <si>
    <t>Puntaje en investigación</t>
  </si>
  <si>
    <t>Puntaje en docencia</t>
  </si>
  <si>
    <t>California Institute of Technology</t>
  </si>
  <si>
    <t>United States</t>
  </si>
  <si>
    <t>University of Oxford</t>
  </si>
  <si>
    <t>United Kingdom</t>
  </si>
  <si>
    <t>Stanford University</t>
  </si>
  <si>
    <t>University of Cambridge</t>
  </si>
  <si>
    <t>Massachusetts Institute of Technology</t>
  </si>
  <si>
    <t>Harvard University</t>
  </si>
  <si>
    <t>Princeton University</t>
  </si>
  <si>
    <t>Imperial College London</t>
  </si>
  <si>
    <t>ETH Zurich</t>
  </si>
  <si>
    <t>Switzerland</t>
  </si>
  <si>
    <t>The University of Chicago</t>
  </si>
  <si>
    <t>Johns Hopkins University</t>
  </si>
  <si>
    <t>Yale University</t>
  </si>
  <si>
    <t>University of California, Berkeley</t>
  </si>
  <si>
    <t>UCL</t>
  </si>
  <si>
    <t>University of California, Los Angeles</t>
  </si>
  <si>
    <t>University of Pennsylvania</t>
  </si>
  <si>
    <t>Cornell University</t>
  </si>
  <si>
    <t>University of Toronto</t>
  </si>
  <si>
    <t>Canada</t>
  </si>
  <si>
    <t>Duke University</t>
  </si>
  <si>
    <t>University of Michigan-Ann Arbor</t>
  </si>
  <si>
    <t>Carnegie Mellon University</t>
  </si>
  <si>
    <t>London School of Economics and Political Science</t>
  </si>
  <si>
    <t>University of Edinburgh</t>
  </si>
  <si>
    <t>Northwestern University</t>
  </si>
  <si>
    <t>National University of Singapore</t>
  </si>
  <si>
    <t>Singapore</t>
  </si>
  <si>
    <t>King’s College London</t>
  </si>
  <si>
    <t>Karolinska Institute</t>
  </si>
  <si>
    <t>Sweden</t>
  </si>
  <si>
    <t>LMU Munich</t>
  </si>
  <si>
    <t>Germany</t>
  </si>
  <si>
    <t>New York University</t>
  </si>
  <si>
    <t>École Polytechnique Fédérale de Lausanne</t>
  </si>
  <si>
    <t>University of Washington</t>
  </si>
  <si>
    <t>University of Melbourne</t>
  </si>
  <si>
    <t>Australia</t>
  </si>
  <si>
    <t>University of British Columbia</t>
  </si>
  <si>
    <t>KU Leuven</t>
  </si>
  <si>
    <t>Belgium</t>
  </si>
  <si>
    <t>University of Illinois at Urbana-Champaign</t>
  </si>
  <si>
    <t>Universität Heidelberg</t>
  </si>
  <si>
    <t>McGill University</t>
  </si>
  <si>
    <t>University of California, San Diego</t>
  </si>
  <si>
    <t>University of California, Santa Barbara</t>
  </si>
  <si>
    <t>Georgia Institute of Technology</t>
  </si>
  <si>
    <t>Peking University</t>
  </si>
  <si>
    <t>China</t>
  </si>
  <si>
    <t>The University of Tokyo</t>
  </si>
  <si>
    <t>Japan</t>
  </si>
  <si>
    <t>University of Hong Kong</t>
  </si>
  <si>
    <t>Hong Kong</t>
  </si>
  <si>
    <t>University of California, Davis</t>
  </si>
  <si>
    <t>University of Texas at Austin</t>
  </si>
  <si>
    <t>Tsinghua University</t>
  </si>
  <si>
    <t>Wageningen University &amp; Research</t>
  </si>
  <si>
    <t>Netherlands</t>
  </si>
  <si>
    <t>Humboldt University of Berlin</t>
  </si>
  <si>
    <t>University of Wisconsin-Madison</t>
  </si>
  <si>
    <t>Brown University</t>
  </si>
  <si>
    <t>Australian National University</t>
  </si>
  <si>
    <t>Technical University of Munich</t>
  </si>
  <si>
    <t>École Normale Supérieure</t>
  </si>
  <si>
    <t>France</t>
  </si>
  <si>
    <t>Nanyang Technological University, Singapore</t>
  </si>
  <si>
    <t>University of Manchester</t>
  </si>
  <si>
    <t>The University of Sydney</t>
  </si>
  <si>
    <t>University of Amsterdam</t>
  </si>
  <si>
    <t>The Hong Kong University of Science and Technology</t>
  </si>
  <si>
    <t>The University of Queensland</t>
  </si>
  <si>
    <t>Washington University in St Louis</t>
  </si>
  <si>
    <t>Utrecht University</t>
  </si>
  <si>
    <t>University of North Carolina at Chapel Hill</t>
  </si>
  <si>
    <t>Boston University</t>
  </si>
  <si>
    <t>Delft University of Technology</t>
  </si>
  <si>
    <t>University of Minnesota</t>
  </si>
  <si>
    <t>Leiden University</t>
  </si>
  <si>
    <t>University of Southern California</t>
  </si>
  <si>
    <t>University of Bristol</t>
  </si>
  <si>
    <t>Durham University</t>
  </si>
  <si>
    <t>Erasmus University Rotterdam</t>
  </si>
  <si>
    <t>Free University of Berlin</t>
  </si>
  <si>
    <t>Monash University</t>
  </si>
  <si>
    <t>University of Groningen</t>
  </si>
  <si>
    <t>Penn State (Main campus)</t>
  </si>
  <si>
    <t>University of Helsinki</t>
  </si>
  <si>
    <t>Finland</t>
  </si>
  <si>
    <t>University of Glasgow</t>
  </si>
  <si>
    <t>University of Tübingen</t>
  </si>
  <si>
    <t>University of Pittsburgh-Pittsburgh campus</t>
  </si>
  <si>
    <t>University of Warwick</t>
  </si>
  <si>
    <t>Uppsala University</t>
  </si>
  <si>
    <t>University of Copenhagen</t>
  </si>
  <si>
    <t>Denmark</t>
  </si>
  <si>
    <t>UNSW Sydney</t>
  </si>
  <si>
    <t>University of Freiburg</t>
  </si>
  <si>
    <t>Seoul National University</t>
  </si>
  <si>
    <t>South Korea</t>
  </si>
  <si>
    <t>University of St Andrews</t>
  </si>
  <si>
    <t>Vanderbilt University</t>
  </si>
  <si>
    <t>Maastricht University</t>
  </si>
  <si>
    <t>Kyoto University</t>
  </si>
  <si>
    <t>Ohio State University (Main campus)</t>
  </si>
  <si>
    <t>Emory University</t>
  </si>
  <si>
    <t>Lund University</t>
  </si>
  <si>
    <t>University of Exeter</t>
  </si>
  <si>
    <t>University of Bonn</t>
  </si>
  <si>
    <t>Georgetown University</t>
  </si>
  <si>
    <t>McMaster University</t>
  </si>
  <si>
    <t>University of Sheffield</t>
  </si>
  <si>
    <t>Queen Mary University of London</t>
  </si>
  <si>
    <t>University of Göttingen</t>
  </si>
  <si>
    <t>Michigan State University</t>
  </si>
  <si>
    <t>Trinity College Dublin</t>
  </si>
  <si>
    <t>Ireland</t>
  </si>
  <si>
    <t>Rice University</t>
  </si>
  <si>
    <t>University of Basel</t>
  </si>
  <si>
    <t>École Polytechnique</t>
  </si>
  <si>
    <t>Dartmouth College</t>
  </si>
  <si>
    <t>University of Zurich</t>
  </si>
  <si>
    <t>University of California, Irvine</t>
  </si>
  <si>
    <t>Aarhus University</t>
  </si>
  <si>
    <t>University of Mannheim</t>
  </si>
  <si>
    <t>University of Notre Dame</t>
  </si>
  <si>
    <t>The University of Western Australia</t>
  </si>
  <si>
    <t>University of Southampton</t>
  </si>
  <si>
    <t>RWTH Aachen University</t>
  </si>
  <si>
    <t>Scuola Normale Superiore di Pisa</t>
  </si>
  <si>
    <t>Italy</t>
  </si>
  <si>
    <t>Université de Montréal</t>
  </si>
  <si>
    <t>Pierre and Marie Curie University</t>
  </si>
  <si>
    <t>Purdue University West Lafayette</t>
  </si>
  <si>
    <t>Pohang University of Science and Technology (POSTECH)</t>
  </si>
  <si>
    <t>University of Maryland, College Park</t>
  </si>
  <si>
    <t>Ghent University</t>
  </si>
  <si>
    <t>University of Birmingham</t>
  </si>
  <si>
    <t>University of Florida</t>
  </si>
  <si>
    <t>University of Bern</t>
  </si>
  <si>
    <t>University of Cape Town</t>
  </si>
  <si>
    <t>South Africa</t>
  </si>
  <si>
    <t>University of Erlangen-Nuremberg</t>
  </si>
  <si>
    <t>Rutgers University – New Brunswick</t>
  </si>
  <si>
    <t>University of Münster</t>
  </si>
  <si>
    <t>Radboud University Nijmegen</t>
  </si>
  <si>
    <t>University of Colorado Boulder</t>
  </si>
  <si>
    <t>Tufts University</t>
  </si>
  <si>
    <t>Royal Holloway, University of London</t>
  </si>
  <si>
    <t>Lancaster University</t>
  </si>
  <si>
    <t>University of York</t>
  </si>
  <si>
    <t>University of Geneva</t>
  </si>
  <si>
    <t>University of Leeds</t>
  </si>
  <si>
    <t>Case Western Reserve University</t>
  </si>
  <si>
    <t>University of Oslo</t>
  </si>
  <si>
    <t>Norway</t>
  </si>
  <si>
    <t>Stockholm University</t>
  </si>
  <si>
    <t>University of Alberta</t>
  </si>
  <si>
    <t>Chinese University of Hong Kong</t>
  </si>
  <si>
    <t>Karlsruhe Institute of Technology</t>
  </si>
  <si>
    <t>University of Sussex</t>
  </si>
  <si>
    <t>University of Massachusetts</t>
  </si>
  <si>
    <t>Ejercicio 12</t>
  </si>
  <si>
    <r>
      <t xml:space="preserve">Con la información de la Tabla 1, en la celda </t>
    </r>
    <r>
      <rPr>
        <b/>
        <sz val="11"/>
        <color theme="1"/>
        <rFont val="Courier New"/>
        <family val="3"/>
      </rPr>
      <t>H6</t>
    </r>
    <r>
      <rPr>
        <sz val="11"/>
        <color theme="1"/>
        <rFont val="Calibri Light"/>
        <family val="2"/>
        <scheme val="major"/>
      </rPr>
      <t xml:space="preserve"> diseñe una única fórmula arrastrable que muestre el nombre de los tres (3) pilotos con más victorias. Recuerde que </t>
    </r>
    <r>
      <rPr>
        <b/>
        <sz val="11"/>
        <color theme="1"/>
        <rFont val="Calibri Light"/>
        <family val="2"/>
        <scheme val="major"/>
      </rPr>
      <t>no puede utilizar celdas auxiliares</t>
    </r>
    <r>
      <rPr>
        <sz val="11"/>
        <color theme="1"/>
        <rFont val="Calibri Light"/>
        <family val="2"/>
        <scheme val="major"/>
      </rPr>
      <t xml:space="preserve">. </t>
    </r>
  </si>
  <si>
    <t>Primer puesto</t>
  </si>
  <si>
    <t>Lewis Hamilton</t>
  </si>
  <si>
    <t>Segundo puesto</t>
  </si>
  <si>
    <t>Mario Andretti</t>
  </si>
  <si>
    <t>Tercer puesto</t>
  </si>
  <si>
    <t>Stirling Moss</t>
  </si>
  <si>
    <t>Tabla 1. Victorias de los pilotos de F1.</t>
  </si>
  <si>
    <t># de victorias</t>
  </si>
  <si>
    <t>Kimi Räikkönen</t>
  </si>
  <si>
    <t>Nico Rosberg</t>
  </si>
  <si>
    <t>Michael Schumacher</t>
  </si>
  <si>
    <t>Giacomo Agostini</t>
  </si>
  <si>
    <t>Niki Lauda</t>
  </si>
  <si>
    <t>Jenson Button</t>
  </si>
  <si>
    <t>Juan Pablo Montoya</t>
  </si>
  <si>
    <t>Ayrton Senna</t>
  </si>
  <si>
    <t>Stefan Bellof</t>
  </si>
  <si>
    <t>Graham Hill</t>
  </si>
  <si>
    <t>Felipe Massa</t>
  </si>
  <si>
    <t>Alain Prost</t>
  </si>
  <si>
    <t>James Hunt</t>
  </si>
  <si>
    <t>Mika Häkkinen</t>
  </si>
  <si>
    <t>Maurice Trintignant</t>
  </si>
  <si>
    <t>Ronnie Peterson</t>
  </si>
  <si>
    <t>Pedro Rodríguez</t>
  </si>
  <si>
    <t>Jacques Villeneuve</t>
  </si>
  <si>
    <t>Bruce McLaren</t>
  </si>
  <si>
    <t>Rubens Barrichello</t>
  </si>
  <si>
    <t>Juan Manuel Fangio</t>
  </si>
  <si>
    <t>Nigel Mansell</t>
  </si>
  <si>
    <t>Mark Webber</t>
  </si>
  <si>
    <t>Emerson Fittipaldi</t>
  </si>
  <si>
    <t>Clay Regazzoni</t>
  </si>
  <si>
    <t>Tony Brooks</t>
  </si>
  <si>
    <t>Damon Hill</t>
  </si>
  <si>
    <t>Jody Scheckter</t>
  </si>
  <si>
    <t>Jim Clark</t>
  </si>
  <si>
    <t>Mike Hawthorn</t>
  </si>
  <si>
    <t>Nelson Piquet</t>
  </si>
  <si>
    <t>José Froilán González</t>
  </si>
  <si>
    <t>Keke Rosberg</t>
  </si>
  <si>
    <t>Jackie Stewart</t>
  </si>
  <si>
    <t>Jack Brabham</t>
  </si>
  <si>
    <t>Carlos Reutemann</t>
  </si>
  <si>
    <t>Lorenzo Bandini</t>
  </si>
  <si>
    <t>Sebastian Vettel</t>
  </si>
  <si>
    <t>Phil Hill</t>
  </si>
  <si>
    <t>Alan Jones</t>
  </si>
  <si>
    <t>John Surtees</t>
  </si>
  <si>
    <t>Giuseppe Farina</t>
  </si>
  <si>
    <t>Riccardo Patrese</t>
  </si>
  <si>
    <t>Alberto Ascari</t>
  </si>
  <si>
    <t>Ejercicio 13</t>
  </si>
  <si>
    <r>
      <t xml:space="preserve">En la celda </t>
    </r>
    <r>
      <rPr>
        <b/>
        <sz val="11"/>
        <color theme="1"/>
        <rFont val="Courier New"/>
        <family val="3"/>
      </rPr>
      <t>F16</t>
    </r>
    <r>
      <rPr>
        <sz val="11"/>
        <color theme="1"/>
        <rFont val="Calibri Light"/>
        <family val="2"/>
        <scheme val="major"/>
      </rPr>
      <t xml:space="preserve">, diseñe una fórmula arrastrable que retorne "Sí" en caso de que el cliente sea uno de los </t>
    </r>
    <r>
      <rPr>
        <b/>
        <u/>
        <sz val="11"/>
        <color theme="1"/>
        <rFont val="Calibri Light"/>
        <family val="2"/>
        <scheme val="major"/>
      </rPr>
      <t>tres clientes más cercanos</t>
    </r>
    <r>
      <rPr>
        <sz val="11"/>
        <color theme="1"/>
        <rFont val="Calibri Light"/>
        <family val="2"/>
        <scheme val="major"/>
      </rPr>
      <t xml:space="preserve"> al nuevo centro de distribución (CD) que la empresa </t>
    </r>
    <r>
      <rPr>
        <i/>
        <sz val="11"/>
        <color theme="1"/>
        <rFont val="Calibri Light"/>
        <family val="2"/>
        <scheme val="major"/>
      </rPr>
      <t>LogiSAD</t>
    </r>
    <r>
      <rPr>
        <sz val="11"/>
        <color theme="1"/>
        <rFont val="Calibri Light"/>
        <family val="2"/>
        <scheme val="major"/>
      </rPr>
      <t xml:space="preserve"> está considerando construir. La ubicación propuesta para el nuevo CD está en las celdas </t>
    </r>
    <r>
      <rPr>
        <b/>
        <sz val="11"/>
        <color theme="1"/>
        <rFont val="Courier New"/>
        <family val="3"/>
      </rPr>
      <t>C11</t>
    </r>
    <r>
      <rPr>
        <sz val="11"/>
        <color theme="1"/>
        <rFont val="Calibri Light"/>
        <family val="2"/>
        <scheme val="major"/>
      </rPr>
      <t xml:space="preserve"> (Coord. X) y </t>
    </r>
    <r>
      <rPr>
        <b/>
        <sz val="11"/>
        <color theme="1"/>
        <rFont val="Courier New"/>
        <family val="3"/>
      </rPr>
      <t>C12</t>
    </r>
    <r>
      <rPr>
        <sz val="11"/>
        <color theme="1"/>
        <rFont val="Calibri Light"/>
        <family val="2"/>
        <scheme val="major"/>
      </rPr>
      <t xml:space="preserve"> (Coord. Y), aunque puede cambiar. Utilice la distancia Euclidiana para medir la cercanía. La fórmula muestra cómo se calcula esta distancia </t>
    </r>
    <r>
      <rPr>
        <i/>
        <sz val="11"/>
        <color theme="1"/>
        <rFont val="Calibri Light"/>
        <family val="2"/>
        <scheme val="major"/>
      </rPr>
      <t>d</t>
    </r>
    <r>
      <rPr>
        <sz val="11"/>
        <color theme="1"/>
        <rFont val="Calibri Light"/>
        <family val="2"/>
        <scheme val="major"/>
      </rPr>
      <t xml:space="preserve"> entre dos ubicaciones (x₁, y₁) y (x₂, y₂). Debe retornar "No" en caso contrario. </t>
    </r>
  </si>
  <si>
    <t>Coord. X</t>
  </si>
  <si>
    <t>Coord. Y</t>
  </si>
  <si>
    <t xml:space="preserve">Tabla 1. Información de los clientes de LogiSAD. </t>
  </si>
  <si>
    <t>Cliente</t>
  </si>
  <si>
    <t>Coordenada X</t>
  </si>
  <si>
    <t>Coordenada Y</t>
  </si>
  <si>
    <t>Unidades demandadas de producto</t>
  </si>
  <si>
    <t>¿Es un cliente cercano?</t>
  </si>
  <si>
    <t>Ejercicio 14</t>
  </si>
  <si>
    <r>
      <t xml:space="preserve">Imponga las siguientes reglas de formato condicional sobre el rango </t>
    </r>
    <r>
      <rPr>
        <b/>
        <sz val="11"/>
        <color theme="1"/>
        <rFont val="Courier New"/>
        <family val="3"/>
      </rPr>
      <t>B9:V33</t>
    </r>
    <r>
      <rPr>
        <sz val="11"/>
        <color theme="1"/>
        <rFont val="Calibri Light"/>
        <family val="2"/>
        <scheme val="major"/>
      </rPr>
      <t xml:space="preserve"> (enlistadas según su prioridad):
1. Pinte de 'verde oscuro' la celda si el número que contiene es único en esa fila y columna.
2. Pinte de 'verde claro' la celda si el número que contiene es múltiplo de 12.  
3. Pinte en 'color oro' la celda si el número que contiene aparece entre 4 y 8 veces en su misma columna. 
4. Pinte en 'amarillo' la celda si el número que contiene aparece un número par de veces en su misma fila. 
</t>
    </r>
  </si>
  <si>
    <t>Ejercicio 15</t>
  </si>
  <si>
    <r>
      <t xml:space="preserve">Un amigo suyo sacó un préstamo a 36 meses con una tasa de interés mensual de 0,50%. Además, usted sabe que la cuota mensual que paga su amigo por el préstamo es de 1.200.000 COP. Teniendo en cuenta la fórmula a continuación, calcule en la celda </t>
    </r>
    <r>
      <rPr>
        <b/>
        <sz val="11"/>
        <color rgb="FF000000"/>
        <rFont val="Courier New"/>
        <family val="3"/>
      </rPr>
      <t>C15</t>
    </r>
    <r>
      <rPr>
        <sz val="11"/>
        <color rgb="FF000000"/>
        <rFont val="Calibri Light"/>
        <family val="2"/>
        <scheme val="major"/>
      </rPr>
      <t xml:space="preserve"> el monto del préstamo de su amigo. En este ejercicio, </t>
    </r>
    <r>
      <rPr>
        <b/>
        <sz val="11"/>
        <color rgb="FF000000"/>
        <rFont val="Calibri Light"/>
        <family val="2"/>
        <scheme val="major"/>
      </rPr>
      <t>sí puede usar celdas auxiliares</t>
    </r>
    <r>
      <rPr>
        <sz val="11"/>
        <color rgb="FF000000"/>
        <rFont val="Calibri Light"/>
        <family val="2"/>
        <scheme val="major"/>
      </rPr>
      <t xml:space="preserve">. </t>
    </r>
  </si>
  <si>
    <t>Monto del préstamo</t>
  </si>
  <si>
    <t>Ejercicio 16</t>
  </si>
  <si>
    <r>
      <rPr>
        <i/>
        <sz val="11"/>
        <color rgb="FF000000"/>
        <rFont val="Calibri Light"/>
        <family val="2"/>
        <scheme val="major"/>
      </rPr>
      <t>Frutopia</t>
    </r>
    <r>
      <rPr>
        <sz val="11"/>
        <color rgb="FF000000"/>
        <rFont val="Calibri Light"/>
        <family val="2"/>
        <scheme val="major"/>
      </rPr>
      <t xml:space="preserve"> es una productora de mermelada de fresa y de durazno. Su planta tiene una </t>
    </r>
    <r>
      <rPr>
        <b/>
        <sz val="11"/>
        <color rgb="FF000000"/>
        <rFont val="Calibri Light"/>
        <family val="2"/>
        <scheme val="major"/>
      </rPr>
      <t>capacidad máxima mensual de 150 kilogramos</t>
    </r>
    <r>
      <rPr>
        <sz val="11"/>
        <color rgb="FF000000"/>
        <rFont val="Calibri Light"/>
        <family val="2"/>
        <scheme val="major"/>
      </rPr>
      <t xml:space="preserve"> para producir ambos tipos de mermelada. Según los datos históricos, </t>
    </r>
    <r>
      <rPr>
        <b/>
        <sz val="11"/>
        <color rgb="FF000000"/>
        <rFont val="Calibri Light"/>
        <family val="2"/>
        <scheme val="major"/>
      </rPr>
      <t>a lo sumo, le demandan 100.000 gramos (gr) y 35.000 gr de mermelada de fresa y durazno al mes</t>
    </r>
    <r>
      <rPr>
        <sz val="11"/>
        <color rgb="FF000000"/>
        <rFont val="Calibri Light"/>
        <family val="2"/>
        <scheme val="major"/>
      </rPr>
      <t xml:space="preserve">. </t>
    </r>
    <r>
      <rPr>
        <b/>
        <sz val="11"/>
        <color rgb="FF000000"/>
        <rFont val="Calibri Light"/>
        <family val="2"/>
        <scheme val="major"/>
      </rPr>
      <t>Un gramo de mermelada de fresa requiere de 0,5 gr de azúcar, un gramo de mermelada de durazno requiere de 2 gr de azúcar, y la planta de producción tiene 120.000 gramos de azúcar disponibles al mes</t>
    </r>
    <r>
      <rPr>
        <sz val="11"/>
        <color rgb="FF000000"/>
        <rFont val="Calibri Light"/>
        <family val="2"/>
        <scheme val="major"/>
      </rPr>
      <t xml:space="preserve">. Por último, para no saturar el mercado, </t>
    </r>
    <r>
      <rPr>
        <b/>
        <sz val="11"/>
        <color rgb="FF000000"/>
        <rFont val="Calibri Light"/>
        <family val="2"/>
        <scheme val="major"/>
      </rPr>
      <t>la cantidad producida de mermelada de fresa no debe superar el triple de la cantidad producida de mermelada de durazno</t>
    </r>
    <r>
      <rPr>
        <sz val="11"/>
        <color rgb="FF000000"/>
        <rFont val="Calibri Light"/>
        <family val="2"/>
        <scheme val="major"/>
      </rPr>
      <t xml:space="preserve">.
Si por cada gramo de mermelada de fresa y de durazno, la utilidad generada es de $200 y $300, respectivamente, ¿cuántos gramos de mermelada de fresa y durazno deben producirse al mes para maximizar la utilidad? 
</t>
    </r>
    <r>
      <rPr>
        <b/>
        <u/>
        <sz val="11"/>
        <color rgb="FF000000"/>
        <rFont val="Calibri Light"/>
        <family val="2"/>
        <scheme val="major"/>
      </rPr>
      <t>Nota</t>
    </r>
    <r>
      <rPr>
        <b/>
        <sz val="11"/>
        <color rgb="FF000000"/>
        <rFont val="Calibri Light"/>
        <family val="2"/>
        <scheme val="major"/>
      </rPr>
      <t>:</t>
    </r>
    <r>
      <rPr>
        <sz val="11"/>
        <color rgb="FF000000"/>
        <rFont val="Calibri Light"/>
        <family val="2"/>
        <scheme val="major"/>
      </rPr>
      <t xml:space="preserve"> puede usar más o menos celdas de las proporcionadas en el formato.</t>
    </r>
  </si>
  <si>
    <t>Decisiones</t>
  </si>
  <si>
    <t xml:space="preserve">Tabla 1. Requerimientos de azúcar y utilidad generada de cada mermelada.  </t>
  </si>
  <si>
    <t>Mermelada</t>
  </si>
  <si>
    <t>gr de azucar por gr de mermelada</t>
  </si>
  <si>
    <t>Utilidad ($/gr)</t>
  </si>
  <si>
    <t xml:space="preserve">Fresa </t>
  </si>
  <si>
    <t>Restricciones</t>
  </si>
  <si>
    <t xml:space="preserve">Durazno </t>
  </si>
  <si>
    <t>Descripción</t>
  </si>
  <si>
    <t>L.I.</t>
  </si>
  <si>
    <t>&lt;=, =, &gt;=</t>
  </si>
  <si>
    <t>L.D.</t>
  </si>
  <si>
    <t>Objetivo</t>
  </si>
  <si>
    <t>Ejercicio 17</t>
  </si>
  <si>
    <r>
      <t xml:space="preserve">La ciudad de Bogotá está experimentando múltiples incendios forestales. El departamento de bomberos tiene un suministro de galones de agua limitados para combatir los incendios y están decidiendo cómo distribuirlos. </t>
    </r>
    <r>
      <rPr>
        <b/>
        <sz val="11"/>
        <color rgb="FF000000"/>
        <rFont val="Calibri Light"/>
        <family val="2"/>
        <scheme val="major"/>
      </rPr>
      <t>Hay un total de 750 galones de agua para distribuir entre 3 zonas: cerro El Cable, Quebrada La Vieja y el sector Villa Diana</t>
    </r>
    <r>
      <rPr>
        <sz val="11"/>
        <color rgb="FF000000"/>
        <rFont val="Calibri Light"/>
        <family val="2"/>
        <scheme val="major"/>
      </rPr>
      <t xml:space="preserve">. El beneficio por galón de agua distribuido se muestra en la Tabla 1. Este beneficio por galón de agua distribuido se refiere al impacto positivo (en una escala del 1 al 10) que tendrá destinar un galón de agua a una de las zonas afectadas. Por ejemplo, un galón de agua enviado a El Cable generará un impacto positivo de 5.
El departamento de bomberos </t>
    </r>
    <r>
      <rPr>
        <b/>
        <sz val="11"/>
        <color rgb="FF000000"/>
        <rFont val="Calibri Light"/>
        <family val="2"/>
        <scheme val="major"/>
      </rPr>
      <t>está interesado en maximizar el beneficio total obtenido</t>
    </r>
    <r>
      <rPr>
        <sz val="11"/>
        <color rgb="FF000000"/>
        <rFont val="Calibri Light"/>
        <family val="2"/>
        <scheme val="major"/>
      </rPr>
      <t xml:space="preserve">. Sin embargo, teniendo en cuenta que existen algunas zonas más grandes que otras, </t>
    </r>
    <r>
      <rPr>
        <b/>
        <sz val="11"/>
        <color rgb="FF000000"/>
        <rFont val="Calibri Light"/>
        <family val="2"/>
        <scheme val="major"/>
      </rPr>
      <t>El Cable se deben recibir como mínimo 300 galones de agua</t>
    </r>
    <r>
      <rPr>
        <sz val="11"/>
        <color rgb="FF000000"/>
        <rFont val="Calibri Light"/>
        <family val="2"/>
        <scheme val="major"/>
      </rPr>
      <t xml:space="preserve">. Además, por temas de accesibilidad, </t>
    </r>
    <r>
      <rPr>
        <b/>
        <sz val="11"/>
        <color rgb="FF000000"/>
        <rFont val="Calibri Light"/>
        <family val="2"/>
        <scheme val="major"/>
      </rPr>
      <t>Quebrada la Vieja puede recibir como máximo 100 galones de agua.</t>
    </r>
    <r>
      <rPr>
        <sz val="11"/>
        <color rgb="FF000000"/>
        <rFont val="Calibri Light"/>
        <family val="2"/>
        <scheme val="major"/>
      </rPr>
      <t xml:space="preserve"> Finalmente,</t>
    </r>
    <r>
      <rPr>
        <b/>
        <sz val="11"/>
        <color rgb="FF000000"/>
        <rFont val="Calibri Light"/>
        <family val="2"/>
        <scheme val="major"/>
      </rPr>
      <t xml:space="preserve"> la cantidad de galones enviadas a Villa Diana, deben ser, al menos, el 50% de los galones enviados a Quebrada La Vieja. </t>
    </r>
    <r>
      <rPr>
        <sz val="11"/>
        <color rgb="FF000000"/>
        <rFont val="Calibri Light"/>
        <family val="2"/>
        <scheme val="major"/>
      </rPr>
      <t xml:space="preserve">
¿Cuántos galones de agua debe enviar el departamento de bomberos al cerro El Cable, Quebrada La Vieja y Villa Diana para cumplir con su propósito?</t>
    </r>
  </si>
  <si>
    <t>Tabla 1. Beneficio por unidad distribuida.</t>
  </si>
  <si>
    <t>Zona</t>
  </si>
  <si>
    <t>Beneficio</t>
  </si>
  <si>
    <t xml:space="preserve">Cerro El Cable </t>
  </si>
  <si>
    <t>Quebrada La Vieja</t>
  </si>
  <si>
    <t>Villa Diana</t>
  </si>
  <si>
    <t xml:space="preserve">Respuesta </t>
  </si>
  <si>
    <r>
      <t xml:space="preserve">La plataforma de fidelización “Puntos Locombia” le permite acumular puntos por sus compras para canjearlos por una variedad de productos. Actualmente, </t>
    </r>
    <r>
      <rPr>
        <b/>
        <sz val="11"/>
        <color rgb="FF000000"/>
        <rFont val="Calibri Light"/>
        <family val="2"/>
        <scheme val="major"/>
      </rPr>
      <t>usted cuenta con 15.000 puntos que puede usar para comprar o pagar una parte de un bloqueador, una crema hidratante y una mascarilla.</t>
    </r>
    <r>
      <rPr>
        <sz val="11"/>
        <color rgb="FF000000"/>
        <rFont val="Calibri Light"/>
        <family val="2"/>
        <scheme val="major"/>
      </rPr>
      <t xml:space="preserve"> La Tabla 1 muestra los puntos necesarios para adquirir cada producto y su correspondiente precio (en COP). </t>
    </r>
    <r>
      <rPr>
        <sz val="11"/>
        <rFont val="Calibri Light"/>
        <family val="2"/>
        <scheme val="major"/>
      </rPr>
      <t xml:space="preserve">Tenga en cuenta que 1 punto equivale a $6 COP.  </t>
    </r>
    <r>
      <rPr>
        <sz val="11"/>
        <color rgb="FFC00000"/>
        <rFont val="Calibri Light"/>
        <family val="2"/>
        <scheme val="major"/>
      </rPr>
      <t xml:space="preserve">
</t>
    </r>
    <r>
      <rPr>
        <sz val="11"/>
        <color rgb="FF000000"/>
        <rFont val="Calibri Light"/>
        <family val="2"/>
        <scheme val="major"/>
      </rPr>
      <t xml:space="preserve">
Para poder redimir los puntos, se deben usar </t>
    </r>
    <r>
      <rPr>
        <b/>
        <sz val="11"/>
        <color rgb="FF000000"/>
        <rFont val="Calibri Light"/>
        <family val="2"/>
        <scheme val="major"/>
      </rPr>
      <t>al menos 6.000 puntos en el bloqueador y 2.000 puntos en la crema hidratante</t>
    </r>
    <r>
      <rPr>
        <sz val="11"/>
        <color rgb="FF000000"/>
        <rFont val="Calibri Light"/>
        <family val="2"/>
        <scheme val="major"/>
      </rPr>
      <t xml:space="preserve">. Además, </t>
    </r>
    <r>
      <rPr>
        <b/>
        <sz val="11"/>
        <color rgb="FF000000"/>
        <rFont val="Calibri Light"/>
        <family val="2"/>
        <scheme val="major"/>
      </rPr>
      <t>los puntos usados en la mascarilla deben ser mínimo el 10% de los puntos usados en la crema hidratante</t>
    </r>
    <r>
      <rPr>
        <sz val="11"/>
        <color rgb="FF000000"/>
        <rFont val="Calibri Light"/>
        <family val="2"/>
        <scheme val="major"/>
      </rPr>
      <t xml:space="preserve">. Finalmente, </t>
    </r>
    <r>
      <rPr>
        <b/>
        <sz val="11"/>
        <color rgb="FF000000"/>
        <rFont val="Calibri Light"/>
        <family val="2"/>
        <scheme val="major"/>
      </rPr>
      <t>se puede usar una cantidad fraccional de puntos para un producto</t>
    </r>
    <r>
      <rPr>
        <sz val="11"/>
        <color rgb="FF000000"/>
        <rFont val="Calibri Light"/>
        <family val="2"/>
        <scheme val="major"/>
      </rPr>
      <t xml:space="preserve"> (p. ej., 100,8). 
Usted quiere determinar </t>
    </r>
    <r>
      <rPr>
        <b/>
        <sz val="11"/>
        <color rgb="FF000000"/>
        <rFont val="Calibri Light"/>
        <family val="2"/>
        <scheme val="major"/>
      </rPr>
      <t>cuál es la mejor manera de distribuir sus puntos en los tres productos para minimizar la cantidad de COP que debe pagar para comprarlos</t>
    </r>
    <r>
      <rPr>
        <sz val="11"/>
        <color rgb="FF000000"/>
        <rFont val="Calibri Light"/>
        <family val="2"/>
        <scheme val="major"/>
      </rPr>
      <t xml:space="preserve">. 
</t>
    </r>
    <r>
      <rPr>
        <b/>
        <u/>
        <sz val="11"/>
        <color rgb="FF000000"/>
        <rFont val="Calibri Light"/>
        <family val="2"/>
        <scheme val="major"/>
      </rPr>
      <t xml:space="preserve">Nota: </t>
    </r>
    <r>
      <rPr>
        <sz val="11"/>
        <color rgb="FF000000"/>
        <rFont val="Calibri Light"/>
        <family val="2"/>
        <scheme val="major"/>
      </rPr>
      <t xml:space="preserve">puede usar más o menos celdas de las proporcionadas en el formato. </t>
    </r>
  </si>
  <si>
    <t>Tabla 1. Información de los productos.</t>
  </si>
  <si>
    <t>Producto</t>
  </si>
  <si>
    <t>Puntos</t>
  </si>
  <si>
    <t>Precio (COP)</t>
  </si>
  <si>
    <t xml:space="preserve">Bloqueador </t>
  </si>
  <si>
    <t>Crema Hidratante</t>
  </si>
  <si>
    <t>Mascarilla</t>
  </si>
  <si>
    <t>&lt;=</t>
  </si>
  <si>
    <t>Durazno</t>
  </si>
  <si>
    <t>Utilidad</t>
  </si>
  <si>
    <t>=</t>
  </si>
  <si>
    <t>Galones de agua</t>
  </si>
  <si>
    <t>Cerro el cable</t>
  </si>
  <si>
    <t>&gt;=</t>
  </si>
  <si>
    <t>Bloqueador</t>
  </si>
  <si>
    <t>Costo</t>
  </si>
  <si>
    <t>Otros</t>
  </si>
  <si>
    <t>&lt;</t>
  </si>
  <si>
    <t>Producción (gr)</t>
  </si>
  <si>
    <t>Fresa</t>
  </si>
  <si>
    <t>Azucar</t>
  </si>
  <si>
    <t>a</t>
  </si>
  <si>
    <t>b</t>
  </si>
  <si>
    <t>c</t>
  </si>
  <si>
    <t>Parametros</t>
  </si>
  <si>
    <t>mermelada fresa</t>
  </si>
  <si>
    <t>mermelada durazno</t>
  </si>
  <si>
    <t>Capacidad max mensual azucar(kg)</t>
  </si>
  <si>
    <t>Capacidad max mensual mermelada(kg)</t>
  </si>
  <si>
    <t>Variables</t>
  </si>
  <si>
    <t>fresa</t>
  </si>
  <si>
    <t>durazno</t>
  </si>
  <si>
    <t>Precio</t>
  </si>
  <si>
    <t>produccion</t>
  </si>
  <si>
    <t>Funcion objetivo</t>
  </si>
  <si>
    <t xml:space="preserve">azucar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</si>
</sst>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[$-240A]dddd\,\ dd&quot; de &quot;mmmm&quot; de &quot;yyyy;@"/>
    <numFmt numFmtId="166" formatCode="yyyy\-mm\-dd;@"/>
    <numFmt numFmtId="167" formatCode="_-&quot;$&quot;\ * #,##0.000_-;\-&quot;$&quot;\ * #,##0.000_-;_-&quot;$&quot;\ * &quot;-&quot;_-;_-@_-"/>
    <numFmt numFmtId="168" formatCode="[$-F800]dddd\,\ mmmm\ dd\,\ yyyy"/>
  </numFmts>
  <fonts count="49" x14ac:knownFonts="1">
    <font>
      <sz val="11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8"/>
      <color rgb="FF000000"/>
      <name val="Calibri Light"/>
      <family val="2"/>
      <scheme val="major"/>
    </font>
    <font>
      <b/>
      <u/>
      <sz val="12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FFFF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8"/>
      <color rgb="FF000000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sz val="11"/>
      <color theme="1"/>
      <name val="Courier New"/>
      <family val="3"/>
    </font>
    <font>
      <sz val="12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2"/>
      <color theme="9"/>
      <name val="Calibri Light"/>
      <family val="2"/>
      <scheme val="major"/>
    </font>
    <font>
      <sz val="12"/>
      <color rgb="FF000000"/>
      <name val="Courier New"/>
      <family val="3"/>
    </font>
    <font>
      <b/>
      <u/>
      <sz val="12"/>
      <color rgb="FFFF0000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1"/>
      <color theme="1"/>
      <name val="Calibri Light"/>
      <family val="2"/>
    </font>
    <font>
      <b/>
      <sz val="11"/>
      <name val="Calibri Light"/>
      <family val="2"/>
      <scheme val="major"/>
    </font>
    <font>
      <b/>
      <sz val="13"/>
      <color theme="0"/>
      <name val="Courier New"/>
      <family val="3"/>
    </font>
    <font>
      <b/>
      <sz val="11"/>
      <name val="Calibri"/>
      <family val="2"/>
      <scheme val="minor"/>
    </font>
    <font>
      <i/>
      <sz val="11"/>
      <color theme="1"/>
      <name val="Cambria"/>
      <family val="1"/>
    </font>
    <font>
      <b/>
      <sz val="11"/>
      <color rgb="FFC00000"/>
      <name val="Calibri Light"/>
      <family val="2"/>
      <scheme val="major"/>
    </font>
    <font>
      <sz val="11"/>
      <color rgb="FFC00000"/>
      <name val="Calibri Light"/>
      <family val="2"/>
      <scheme val="major"/>
    </font>
    <font>
      <sz val="11"/>
      <color theme="1"/>
      <name val="Consolas"/>
      <family val="3"/>
    </font>
    <font>
      <sz val="11"/>
      <color rgb="FFFF0000"/>
      <name val="Calibri Light"/>
      <family val="2"/>
      <scheme val="major"/>
    </font>
    <font>
      <sz val="5"/>
      <color theme="1"/>
      <name val="Calibri"/>
      <family val="2"/>
      <scheme val="minor"/>
    </font>
    <font>
      <sz val="12"/>
      <color rgb="FF374151"/>
      <name val="Segoe UI"/>
      <family val="2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0"/>
      <name val="Calibri Light"/>
      <family val="2"/>
      <scheme val="major"/>
    </font>
    <font>
      <b/>
      <u/>
      <sz val="11"/>
      <color rgb="FF000000"/>
      <name val="Calibri Light"/>
      <family val="2"/>
      <scheme val="major"/>
    </font>
    <font>
      <b/>
      <sz val="11"/>
      <color rgb="FF000000"/>
      <name val="Courier New"/>
      <family val="3"/>
    </font>
    <font>
      <b/>
      <sz val="12"/>
      <color rgb="FFFFC000"/>
      <name val="Calibri Light"/>
      <family val="2"/>
      <scheme val="major"/>
    </font>
    <font>
      <sz val="11"/>
      <name val="Calibri"/>
      <family val="2"/>
      <scheme val="minor"/>
    </font>
    <font>
      <i/>
      <sz val="11"/>
      <color rgb="FF000000"/>
      <name val="Calibri Light"/>
      <family val="2"/>
      <scheme val="major"/>
    </font>
    <font>
      <b/>
      <sz val="11"/>
      <color theme="1"/>
      <name val="Calibri Light"/>
      <family val="2"/>
    </font>
    <font>
      <b/>
      <sz val="11"/>
      <name val="Courier New"/>
      <family val="3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0"/>
    <xf numFmtId="16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254">
    <xf numFmtId="0" fontId="0" fillId="0" borderId="0" xfId="0"/>
    <xf numFmtId="0" fontId="1" fillId="0" borderId="4" xfId="0" applyFont="1" applyBorder="1" applyAlignment="1">
      <alignment vertical="center"/>
    </xf>
    <xf numFmtId="0" fontId="2" fillId="6" borderId="5" xfId="0" applyFont="1" applyFill="1" applyBorder="1" applyAlignment="1">
      <alignment horizontal="right" vertical="center"/>
    </xf>
    <xf numFmtId="0" fontId="1" fillId="6" borderId="5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1" fillId="6" borderId="5" xfId="0" applyFont="1" applyFill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5" fillId="7" borderId="5" xfId="0" applyFont="1" applyFill="1" applyBorder="1" applyAlignment="1">
      <alignment vertical="center"/>
    </xf>
    <xf numFmtId="0" fontId="5" fillId="0" borderId="0" xfId="0" applyFont="1"/>
    <xf numFmtId="0" fontId="10" fillId="0" borderId="0" xfId="0" applyFont="1"/>
    <xf numFmtId="0" fontId="5" fillId="7" borderId="0" xfId="0" applyFont="1" applyFill="1" applyAlignment="1">
      <alignment vertical="center"/>
    </xf>
    <xf numFmtId="0" fontId="5" fillId="0" borderId="1" xfId="0" applyFont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0" fillId="6" borderId="0" xfId="0" applyFont="1" applyFill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0" fillId="9" borderId="1" xfId="0" applyFill="1" applyBorder="1"/>
    <xf numFmtId="0" fontId="0" fillId="10" borderId="1" xfId="0" applyFill="1" applyBorder="1"/>
    <xf numFmtId="0" fontId="0" fillId="3" borderId="1" xfId="0" applyFill="1" applyBorder="1"/>
    <xf numFmtId="0" fontId="0" fillId="11" borderId="1" xfId="0" applyFill="1" applyBorder="1"/>
    <xf numFmtId="0" fontId="8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22" fillId="0" borderId="0" xfId="0" applyFont="1"/>
    <xf numFmtId="0" fontId="23" fillId="5" borderId="10" xfId="0" applyFont="1" applyFill="1" applyBorder="1" applyAlignment="1">
      <alignment horizontal="center"/>
    </xf>
    <xf numFmtId="2" fontId="5" fillId="8" borderId="1" xfId="0" applyNumberFormat="1" applyFont="1" applyFill="1" applyBorder="1" applyAlignment="1">
      <alignment horizontal="center" vertical="center"/>
    </xf>
    <xf numFmtId="9" fontId="5" fillId="0" borderId="0" xfId="0" applyNumberFormat="1" applyFont="1"/>
    <xf numFmtId="0" fontId="8" fillId="1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4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1" xfId="0" applyFont="1" applyBorder="1"/>
    <xf numFmtId="164" fontId="5" fillId="0" borderId="1" xfId="2" applyFont="1" applyBorder="1"/>
    <xf numFmtId="166" fontId="5" fillId="0" borderId="2" xfId="0" applyNumberFormat="1" applyFont="1" applyBorder="1"/>
    <xf numFmtId="166" fontId="5" fillId="0" borderId="3" xfId="0" applyNumberFormat="1" applyFont="1" applyBorder="1"/>
    <xf numFmtId="166" fontId="5" fillId="0" borderId="4" xfId="0" applyNumberFormat="1" applyFont="1" applyBorder="1"/>
    <xf numFmtId="166" fontId="5" fillId="0" borderId="5" xfId="0" applyNumberFormat="1" applyFont="1" applyBorder="1"/>
    <xf numFmtId="166" fontId="5" fillId="0" borderId="0" xfId="0" applyNumberFormat="1" applyFont="1"/>
    <xf numFmtId="166" fontId="5" fillId="0" borderId="6" xfId="0" applyNumberFormat="1" applyFont="1" applyBorder="1"/>
    <xf numFmtId="166" fontId="5" fillId="0" borderId="7" xfId="0" applyNumberFormat="1" applyFont="1" applyBorder="1"/>
    <xf numFmtId="166" fontId="5" fillId="0" borderId="8" xfId="0" applyNumberFormat="1" applyFont="1" applyBorder="1"/>
    <xf numFmtId="166" fontId="5" fillId="0" borderId="9" xfId="0" applyNumberFormat="1" applyFont="1" applyBorder="1"/>
    <xf numFmtId="0" fontId="5" fillId="4" borderId="1" xfId="0" applyFont="1" applyFill="1" applyBorder="1" applyAlignment="1">
      <alignment horizontal="center"/>
    </xf>
    <xf numFmtId="164" fontId="5" fillId="4" borderId="1" xfId="2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9" fillId="4" borderId="1" xfId="2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28" fillId="4" borderId="1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9" fillId="5" borderId="1" xfId="0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5" fillId="15" borderId="1" xfId="0" applyNumberFormat="1" applyFont="1" applyFill="1" applyBorder="1" applyAlignment="1">
      <alignment horizontal="center"/>
    </xf>
    <xf numFmtId="166" fontId="32" fillId="16" borderId="3" xfId="0" applyNumberFormat="1" applyFont="1" applyFill="1" applyBorder="1"/>
    <xf numFmtId="166" fontId="32" fillId="16" borderId="0" xfId="0" applyNumberFormat="1" applyFont="1" applyFill="1"/>
    <xf numFmtId="166" fontId="32" fillId="16" borderId="5" xfId="0" applyNumberFormat="1" applyFont="1" applyFill="1" applyBorder="1"/>
    <xf numFmtId="166" fontId="5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3" fillId="0" borderId="0" xfId="0" applyFont="1"/>
    <xf numFmtId="0" fontId="5" fillId="0" borderId="1" xfId="2" applyNumberFormat="1" applyFont="1" applyBorder="1" applyAlignment="1">
      <alignment horizontal="center"/>
    </xf>
    <xf numFmtId="0" fontId="35" fillId="0" borderId="0" xfId="0" applyFont="1"/>
    <xf numFmtId="0" fontId="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2" fontId="5" fillId="8" borderId="1" xfId="3" applyFont="1" applyFill="1" applyBorder="1" applyAlignment="1">
      <alignment horizontal="center" vertical="center"/>
    </xf>
    <xf numFmtId="42" fontId="5" fillId="4" borderId="1" xfId="3" applyFont="1" applyFill="1" applyBorder="1" applyAlignment="1">
      <alignment horizontal="center"/>
    </xf>
    <xf numFmtId="0" fontId="0" fillId="0" borderId="0" xfId="0" applyAlignment="1">
      <alignment horizontal="right"/>
    </xf>
    <xf numFmtId="0" fontId="3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7" fillId="0" borderId="0" xfId="0" applyFont="1" applyAlignment="1">
      <alignment horizontal="left" vertical="center" indent="1"/>
    </xf>
    <xf numFmtId="0" fontId="38" fillId="0" borderId="0" xfId="0" applyFont="1"/>
    <xf numFmtId="10" fontId="0" fillId="0" borderId="0" xfId="0" applyNumberFormat="1"/>
    <xf numFmtId="42" fontId="0" fillId="0" borderId="0" xfId="3" applyFont="1"/>
    <xf numFmtId="0" fontId="23" fillId="5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1" fillId="6" borderId="7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39" fillId="0" borderId="0" xfId="0" applyFont="1"/>
    <xf numFmtId="0" fontId="5" fillId="0" borderId="0" xfId="0" applyFont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0" fontId="10" fillId="0" borderId="14" xfId="0" applyFont="1" applyBorder="1"/>
    <xf numFmtId="0" fontId="41" fillId="5" borderId="1" xfId="0" applyFont="1" applyFill="1" applyBorder="1" applyAlignment="1">
      <alignment horizontal="center" vertical="center"/>
    </xf>
    <xf numFmtId="0" fontId="8" fillId="0" borderId="8" xfId="0" applyFont="1" applyBorder="1"/>
    <xf numFmtId="0" fontId="8" fillId="0" borderId="0" xfId="0" applyFont="1"/>
    <xf numFmtId="0" fontId="23" fillId="5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4" borderId="1" xfId="0" applyFill="1" applyBorder="1"/>
    <xf numFmtId="0" fontId="5" fillId="0" borderId="12" xfId="0" applyFont="1" applyBorder="1" applyAlignment="1">
      <alignment horizontal="center"/>
    </xf>
    <xf numFmtId="164" fontId="5" fillId="3" borderId="12" xfId="2" applyFont="1" applyFill="1" applyBorder="1" applyAlignment="1">
      <alignment horizontal="center"/>
    </xf>
    <xf numFmtId="167" fontId="0" fillId="0" borderId="0" xfId="0" applyNumberFormat="1"/>
    <xf numFmtId="42" fontId="9" fillId="4" borderId="1" xfId="3" applyFont="1" applyFill="1" applyBorder="1" applyAlignment="1">
      <alignment horizontal="center"/>
    </xf>
    <xf numFmtId="42" fontId="5" fillId="3" borderId="1" xfId="3" applyFont="1" applyFill="1" applyBorder="1" applyAlignment="1">
      <alignment horizontal="center" vertical="center"/>
    </xf>
    <xf numFmtId="1" fontId="0" fillId="0" borderId="0" xfId="0" applyNumberFormat="1"/>
    <xf numFmtId="44" fontId="0" fillId="0" borderId="0" xfId="0" applyNumberFormat="1"/>
    <xf numFmtId="4" fontId="0" fillId="0" borderId="1" xfId="0" applyNumberFormat="1" applyBorder="1" applyAlignment="1">
      <alignment horizontal="center" vertical="center"/>
    </xf>
    <xf numFmtId="0" fontId="38" fillId="0" borderId="0" xfId="0" applyFont="1" applyAlignment="1">
      <alignment horizontal="left"/>
    </xf>
    <xf numFmtId="166" fontId="35" fillId="0" borderId="0" xfId="0" applyNumberFormat="1" applyFont="1"/>
    <xf numFmtId="0" fontId="45" fillId="0" borderId="1" xfId="0" applyFont="1" applyBorder="1"/>
    <xf numFmtId="1" fontId="0" fillId="4" borderId="1" xfId="0" applyNumberForma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3" fillId="6" borderId="0" xfId="0" applyFont="1" applyFill="1" applyAlignment="1">
      <alignment vertical="center"/>
    </xf>
    <xf numFmtId="0" fontId="1" fillId="6" borderId="8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/>
    </xf>
    <xf numFmtId="14" fontId="5" fillId="17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45" fillId="0" borderId="0" xfId="0" applyFont="1"/>
    <xf numFmtId="14" fontId="5" fillId="0" borderId="0" xfId="0" applyNumberFormat="1" applyFont="1"/>
    <xf numFmtId="2" fontId="5" fillId="0" borderId="0" xfId="0" applyNumberFormat="1" applyFont="1"/>
    <xf numFmtId="168" fontId="0" fillId="0" borderId="0" xfId="0" applyNumberFormat="1"/>
    <xf numFmtId="3" fontId="5" fillId="0" borderId="0" xfId="0" applyNumberFormat="1" applyFont="1"/>
    <xf numFmtId="44" fontId="9" fillId="4" borderId="1" xfId="4" applyFont="1" applyFill="1" applyBorder="1" applyAlignment="1">
      <alignment horizontal="center" wrapText="1"/>
    </xf>
    <xf numFmtId="2" fontId="5" fillId="0" borderId="0" xfId="0" applyNumberFormat="1" applyFont="1" applyAlignment="1">
      <alignment horizontal="center" vertical="center"/>
    </xf>
    <xf numFmtId="42" fontId="0" fillId="0" borderId="1" xfId="5" applyFont="1" applyBorder="1"/>
    <xf numFmtId="1" fontId="5" fillId="8" borderId="1" xfId="0" applyNumberFormat="1" applyFont="1" applyFill="1" applyBorder="1" applyAlignment="1">
      <alignment horizontal="center" vertical="center"/>
    </xf>
    <xf numFmtId="42" fontId="0" fillId="0" borderId="0" xfId="0" applyNumberFormat="1"/>
    <xf numFmtId="42" fontId="5" fillId="8" borderId="1" xfId="5" applyFont="1" applyFill="1" applyBorder="1" applyAlignment="1">
      <alignment horizontal="center" vertical="center"/>
    </xf>
    <xf numFmtId="42" fontId="5" fillId="4" borderId="1" xfId="5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2" fontId="5" fillId="8" borderId="16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3" fontId="5" fillId="0" borderId="1" xfId="4" applyNumberFormat="1" applyFont="1" applyBorder="1" applyAlignment="1">
      <alignment horizontal="center"/>
    </xf>
    <xf numFmtId="0" fontId="6" fillId="0" borderId="0" xfId="0" applyFont="1"/>
    <xf numFmtId="42" fontId="6" fillId="0" borderId="0" xfId="0" applyNumberFormat="1" applyFont="1"/>
    <xf numFmtId="2" fontId="6" fillId="0" borderId="0" xfId="0" applyNumberFormat="1" applyFont="1"/>
    <xf numFmtId="44" fontId="9" fillId="4" borderId="1" xfId="6" applyFont="1" applyFill="1" applyBorder="1" applyAlignment="1">
      <alignment horizontal="center" wrapText="1"/>
    </xf>
    <xf numFmtId="0" fontId="5" fillId="0" borderId="1" xfId="6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2" fontId="33" fillId="0" borderId="0" xfId="0" applyNumberFormat="1" applyFont="1"/>
    <xf numFmtId="1" fontId="33" fillId="0" borderId="0" xfId="0" applyNumberFormat="1" applyFont="1"/>
    <xf numFmtId="42" fontId="35" fillId="0" borderId="0" xfId="0" applyNumberFormat="1" applyFont="1"/>
    <xf numFmtId="1" fontId="5" fillId="8" borderId="1" xfId="5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left" vertical="center" wrapText="1"/>
    </xf>
    <xf numFmtId="0" fontId="15" fillId="6" borderId="6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6" fillId="0" borderId="6" xfId="0" applyFont="1" applyBorder="1" applyAlignment="1">
      <alignment horizontal="left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2" fillId="6" borderId="0" xfId="0" applyFont="1" applyFill="1" applyAlignment="1">
      <alignment vertical="center"/>
    </xf>
    <xf numFmtId="0" fontId="12" fillId="6" borderId="6" xfId="0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0" fontId="3" fillId="6" borderId="6" xfId="0" applyFont="1" applyFill="1" applyBorder="1" applyAlignment="1">
      <alignment vertical="center"/>
    </xf>
    <xf numFmtId="0" fontId="15" fillId="6" borderId="0" xfId="0" applyFont="1" applyFill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23" fillId="5" borderId="12" xfId="0" applyFont="1" applyFill="1" applyBorder="1" applyAlignment="1">
      <alignment horizontal="center"/>
    </xf>
    <xf numFmtId="0" fontId="23" fillId="5" borderId="13" xfId="0" applyFont="1" applyFill="1" applyBorder="1" applyAlignment="1">
      <alignment horizontal="center"/>
    </xf>
    <xf numFmtId="0" fontId="30" fillId="4" borderId="12" xfId="0" applyFont="1" applyFill="1" applyBorder="1" applyAlignment="1">
      <alignment horizontal="center"/>
    </xf>
    <xf numFmtId="0" fontId="30" fillId="4" borderId="1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14" xfId="0" applyFont="1" applyBorder="1" applyAlignment="1">
      <alignment horizontal="left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5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3" borderId="12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5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4" fontId="33" fillId="0" borderId="0" xfId="0" applyNumberFormat="1" applyFont="1"/>
    <xf numFmtId="0" fontId="0" fillId="0" borderId="0" xfId="0" applyNumberFormat="1"/>
    <xf numFmtId="0" fontId="5" fillId="0" borderId="0" xfId="0" applyNumberFormat="1" applyFont="1"/>
    <xf numFmtId="3" fontId="0" fillId="0" borderId="1" xfId="0" applyNumberFormat="1" applyBorder="1"/>
    <xf numFmtId="164" fontId="0" fillId="0" borderId="1" xfId="2" applyFont="1" applyBorder="1"/>
  </cellXfs>
  <cellStyles count="7">
    <cellStyle name="Moneda" xfId="2" builtinId="4"/>
    <cellStyle name="Moneda [0]" xfId="3" builtinId="7"/>
    <cellStyle name="Moneda [0] 2" xfId="5" xr:uid="{1851B4AC-E524-435A-B742-57EC10541366}"/>
    <cellStyle name="Moneda 2" xfId="4" xr:uid="{938E1AFF-BF5C-49B0-B8F9-A850F574BB8B}"/>
    <cellStyle name="Moneda 3" xfId="6" xr:uid="{5E5FEDA3-AE3D-4958-B266-7F69F346FCF6}"/>
    <cellStyle name="Normal" xfId="0" builtinId="0"/>
    <cellStyle name="Normal 2" xfId="1" xr:uid="{D6BF7A55-AE1F-4512-86BC-777D998FC7FF}"/>
  </cellStyles>
  <dxfs count="14"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78181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5151966</xdr:colOff>
      <xdr:row>0</xdr:row>
      <xdr:rowOff>77522</xdr:rowOff>
    </xdr:from>
    <xdr:ext cx="1894416" cy="585957"/>
    <xdr:pic>
      <xdr:nvPicPr>
        <xdr:cNvPr id="2" name="1 Imagen">
          <a:extLst>
            <a:ext uri="{FF2B5EF4-FFF2-40B4-BE49-F238E27FC236}">
              <a16:creationId xmlns:a16="http://schemas.microsoft.com/office/drawing/2014/main" id="{53C7FCFF-A338-4FBE-89CC-F8B76BCDF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675966" y="77522"/>
          <a:ext cx="1894416" cy="58595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369981</xdr:colOff>
      <xdr:row>3</xdr:row>
      <xdr:rowOff>75639</xdr:rowOff>
    </xdr:from>
    <xdr:ext cx="1717675" cy="7439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4FEA2E0-B0AE-4886-9070-819C0D525598}"/>
                </a:ext>
              </a:extLst>
            </xdr:cNvPr>
            <xdr:cNvSpPr txBox="1"/>
          </xdr:nvSpPr>
          <xdr:spPr>
            <a:xfrm>
              <a:off x="6764805" y="650874"/>
              <a:ext cx="1717675" cy="7439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2000" b="0" i="1">
                      <a:latin typeface="Cambria Math" panose="02040503050406030204" pitchFamily="18" charset="0"/>
                    </a:rPr>
                    <m:t>𝑟</m:t>
                  </m:r>
                  <m:r>
                    <a:rPr lang="es-E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E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d>
                        <m:dPr>
                          <m:ctrlPr>
                            <a:rPr lang="es-ES" sz="20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ad>
                            <m:radPr>
                              <m:degHide m:val="on"/>
                              <m:ctrlPr>
                                <a:rPr lang="es-ES" sz="2000" b="0" i="1">
                                  <a:latin typeface="Cambria Math" panose="02040503050406030204" pitchFamily="18" charset="0"/>
                                </a:rPr>
                              </m:ctrlPr>
                            </m:radPr>
                            <m:deg/>
                            <m:e>
                              <m:f>
                                <m:fPr>
                                  <m:ctrlPr>
                                    <a:rPr lang="es-E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sSup>
                                    <m:sSupPr>
                                      <m:ctrlPr>
                                        <a:rPr lang="es-E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d>
                                        <m:dPr>
                                          <m:ctrlPr>
                                            <a:rPr lang="es-ES" sz="1600" b="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dPr>
                                        <m:e>
                                          <m:r>
                                            <a:rPr lang="es-ES" sz="1600" b="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𝑥</m:t>
                                          </m:r>
                                          <m:r>
                                            <a:rPr lang="es-ES" sz="1600" b="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+2</m:t>
                                          </m:r>
                                        </m:e>
                                      </m:d>
                                    </m:e>
                                    <m:sup>
                                      <m:r>
                                        <a:rPr lang="es-E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𝑧</m:t>
                                      </m:r>
                                    </m:sup>
                                  </m:sSup>
                                </m:num>
                                <m:den>
                                  <m:sSup>
                                    <m:sSupPr>
                                      <m:ctrlPr>
                                        <a:rPr lang="es-E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d>
                                        <m:dPr>
                                          <m:ctrlPr>
                                            <a:rPr lang="es-ES" sz="1600" b="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dPr>
                                        <m:e>
                                          <m:r>
                                            <a:rPr lang="es-ES" sz="1600" b="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𝑦</m:t>
                                          </m:r>
                                          <m:r>
                                            <a:rPr lang="es-ES" sz="1600" b="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+2</m:t>
                                          </m:r>
                                        </m:e>
                                      </m:d>
                                    </m:e>
                                    <m:sup>
                                      <m:r>
                                        <a:rPr lang="es-E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3</m:t>
                                      </m:r>
                                    </m:sup>
                                  </m:sSup>
                                </m:den>
                              </m:f>
                              <m:r>
                                <a:rPr lang="es-ES" sz="16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e>
                          </m:rad>
                        </m:e>
                      </m:d>
                      <m:r>
                        <a:rPr lang="es-ES" sz="20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⋅ </m:t>
                      </m:r>
                      <m:r>
                        <a:rPr lang="es-ES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𝑧</m:t>
                      </m:r>
                    </m:num>
                    <m:den>
                      <m:r>
                        <a:rPr lang="es-ES" sz="2000" b="0" i="1">
                          <a:latin typeface="Cambria Math" panose="02040503050406030204" pitchFamily="18" charset="0"/>
                        </a:rPr>
                        <m:t>5 ⋅ </m:t>
                      </m:r>
                      <m:sSup>
                        <m:sSupPr>
                          <m:ctrlPr>
                            <a:rPr lang="es-ES" sz="20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ES" sz="2000" b="0" i="1">
                              <a:latin typeface="Cambria Math" panose="02040503050406030204" pitchFamily="18" charset="0"/>
                            </a:rPr>
                            <m:t>𝑤</m:t>
                          </m:r>
                        </m:e>
                        <m:sup>
                          <m:r>
                            <a:rPr lang="es-ES" sz="2000" b="0" i="1">
                              <a:latin typeface="Cambria Math" panose="02040503050406030204" pitchFamily="18" charset="0"/>
                            </a:rPr>
                            <m:t>3</m:t>
                          </m:r>
                        </m:sup>
                      </m:sSup>
                    </m:den>
                  </m:f>
                </m:oMath>
              </a14:m>
              <a:r>
                <a:rPr lang="es-CO" sz="1800"/>
                <a:t> </a:t>
              </a: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4FEA2E0-B0AE-4886-9070-819C0D525598}"/>
                </a:ext>
              </a:extLst>
            </xdr:cNvPr>
            <xdr:cNvSpPr txBox="1"/>
          </xdr:nvSpPr>
          <xdr:spPr>
            <a:xfrm>
              <a:off x="6764805" y="650874"/>
              <a:ext cx="1717675" cy="7439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2000" b="0" i="0">
                  <a:latin typeface="Cambria Math" panose="02040503050406030204" pitchFamily="18" charset="0"/>
                </a:rPr>
                <a:t>𝑟=((√(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(𝑥+2)^𝑧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(𝑦+2)^3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 </a:t>
              </a:r>
              <a:r>
                <a:rPr lang="es-ES" sz="2000" b="0" i="0">
                  <a:latin typeface="Cambria Math" panose="02040503050406030204" pitchFamily="18" charset="0"/>
                </a:rPr>
                <a:t> 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⋅ 𝑧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ES" sz="2000" b="0" i="0">
                  <a:latin typeface="Cambria Math" panose="02040503050406030204" pitchFamily="18" charset="0"/>
                </a:rPr>
                <a:t>5 ⋅ 𝑤^3 )</a:t>
              </a:r>
              <a:r>
                <a:rPr lang="es-CO" sz="1800"/>
                <a:t> 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295274</xdr:colOff>
      <xdr:row>46</xdr:row>
      <xdr:rowOff>8165</xdr:rowOff>
    </xdr:from>
    <xdr:ext cx="974479" cy="1070805"/>
    <xdr:pic>
      <xdr:nvPicPr>
        <xdr:cNvPr id="2" name="1 Imagen" descr="http://www.estudiossocialesonline.com/wp-content/uploads/2011/11/rosa_vientos.png">
          <a:extLst>
            <a:ext uri="{FF2B5EF4-FFF2-40B4-BE49-F238E27FC236}">
              <a16:creationId xmlns:a16="http://schemas.microsoft.com/office/drawing/2014/main" id="{D14321B2-E404-4A71-BB27-C2B56E7352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4" y="7542440"/>
          <a:ext cx="974479" cy="107080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182880</xdr:colOff>
      <xdr:row>14</xdr:row>
      <xdr:rowOff>137160</xdr:rowOff>
    </xdr:from>
    <xdr:ext cx="655500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470E09F-760D-4267-A013-19CDACE69A47}"/>
            </a:ext>
          </a:extLst>
        </xdr:cNvPr>
        <xdr:cNvSpPr txBox="1"/>
      </xdr:nvSpPr>
      <xdr:spPr>
        <a:xfrm>
          <a:off x="3735705" y="1575435"/>
          <a:ext cx="6555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Suba</a:t>
          </a:r>
        </a:p>
      </xdr:txBody>
    </xdr:sp>
    <xdr:clientData/>
  </xdr:oneCellAnchor>
  <xdr:oneCellAnchor>
    <xdr:from>
      <xdr:col>16</xdr:col>
      <xdr:colOff>190500</xdr:colOff>
      <xdr:row>15</xdr:row>
      <xdr:rowOff>114300</xdr:rowOff>
    </xdr:from>
    <xdr:ext cx="1029193" cy="37414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4E9A32C-BA0A-47AE-801E-7D6A6DFAFAD2}"/>
            </a:ext>
          </a:extLst>
        </xdr:cNvPr>
        <xdr:cNvSpPr txBox="1"/>
      </xdr:nvSpPr>
      <xdr:spPr>
        <a:xfrm>
          <a:off x="4848225" y="1743075"/>
          <a:ext cx="102919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Usaquén</a:t>
          </a:r>
        </a:p>
      </xdr:txBody>
    </xdr:sp>
    <xdr:clientData/>
  </xdr:oneCellAnchor>
  <xdr:oneCellAnchor>
    <xdr:from>
      <xdr:col>11</xdr:col>
      <xdr:colOff>34766</xdr:colOff>
      <xdr:row>19</xdr:row>
      <xdr:rowOff>187642</xdr:rowOff>
    </xdr:from>
    <xdr:ext cx="1004378" cy="374141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8FBF600-9077-4715-8FC9-0D7CA7547906}"/>
            </a:ext>
          </a:extLst>
        </xdr:cNvPr>
        <xdr:cNvSpPr txBox="1"/>
      </xdr:nvSpPr>
      <xdr:spPr>
        <a:xfrm>
          <a:off x="3311366" y="2578417"/>
          <a:ext cx="100437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Engativá</a:t>
          </a:r>
        </a:p>
      </xdr:txBody>
    </xdr:sp>
    <xdr:clientData/>
  </xdr:oneCellAnchor>
  <xdr:oneCellAnchor>
    <xdr:from>
      <xdr:col>7</xdr:col>
      <xdr:colOff>29528</xdr:colOff>
      <xdr:row>23</xdr:row>
      <xdr:rowOff>18574</xdr:rowOff>
    </xdr:from>
    <xdr:ext cx="1047082" cy="374141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D870BF-4C7B-4C1A-A0B2-D58E330AD252}"/>
            </a:ext>
          </a:extLst>
        </xdr:cNvPr>
        <xdr:cNvSpPr txBox="1"/>
      </xdr:nvSpPr>
      <xdr:spPr>
        <a:xfrm>
          <a:off x="2201228" y="3171349"/>
          <a:ext cx="104708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Fontibón</a:t>
          </a:r>
        </a:p>
      </xdr:txBody>
    </xdr:sp>
    <xdr:clientData/>
  </xdr:oneCellAnchor>
  <xdr:oneCellAnchor>
    <xdr:from>
      <xdr:col>7</xdr:col>
      <xdr:colOff>62389</xdr:colOff>
      <xdr:row>32</xdr:row>
      <xdr:rowOff>6191</xdr:rowOff>
    </xdr:from>
    <xdr:ext cx="1024255" cy="374141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BDDC67A-3F74-4E1D-BBD1-2BFD95F38B0D}"/>
            </a:ext>
          </a:extLst>
        </xdr:cNvPr>
        <xdr:cNvSpPr txBox="1"/>
      </xdr:nvSpPr>
      <xdr:spPr>
        <a:xfrm>
          <a:off x="2234089" y="4873466"/>
          <a:ext cx="10242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Kennedy</a:t>
          </a:r>
        </a:p>
      </xdr:txBody>
    </xdr:sp>
    <xdr:clientData/>
  </xdr:oneCellAnchor>
  <xdr:oneCellAnchor>
    <xdr:from>
      <xdr:col>3</xdr:col>
      <xdr:colOff>112395</xdr:colOff>
      <xdr:row>36</xdr:row>
      <xdr:rowOff>3810</xdr:rowOff>
    </xdr:from>
    <xdr:ext cx="644151" cy="374141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9F85893-26AE-41E7-85A6-0DACCB0D3C0F}"/>
            </a:ext>
          </a:extLst>
        </xdr:cNvPr>
        <xdr:cNvSpPr txBox="1"/>
      </xdr:nvSpPr>
      <xdr:spPr>
        <a:xfrm>
          <a:off x="1160145" y="5633085"/>
          <a:ext cx="64415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Bosa</a:t>
          </a:r>
        </a:p>
      </xdr:txBody>
    </xdr:sp>
    <xdr:clientData/>
  </xdr:oneCellAnchor>
  <xdr:oneCellAnchor>
    <xdr:from>
      <xdr:col>5</xdr:col>
      <xdr:colOff>175260</xdr:colOff>
      <xdr:row>40</xdr:row>
      <xdr:rowOff>175260</xdr:rowOff>
    </xdr:from>
    <xdr:ext cx="1573316" cy="374141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5BF6636-7BBD-495B-ABAD-84D39F759709}"/>
            </a:ext>
          </a:extLst>
        </xdr:cNvPr>
        <xdr:cNvSpPr txBox="1"/>
      </xdr:nvSpPr>
      <xdr:spPr>
        <a:xfrm>
          <a:off x="1794510" y="6566535"/>
          <a:ext cx="157331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Ciudad Bolívar</a:t>
          </a:r>
        </a:p>
      </xdr:txBody>
    </xdr:sp>
    <xdr:clientData/>
  </xdr:oneCellAnchor>
  <xdr:oneCellAnchor>
    <xdr:from>
      <xdr:col>8</xdr:col>
      <xdr:colOff>127635</xdr:colOff>
      <xdr:row>38</xdr:row>
      <xdr:rowOff>67627</xdr:rowOff>
    </xdr:from>
    <xdr:ext cx="1163139" cy="374141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F3E3B8F-D2B1-4C58-A0A9-359C2FD0EA54}"/>
            </a:ext>
          </a:extLst>
        </xdr:cNvPr>
        <xdr:cNvSpPr txBox="1"/>
      </xdr:nvSpPr>
      <xdr:spPr>
        <a:xfrm>
          <a:off x="2575560" y="6077902"/>
          <a:ext cx="116313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Tunjuelito</a:t>
          </a:r>
        </a:p>
      </xdr:txBody>
    </xdr:sp>
    <xdr:clientData/>
  </xdr:oneCellAnchor>
  <xdr:oneCellAnchor>
    <xdr:from>
      <xdr:col>13</xdr:col>
      <xdr:colOff>76200</xdr:colOff>
      <xdr:row>46</xdr:row>
      <xdr:rowOff>53340</xdr:rowOff>
    </xdr:from>
    <xdr:ext cx="731419" cy="374141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3C82F29-9212-4B0E-8C85-DE46E6E0FF3C}"/>
            </a:ext>
          </a:extLst>
        </xdr:cNvPr>
        <xdr:cNvSpPr txBox="1"/>
      </xdr:nvSpPr>
      <xdr:spPr>
        <a:xfrm>
          <a:off x="3905250" y="7587615"/>
          <a:ext cx="7314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Usme</a:t>
          </a:r>
        </a:p>
      </xdr:txBody>
    </xdr:sp>
    <xdr:clientData/>
  </xdr:oneCellAnchor>
  <xdr:oneCellAnchor>
    <xdr:from>
      <xdr:col>11</xdr:col>
      <xdr:colOff>175260</xdr:colOff>
      <xdr:row>28</xdr:row>
      <xdr:rowOff>114300</xdr:rowOff>
    </xdr:from>
    <xdr:ext cx="882229" cy="655949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A83CB72C-40D2-413A-B22F-FC84534D702F}"/>
            </a:ext>
          </a:extLst>
        </xdr:cNvPr>
        <xdr:cNvSpPr txBox="1"/>
      </xdr:nvSpPr>
      <xdr:spPr>
        <a:xfrm>
          <a:off x="3451860" y="4219575"/>
          <a:ext cx="882229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Puente</a:t>
          </a:r>
        </a:p>
        <a:p>
          <a:r>
            <a:rPr lang="es-US" sz="1800" b="1"/>
            <a:t>Aranda</a:t>
          </a:r>
        </a:p>
      </xdr:txBody>
    </xdr:sp>
    <xdr:clientData/>
  </xdr:oneCellAnchor>
  <xdr:oneCellAnchor>
    <xdr:from>
      <xdr:col>14</xdr:col>
      <xdr:colOff>259080</xdr:colOff>
      <xdr:row>38</xdr:row>
      <xdr:rowOff>167640</xdr:rowOff>
    </xdr:from>
    <xdr:ext cx="1435393" cy="37414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1B59DDAB-F207-46E8-ABF0-E7D96EA33A83}"/>
            </a:ext>
          </a:extLst>
        </xdr:cNvPr>
        <xdr:cNvSpPr txBox="1"/>
      </xdr:nvSpPr>
      <xdr:spPr>
        <a:xfrm>
          <a:off x="4364355" y="6177915"/>
          <a:ext cx="143539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San Cristóbal</a:t>
          </a:r>
        </a:p>
      </xdr:txBody>
    </xdr:sp>
    <xdr:clientData/>
  </xdr:oneCellAnchor>
  <xdr:oneCellAnchor>
    <xdr:from>
      <xdr:col>15</xdr:col>
      <xdr:colOff>0</xdr:colOff>
      <xdr:row>35</xdr:row>
      <xdr:rowOff>7620</xdr:rowOff>
    </xdr:from>
    <xdr:ext cx="999889" cy="37414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F8D6FC1-8E6A-41D5-BC0F-33C746836964}"/>
            </a:ext>
          </a:extLst>
        </xdr:cNvPr>
        <xdr:cNvSpPr txBox="1"/>
      </xdr:nvSpPr>
      <xdr:spPr>
        <a:xfrm>
          <a:off x="4381500" y="5446395"/>
          <a:ext cx="99988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Sant</a:t>
          </a:r>
          <a:r>
            <a:rPr lang="es-US" sz="1800" b="1" baseline="0"/>
            <a:t>a Fé</a:t>
          </a:r>
          <a:endParaRPr lang="es-US" sz="1800" b="1"/>
        </a:p>
      </xdr:txBody>
    </xdr:sp>
    <xdr:clientData/>
  </xdr:oneCellAnchor>
  <xdr:oneCellAnchor>
    <xdr:from>
      <xdr:col>15</xdr:col>
      <xdr:colOff>205740</xdr:colOff>
      <xdr:row>33</xdr:row>
      <xdr:rowOff>45720</xdr:rowOff>
    </xdr:from>
    <xdr:ext cx="1208023" cy="374141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FFD46C69-EFE0-4A7E-8AB3-06C887B91E3F}"/>
            </a:ext>
          </a:extLst>
        </xdr:cNvPr>
        <xdr:cNvSpPr txBox="1"/>
      </xdr:nvSpPr>
      <xdr:spPr>
        <a:xfrm>
          <a:off x="4587240" y="5103495"/>
          <a:ext cx="120802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Candelaria</a:t>
          </a:r>
        </a:p>
      </xdr:txBody>
    </xdr:sp>
    <xdr:clientData/>
  </xdr:oneCellAnchor>
  <xdr:oneCellAnchor>
    <xdr:from>
      <xdr:col>14</xdr:col>
      <xdr:colOff>76200</xdr:colOff>
      <xdr:row>22</xdr:row>
      <xdr:rowOff>99060</xdr:rowOff>
    </xdr:from>
    <xdr:ext cx="917174" cy="655949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E785D45B-4A9D-4D39-85A9-B067C21642E1}"/>
            </a:ext>
          </a:extLst>
        </xdr:cNvPr>
        <xdr:cNvSpPr txBox="1"/>
      </xdr:nvSpPr>
      <xdr:spPr>
        <a:xfrm>
          <a:off x="4181475" y="3061335"/>
          <a:ext cx="917174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Barrios </a:t>
          </a:r>
        </a:p>
        <a:p>
          <a:r>
            <a:rPr lang="es-US" sz="1800" b="1"/>
            <a:t>Unidos</a:t>
          </a:r>
        </a:p>
      </xdr:txBody>
    </xdr:sp>
    <xdr:clientData/>
  </xdr:oneCellAnchor>
  <xdr:oneCellAnchor>
    <xdr:from>
      <xdr:col>16</xdr:col>
      <xdr:colOff>36195</xdr:colOff>
      <xdr:row>25</xdr:row>
      <xdr:rowOff>87630</xdr:rowOff>
    </xdr:from>
    <xdr:ext cx="1171411" cy="374141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8FBABE7-2C24-4103-AD98-AAA27D342BDF}"/>
            </a:ext>
          </a:extLst>
        </xdr:cNvPr>
        <xdr:cNvSpPr txBox="1"/>
      </xdr:nvSpPr>
      <xdr:spPr>
        <a:xfrm>
          <a:off x="4693920" y="3621405"/>
          <a:ext cx="117141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Chapinero</a:t>
          </a:r>
        </a:p>
      </xdr:txBody>
    </xdr:sp>
    <xdr:clientData/>
  </xdr:oneCellAnchor>
  <xdr:oneCellAnchor>
    <xdr:from>
      <xdr:col>12</xdr:col>
      <xdr:colOff>182880</xdr:colOff>
      <xdr:row>27</xdr:row>
      <xdr:rowOff>0</xdr:rowOff>
    </xdr:from>
    <xdr:ext cx="1286891" cy="374141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C2E90873-1740-463E-A6F7-E3DFE765ADE7}"/>
            </a:ext>
          </a:extLst>
        </xdr:cNvPr>
        <xdr:cNvSpPr txBox="1"/>
      </xdr:nvSpPr>
      <xdr:spPr>
        <a:xfrm>
          <a:off x="3735705" y="3914775"/>
          <a:ext cx="128689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Teusaquillo</a:t>
          </a:r>
        </a:p>
      </xdr:txBody>
    </xdr:sp>
    <xdr:clientData/>
  </xdr:oneCellAnchor>
  <xdr:oneCellAnchor>
    <xdr:from>
      <xdr:col>11</xdr:col>
      <xdr:colOff>259080</xdr:colOff>
      <xdr:row>34</xdr:row>
      <xdr:rowOff>144780</xdr:rowOff>
    </xdr:from>
    <xdr:ext cx="1009315" cy="655949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16D15366-8978-446D-BE5C-7EE3546E9150}"/>
            </a:ext>
          </a:extLst>
        </xdr:cNvPr>
        <xdr:cNvSpPr txBox="1"/>
      </xdr:nvSpPr>
      <xdr:spPr>
        <a:xfrm>
          <a:off x="3535680" y="5393055"/>
          <a:ext cx="100931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Antonio </a:t>
          </a:r>
        </a:p>
        <a:p>
          <a:r>
            <a:rPr lang="es-US" sz="1800" b="1"/>
            <a:t>Nariño</a:t>
          </a:r>
        </a:p>
      </xdr:txBody>
    </xdr:sp>
    <xdr:clientData/>
  </xdr:oneCellAnchor>
  <xdr:oneCellAnchor>
    <xdr:from>
      <xdr:col>12</xdr:col>
      <xdr:colOff>106680</xdr:colOff>
      <xdr:row>38</xdr:row>
      <xdr:rowOff>83820</xdr:rowOff>
    </xdr:from>
    <xdr:ext cx="788421" cy="655949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50732126-9966-490B-B30C-ABD9ECD6B268}"/>
            </a:ext>
          </a:extLst>
        </xdr:cNvPr>
        <xdr:cNvSpPr txBox="1"/>
      </xdr:nvSpPr>
      <xdr:spPr>
        <a:xfrm>
          <a:off x="3659505" y="6094095"/>
          <a:ext cx="788421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Rafael</a:t>
          </a:r>
        </a:p>
        <a:p>
          <a:r>
            <a:rPr lang="es-US" sz="1800" b="1"/>
            <a:t>Uribe</a:t>
          </a:r>
        </a:p>
      </xdr:txBody>
    </xdr:sp>
    <xdr:clientData/>
  </xdr:oneCellAnchor>
  <xdr:oneCellAnchor>
    <xdr:from>
      <xdr:col>13</xdr:col>
      <xdr:colOff>175260</xdr:colOff>
      <xdr:row>32</xdr:row>
      <xdr:rowOff>15240</xdr:rowOff>
    </xdr:from>
    <xdr:ext cx="1009444" cy="374141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394F3DEF-A161-4DA6-B190-00E9872E1FC9}"/>
            </a:ext>
          </a:extLst>
        </xdr:cNvPr>
        <xdr:cNvSpPr txBox="1"/>
      </xdr:nvSpPr>
      <xdr:spPr>
        <a:xfrm>
          <a:off x="4004310" y="4882515"/>
          <a:ext cx="100944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Mártires</a:t>
          </a:r>
        </a:p>
      </xdr:txBody>
    </xdr:sp>
    <xdr:clientData/>
  </xdr:oneCellAnchor>
  <xdr:twoCellAnchor editAs="oneCell">
    <xdr:from>
      <xdr:col>30</xdr:col>
      <xdr:colOff>246630</xdr:colOff>
      <xdr:row>17</xdr:row>
      <xdr:rowOff>144576</xdr:rowOff>
    </xdr:from>
    <xdr:to>
      <xdr:col>30</xdr:col>
      <xdr:colOff>551430</xdr:colOff>
      <xdr:row>19</xdr:row>
      <xdr:rowOff>71779</xdr:rowOff>
    </xdr:to>
    <xdr:sp macro="" textlink="">
      <xdr:nvSpPr>
        <xdr:cNvPr id="29757" name="AutoShape 61">
          <a:extLst>
            <a:ext uri="{FF2B5EF4-FFF2-40B4-BE49-F238E27FC236}">
              <a16:creationId xmlns:a16="http://schemas.microsoft.com/office/drawing/2014/main" id="{492734FC-4773-3562-DD9D-7D741A7F96AB}"/>
            </a:ext>
          </a:extLst>
        </xdr:cNvPr>
        <xdr:cNvSpPr>
          <a:spLocks noChangeAspect="1" noChangeArrowheads="1"/>
        </xdr:cNvSpPr>
      </xdr:nvSpPr>
      <xdr:spPr bwMode="auto">
        <a:xfrm>
          <a:off x="15222992" y="4958103"/>
          <a:ext cx="304800" cy="301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203373</xdr:colOff>
      <xdr:row>6</xdr:row>
      <xdr:rowOff>6920</xdr:rowOff>
    </xdr:from>
    <xdr:to>
      <xdr:col>41</xdr:col>
      <xdr:colOff>157110</xdr:colOff>
      <xdr:row>50</xdr:row>
      <xdr:rowOff>19030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DF4A15B-391E-EABE-D680-EB05649CB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9647" y="2525550"/>
          <a:ext cx="6035083" cy="8676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29</xdr:row>
      <xdr:rowOff>137160</xdr:rowOff>
    </xdr:from>
    <xdr:ext cx="655500" cy="374141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89E081D-D10B-44D8-81FD-DFD843A6715D}"/>
            </a:ext>
          </a:extLst>
        </xdr:cNvPr>
        <xdr:cNvSpPr txBox="1"/>
      </xdr:nvSpPr>
      <xdr:spPr>
        <a:xfrm>
          <a:off x="4166815" y="4402703"/>
          <a:ext cx="6555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Suba</a:t>
          </a:r>
        </a:p>
      </xdr:txBody>
    </xdr:sp>
    <xdr:clientData/>
  </xdr:oneCellAnchor>
  <xdr:oneCellAnchor>
    <xdr:from>
      <xdr:col>16</xdr:col>
      <xdr:colOff>190500</xdr:colOff>
      <xdr:row>30</xdr:row>
      <xdr:rowOff>114300</xdr:rowOff>
    </xdr:from>
    <xdr:ext cx="1029193" cy="374141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E7E0C4EF-7907-41D9-90DA-90FF46B5F811}"/>
            </a:ext>
          </a:extLst>
        </xdr:cNvPr>
        <xdr:cNvSpPr txBox="1"/>
      </xdr:nvSpPr>
      <xdr:spPr>
        <a:xfrm>
          <a:off x="5267739" y="4570343"/>
          <a:ext cx="102919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Usaquén</a:t>
          </a:r>
        </a:p>
      </xdr:txBody>
    </xdr:sp>
    <xdr:clientData/>
  </xdr:oneCellAnchor>
  <xdr:oneCellAnchor>
    <xdr:from>
      <xdr:col>11</xdr:col>
      <xdr:colOff>34766</xdr:colOff>
      <xdr:row>34</xdr:row>
      <xdr:rowOff>187642</xdr:rowOff>
    </xdr:from>
    <xdr:ext cx="1004378" cy="374141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C781A604-3993-469E-A468-AF8B90774DBD}"/>
            </a:ext>
          </a:extLst>
        </xdr:cNvPr>
        <xdr:cNvSpPr txBox="1"/>
      </xdr:nvSpPr>
      <xdr:spPr>
        <a:xfrm>
          <a:off x="3745375" y="5405685"/>
          <a:ext cx="100437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Engativá</a:t>
          </a:r>
        </a:p>
      </xdr:txBody>
    </xdr:sp>
    <xdr:clientData/>
  </xdr:oneCellAnchor>
  <xdr:oneCellAnchor>
    <xdr:from>
      <xdr:col>7</xdr:col>
      <xdr:colOff>29528</xdr:colOff>
      <xdr:row>38</xdr:row>
      <xdr:rowOff>18574</xdr:rowOff>
    </xdr:from>
    <xdr:ext cx="1047082" cy="374141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C932B68-6A07-48F8-A9B6-A9F0EBB93BE8}"/>
            </a:ext>
          </a:extLst>
        </xdr:cNvPr>
        <xdr:cNvSpPr txBox="1"/>
      </xdr:nvSpPr>
      <xdr:spPr>
        <a:xfrm>
          <a:off x="2646832" y="5998617"/>
          <a:ext cx="104708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Fontibón</a:t>
          </a:r>
        </a:p>
      </xdr:txBody>
    </xdr:sp>
    <xdr:clientData/>
  </xdr:oneCellAnchor>
  <xdr:oneCellAnchor>
    <xdr:from>
      <xdr:col>14</xdr:col>
      <xdr:colOff>76200</xdr:colOff>
      <xdr:row>37</xdr:row>
      <xdr:rowOff>99060</xdr:rowOff>
    </xdr:from>
    <xdr:ext cx="917174" cy="655949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4C477B2-84C1-4F01-B25F-E96814A44749}"/>
            </a:ext>
          </a:extLst>
        </xdr:cNvPr>
        <xdr:cNvSpPr txBox="1"/>
      </xdr:nvSpPr>
      <xdr:spPr>
        <a:xfrm>
          <a:off x="4606787" y="5888603"/>
          <a:ext cx="917174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Barrios </a:t>
          </a:r>
        </a:p>
        <a:p>
          <a:r>
            <a:rPr lang="es-US" sz="1800" b="1"/>
            <a:t>Unidos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295274</xdr:colOff>
      <xdr:row>46</xdr:row>
      <xdr:rowOff>8165</xdr:rowOff>
    </xdr:from>
    <xdr:ext cx="974479" cy="1070805"/>
    <xdr:pic>
      <xdr:nvPicPr>
        <xdr:cNvPr id="2" name="1 Imagen" descr="http://www.estudiossocialesonline.com/wp-content/uploads/2011/11/rosa_vientos.png">
          <a:extLst>
            <a:ext uri="{FF2B5EF4-FFF2-40B4-BE49-F238E27FC236}">
              <a16:creationId xmlns:a16="http://schemas.microsoft.com/office/drawing/2014/main" id="{AA768E1A-3C17-42B6-952A-C03179C9D8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4" y="10361840"/>
          <a:ext cx="974479" cy="107080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182880</xdr:colOff>
      <xdr:row>14</xdr:row>
      <xdr:rowOff>137160</xdr:rowOff>
    </xdr:from>
    <xdr:ext cx="655500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C455AA8-DD16-47D8-95A8-9368121AB61F}"/>
            </a:ext>
          </a:extLst>
        </xdr:cNvPr>
        <xdr:cNvSpPr txBox="1"/>
      </xdr:nvSpPr>
      <xdr:spPr>
        <a:xfrm>
          <a:off x="4192905" y="4394835"/>
          <a:ext cx="6555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Suba</a:t>
          </a:r>
        </a:p>
      </xdr:txBody>
    </xdr:sp>
    <xdr:clientData/>
  </xdr:oneCellAnchor>
  <xdr:oneCellAnchor>
    <xdr:from>
      <xdr:col>16</xdr:col>
      <xdr:colOff>190500</xdr:colOff>
      <xdr:row>15</xdr:row>
      <xdr:rowOff>114300</xdr:rowOff>
    </xdr:from>
    <xdr:ext cx="1029193" cy="37414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EDDBE39-A1E5-41EE-A780-37015456D61C}"/>
            </a:ext>
          </a:extLst>
        </xdr:cNvPr>
        <xdr:cNvSpPr txBox="1"/>
      </xdr:nvSpPr>
      <xdr:spPr>
        <a:xfrm>
          <a:off x="5305425" y="4562475"/>
          <a:ext cx="102919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Usaquén</a:t>
          </a:r>
        </a:p>
      </xdr:txBody>
    </xdr:sp>
    <xdr:clientData/>
  </xdr:oneCellAnchor>
  <xdr:oneCellAnchor>
    <xdr:from>
      <xdr:col>11</xdr:col>
      <xdr:colOff>34766</xdr:colOff>
      <xdr:row>19</xdr:row>
      <xdr:rowOff>187642</xdr:rowOff>
    </xdr:from>
    <xdr:ext cx="1004378" cy="374141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694BA67-EDC2-436F-966D-4FCE8CD1DF9F}"/>
            </a:ext>
          </a:extLst>
        </xdr:cNvPr>
        <xdr:cNvSpPr txBox="1"/>
      </xdr:nvSpPr>
      <xdr:spPr>
        <a:xfrm>
          <a:off x="3768566" y="5397817"/>
          <a:ext cx="100437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Engativá</a:t>
          </a:r>
        </a:p>
      </xdr:txBody>
    </xdr:sp>
    <xdr:clientData/>
  </xdr:oneCellAnchor>
  <xdr:oneCellAnchor>
    <xdr:from>
      <xdr:col>7</xdr:col>
      <xdr:colOff>29528</xdr:colOff>
      <xdr:row>23</xdr:row>
      <xdr:rowOff>18574</xdr:rowOff>
    </xdr:from>
    <xdr:ext cx="1047082" cy="374141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410A59D-778F-49ED-BEDF-CA8BE3947C58}"/>
            </a:ext>
          </a:extLst>
        </xdr:cNvPr>
        <xdr:cNvSpPr txBox="1"/>
      </xdr:nvSpPr>
      <xdr:spPr>
        <a:xfrm>
          <a:off x="2658428" y="5990749"/>
          <a:ext cx="104708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Fontibón</a:t>
          </a:r>
        </a:p>
      </xdr:txBody>
    </xdr:sp>
    <xdr:clientData/>
  </xdr:oneCellAnchor>
  <xdr:oneCellAnchor>
    <xdr:from>
      <xdr:col>7</xdr:col>
      <xdr:colOff>62389</xdr:colOff>
      <xdr:row>32</xdr:row>
      <xdr:rowOff>6191</xdr:rowOff>
    </xdr:from>
    <xdr:ext cx="1024255" cy="374141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195FDEE-5C0B-4ABD-B8CD-B4CE59A0C153}"/>
            </a:ext>
          </a:extLst>
        </xdr:cNvPr>
        <xdr:cNvSpPr txBox="1"/>
      </xdr:nvSpPr>
      <xdr:spPr>
        <a:xfrm>
          <a:off x="2691289" y="7692866"/>
          <a:ext cx="10242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Kennedy</a:t>
          </a:r>
        </a:p>
      </xdr:txBody>
    </xdr:sp>
    <xdr:clientData/>
  </xdr:oneCellAnchor>
  <xdr:oneCellAnchor>
    <xdr:from>
      <xdr:col>3</xdr:col>
      <xdr:colOff>112395</xdr:colOff>
      <xdr:row>36</xdr:row>
      <xdr:rowOff>3810</xdr:rowOff>
    </xdr:from>
    <xdr:ext cx="644151" cy="374141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0137951-4641-487E-B5E6-E21D4BEFEA3D}"/>
            </a:ext>
          </a:extLst>
        </xdr:cNvPr>
        <xdr:cNvSpPr txBox="1"/>
      </xdr:nvSpPr>
      <xdr:spPr>
        <a:xfrm>
          <a:off x="1160145" y="8452485"/>
          <a:ext cx="64415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Bosa</a:t>
          </a:r>
        </a:p>
      </xdr:txBody>
    </xdr:sp>
    <xdr:clientData/>
  </xdr:oneCellAnchor>
  <xdr:oneCellAnchor>
    <xdr:from>
      <xdr:col>5</xdr:col>
      <xdr:colOff>175260</xdr:colOff>
      <xdr:row>40</xdr:row>
      <xdr:rowOff>175260</xdr:rowOff>
    </xdr:from>
    <xdr:ext cx="1573316" cy="374141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91B95293-58DE-4660-9C5F-2AA6A7073539}"/>
            </a:ext>
          </a:extLst>
        </xdr:cNvPr>
        <xdr:cNvSpPr txBox="1"/>
      </xdr:nvSpPr>
      <xdr:spPr>
        <a:xfrm>
          <a:off x="2251710" y="9385935"/>
          <a:ext cx="157331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Ciudad Bolívar</a:t>
          </a:r>
        </a:p>
      </xdr:txBody>
    </xdr:sp>
    <xdr:clientData/>
  </xdr:oneCellAnchor>
  <xdr:oneCellAnchor>
    <xdr:from>
      <xdr:col>8</xdr:col>
      <xdr:colOff>127635</xdr:colOff>
      <xdr:row>38</xdr:row>
      <xdr:rowOff>67627</xdr:rowOff>
    </xdr:from>
    <xdr:ext cx="1163139" cy="374141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53BBE21-E917-4503-B462-B9D60EEE809B}"/>
            </a:ext>
          </a:extLst>
        </xdr:cNvPr>
        <xdr:cNvSpPr txBox="1"/>
      </xdr:nvSpPr>
      <xdr:spPr>
        <a:xfrm>
          <a:off x="3032760" y="8897302"/>
          <a:ext cx="116313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Tunjuelito</a:t>
          </a:r>
        </a:p>
      </xdr:txBody>
    </xdr:sp>
    <xdr:clientData/>
  </xdr:oneCellAnchor>
  <xdr:oneCellAnchor>
    <xdr:from>
      <xdr:col>13</xdr:col>
      <xdr:colOff>76200</xdr:colOff>
      <xdr:row>46</xdr:row>
      <xdr:rowOff>53340</xdr:rowOff>
    </xdr:from>
    <xdr:ext cx="731419" cy="374141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958F6077-C366-48AE-8073-A3FDCABD1535}"/>
            </a:ext>
          </a:extLst>
        </xdr:cNvPr>
        <xdr:cNvSpPr txBox="1"/>
      </xdr:nvSpPr>
      <xdr:spPr>
        <a:xfrm>
          <a:off x="4362450" y="10407015"/>
          <a:ext cx="7314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Usme</a:t>
          </a:r>
        </a:p>
      </xdr:txBody>
    </xdr:sp>
    <xdr:clientData/>
  </xdr:oneCellAnchor>
  <xdr:oneCellAnchor>
    <xdr:from>
      <xdr:col>11</xdr:col>
      <xdr:colOff>175260</xdr:colOff>
      <xdr:row>28</xdr:row>
      <xdr:rowOff>114300</xdr:rowOff>
    </xdr:from>
    <xdr:ext cx="882229" cy="655949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42704B92-9A9E-4813-B901-CD24459F66B0}"/>
            </a:ext>
          </a:extLst>
        </xdr:cNvPr>
        <xdr:cNvSpPr txBox="1"/>
      </xdr:nvSpPr>
      <xdr:spPr>
        <a:xfrm>
          <a:off x="3909060" y="7038975"/>
          <a:ext cx="882229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Puente</a:t>
          </a:r>
        </a:p>
        <a:p>
          <a:r>
            <a:rPr lang="es-US" sz="1800" b="1"/>
            <a:t>Aranda</a:t>
          </a:r>
        </a:p>
      </xdr:txBody>
    </xdr:sp>
    <xdr:clientData/>
  </xdr:oneCellAnchor>
  <xdr:oneCellAnchor>
    <xdr:from>
      <xdr:col>14</xdr:col>
      <xdr:colOff>259080</xdr:colOff>
      <xdr:row>38</xdr:row>
      <xdr:rowOff>167640</xdr:rowOff>
    </xdr:from>
    <xdr:ext cx="1435393" cy="37414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78C11AC-5CC1-423F-84A9-00CF6FC609F7}"/>
            </a:ext>
          </a:extLst>
        </xdr:cNvPr>
        <xdr:cNvSpPr txBox="1"/>
      </xdr:nvSpPr>
      <xdr:spPr>
        <a:xfrm>
          <a:off x="4821555" y="8997315"/>
          <a:ext cx="143539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San Cristóbal</a:t>
          </a:r>
        </a:p>
      </xdr:txBody>
    </xdr:sp>
    <xdr:clientData/>
  </xdr:oneCellAnchor>
  <xdr:oneCellAnchor>
    <xdr:from>
      <xdr:col>15</xdr:col>
      <xdr:colOff>0</xdr:colOff>
      <xdr:row>35</xdr:row>
      <xdr:rowOff>7620</xdr:rowOff>
    </xdr:from>
    <xdr:ext cx="999889" cy="37414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02F36F9-46B4-4BEF-BD3C-FC68A70198DC}"/>
            </a:ext>
          </a:extLst>
        </xdr:cNvPr>
        <xdr:cNvSpPr txBox="1"/>
      </xdr:nvSpPr>
      <xdr:spPr>
        <a:xfrm>
          <a:off x="4838700" y="8265795"/>
          <a:ext cx="99988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Sant</a:t>
          </a:r>
          <a:r>
            <a:rPr lang="es-US" sz="1800" b="1" baseline="0"/>
            <a:t>a Fé</a:t>
          </a:r>
          <a:endParaRPr lang="es-US" sz="1800" b="1"/>
        </a:p>
      </xdr:txBody>
    </xdr:sp>
    <xdr:clientData/>
  </xdr:oneCellAnchor>
  <xdr:oneCellAnchor>
    <xdr:from>
      <xdr:col>15</xdr:col>
      <xdr:colOff>205740</xdr:colOff>
      <xdr:row>33</xdr:row>
      <xdr:rowOff>45720</xdr:rowOff>
    </xdr:from>
    <xdr:ext cx="1208023" cy="374141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E024D1AC-02E7-4343-B827-8DF39F076CB5}"/>
            </a:ext>
          </a:extLst>
        </xdr:cNvPr>
        <xdr:cNvSpPr txBox="1"/>
      </xdr:nvSpPr>
      <xdr:spPr>
        <a:xfrm>
          <a:off x="5044440" y="7922895"/>
          <a:ext cx="120802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Candelaria</a:t>
          </a:r>
        </a:p>
      </xdr:txBody>
    </xdr:sp>
    <xdr:clientData/>
  </xdr:oneCellAnchor>
  <xdr:oneCellAnchor>
    <xdr:from>
      <xdr:col>14</xdr:col>
      <xdr:colOff>76200</xdr:colOff>
      <xdr:row>22</xdr:row>
      <xdr:rowOff>99060</xdr:rowOff>
    </xdr:from>
    <xdr:ext cx="917174" cy="655949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A5984713-13A3-4168-9E74-9BB21ECAB615}"/>
            </a:ext>
          </a:extLst>
        </xdr:cNvPr>
        <xdr:cNvSpPr txBox="1"/>
      </xdr:nvSpPr>
      <xdr:spPr>
        <a:xfrm>
          <a:off x="4638675" y="5880735"/>
          <a:ext cx="917174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Barrios </a:t>
          </a:r>
        </a:p>
        <a:p>
          <a:r>
            <a:rPr lang="es-US" sz="1800" b="1"/>
            <a:t>Unidos</a:t>
          </a:r>
        </a:p>
      </xdr:txBody>
    </xdr:sp>
    <xdr:clientData/>
  </xdr:oneCellAnchor>
  <xdr:oneCellAnchor>
    <xdr:from>
      <xdr:col>16</xdr:col>
      <xdr:colOff>36195</xdr:colOff>
      <xdr:row>25</xdr:row>
      <xdr:rowOff>87630</xdr:rowOff>
    </xdr:from>
    <xdr:ext cx="1171411" cy="374141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A9FF07BA-DDF6-4569-A3B3-F24FD82BE7FE}"/>
            </a:ext>
          </a:extLst>
        </xdr:cNvPr>
        <xdr:cNvSpPr txBox="1"/>
      </xdr:nvSpPr>
      <xdr:spPr>
        <a:xfrm>
          <a:off x="5151120" y="6440805"/>
          <a:ext cx="117141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Chapinero</a:t>
          </a:r>
        </a:p>
      </xdr:txBody>
    </xdr:sp>
    <xdr:clientData/>
  </xdr:oneCellAnchor>
  <xdr:oneCellAnchor>
    <xdr:from>
      <xdr:col>12</xdr:col>
      <xdr:colOff>182880</xdr:colOff>
      <xdr:row>27</xdr:row>
      <xdr:rowOff>0</xdr:rowOff>
    </xdr:from>
    <xdr:ext cx="1286891" cy="374141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E07B19FF-FC33-460E-B58A-89B25E30620E}"/>
            </a:ext>
          </a:extLst>
        </xdr:cNvPr>
        <xdr:cNvSpPr txBox="1"/>
      </xdr:nvSpPr>
      <xdr:spPr>
        <a:xfrm>
          <a:off x="4192905" y="6734175"/>
          <a:ext cx="128689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Teusaquillo</a:t>
          </a:r>
        </a:p>
      </xdr:txBody>
    </xdr:sp>
    <xdr:clientData/>
  </xdr:oneCellAnchor>
  <xdr:oneCellAnchor>
    <xdr:from>
      <xdr:col>11</xdr:col>
      <xdr:colOff>259080</xdr:colOff>
      <xdr:row>34</xdr:row>
      <xdr:rowOff>144780</xdr:rowOff>
    </xdr:from>
    <xdr:ext cx="1009315" cy="655949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33C936CF-3677-4343-8E37-D01288DBA9E6}"/>
            </a:ext>
          </a:extLst>
        </xdr:cNvPr>
        <xdr:cNvSpPr txBox="1"/>
      </xdr:nvSpPr>
      <xdr:spPr>
        <a:xfrm>
          <a:off x="3992880" y="8212455"/>
          <a:ext cx="100931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Antonio </a:t>
          </a:r>
        </a:p>
        <a:p>
          <a:r>
            <a:rPr lang="es-US" sz="1800" b="1"/>
            <a:t>Nariño</a:t>
          </a:r>
        </a:p>
      </xdr:txBody>
    </xdr:sp>
    <xdr:clientData/>
  </xdr:oneCellAnchor>
  <xdr:oneCellAnchor>
    <xdr:from>
      <xdr:col>12</xdr:col>
      <xdr:colOff>106680</xdr:colOff>
      <xdr:row>38</xdr:row>
      <xdr:rowOff>83820</xdr:rowOff>
    </xdr:from>
    <xdr:ext cx="788421" cy="655949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FD15FDDD-A310-43DF-8670-5854E9ABD3A0}"/>
            </a:ext>
          </a:extLst>
        </xdr:cNvPr>
        <xdr:cNvSpPr txBox="1"/>
      </xdr:nvSpPr>
      <xdr:spPr>
        <a:xfrm>
          <a:off x="4116705" y="8913495"/>
          <a:ext cx="788421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Rafael</a:t>
          </a:r>
        </a:p>
        <a:p>
          <a:r>
            <a:rPr lang="es-US" sz="1800" b="1"/>
            <a:t>Uribe</a:t>
          </a:r>
        </a:p>
      </xdr:txBody>
    </xdr:sp>
    <xdr:clientData/>
  </xdr:oneCellAnchor>
  <xdr:oneCellAnchor>
    <xdr:from>
      <xdr:col>13</xdr:col>
      <xdr:colOff>175260</xdr:colOff>
      <xdr:row>32</xdr:row>
      <xdr:rowOff>15240</xdr:rowOff>
    </xdr:from>
    <xdr:ext cx="1009444" cy="374141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11CD4414-2349-444D-919B-93DB96BEF547}"/>
            </a:ext>
          </a:extLst>
        </xdr:cNvPr>
        <xdr:cNvSpPr txBox="1"/>
      </xdr:nvSpPr>
      <xdr:spPr>
        <a:xfrm>
          <a:off x="4461510" y="7701915"/>
          <a:ext cx="100944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S" sz="1800" b="1"/>
            <a:t>Mártires</a:t>
          </a:r>
        </a:p>
      </xdr:txBody>
    </xdr:sp>
    <xdr:clientData/>
  </xdr:oneCellAnchor>
  <xdr:twoCellAnchor editAs="oneCell">
    <xdr:from>
      <xdr:col>30</xdr:col>
      <xdr:colOff>246630</xdr:colOff>
      <xdr:row>17</xdr:row>
      <xdr:rowOff>144576</xdr:rowOff>
    </xdr:from>
    <xdr:to>
      <xdr:col>30</xdr:col>
      <xdr:colOff>551430</xdr:colOff>
      <xdr:row>19</xdr:row>
      <xdr:rowOff>71779</xdr:rowOff>
    </xdr:to>
    <xdr:sp macro="" textlink="">
      <xdr:nvSpPr>
        <xdr:cNvPr id="22" name="AutoShape 61">
          <a:extLst>
            <a:ext uri="{FF2B5EF4-FFF2-40B4-BE49-F238E27FC236}">
              <a16:creationId xmlns:a16="http://schemas.microsoft.com/office/drawing/2014/main" id="{403F5A6E-621B-4FA6-8979-583396450A5D}"/>
            </a:ext>
          </a:extLst>
        </xdr:cNvPr>
        <xdr:cNvSpPr>
          <a:spLocks noChangeAspect="1" noChangeArrowheads="1"/>
        </xdr:cNvSpPr>
      </xdr:nvSpPr>
      <xdr:spPr bwMode="auto">
        <a:xfrm>
          <a:off x="17220180" y="4973751"/>
          <a:ext cx="304800" cy="308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203373</xdr:colOff>
      <xdr:row>6</xdr:row>
      <xdr:rowOff>6920</xdr:rowOff>
    </xdr:from>
    <xdr:to>
      <xdr:col>41</xdr:col>
      <xdr:colOff>157110</xdr:colOff>
      <xdr:row>50</xdr:row>
      <xdr:rowOff>19030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4E0C75-CF91-4103-B7B6-F1C1B3F0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39148" y="2531045"/>
          <a:ext cx="6049737" cy="8603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9</xdr:row>
      <xdr:rowOff>0</xdr:rowOff>
    </xdr:from>
    <xdr:to>
      <xdr:col>28</xdr:col>
      <xdr:colOff>304800</xdr:colOff>
      <xdr:row>10</xdr:row>
      <xdr:rowOff>114301</xdr:rowOff>
    </xdr:to>
    <xdr:sp macro="" textlink="">
      <xdr:nvSpPr>
        <xdr:cNvPr id="22" name="AutoShape 61">
          <a:extLst>
            <a:ext uri="{FF2B5EF4-FFF2-40B4-BE49-F238E27FC236}">
              <a16:creationId xmlns:a16="http://schemas.microsoft.com/office/drawing/2014/main" id="{0D4818D9-00C7-4F9E-B70D-4EA0AE4F5CA3}"/>
            </a:ext>
          </a:extLst>
        </xdr:cNvPr>
        <xdr:cNvSpPr>
          <a:spLocks noChangeAspect="1" noChangeArrowheads="1"/>
        </xdr:cNvSpPr>
      </xdr:nvSpPr>
      <xdr:spPr bwMode="auto">
        <a:xfrm>
          <a:off x="1371600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352425</xdr:colOff>
      <xdr:row>5</xdr:row>
      <xdr:rowOff>142875</xdr:rowOff>
    </xdr:from>
    <xdr:ext cx="2357953" cy="2613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AE846F1-7E37-07C5-388B-C19D7E32E7DE}"/>
                </a:ext>
              </a:extLst>
            </xdr:cNvPr>
            <xdr:cNvSpPr txBox="1"/>
          </xdr:nvSpPr>
          <xdr:spPr>
            <a:xfrm>
              <a:off x="7546975" y="1076325"/>
              <a:ext cx="2357953" cy="2613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𝑑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rad>
                    <m:radPr>
                      <m:degHide m:val="on"/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s-ES" sz="14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s-E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sSub>
                                <m:sSubPr>
                                  <m:ctrlP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es-E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</m:t>
                                  </m:r>
                                </m:sub>
                              </m:sSub>
                            </m:e>
                          </m:d>
                        </m:e>
                        <m:sup>
                          <m:r>
                            <a:rPr lang="es-ES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s-ES" sz="1400" b="0" i="1">
                          <a:latin typeface="Cambria Math" panose="02040503050406030204" pitchFamily="18" charset="0"/>
                        </a:rPr>
                        <m:t>+</m:t>
                      </m:r>
                      <m:sSup>
                        <m:sSupPr>
                          <m:ctrlPr>
                            <a:rPr lang="es-E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s-E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sSub>
                                <m:sSubPr>
                                  <m:ctrlP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𝑦</m:t>
                                  </m:r>
                                </m:e>
                                <m:sub>
                                  <m: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es-E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𝑦</m:t>
                                  </m:r>
                                </m:e>
                                <m:sub>
                                  <m:r>
                                    <a:rPr lang="es-E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</m:t>
                                  </m:r>
                                </m:sub>
                              </m:sSub>
                            </m:e>
                          </m:d>
                        </m:e>
                        <m:sup>
                          <m:r>
                            <a:rPr lang="es-E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s-CO" sz="1400"/>
                <a:t> </a:t>
              </a: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AE846F1-7E37-07C5-388B-C19D7E32E7DE}"/>
                </a:ext>
              </a:extLst>
            </xdr:cNvPr>
            <xdr:cNvSpPr txBox="1"/>
          </xdr:nvSpPr>
          <xdr:spPr>
            <a:xfrm>
              <a:off x="7546975" y="1076325"/>
              <a:ext cx="2357953" cy="2613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𝑑= √(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(𝑥_2−𝑥_1 )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s-ES" sz="1400" b="0" i="0">
                  <a:latin typeface="Cambria Math" panose="02040503050406030204" pitchFamily="18" charset="0"/>
                </a:rPr>
                <a:t>2+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_2−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_1 )^2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s-CO" sz="1400"/>
                <a:t> </a:t>
              </a:r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559039</xdr:colOff>
      <xdr:row>9</xdr:row>
      <xdr:rowOff>78897</xdr:rowOff>
    </xdr:from>
    <xdr:to>
      <xdr:col>6</xdr:col>
      <xdr:colOff>25979</xdr:colOff>
      <xdr:row>11</xdr:row>
      <xdr:rowOff>102079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0E1E0AD-FFBA-ADF5-DCBE-3455B472F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910" y="1389865"/>
          <a:ext cx="4359001" cy="3889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582597</xdr:colOff>
      <xdr:row>54</xdr:row>
      <xdr:rowOff>27742</xdr:rowOff>
    </xdr:from>
    <xdr:to>
      <xdr:col>10</xdr:col>
      <xdr:colOff>333760</xdr:colOff>
      <xdr:row>83</xdr:row>
      <xdr:rowOff>64137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D0CAEF-255A-CF11-9D15-2D8C2D742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2573" y="11013859"/>
          <a:ext cx="5401429" cy="5668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12C7-B2D3-4E43-8140-9A6927B5FE35}">
  <sheetPr codeName="Hoja1">
    <tabColor rgb="FFFF0000"/>
  </sheetPr>
  <dimension ref="A1:C22"/>
  <sheetViews>
    <sheetView showGridLines="0" zoomScale="88" zoomScaleNormal="70" workbookViewId="0">
      <selection activeCell="B18" sqref="B18"/>
    </sheetView>
  </sheetViews>
  <sheetFormatPr baseColWidth="10" defaultColWidth="11.42578125" defaultRowHeight="15" x14ac:dyDescent="0.25"/>
  <cols>
    <col min="3" max="3" width="166.85546875" customWidth="1"/>
  </cols>
  <sheetData>
    <row r="1" spans="1:3" x14ac:dyDescent="0.25">
      <c r="A1" s="164"/>
      <c r="B1" s="165"/>
      <c r="C1" s="1"/>
    </row>
    <row r="2" spans="1:3" ht="23.25" x14ac:dyDescent="0.25">
      <c r="A2" s="2"/>
      <c r="B2" s="166" t="s">
        <v>0</v>
      </c>
      <c r="C2" s="167"/>
    </row>
    <row r="3" spans="1:3" ht="23.25" x14ac:dyDescent="0.25">
      <c r="A3" s="3"/>
      <c r="B3" s="168" t="s">
        <v>1</v>
      </c>
      <c r="C3" s="169"/>
    </row>
    <row r="4" spans="1:3" ht="14.45" customHeight="1" x14ac:dyDescent="0.25">
      <c r="A4" s="3"/>
      <c r="B4" s="126"/>
      <c r="C4" s="4"/>
    </row>
    <row r="5" spans="1:3" ht="15.75" x14ac:dyDescent="0.25">
      <c r="A5" s="5" t="s">
        <v>2</v>
      </c>
      <c r="B5" s="170" t="s">
        <v>3</v>
      </c>
      <c r="C5" s="171"/>
    </row>
    <row r="6" spans="1:3" ht="15.75" x14ac:dyDescent="0.25">
      <c r="A6" s="5" t="s">
        <v>2</v>
      </c>
      <c r="B6" s="170" t="s">
        <v>4</v>
      </c>
      <c r="C6" s="172"/>
    </row>
    <row r="7" spans="1:3" ht="15.75" x14ac:dyDescent="0.25">
      <c r="A7" s="5" t="s">
        <v>2</v>
      </c>
      <c r="B7" s="162" t="s">
        <v>5</v>
      </c>
      <c r="C7" s="163"/>
    </row>
    <row r="8" spans="1:3" ht="15.6" customHeight="1" x14ac:dyDescent="0.25">
      <c r="A8" s="5" t="s">
        <v>2</v>
      </c>
      <c r="B8" s="160" t="s">
        <v>6</v>
      </c>
      <c r="C8" s="161"/>
    </row>
    <row r="9" spans="1:3" ht="15.6" customHeight="1" x14ac:dyDescent="0.25">
      <c r="A9" s="5" t="s">
        <v>2</v>
      </c>
      <c r="B9" s="170" t="s">
        <v>7</v>
      </c>
      <c r="C9" s="172"/>
    </row>
    <row r="10" spans="1:3" ht="14.45" customHeight="1" x14ac:dyDescent="0.25">
      <c r="A10" s="5" t="s">
        <v>2</v>
      </c>
      <c r="B10" s="170" t="s">
        <v>8</v>
      </c>
      <c r="C10" s="172"/>
    </row>
    <row r="11" spans="1:3" ht="15.6" customHeight="1" x14ac:dyDescent="0.25">
      <c r="A11" s="5" t="s">
        <v>2</v>
      </c>
      <c r="B11" s="170" t="s">
        <v>9</v>
      </c>
      <c r="C11" s="172"/>
    </row>
    <row r="12" spans="1:3" ht="14.45" customHeight="1" x14ac:dyDescent="0.25">
      <c r="A12" s="5" t="s">
        <v>2</v>
      </c>
      <c r="B12" s="170" t="s">
        <v>10</v>
      </c>
      <c r="C12" s="172"/>
    </row>
    <row r="13" spans="1:3" ht="15.6" customHeight="1" x14ac:dyDescent="0.25">
      <c r="A13" s="5" t="s">
        <v>2</v>
      </c>
      <c r="B13" s="160" t="s">
        <v>11</v>
      </c>
      <c r="C13" s="161"/>
    </row>
    <row r="14" spans="1:3" ht="15.6" customHeight="1" x14ac:dyDescent="0.25">
      <c r="A14" s="5" t="s">
        <v>2</v>
      </c>
      <c r="B14" s="160"/>
      <c r="C14" s="161"/>
    </row>
    <row r="15" spans="1:3" ht="15.75" x14ac:dyDescent="0.25">
      <c r="A15" s="5" t="s">
        <v>2</v>
      </c>
      <c r="B15" s="160" t="s">
        <v>12</v>
      </c>
      <c r="C15" s="161"/>
    </row>
    <row r="16" spans="1:3" ht="15.75" thickBot="1" x14ac:dyDescent="0.3">
      <c r="A16" s="99"/>
      <c r="B16" s="127"/>
      <c r="C16" s="128"/>
    </row>
    <row r="17" spans="1:3" ht="15.75" x14ac:dyDescent="0.25">
      <c r="A17" s="5"/>
      <c r="B17" s="21"/>
      <c r="C17" s="102"/>
    </row>
    <row r="18" spans="1:3" ht="12.95" customHeight="1" x14ac:dyDescent="0.25">
      <c r="A18" s="100"/>
      <c r="B18" s="101"/>
      <c r="C18" s="101"/>
    </row>
    <row r="19" spans="1:3" x14ac:dyDescent="0.25">
      <c r="A19" s="100"/>
      <c r="B19" s="19"/>
      <c r="C19" s="19"/>
    </row>
    <row r="20" spans="1:3" x14ac:dyDescent="0.25">
      <c r="A20" s="6"/>
      <c r="B20" s="19"/>
      <c r="C20" s="19"/>
    </row>
    <row r="21" spans="1:3" x14ac:dyDescent="0.25">
      <c r="A21" s="7"/>
      <c r="B21" s="10"/>
      <c r="C21" s="10"/>
    </row>
    <row r="22" spans="1:3" x14ac:dyDescent="0.25">
      <c r="A22" s="6"/>
      <c r="B22" s="20"/>
      <c r="C22" s="20"/>
    </row>
  </sheetData>
  <mergeCells count="13">
    <mergeCell ref="B15:C15"/>
    <mergeCell ref="B13:C14"/>
    <mergeCell ref="B7:C7"/>
    <mergeCell ref="A1:B1"/>
    <mergeCell ref="B2:C2"/>
    <mergeCell ref="B3:C3"/>
    <mergeCell ref="B5:C5"/>
    <mergeCell ref="B6:C6"/>
    <mergeCell ref="B8:C8"/>
    <mergeCell ref="B9:C9"/>
    <mergeCell ref="B10:C10"/>
    <mergeCell ref="B11:C11"/>
    <mergeCell ref="B12:C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B452-E99D-44DC-BC8B-DF5551279E35}">
  <sheetPr codeName="Hoja2"/>
  <dimension ref="B2:G16"/>
  <sheetViews>
    <sheetView showGridLines="0" topLeftCell="A4" zoomScale="146" workbookViewId="0">
      <selection activeCell="C13" sqref="C13"/>
    </sheetView>
  </sheetViews>
  <sheetFormatPr baseColWidth="10" defaultColWidth="11.42578125" defaultRowHeight="15" x14ac:dyDescent="0.25"/>
  <cols>
    <col min="2" max="2" width="12.28515625" customWidth="1"/>
  </cols>
  <sheetData>
    <row r="2" spans="2:7" ht="15.75" thickBot="1" x14ac:dyDescent="0.3">
      <c r="B2" s="44"/>
      <c r="C2" s="8"/>
      <c r="D2" s="8"/>
    </row>
    <row r="3" spans="2:7" ht="15.75" thickBot="1" x14ac:dyDescent="0.3">
      <c r="B3" s="12" t="s">
        <v>13</v>
      </c>
      <c r="C3" s="8"/>
      <c r="D3" s="8"/>
    </row>
    <row r="4" spans="2:7" ht="14.45" customHeight="1" x14ac:dyDescent="0.25">
      <c r="B4" s="173" t="s">
        <v>14</v>
      </c>
      <c r="C4" s="174"/>
      <c r="D4" s="174"/>
      <c r="E4" s="174"/>
      <c r="F4" s="174"/>
      <c r="G4" s="175"/>
    </row>
    <row r="5" spans="2:7" x14ac:dyDescent="0.25">
      <c r="B5" s="176"/>
      <c r="C5" s="177"/>
      <c r="D5" s="177"/>
      <c r="E5" s="177"/>
      <c r="F5" s="177"/>
      <c r="G5" s="178"/>
    </row>
    <row r="6" spans="2:7" x14ac:dyDescent="0.25">
      <c r="B6" s="176"/>
      <c r="C6" s="177"/>
      <c r="D6" s="177"/>
      <c r="E6" s="177"/>
      <c r="F6" s="177"/>
      <c r="G6" s="178"/>
    </row>
    <row r="7" spans="2:7" x14ac:dyDescent="0.25">
      <c r="B7" s="176"/>
      <c r="C7" s="177"/>
      <c r="D7" s="177"/>
      <c r="E7" s="177"/>
      <c r="F7" s="177"/>
      <c r="G7" s="178"/>
    </row>
    <row r="8" spans="2:7" ht="14.1" customHeight="1" thickBot="1" x14ac:dyDescent="0.3">
      <c r="B8" s="179"/>
      <c r="C8" s="180"/>
      <c r="D8" s="180"/>
      <c r="E8" s="180"/>
      <c r="F8" s="180"/>
      <c r="G8" s="181"/>
    </row>
    <row r="9" spans="2:7" ht="14.1" customHeight="1" x14ac:dyDescent="0.25">
      <c r="B9" s="46"/>
      <c r="C9" s="46"/>
      <c r="D9" s="46"/>
      <c r="E9" s="46"/>
      <c r="F9" s="46"/>
      <c r="G9" s="46"/>
    </row>
    <row r="10" spans="2:7" x14ac:dyDescent="0.25">
      <c r="D10" s="16" t="s">
        <v>15</v>
      </c>
      <c r="E10" s="16" t="s">
        <v>15</v>
      </c>
      <c r="F10" s="16" t="s">
        <v>15</v>
      </c>
      <c r="G10" s="23"/>
    </row>
    <row r="11" spans="2:7" x14ac:dyDescent="0.25">
      <c r="B11" s="13" t="s">
        <v>16</v>
      </c>
      <c r="C11" s="42">
        <v>1700</v>
      </c>
      <c r="D11" s="63">
        <v>1700</v>
      </c>
      <c r="E11" s="63">
        <v>2024</v>
      </c>
      <c r="F11" s="63">
        <v>2100</v>
      </c>
      <c r="G11" s="23"/>
    </row>
    <row r="12" spans="2:7" x14ac:dyDescent="0.25">
      <c r="B12" s="13" t="s">
        <v>17</v>
      </c>
      <c r="C12" s="130" t="str">
        <f>IF(OR(MOD(C11,400)=0,AND(MOD(C11,4)=0,MOD(C11,100)&lt;&gt;0)),"Si","No")</f>
        <v>No</v>
      </c>
      <c r="D12" s="63" t="s">
        <v>18</v>
      </c>
      <c r="E12" s="63" t="s">
        <v>19</v>
      </c>
      <c r="F12" s="63" t="s">
        <v>18</v>
      </c>
    </row>
    <row r="13" spans="2:7" x14ac:dyDescent="0.25">
      <c r="B13" s="28"/>
      <c r="C13" s="28"/>
    </row>
    <row r="14" spans="2:7" x14ac:dyDescent="0.25">
      <c r="B14" s="28"/>
      <c r="C14" s="28" t="str">
        <f>IF((MOD(C11,400)= 0)+((MOD(C11,4)=0)*(MOD(C11,100) &lt;&gt;0)),"Si","No")</f>
        <v>No</v>
      </c>
    </row>
    <row r="15" spans="2:7" x14ac:dyDescent="0.25">
      <c r="B15" s="64"/>
    </row>
    <row r="16" spans="2:7" x14ac:dyDescent="0.25">
      <c r="C16" s="131"/>
    </row>
  </sheetData>
  <mergeCells count="1">
    <mergeCell ref="B4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8469-5BD9-4983-A700-48EDFF890E0A}">
  <sheetPr codeName="Hoja3"/>
  <dimension ref="B2:L82"/>
  <sheetViews>
    <sheetView showGridLines="0" topLeftCell="B5" zoomScale="124" workbookViewId="0">
      <selection activeCell="G9" sqref="G9"/>
    </sheetView>
  </sheetViews>
  <sheetFormatPr baseColWidth="10" defaultColWidth="11.42578125" defaultRowHeight="15" x14ac:dyDescent="0.25"/>
  <cols>
    <col min="2" max="2" width="35.42578125" customWidth="1"/>
    <col min="3" max="3" width="16.7109375" customWidth="1"/>
    <col min="4" max="4" width="19.140625" customWidth="1"/>
    <col min="5" max="5" width="20.7109375" customWidth="1"/>
    <col min="6" max="6" width="25.42578125" customWidth="1"/>
    <col min="7" max="7" width="12.42578125" bestFit="1" customWidth="1"/>
    <col min="8" max="8" width="21.42578125" customWidth="1"/>
  </cols>
  <sheetData>
    <row r="2" spans="2:12" ht="15.75" thickBot="1" x14ac:dyDescent="0.3">
      <c r="B2" s="44"/>
      <c r="C2" s="8"/>
      <c r="D2" s="8"/>
    </row>
    <row r="3" spans="2:12" ht="15.75" thickBot="1" x14ac:dyDescent="0.3">
      <c r="B3" s="12" t="s">
        <v>20</v>
      </c>
      <c r="C3" s="8"/>
      <c r="D3" s="8"/>
    </row>
    <row r="4" spans="2:12" ht="14.45" customHeight="1" x14ac:dyDescent="0.25">
      <c r="B4" s="182" t="s">
        <v>21</v>
      </c>
      <c r="C4" s="183"/>
      <c r="D4" s="183"/>
      <c r="E4" s="184"/>
    </row>
    <row r="5" spans="2:12" x14ac:dyDescent="0.25">
      <c r="B5" s="185"/>
      <c r="C5" s="186"/>
      <c r="D5" s="186"/>
      <c r="E5" s="187"/>
    </row>
    <row r="6" spans="2:12" x14ac:dyDescent="0.25">
      <c r="B6" s="185"/>
      <c r="C6" s="186"/>
      <c r="D6" s="186"/>
      <c r="E6" s="187"/>
      <c r="F6" s="37" t="s">
        <v>728</v>
      </c>
      <c r="G6">
        <f>COUNTIFS(E13:E82,"Walt Disney Pictures",F13:F82,"&lt;1.0")+COUNTIFS(E13:E82,"Walt Disney Pictures",F13:F82,"&gt;2.5")</f>
        <v>8</v>
      </c>
    </row>
    <row r="7" spans="2:12" x14ac:dyDescent="0.25">
      <c r="B7" s="185"/>
      <c r="C7" s="186"/>
      <c r="D7" s="186"/>
      <c r="E7" s="187"/>
      <c r="F7" s="37" t="s">
        <v>729</v>
      </c>
      <c r="G7">
        <f>SUMIFS(F13:F82,E13:E82,$E$19,C13:C82,$C$14)</f>
        <v>9.5180000000000007</v>
      </c>
    </row>
    <row r="8" spans="2:12" ht="24" customHeight="1" x14ac:dyDescent="0.25">
      <c r="B8" s="185"/>
      <c r="C8" s="186"/>
      <c r="D8" s="186"/>
      <c r="E8" s="187"/>
      <c r="F8" t="s">
        <v>730</v>
      </c>
      <c r="G8" cm="1">
        <f t="array" ref="G8">SUM(IF(F13:F82&gt;AVERAGE(F13:F82),1,0))</f>
        <v>21</v>
      </c>
    </row>
    <row r="9" spans="2:12" ht="24" customHeight="1" thickBot="1" x14ac:dyDescent="0.3">
      <c r="B9" s="188"/>
      <c r="C9" s="189"/>
      <c r="D9" s="189"/>
      <c r="E9" s="190"/>
    </row>
    <row r="10" spans="2:12" x14ac:dyDescent="0.25">
      <c r="B10" s="28"/>
      <c r="C10" s="28"/>
    </row>
    <row r="11" spans="2:12" x14ac:dyDescent="0.25">
      <c r="B11" s="121" t="s">
        <v>22</v>
      </c>
      <c r="C11" s="28"/>
    </row>
    <row r="12" spans="2:12" ht="30" x14ac:dyDescent="0.25">
      <c r="B12" s="97" t="s">
        <v>23</v>
      </c>
      <c r="C12" s="97" t="s">
        <v>24</v>
      </c>
      <c r="D12" s="97" t="s">
        <v>25</v>
      </c>
      <c r="E12" s="97" t="s">
        <v>26</v>
      </c>
      <c r="F12" s="97" t="s">
        <v>27</v>
      </c>
      <c r="J12" s="16" t="s">
        <v>15</v>
      </c>
    </row>
    <row r="13" spans="2:12" x14ac:dyDescent="0.25">
      <c r="B13" s="91" t="s">
        <v>28</v>
      </c>
      <c r="C13" s="91" t="s">
        <v>29</v>
      </c>
      <c r="D13" s="91" t="s">
        <v>30</v>
      </c>
      <c r="E13" s="91" t="s">
        <v>31</v>
      </c>
      <c r="F13" s="120">
        <v>2.847</v>
      </c>
      <c r="H13" s="13" t="s">
        <v>32</v>
      </c>
      <c r="I13" s="129">
        <f>COUNTIFS(E13:E82,$E$16,F13:F82,"&lt;"&amp;1)+COUNTIFS(E13:E82,$E$16,F13:F82,"&gt;"&amp;2.5)</f>
        <v>8</v>
      </c>
      <c r="J13" s="60">
        <v>8</v>
      </c>
      <c r="L13" s="103"/>
    </row>
    <row r="14" spans="2:12" x14ac:dyDescent="0.25">
      <c r="B14" s="91" t="s">
        <v>33</v>
      </c>
      <c r="C14" s="91" t="s">
        <v>34</v>
      </c>
      <c r="D14" s="91" t="s">
        <v>35</v>
      </c>
      <c r="E14" s="91" t="s">
        <v>36</v>
      </c>
      <c r="F14" s="120">
        <v>2.798</v>
      </c>
      <c r="H14" s="13" t="s">
        <v>37</v>
      </c>
      <c r="I14" s="129">
        <f>SUMIFS(F13:F82,E13:E82,$E$19,C13:C82,$C$14)</f>
        <v>9.5180000000000007</v>
      </c>
      <c r="J14" s="60">
        <v>9.5180000000000007</v>
      </c>
      <c r="L14" s="103"/>
    </row>
    <row r="15" spans="2:12" x14ac:dyDescent="0.25">
      <c r="B15" s="91" t="s">
        <v>38</v>
      </c>
      <c r="C15" s="91" t="s">
        <v>39</v>
      </c>
      <c r="D15" s="91" t="s">
        <v>30</v>
      </c>
      <c r="E15" s="91" t="s">
        <v>40</v>
      </c>
      <c r="F15" s="120">
        <v>2.2080000000000002</v>
      </c>
      <c r="H15" s="13" t="s">
        <v>41</v>
      </c>
      <c r="I15" s="129">
        <f>COUNTIF(F13:F82,"&gt;"&amp; AVERAGE(F13:F82))</f>
        <v>21</v>
      </c>
      <c r="J15" s="60">
        <v>21</v>
      </c>
    </row>
    <row r="16" spans="2:12" x14ac:dyDescent="0.25">
      <c r="B16" s="91" t="s">
        <v>42</v>
      </c>
      <c r="C16" s="91" t="s">
        <v>43</v>
      </c>
      <c r="D16" s="91" t="s">
        <v>44</v>
      </c>
      <c r="E16" s="91" t="s">
        <v>45</v>
      </c>
      <c r="F16" s="120">
        <v>1.6539999999999999</v>
      </c>
    </row>
    <row r="17" spans="2:6" x14ac:dyDescent="0.25">
      <c r="B17" s="91" t="s">
        <v>46</v>
      </c>
      <c r="C17" s="91" t="s">
        <v>47</v>
      </c>
      <c r="D17" s="91" t="s">
        <v>48</v>
      </c>
      <c r="E17" s="91" t="s">
        <v>49</v>
      </c>
      <c r="F17" s="120">
        <v>2.0680000000000001</v>
      </c>
    </row>
    <row r="18" spans="2:6" x14ac:dyDescent="0.25">
      <c r="B18" s="91" t="s">
        <v>50</v>
      </c>
      <c r="C18" s="91" t="s">
        <v>43</v>
      </c>
      <c r="D18" s="91" t="s">
        <v>51</v>
      </c>
      <c r="E18" s="91" t="s">
        <v>45</v>
      </c>
      <c r="F18" s="120">
        <v>1.276</v>
      </c>
    </row>
    <row r="19" spans="2:6" x14ac:dyDescent="0.25">
      <c r="B19" s="91" t="s">
        <v>52</v>
      </c>
      <c r="C19" s="91" t="s">
        <v>34</v>
      </c>
      <c r="D19" s="91" t="s">
        <v>35</v>
      </c>
      <c r="E19" s="91" t="s">
        <v>36</v>
      </c>
      <c r="F19" s="120">
        <v>2.048</v>
      </c>
    </row>
    <row r="20" spans="2:6" x14ac:dyDescent="0.25">
      <c r="B20" s="91" t="s">
        <v>53</v>
      </c>
      <c r="C20" s="91" t="s">
        <v>43</v>
      </c>
      <c r="D20" s="91" t="s">
        <v>54</v>
      </c>
      <c r="E20" s="91" t="s">
        <v>55</v>
      </c>
      <c r="F20" s="120">
        <v>0.63300000000000001</v>
      </c>
    </row>
    <row r="21" spans="2:6" x14ac:dyDescent="0.25">
      <c r="B21" s="91" t="s">
        <v>56</v>
      </c>
      <c r="C21" s="91" t="s">
        <v>57</v>
      </c>
      <c r="D21" s="91" t="s">
        <v>58</v>
      </c>
      <c r="E21" s="91" t="s">
        <v>59</v>
      </c>
      <c r="F21" s="120">
        <v>1.034</v>
      </c>
    </row>
    <row r="22" spans="2:6" x14ac:dyDescent="0.25">
      <c r="B22" s="91" t="s">
        <v>60</v>
      </c>
      <c r="C22" s="91" t="s">
        <v>34</v>
      </c>
      <c r="D22" s="91" t="s">
        <v>61</v>
      </c>
      <c r="E22" s="91" t="s">
        <v>62</v>
      </c>
      <c r="F22" s="120">
        <v>1.0049999999999999</v>
      </c>
    </row>
    <row r="23" spans="2:6" x14ac:dyDescent="0.25">
      <c r="B23" s="91" t="s">
        <v>63</v>
      </c>
      <c r="C23" s="91" t="s">
        <v>47</v>
      </c>
      <c r="D23" s="91" t="s">
        <v>64</v>
      </c>
      <c r="E23" s="91" t="s">
        <v>65</v>
      </c>
      <c r="F23" s="120">
        <v>2.9369999999999998</v>
      </c>
    </row>
    <row r="24" spans="2:6" x14ac:dyDescent="0.25">
      <c r="B24" s="91" t="s">
        <v>66</v>
      </c>
      <c r="C24" s="91" t="s">
        <v>67</v>
      </c>
      <c r="D24" s="91" t="s">
        <v>58</v>
      </c>
      <c r="E24" s="91" t="s">
        <v>59</v>
      </c>
      <c r="F24" s="120">
        <v>0.47099999999999997</v>
      </c>
    </row>
    <row r="25" spans="2:6" x14ac:dyDescent="0.25">
      <c r="B25" s="91" t="s">
        <v>68</v>
      </c>
      <c r="C25" s="91" t="s">
        <v>43</v>
      </c>
      <c r="D25" s="91" t="s">
        <v>69</v>
      </c>
      <c r="E25" s="91" t="s">
        <v>55</v>
      </c>
      <c r="F25" s="120">
        <v>1.073</v>
      </c>
    </row>
    <row r="26" spans="2:6" x14ac:dyDescent="0.25">
      <c r="B26" s="91" t="s">
        <v>70</v>
      </c>
      <c r="C26" s="91" t="s">
        <v>34</v>
      </c>
      <c r="D26" s="91" t="s">
        <v>71</v>
      </c>
      <c r="E26" s="91" t="s">
        <v>36</v>
      </c>
      <c r="F26" s="120">
        <v>1.347</v>
      </c>
    </row>
    <row r="27" spans="2:6" x14ac:dyDescent="0.25">
      <c r="B27" s="91" t="s">
        <v>72</v>
      </c>
      <c r="C27" s="91" t="s">
        <v>73</v>
      </c>
      <c r="D27" s="91" t="s">
        <v>74</v>
      </c>
      <c r="E27" s="91" t="s">
        <v>31</v>
      </c>
      <c r="F27" s="120">
        <v>0.28599999999999998</v>
      </c>
    </row>
    <row r="28" spans="2:6" x14ac:dyDescent="0.25">
      <c r="B28" s="91" t="s">
        <v>75</v>
      </c>
      <c r="C28" s="91" t="s">
        <v>47</v>
      </c>
      <c r="D28" s="91" t="s">
        <v>76</v>
      </c>
      <c r="E28" s="91" t="s">
        <v>62</v>
      </c>
      <c r="F28" s="120">
        <v>0.97499999999999998</v>
      </c>
    </row>
    <row r="29" spans="2:6" x14ac:dyDescent="0.25">
      <c r="B29" s="91" t="s">
        <v>77</v>
      </c>
      <c r="C29" s="91" t="s">
        <v>34</v>
      </c>
      <c r="D29" s="91" t="s">
        <v>78</v>
      </c>
      <c r="E29" s="91" t="s">
        <v>62</v>
      </c>
      <c r="F29" s="120">
        <v>0.82199999999999995</v>
      </c>
    </row>
    <row r="30" spans="2:6" x14ac:dyDescent="0.25">
      <c r="B30" s="91" t="s">
        <v>79</v>
      </c>
      <c r="C30" s="91" t="s">
        <v>34</v>
      </c>
      <c r="D30" s="91" t="s">
        <v>80</v>
      </c>
      <c r="E30" s="91" t="s">
        <v>36</v>
      </c>
      <c r="F30" s="120">
        <v>1.5189999999999999</v>
      </c>
    </row>
    <row r="31" spans="2:6" x14ac:dyDescent="0.25">
      <c r="B31" s="91" t="s">
        <v>81</v>
      </c>
      <c r="C31" s="91" t="s">
        <v>57</v>
      </c>
      <c r="D31" s="91" t="s">
        <v>44</v>
      </c>
      <c r="E31" s="91" t="s">
        <v>45</v>
      </c>
      <c r="F31" s="120">
        <v>0.96699999999999997</v>
      </c>
    </row>
    <row r="32" spans="2:6" x14ac:dyDescent="0.25">
      <c r="B32" s="91" t="s">
        <v>82</v>
      </c>
      <c r="C32" s="91" t="s">
        <v>29</v>
      </c>
      <c r="D32" s="91" t="s">
        <v>61</v>
      </c>
      <c r="E32" s="91" t="s">
        <v>40</v>
      </c>
      <c r="F32" s="120">
        <v>0.67700000000000005</v>
      </c>
    </row>
    <row r="33" spans="2:6" x14ac:dyDescent="0.25">
      <c r="B33" s="91" t="s">
        <v>83</v>
      </c>
      <c r="C33" s="91" t="s">
        <v>43</v>
      </c>
      <c r="D33" s="91" t="s">
        <v>84</v>
      </c>
      <c r="E33" s="91" t="s">
        <v>45</v>
      </c>
      <c r="F33" s="120">
        <v>2.6</v>
      </c>
    </row>
    <row r="34" spans="2:6" x14ac:dyDescent="0.25">
      <c r="B34" s="91" t="s">
        <v>85</v>
      </c>
      <c r="C34" s="91" t="s">
        <v>29</v>
      </c>
      <c r="D34" s="91" t="s">
        <v>61</v>
      </c>
      <c r="E34" s="91" t="s">
        <v>62</v>
      </c>
      <c r="F34" s="120">
        <v>0.83</v>
      </c>
    </row>
    <row r="35" spans="2:6" x14ac:dyDescent="0.25">
      <c r="B35" s="91" t="s">
        <v>86</v>
      </c>
      <c r="C35" s="91" t="s">
        <v>34</v>
      </c>
      <c r="D35" s="91" t="s">
        <v>87</v>
      </c>
      <c r="E35" s="91" t="s">
        <v>59</v>
      </c>
      <c r="F35" s="120">
        <v>1.236</v>
      </c>
    </row>
    <row r="36" spans="2:6" x14ac:dyDescent="0.25">
      <c r="B36" s="91" t="s">
        <v>88</v>
      </c>
      <c r="C36" s="91" t="s">
        <v>43</v>
      </c>
      <c r="D36" s="91" t="s">
        <v>89</v>
      </c>
      <c r="E36" s="91" t="s">
        <v>59</v>
      </c>
      <c r="F36" s="120">
        <v>1.159</v>
      </c>
    </row>
    <row r="37" spans="2:6" x14ac:dyDescent="0.25">
      <c r="B37" s="91" t="s">
        <v>90</v>
      </c>
      <c r="C37" s="91" t="s">
        <v>57</v>
      </c>
      <c r="D37" s="91" t="s">
        <v>91</v>
      </c>
      <c r="E37" s="91" t="s">
        <v>62</v>
      </c>
      <c r="F37" s="120">
        <v>1.1479999999999999</v>
      </c>
    </row>
    <row r="38" spans="2:6" x14ac:dyDescent="0.25">
      <c r="B38" s="91" t="s">
        <v>92</v>
      </c>
      <c r="C38" s="91" t="s">
        <v>43</v>
      </c>
      <c r="D38" s="91" t="s">
        <v>93</v>
      </c>
      <c r="E38" s="91" t="s">
        <v>55</v>
      </c>
      <c r="F38" s="120">
        <v>1.0669999999999999</v>
      </c>
    </row>
    <row r="39" spans="2:6" x14ac:dyDescent="0.25">
      <c r="B39" s="91" t="s">
        <v>94</v>
      </c>
      <c r="C39" s="91" t="s">
        <v>57</v>
      </c>
      <c r="D39" s="91" t="s">
        <v>95</v>
      </c>
      <c r="E39" s="91" t="s">
        <v>45</v>
      </c>
      <c r="F39" s="120">
        <v>1.0660000000000001</v>
      </c>
    </row>
    <row r="40" spans="2:6" x14ac:dyDescent="0.25">
      <c r="B40" s="91" t="s">
        <v>96</v>
      </c>
      <c r="C40" s="91" t="s">
        <v>34</v>
      </c>
      <c r="D40" s="91" t="s">
        <v>97</v>
      </c>
      <c r="E40" s="91" t="s">
        <v>98</v>
      </c>
      <c r="F40" s="120">
        <v>1.109</v>
      </c>
    </row>
    <row r="41" spans="2:6" x14ac:dyDescent="0.25">
      <c r="B41" s="91" t="s">
        <v>99</v>
      </c>
      <c r="C41" s="91" t="s">
        <v>34</v>
      </c>
      <c r="D41" s="91" t="s">
        <v>61</v>
      </c>
      <c r="E41" s="91" t="s">
        <v>62</v>
      </c>
      <c r="F41" s="120">
        <v>1.081</v>
      </c>
    </row>
    <row r="42" spans="2:6" x14ac:dyDescent="0.25">
      <c r="B42" s="91" t="s">
        <v>100</v>
      </c>
      <c r="C42" s="91" t="s">
        <v>43</v>
      </c>
      <c r="D42" s="91" t="s">
        <v>89</v>
      </c>
      <c r="E42" s="91" t="s">
        <v>59</v>
      </c>
      <c r="F42" s="120">
        <v>1.0349999999999999</v>
      </c>
    </row>
    <row r="43" spans="2:6" x14ac:dyDescent="0.25">
      <c r="B43" s="91" t="s">
        <v>101</v>
      </c>
      <c r="C43" s="91" t="s">
        <v>47</v>
      </c>
      <c r="D43" s="91" t="s">
        <v>102</v>
      </c>
      <c r="E43" s="91" t="s">
        <v>31</v>
      </c>
      <c r="F43" s="120">
        <v>1.0269999999999999</v>
      </c>
    </row>
    <row r="44" spans="2:6" x14ac:dyDescent="0.25">
      <c r="B44" s="91" t="s">
        <v>103</v>
      </c>
      <c r="C44" s="91" t="s">
        <v>47</v>
      </c>
      <c r="D44" s="91" t="s">
        <v>104</v>
      </c>
      <c r="E44" s="91" t="s">
        <v>45</v>
      </c>
      <c r="F44" s="120">
        <v>2.5499999999999998</v>
      </c>
    </row>
    <row r="45" spans="2:6" x14ac:dyDescent="0.25">
      <c r="B45" s="91" t="s">
        <v>105</v>
      </c>
      <c r="C45" s="91" t="s">
        <v>43</v>
      </c>
      <c r="D45" s="91" t="s">
        <v>106</v>
      </c>
      <c r="E45" s="91" t="s">
        <v>45</v>
      </c>
      <c r="F45" s="120">
        <v>2.9</v>
      </c>
    </row>
    <row r="46" spans="2:6" x14ac:dyDescent="0.25">
      <c r="B46" s="91" t="s">
        <v>107</v>
      </c>
      <c r="C46" s="91" t="s">
        <v>47</v>
      </c>
      <c r="D46" s="91" t="s">
        <v>64</v>
      </c>
      <c r="E46" s="91" t="s">
        <v>62</v>
      </c>
      <c r="F46" s="120">
        <v>1.0209999999999999</v>
      </c>
    </row>
    <row r="47" spans="2:6" x14ac:dyDescent="0.25">
      <c r="B47" s="91" t="s">
        <v>60</v>
      </c>
      <c r="C47" s="91" t="s">
        <v>34</v>
      </c>
      <c r="D47" s="91" t="s">
        <v>61</v>
      </c>
      <c r="E47" s="91" t="s">
        <v>62</v>
      </c>
      <c r="F47" s="120">
        <v>1.006</v>
      </c>
    </row>
    <row r="48" spans="2:6" x14ac:dyDescent="0.25">
      <c r="B48" s="91" t="s">
        <v>108</v>
      </c>
      <c r="C48" s="91" t="s">
        <v>43</v>
      </c>
      <c r="D48" s="91" t="s">
        <v>84</v>
      </c>
      <c r="E48" s="91" t="s">
        <v>45</v>
      </c>
      <c r="F48" s="120">
        <v>0.94</v>
      </c>
    </row>
    <row r="49" spans="2:6" x14ac:dyDescent="0.25">
      <c r="B49" s="91" t="s">
        <v>109</v>
      </c>
      <c r="C49" s="91" t="s">
        <v>47</v>
      </c>
      <c r="D49" s="91" t="s">
        <v>110</v>
      </c>
      <c r="E49" s="91" t="s">
        <v>62</v>
      </c>
      <c r="F49" s="120">
        <v>1.3420000000000001</v>
      </c>
    </row>
    <row r="50" spans="2:6" x14ac:dyDescent="0.25">
      <c r="B50" s="91" t="s">
        <v>111</v>
      </c>
      <c r="C50" s="91" t="s">
        <v>47</v>
      </c>
      <c r="D50" s="91" t="s">
        <v>64</v>
      </c>
      <c r="E50" s="91" t="s">
        <v>65</v>
      </c>
      <c r="F50" s="120">
        <v>1.1419999999999999</v>
      </c>
    </row>
    <row r="51" spans="2:6" x14ac:dyDescent="0.25">
      <c r="B51" s="91" t="s">
        <v>112</v>
      </c>
      <c r="C51" s="91" t="s">
        <v>34</v>
      </c>
      <c r="D51" s="91" t="s">
        <v>113</v>
      </c>
      <c r="E51" s="91" t="s">
        <v>114</v>
      </c>
      <c r="F51" s="120">
        <v>1.1319999999999999</v>
      </c>
    </row>
    <row r="52" spans="2:6" x14ac:dyDescent="0.25">
      <c r="B52" s="91" t="s">
        <v>115</v>
      </c>
      <c r="C52" s="91" t="s">
        <v>34</v>
      </c>
      <c r="D52" s="91" t="s">
        <v>116</v>
      </c>
      <c r="E52" s="91" t="s">
        <v>40</v>
      </c>
      <c r="F52" s="120">
        <v>1.1240000000000001</v>
      </c>
    </row>
    <row r="53" spans="2:6" x14ac:dyDescent="0.25">
      <c r="B53" s="91" t="s">
        <v>117</v>
      </c>
      <c r="C53" s="91" t="s">
        <v>39</v>
      </c>
      <c r="D53" s="91" t="s">
        <v>118</v>
      </c>
      <c r="E53" s="91" t="s">
        <v>62</v>
      </c>
      <c r="F53" s="120">
        <v>1.0740000000000001</v>
      </c>
    </row>
    <row r="54" spans="2:6" x14ac:dyDescent="0.25">
      <c r="B54" s="91" t="s">
        <v>119</v>
      </c>
      <c r="C54" s="91" t="s">
        <v>57</v>
      </c>
      <c r="D54" s="91" t="s">
        <v>120</v>
      </c>
      <c r="E54" s="91" t="s">
        <v>45</v>
      </c>
      <c r="F54" s="120">
        <v>1.0509999999999999</v>
      </c>
    </row>
    <row r="55" spans="2:6" x14ac:dyDescent="0.25">
      <c r="B55" s="91" t="s">
        <v>121</v>
      </c>
      <c r="C55" s="91" t="s">
        <v>34</v>
      </c>
      <c r="D55" s="91" t="s">
        <v>122</v>
      </c>
      <c r="E55" s="91" t="s">
        <v>36</v>
      </c>
      <c r="F55" s="120">
        <v>1.1279999999999999</v>
      </c>
    </row>
    <row r="56" spans="2:6" x14ac:dyDescent="0.25">
      <c r="B56" s="91" t="s">
        <v>123</v>
      </c>
      <c r="C56" s="91" t="s">
        <v>57</v>
      </c>
      <c r="D56" s="91" t="s">
        <v>124</v>
      </c>
      <c r="E56" s="91" t="s">
        <v>59</v>
      </c>
      <c r="F56" s="120">
        <v>1.3089999999999999</v>
      </c>
    </row>
    <row r="57" spans="2:6" x14ac:dyDescent="0.25">
      <c r="B57" s="91" t="s">
        <v>42</v>
      </c>
      <c r="C57" s="91" t="s">
        <v>43</v>
      </c>
      <c r="D57" s="91" t="s">
        <v>125</v>
      </c>
      <c r="E57" s="91" t="s">
        <v>45</v>
      </c>
      <c r="F57" s="120">
        <v>0.96799999999999997</v>
      </c>
    </row>
    <row r="58" spans="2:6" x14ac:dyDescent="0.25">
      <c r="B58" s="91" t="s">
        <v>126</v>
      </c>
      <c r="C58" s="91" t="s">
        <v>43</v>
      </c>
      <c r="D58" s="91" t="s">
        <v>51</v>
      </c>
      <c r="E58" s="91" t="s">
        <v>45</v>
      </c>
      <c r="F58" s="120">
        <v>1.45</v>
      </c>
    </row>
    <row r="59" spans="2:6" x14ac:dyDescent="0.25">
      <c r="B59" s="91" t="s">
        <v>127</v>
      </c>
      <c r="C59" s="91" t="s">
        <v>47</v>
      </c>
      <c r="D59" s="91" t="s">
        <v>128</v>
      </c>
      <c r="E59" s="91" t="s">
        <v>45</v>
      </c>
      <c r="F59" s="120">
        <v>1.264</v>
      </c>
    </row>
    <row r="60" spans="2:6" x14ac:dyDescent="0.25">
      <c r="B60" s="91" t="s">
        <v>129</v>
      </c>
      <c r="C60" s="91" t="s">
        <v>47</v>
      </c>
      <c r="D60" s="91" t="s">
        <v>64</v>
      </c>
      <c r="E60" s="91" t="s">
        <v>62</v>
      </c>
      <c r="F60" s="120">
        <v>0.95799999999999996</v>
      </c>
    </row>
    <row r="61" spans="2:6" x14ac:dyDescent="0.25">
      <c r="B61" s="91" t="s">
        <v>130</v>
      </c>
      <c r="C61" s="91" t="s">
        <v>47</v>
      </c>
      <c r="D61" s="91" t="s">
        <v>64</v>
      </c>
      <c r="E61" s="91" t="s">
        <v>62</v>
      </c>
      <c r="F61" s="120">
        <v>0.95599999999999996</v>
      </c>
    </row>
    <row r="62" spans="2:6" x14ac:dyDescent="0.25">
      <c r="B62" s="91" t="s">
        <v>131</v>
      </c>
      <c r="C62" s="91" t="s">
        <v>47</v>
      </c>
      <c r="D62" s="91" t="s">
        <v>128</v>
      </c>
      <c r="E62" s="91" t="s">
        <v>132</v>
      </c>
      <c r="F62" s="120">
        <v>0.83</v>
      </c>
    </row>
    <row r="63" spans="2:6" x14ac:dyDescent="0.25">
      <c r="B63" s="91" t="s">
        <v>133</v>
      </c>
      <c r="C63" s="91" t="s">
        <v>57</v>
      </c>
      <c r="D63" s="91" t="s">
        <v>134</v>
      </c>
      <c r="E63" s="91" t="s">
        <v>132</v>
      </c>
      <c r="F63" s="120">
        <v>0.86499999999999999</v>
      </c>
    </row>
    <row r="64" spans="2:6" x14ac:dyDescent="0.25">
      <c r="B64" s="91" t="s">
        <v>135</v>
      </c>
      <c r="C64" s="91" t="s">
        <v>43</v>
      </c>
      <c r="D64" s="91" t="s">
        <v>136</v>
      </c>
      <c r="E64" s="91" t="s">
        <v>137</v>
      </c>
      <c r="F64" s="120">
        <v>0.875</v>
      </c>
    </row>
    <row r="65" spans="2:6" x14ac:dyDescent="0.25">
      <c r="B65" s="91" t="s">
        <v>138</v>
      </c>
      <c r="C65" s="91" t="s">
        <v>43</v>
      </c>
      <c r="D65" s="91" t="s">
        <v>139</v>
      </c>
      <c r="E65" s="91" t="s">
        <v>55</v>
      </c>
      <c r="F65" s="120">
        <v>0.85799999999999998</v>
      </c>
    </row>
    <row r="66" spans="2:6" x14ac:dyDescent="0.25">
      <c r="B66" s="91" t="s">
        <v>140</v>
      </c>
      <c r="C66" s="91" t="s">
        <v>34</v>
      </c>
      <c r="D66" s="91" t="s">
        <v>91</v>
      </c>
      <c r="E66" s="91" t="s">
        <v>59</v>
      </c>
      <c r="F66" s="120">
        <v>1.5149999999999999</v>
      </c>
    </row>
    <row r="67" spans="2:6" x14ac:dyDescent="0.25">
      <c r="B67" s="91" t="s">
        <v>42</v>
      </c>
      <c r="C67" s="91" t="s">
        <v>43</v>
      </c>
      <c r="D67" s="91" t="s">
        <v>44</v>
      </c>
      <c r="E67" s="91" t="s">
        <v>45</v>
      </c>
      <c r="F67" s="120">
        <v>2.8</v>
      </c>
    </row>
    <row r="68" spans="2:6" x14ac:dyDescent="0.25">
      <c r="B68" s="91" t="s">
        <v>141</v>
      </c>
      <c r="C68" s="91" t="s">
        <v>47</v>
      </c>
      <c r="D68" s="91" t="s">
        <v>64</v>
      </c>
      <c r="E68" s="91" t="s">
        <v>65</v>
      </c>
      <c r="F68" s="120">
        <v>0.89800000000000002</v>
      </c>
    </row>
    <row r="69" spans="2:6" x14ac:dyDescent="0.25">
      <c r="B69" s="91" t="s">
        <v>83</v>
      </c>
      <c r="C69" s="91" t="s">
        <v>43</v>
      </c>
      <c r="D69" s="91" t="s">
        <v>84</v>
      </c>
      <c r="E69" s="91" t="s">
        <v>45</v>
      </c>
      <c r="F69" s="120">
        <v>1.0289999999999999</v>
      </c>
    </row>
    <row r="70" spans="2:6" x14ac:dyDescent="0.25">
      <c r="B70" s="91" t="s">
        <v>142</v>
      </c>
      <c r="C70" s="91" t="s">
        <v>47</v>
      </c>
      <c r="D70" s="91" t="s">
        <v>143</v>
      </c>
      <c r="E70" s="91" t="s">
        <v>144</v>
      </c>
      <c r="F70" s="120">
        <v>0.69799999999999995</v>
      </c>
    </row>
    <row r="71" spans="2:6" x14ac:dyDescent="0.25">
      <c r="B71" s="91" t="s">
        <v>145</v>
      </c>
      <c r="C71" s="91" t="s">
        <v>34</v>
      </c>
      <c r="D71" s="91" t="s">
        <v>146</v>
      </c>
      <c r="E71" s="91" t="s">
        <v>36</v>
      </c>
      <c r="F71" s="120">
        <v>0.67800000000000005</v>
      </c>
    </row>
    <row r="72" spans="2:6" x14ac:dyDescent="0.25">
      <c r="B72" s="91" t="s">
        <v>147</v>
      </c>
      <c r="C72" s="91" t="s">
        <v>34</v>
      </c>
      <c r="D72" s="91" t="s">
        <v>113</v>
      </c>
      <c r="E72" s="91" t="s">
        <v>114</v>
      </c>
      <c r="F72" s="120">
        <v>1.8859999999999999</v>
      </c>
    </row>
    <row r="73" spans="2:6" x14ac:dyDescent="0.25">
      <c r="B73" s="91" t="s">
        <v>148</v>
      </c>
      <c r="C73" s="91" t="s">
        <v>47</v>
      </c>
      <c r="D73" s="91" t="s">
        <v>110</v>
      </c>
      <c r="E73" s="91" t="s">
        <v>62</v>
      </c>
      <c r="F73" s="120">
        <v>0.93400000000000005</v>
      </c>
    </row>
    <row r="74" spans="2:6" x14ac:dyDescent="0.25">
      <c r="B74" s="91" t="s">
        <v>149</v>
      </c>
      <c r="C74" s="91" t="s">
        <v>47</v>
      </c>
      <c r="D74" s="91" t="s">
        <v>150</v>
      </c>
      <c r="E74" s="91" t="s">
        <v>144</v>
      </c>
      <c r="F74" s="120">
        <v>0.71099999999999997</v>
      </c>
    </row>
    <row r="75" spans="2:6" x14ac:dyDescent="0.25">
      <c r="B75" s="91" t="s">
        <v>151</v>
      </c>
      <c r="C75" s="91" t="s">
        <v>152</v>
      </c>
      <c r="D75" s="91" t="s">
        <v>47</v>
      </c>
      <c r="E75" s="91" t="s">
        <v>45</v>
      </c>
      <c r="F75" s="120">
        <v>0.745</v>
      </c>
    </row>
    <row r="76" spans="2:6" x14ac:dyDescent="0.25">
      <c r="B76" s="91" t="s">
        <v>153</v>
      </c>
      <c r="C76" s="91" t="s">
        <v>43</v>
      </c>
      <c r="D76" s="91" t="s">
        <v>154</v>
      </c>
      <c r="E76" s="91" t="s">
        <v>155</v>
      </c>
      <c r="F76" s="120">
        <v>0.92900000000000005</v>
      </c>
    </row>
    <row r="77" spans="2:6" x14ac:dyDescent="0.25">
      <c r="B77" s="91" t="s">
        <v>156</v>
      </c>
      <c r="C77" s="91" t="s">
        <v>47</v>
      </c>
      <c r="D77" s="91" t="s">
        <v>128</v>
      </c>
      <c r="E77" s="91" t="s">
        <v>132</v>
      </c>
      <c r="F77" s="120">
        <v>0.71199999999999997</v>
      </c>
    </row>
    <row r="78" spans="2:6" x14ac:dyDescent="0.25">
      <c r="B78" s="91" t="s">
        <v>157</v>
      </c>
      <c r="C78" s="91" t="s">
        <v>57</v>
      </c>
      <c r="D78" s="91" t="s">
        <v>158</v>
      </c>
      <c r="E78" s="91" t="s">
        <v>45</v>
      </c>
      <c r="F78" s="120">
        <v>1.046</v>
      </c>
    </row>
    <row r="79" spans="2:6" x14ac:dyDescent="0.25">
      <c r="B79" s="91" t="s">
        <v>159</v>
      </c>
      <c r="C79" s="91" t="s">
        <v>57</v>
      </c>
      <c r="D79" s="91" t="s">
        <v>160</v>
      </c>
      <c r="E79" s="91" t="s">
        <v>132</v>
      </c>
      <c r="F79" s="120">
        <v>0.69399999999999995</v>
      </c>
    </row>
    <row r="80" spans="2:6" x14ac:dyDescent="0.25">
      <c r="B80" s="91" t="s">
        <v>161</v>
      </c>
      <c r="C80" s="91" t="s">
        <v>43</v>
      </c>
      <c r="D80" s="91" t="s">
        <v>162</v>
      </c>
      <c r="E80" s="91" t="s">
        <v>55</v>
      </c>
      <c r="F80" s="120">
        <v>0.497</v>
      </c>
    </row>
    <row r="81" spans="2:6" x14ac:dyDescent="0.25">
      <c r="B81" s="91" t="s">
        <v>163</v>
      </c>
      <c r="C81" s="91" t="s">
        <v>43</v>
      </c>
      <c r="D81" s="91" t="s">
        <v>162</v>
      </c>
      <c r="E81" s="91" t="s">
        <v>55</v>
      </c>
      <c r="F81" s="120">
        <v>0.374</v>
      </c>
    </row>
    <row r="82" spans="2:6" x14ac:dyDescent="0.25">
      <c r="B82" s="91" t="s">
        <v>92</v>
      </c>
      <c r="C82" s="91" t="s">
        <v>43</v>
      </c>
      <c r="D82" s="91" t="s">
        <v>93</v>
      </c>
      <c r="E82" s="91" t="s">
        <v>55</v>
      </c>
      <c r="F82" s="120">
        <v>1.0669999999999999</v>
      </c>
    </row>
  </sheetData>
  <mergeCells count="1">
    <mergeCell ref="B4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6FAD-6020-409E-9DC2-623389BBDD90}">
  <sheetPr codeName="Hoja4"/>
  <dimension ref="B1:P40"/>
  <sheetViews>
    <sheetView showGridLines="0" topLeftCell="A3" zoomScaleNormal="85" workbookViewId="0">
      <selection activeCell="D17" sqref="D17"/>
    </sheetView>
  </sheetViews>
  <sheetFormatPr baseColWidth="10" defaultColWidth="11.42578125" defaultRowHeight="15" x14ac:dyDescent="0.25"/>
  <sheetData>
    <row r="1" spans="2:16" ht="15.75" thickBot="1" x14ac:dyDescent="0.3"/>
    <row r="2" spans="2:16" ht="15.75" thickBot="1" x14ac:dyDescent="0.3">
      <c r="B2" s="68" t="s">
        <v>164</v>
      </c>
      <c r="O2" s="28"/>
      <c r="P2" s="28"/>
    </row>
    <row r="3" spans="2:16" ht="14.45" customHeight="1" x14ac:dyDescent="0.25">
      <c r="B3" s="173" t="s">
        <v>165</v>
      </c>
      <c r="C3" s="174"/>
      <c r="D3" s="174"/>
      <c r="E3" s="174"/>
      <c r="F3" s="174"/>
      <c r="G3" s="175"/>
      <c r="H3" s="69"/>
      <c r="I3" s="195"/>
      <c r="J3" s="196"/>
      <c r="K3" s="197"/>
      <c r="L3" s="69"/>
      <c r="M3" s="69"/>
      <c r="N3" s="69"/>
      <c r="O3" s="69"/>
      <c r="P3" s="69"/>
    </row>
    <row r="4" spans="2:16" ht="14.45" customHeight="1" x14ac:dyDescent="0.25">
      <c r="B4" s="176"/>
      <c r="C4" s="177"/>
      <c r="D4" s="177"/>
      <c r="E4" s="177"/>
      <c r="F4" s="177"/>
      <c r="G4" s="178"/>
      <c r="H4" s="69"/>
      <c r="I4" s="198"/>
      <c r="J4" s="199"/>
      <c r="K4" s="200"/>
      <c r="L4" s="69"/>
      <c r="M4" s="69"/>
      <c r="N4" s="69"/>
      <c r="O4" s="69"/>
      <c r="P4" s="69"/>
    </row>
    <row r="5" spans="2:16" x14ac:dyDescent="0.25">
      <c r="B5" s="176"/>
      <c r="C5" s="177"/>
      <c r="D5" s="177"/>
      <c r="E5" s="177"/>
      <c r="F5" s="177"/>
      <c r="G5" s="178"/>
      <c r="H5" s="69"/>
      <c r="I5" s="198"/>
      <c r="J5" s="199"/>
      <c r="K5" s="200"/>
      <c r="M5" s="69"/>
      <c r="N5" s="69"/>
      <c r="O5" s="69"/>
      <c r="P5" s="69"/>
    </row>
    <row r="6" spans="2:16" x14ac:dyDescent="0.25">
      <c r="B6" s="176"/>
      <c r="C6" s="177"/>
      <c r="D6" s="177"/>
      <c r="E6" s="177"/>
      <c r="F6" s="177"/>
      <c r="G6" s="178"/>
      <c r="H6" s="69"/>
      <c r="I6" s="198"/>
      <c r="J6" s="199"/>
      <c r="K6" s="200"/>
      <c r="M6" s="69"/>
      <c r="N6" s="69"/>
      <c r="O6" s="69"/>
      <c r="P6" s="69"/>
    </row>
    <row r="7" spans="2:16" x14ac:dyDescent="0.25">
      <c r="B7" s="176"/>
      <c r="C7" s="177"/>
      <c r="D7" s="177"/>
      <c r="E7" s="177"/>
      <c r="F7" s="177"/>
      <c r="G7" s="178"/>
      <c r="I7" s="198"/>
      <c r="J7" s="199"/>
      <c r="K7" s="200"/>
    </row>
    <row r="8" spans="2:16" x14ac:dyDescent="0.25">
      <c r="B8" s="176"/>
      <c r="C8" s="177"/>
      <c r="D8" s="177"/>
      <c r="E8" s="177"/>
      <c r="F8" s="177"/>
      <c r="G8" s="178"/>
      <c r="I8" s="198"/>
      <c r="J8" s="199"/>
      <c r="K8" s="200"/>
    </row>
    <row r="9" spans="2:16" ht="15.75" thickBot="1" x14ac:dyDescent="0.3">
      <c r="B9" s="179"/>
      <c r="C9" s="180"/>
      <c r="D9" s="180"/>
      <c r="E9" s="180"/>
      <c r="F9" s="180"/>
      <c r="G9" s="181"/>
      <c r="I9" s="201"/>
      <c r="J9" s="202"/>
      <c r="K9" s="203"/>
    </row>
    <row r="10" spans="2:16" x14ac:dyDescent="0.25">
      <c r="B10" s="69"/>
      <c r="C10" s="69"/>
      <c r="D10" s="69"/>
      <c r="E10" s="69"/>
      <c r="F10" s="69"/>
    </row>
    <row r="11" spans="2:16" x14ac:dyDescent="0.25">
      <c r="B11" s="23"/>
      <c r="C11" s="23"/>
      <c r="D11" s="23"/>
      <c r="E11" s="23"/>
      <c r="F11" s="23"/>
    </row>
    <row r="13" spans="2:16" ht="17.25" x14ac:dyDescent="0.3">
      <c r="C13" s="70" t="s">
        <v>166</v>
      </c>
      <c r="D13" s="11">
        <v>2</v>
      </c>
      <c r="E13" s="11">
        <v>0.5</v>
      </c>
      <c r="F13" s="11">
        <v>1.5</v>
      </c>
      <c r="G13" s="11">
        <v>1.5</v>
      </c>
      <c r="H13" s="11">
        <v>2</v>
      </c>
      <c r="I13" s="11">
        <v>0</v>
      </c>
      <c r="J13" s="11">
        <v>0</v>
      </c>
      <c r="K13" s="11">
        <v>2</v>
      </c>
      <c r="L13" s="11">
        <v>2</v>
      </c>
      <c r="M13" s="11">
        <v>1</v>
      </c>
    </row>
    <row r="14" spans="2:16" ht="17.25" x14ac:dyDescent="0.3">
      <c r="C14" s="70" t="s">
        <v>167</v>
      </c>
      <c r="D14" s="11">
        <v>0.13</v>
      </c>
      <c r="E14" s="11">
        <v>2.8</v>
      </c>
      <c r="F14" s="11">
        <v>9.2999999999999999E-2</v>
      </c>
      <c r="G14" s="11">
        <v>3</v>
      </c>
      <c r="H14" s="11">
        <v>0.105</v>
      </c>
      <c r="I14" s="11">
        <v>0.2</v>
      </c>
      <c r="J14" s="11">
        <v>3</v>
      </c>
      <c r="K14" s="11">
        <v>0.16400000000000001</v>
      </c>
      <c r="L14" s="11">
        <v>0.19500000000000001</v>
      </c>
      <c r="M14" s="11">
        <v>0.19500000000000001</v>
      </c>
    </row>
    <row r="15" spans="2:16" ht="17.25" x14ac:dyDescent="0.3">
      <c r="B15" s="70" t="s">
        <v>168</v>
      </c>
      <c r="C15" s="70" t="s">
        <v>169</v>
      </c>
      <c r="D15" s="191" t="s">
        <v>170</v>
      </c>
      <c r="E15" s="192"/>
      <c r="F15" s="192"/>
      <c r="G15" s="192"/>
      <c r="H15" s="192"/>
      <c r="I15" s="192"/>
      <c r="J15" s="192"/>
      <c r="K15" s="192"/>
      <c r="L15" s="192"/>
      <c r="M15" s="192"/>
    </row>
    <row r="16" spans="2:16" x14ac:dyDescent="0.25">
      <c r="B16" s="11">
        <v>2.8</v>
      </c>
      <c r="C16" s="11">
        <v>8</v>
      </c>
      <c r="D16" s="71">
        <f>((SQRT((D$13+2)^$C16/($B16+2)^3))*$C16)/(5*D$14^3)</f>
        <v>17728.33848193528</v>
      </c>
      <c r="E16" s="71">
        <f t="shared" ref="E16:M16" si="0">((SQRT((E$13+2)^$C16/($B16+2)^3))*$C16)/(5*E$14^3)</f>
        <v>0.27073479007918233</v>
      </c>
      <c r="F16" s="71">
        <f t="shared" si="0"/>
        <v>28384.513719108345</v>
      </c>
      <c r="G16" s="71">
        <f t="shared" si="0"/>
        <v>0.84560304820595666</v>
      </c>
      <c r="H16" s="71">
        <f t="shared" si="0"/>
        <v>33645.748532393322</v>
      </c>
      <c r="I16" s="71">
        <f t="shared" si="0"/>
        <v>304.29030972509224</v>
      </c>
      <c r="J16" s="71">
        <f t="shared" si="0"/>
        <v>9.0160091770397716E-2</v>
      </c>
      <c r="K16" s="71">
        <f t="shared" si="0"/>
        <v>8830.1188237283914</v>
      </c>
      <c r="L16" s="71">
        <f t="shared" si="0"/>
        <v>5252.8410316845275</v>
      </c>
      <c r="M16" s="71">
        <f t="shared" si="0"/>
        <v>1662.0317326814327</v>
      </c>
    </row>
    <row r="17" spans="2:13" x14ac:dyDescent="0.25">
      <c r="B17" s="11">
        <v>3.6</v>
      </c>
      <c r="C17" s="11">
        <v>7</v>
      </c>
      <c r="D17" s="71">
        <f t="shared" ref="D17:M25" si="1">((SQRT((D$13+2)^$C17/($B17+2)^3))*$C17)/(5*D$14^3)</f>
        <v>6154.9695383050812</v>
      </c>
      <c r="E17" s="71">
        <f t="shared" si="1"/>
        <v>0.11889454562459095</v>
      </c>
      <c r="F17" s="71">
        <f t="shared" si="1"/>
        <v>10535.018552063892</v>
      </c>
      <c r="G17" s="71">
        <f t="shared" si="1"/>
        <v>0.31384873768453536</v>
      </c>
      <c r="H17" s="71">
        <f t="shared" si="1"/>
        <v>11681.216348693462</v>
      </c>
      <c r="I17" s="71">
        <f t="shared" si="1"/>
        <v>149.40357616679918</v>
      </c>
      <c r="J17" s="71">
        <f t="shared" si="1"/>
        <v>4.4267726271644214E-2</v>
      </c>
      <c r="K17" s="71">
        <f t="shared" si="1"/>
        <v>3065.6630588953894</v>
      </c>
      <c r="L17" s="71">
        <f t="shared" si="1"/>
        <v>1823.6946780163207</v>
      </c>
      <c r="M17" s="71">
        <f t="shared" si="1"/>
        <v>666.29499746144734</v>
      </c>
    </row>
    <row r="18" spans="2:13" x14ac:dyDescent="0.25">
      <c r="B18" s="11">
        <v>3.4</v>
      </c>
      <c r="C18" s="11">
        <v>5</v>
      </c>
      <c r="D18" s="71">
        <f t="shared" si="1"/>
        <v>1160.7248481247093</v>
      </c>
      <c r="E18" s="71">
        <f t="shared" si="1"/>
        <v>3.5874453006885174E-2</v>
      </c>
      <c r="F18" s="71">
        <f t="shared" si="1"/>
        <v>2270.5476760774532</v>
      </c>
      <c r="G18" s="71">
        <f t="shared" si="1"/>
        <v>6.7641885818023398E-2</v>
      </c>
      <c r="H18" s="71">
        <f t="shared" si="1"/>
        <v>2202.8830504956154</v>
      </c>
      <c r="I18" s="71">
        <f t="shared" si="1"/>
        <v>56.35005735649856</v>
      </c>
      <c r="J18" s="71">
        <f t="shared" si="1"/>
        <v>1.6696313290814391E-2</v>
      </c>
      <c r="K18" s="71">
        <f t="shared" si="1"/>
        <v>578.13304619827102</v>
      </c>
      <c r="L18" s="71">
        <f t="shared" si="1"/>
        <v>343.91847351843239</v>
      </c>
      <c r="M18" s="71">
        <f t="shared" si="1"/>
        <v>167.53620087997209</v>
      </c>
    </row>
    <row r="19" spans="2:13" x14ac:dyDescent="0.25">
      <c r="B19" s="11">
        <v>3.2</v>
      </c>
      <c r="C19" s="11">
        <v>8</v>
      </c>
      <c r="D19" s="71">
        <f t="shared" si="1"/>
        <v>15722.618461720485</v>
      </c>
      <c r="E19" s="71">
        <f t="shared" si="1"/>
        <v>0.24010483628042184</v>
      </c>
      <c r="F19" s="71">
        <f t="shared" si="1"/>
        <v>25173.192619362388</v>
      </c>
      <c r="G19" s="71">
        <f t="shared" si="1"/>
        <v>0.74993458132342483</v>
      </c>
      <c r="H19" s="71">
        <f t="shared" si="1"/>
        <v>29839.190377194616</v>
      </c>
      <c r="I19" s="71">
        <f t="shared" si="1"/>
        <v>269.86400594062428</v>
      </c>
      <c r="J19" s="71">
        <f t="shared" si="1"/>
        <v>7.9959705463888683E-2</v>
      </c>
      <c r="K19" s="71">
        <f t="shared" si="1"/>
        <v>7831.111154528352</v>
      </c>
      <c r="L19" s="71">
        <f t="shared" si="1"/>
        <v>4658.5536182875521</v>
      </c>
      <c r="M19" s="71">
        <f t="shared" si="1"/>
        <v>1473.995480786296</v>
      </c>
    </row>
    <row r="20" spans="2:13" x14ac:dyDescent="0.25">
      <c r="B20" s="11">
        <v>3.1</v>
      </c>
      <c r="C20" s="11">
        <v>3</v>
      </c>
      <c r="D20" s="71">
        <f t="shared" si="1"/>
        <v>189.69501417228742</v>
      </c>
      <c r="E20" s="71">
        <f t="shared" si="1"/>
        <v>9.3806278138130941E-3</v>
      </c>
      <c r="F20" s="71">
        <f t="shared" si="1"/>
        <v>424.08138258309202</v>
      </c>
      <c r="G20" s="71">
        <f t="shared" si="1"/>
        <v>1.2633808468532893E-2</v>
      </c>
      <c r="H20" s="71">
        <f t="shared" si="1"/>
        <v>360.01291103467491</v>
      </c>
      <c r="I20" s="71">
        <f t="shared" si="1"/>
        <v>18.418361502504396</v>
      </c>
      <c r="J20" s="71">
        <f t="shared" si="1"/>
        <v>5.4572922970383408E-3</v>
      </c>
      <c r="K20" s="71">
        <f t="shared" si="1"/>
        <v>94.483164179031846</v>
      </c>
      <c r="L20" s="71">
        <f t="shared" si="1"/>
        <v>56.205930125122201</v>
      </c>
      <c r="M20" s="71">
        <f t="shared" si="1"/>
        <v>36.506822498766674</v>
      </c>
    </row>
    <row r="21" spans="2:13" x14ac:dyDescent="0.25">
      <c r="B21" s="11">
        <v>3.5</v>
      </c>
      <c r="C21" s="11">
        <v>5</v>
      </c>
      <c r="D21" s="71">
        <f t="shared" si="1"/>
        <v>1129.2130464483855</v>
      </c>
      <c r="E21" s="71">
        <f t="shared" si="1"/>
        <v>3.4900519649443948E-2</v>
      </c>
      <c r="F21" s="71">
        <f t="shared" si="1"/>
        <v>2208.9059802175025</v>
      </c>
      <c r="G21" s="71">
        <f t="shared" si="1"/>
        <v>6.5805518056659615E-2</v>
      </c>
      <c r="H21" s="71">
        <f t="shared" si="1"/>
        <v>2143.0783397448254</v>
      </c>
      <c r="I21" s="71">
        <f t="shared" si="1"/>
        <v>54.820244468684287</v>
      </c>
      <c r="J21" s="71">
        <f t="shared" si="1"/>
        <v>1.6243035398128682E-2</v>
      </c>
      <c r="K21" s="71">
        <f t="shared" si="1"/>
        <v>562.43766936218253</v>
      </c>
      <c r="L21" s="71">
        <f t="shared" si="1"/>
        <v>334.58164339211424</v>
      </c>
      <c r="M21" s="71">
        <f t="shared" si="1"/>
        <v>162.98786408485321</v>
      </c>
    </row>
    <row r="22" spans="2:13" x14ac:dyDescent="0.25">
      <c r="B22" s="11">
        <v>3.9</v>
      </c>
      <c r="C22" s="11">
        <v>2</v>
      </c>
      <c r="D22" s="71">
        <f t="shared" si="1"/>
        <v>50.81733763869795</v>
      </c>
      <c r="E22" s="71">
        <f t="shared" si="1"/>
        <v>3.1786878983754165E-3</v>
      </c>
      <c r="F22" s="71">
        <f t="shared" si="1"/>
        <v>121.45102167718065</v>
      </c>
      <c r="G22" s="71">
        <f t="shared" si="1"/>
        <v>3.6181473867848883E-3</v>
      </c>
      <c r="H22" s="71">
        <f t="shared" si="1"/>
        <v>96.443745420338573</v>
      </c>
      <c r="I22" s="71">
        <f t="shared" si="1"/>
        <v>6.9778556745137124</v>
      </c>
      <c r="J22" s="71">
        <f t="shared" si="1"/>
        <v>2.0675127924485079E-3</v>
      </c>
      <c r="K22" s="71">
        <f t="shared" si="1"/>
        <v>25.311065112642421</v>
      </c>
      <c r="L22" s="71">
        <f t="shared" si="1"/>
        <v>15.05698892998458</v>
      </c>
      <c r="M22" s="71">
        <f t="shared" si="1"/>
        <v>11.292741697488436</v>
      </c>
    </row>
    <row r="23" spans="2:13" x14ac:dyDescent="0.25">
      <c r="B23" s="11">
        <v>3.4</v>
      </c>
      <c r="C23" s="11">
        <v>8</v>
      </c>
      <c r="D23" s="71">
        <f t="shared" si="1"/>
        <v>14857.278055996278</v>
      </c>
      <c r="E23" s="71">
        <f t="shared" si="1"/>
        <v>0.22688996262886665</v>
      </c>
      <c r="F23" s="71">
        <f t="shared" si="1"/>
        <v>23787.712155809302</v>
      </c>
      <c r="G23" s="71">
        <f t="shared" si="1"/>
        <v>0.70865973283371486</v>
      </c>
      <c r="H23" s="71">
        <f t="shared" si="1"/>
        <v>28196.903046343879</v>
      </c>
      <c r="I23" s="71">
        <f t="shared" si="1"/>
        <v>255.01124913299859</v>
      </c>
      <c r="J23" s="71">
        <f t="shared" si="1"/>
        <v>7.5558888631999596E-2</v>
      </c>
      <c r="K23" s="71">
        <f t="shared" si="1"/>
        <v>7400.1029913378679</v>
      </c>
      <c r="L23" s="71">
        <f t="shared" si="1"/>
        <v>4402.1564610359346</v>
      </c>
      <c r="M23" s="71">
        <f t="shared" si="1"/>
        <v>1392.8698177496512</v>
      </c>
    </row>
    <row r="24" spans="2:13" x14ac:dyDescent="0.25">
      <c r="B24" s="11">
        <v>2.6</v>
      </c>
      <c r="C24" s="11">
        <v>7</v>
      </c>
      <c r="D24" s="71">
        <f t="shared" si="1"/>
        <v>8267.4428388842607</v>
      </c>
      <c r="E24" s="71">
        <f t="shared" si="1"/>
        <v>0.15970084883264948</v>
      </c>
      <c r="F24" s="71">
        <f t="shared" si="1"/>
        <v>14150.787123108636</v>
      </c>
      <c r="G24" s="71">
        <f t="shared" si="1"/>
        <v>0.42156609918452936</v>
      </c>
      <c r="H24" s="71">
        <f t="shared" si="1"/>
        <v>15690.376345559853</v>
      </c>
      <c r="I24" s="71">
        <f t="shared" si="1"/>
        <v>200.68101364219604</v>
      </c>
      <c r="J24" s="71">
        <f t="shared" si="1"/>
        <v>5.9461041079169205E-2</v>
      </c>
      <c r="K24" s="71">
        <f t="shared" si="1"/>
        <v>4117.8423296756246</v>
      </c>
      <c r="L24" s="71">
        <f t="shared" si="1"/>
        <v>2449.612693002744</v>
      </c>
      <c r="M24" s="71">
        <f t="shared" si="1"/>
        <v>894.97694035118843</v>
      </c>
    </row>
    <row r="25" spans="2:13" x14ac:dyDescent="0.25">
      <c r="B25" s="11">
        <v>3</v>
      </c>
      <c r="C25" s="11">
        <v>2</v>
      </c>
      <c r="D25" s="71">
        <f>((SQRT((D$13+2)^$C25/($B25+2)^3))*$C25)/(5*D$14^3)</f>
        <v>65.138074902133141</v>
      </c>
      <c r="E25" s="71">
        <f t="shared" si="1"/>
        <v>4.0744678890302297E-3</v>
      </c>
      <c r="F25" s="71">
        <f t="shared" si="1"/>
        <v>155.67690309152309</v>
      </c>
      <c r="G25" s="71">
        <f t="shared" si="1"/>
        <v>4.6377706199995641E-3</v>
      </c>
      <c r="H25" s="71">
        <f t="shared" si="1"/>
        <v>123.62237387753942</v>
      </c>
      <c r="I25" s="71">
        <f t="shared" si="1"/>
        <v>8.9442719099991574</v>
      </c>
      <c r="J25" s="71">
        <f t="shared" si="1"/>
        <v>2.6501546399997507E-3</v>
      </c>
      <c r="K25" s="71">
        <f t="shared" si="1"/>
        <v>32.443928229419036</v>
      </c>
      <c r="L25" s="71">
        <f t="shared" si="1"/>
        <v>19.300170341372787</v>
      </c>
      <c r="M25" s="71">
        <f t="shared" si="1"/>
        <v>14.475127756029591</v>
      </c>
    </row>
    <row r="28" spans="2:13" ht="17.25" x14ac:dyDescent="0.3">
      <c r="C28" s="70" t="s">
        <v>166</v>
      </c>
      <c r="D28" s="11">
        <v>2</v>
      </c>
      <c r="E28" s="11">
        <v>0.5</v>
      </c>
      <c r="F28" s="11">
        <v>1.5</v>
      </c>
      <c r="G28" s="11">
        <v>1.5</v>
      </c>
      <c r="H28" s="11">
        <v>2</v>
      </c>
      <c r="I28" s="11">
        <v>0</v>
      </c>
      <c r="J28" s="11">
        <v>0</v>
      </c>
      <c r="K28" s="11">
        <v>2</v>
      </c>
      <c r="L28" s="11">
        <v>2</v>
      </c>
      <c r="M28" s="11">
        <v>1</v>
      </c>
    </row>
    <row r="29" spans="2:13" ht="17.25" x14ac:dyDescent="0.3">
      <c r="C29" s="70" t="s">
        <v>167</v>
      </c>
      <c r="D29" s="11">
        <v>0.13</v>
      </c>
      <c r="E29" s="11">
        <v>2.8</v>
      </c>
      <c r="F29" s="11">
        <v>9.2999999999999999E-2</v>
      </c>
      <c r="G29" s="11">
        <v>3</v>
      </c>
      <c r="H29" s="11">
        <v>0.105</v>
      </c>
      <c r="I29" s="11">
        <v>0.2</v>
      </c>
      <c r="J29" s="11">
        <v>3</v>
      </c>
      <c r="K29" s="11">
        <v>0.16400000000000001</v>
      </c>
      <c r="L29" s="11">
        <v>0.19500000000000001</v>
      </c>
      <c r="M29" s="11">
        <v>0.19500000000000001</v>
      </c>
    </row>
    <row r="30" spans="2:13" ht="17.25" x14ac:dyDescent="0.3">
      <c r="B30" s="70" t="s">
        <v>168</v>
      </c>
      <c r="C30" s="70" t="s">
        <v>169</v>
      </c>
      <c r="D30" s="193" t="s">
        <v>15</v>
      </c>
      <c r="E30" s="194"/>
      <c r="F30" s="194"/>
      <c r="G30" s="194"/>
      <c r="H30" s="194"/>
      <c r="I30" s="194"/>
      <c r="J30" s="194"/>
      <c r="K30" s="194"/>
      <c r="L30" s="194"/>
      <c r="M30" s="194"/>
    </row>
    <row r="31" spans="2:13" x14ac:dyDescent="0.25">
      <c r="B31" s="11">
        <v>2.8</v>
      </c>
      <c r="C31" s="11">
        <v>8</v>
      </c>
      <c r="D31" s="72">
        <v>17728.33848193528</v>
      </c>
      <c r="E31" s="72">
        <v>0.27073479007918233</v>
      </c>
      <c r="F31" s="72">
        <v>28384.513719108345</v>
      </c>
      <c r="G31" s="72">
        <v>0.84560304820595666</v>
      </c>
      <c r="H31" s="72">
        <v>33645.748532393322</v>
      </c>
      <c r="I31" s="72">
        <v>304.29030972509224</v>
      </c>
      <c r="J31" s="72">
        <v>9.0160091770397716E-2</v>
      </c>
      <c r="K31" s="72">
        <v>8830.1188237283914</v>
      </c>
      <c r="L31" s="72">
        <v>5252.8410316845275</v>
      </c>
      <c r="M31" s="72">
        <v>1662.0317326814327</v>
      </c>
    </row>
    <row r="32" spans="2:13" x14ac:dyDescent="0.25">
      <c r="B32" s="11">
        <v>3.6</v>
      </c>
      <c r="C32" s="11">
        <v>7</v>
      </c>
      <c r="D32" s="72">
        <v>6154.9695383050812</v>
      </c>
      <c r="E32" s="72">
        <v>0.11889454562459095</v>
      </c>
      <c r="F32" s="72">
        <v>10535.018552063892</v>
      </c>
      <c r="G32" s="72">
        <v>0.31384873768453536</v>
      </c>
      <c r="H32" s="72">
        <v>11681.216348693462</v>
      </c>
      <c r="I32" s="72">
        <v>149.40357616679918</v>
      </c>
      <c r="J32" s="72">
        <v>4.4267726271644214E-2</v>
      </c>
      <c r="K32" s="72">
        <v>3065.6630588953894</v>
      </c>
      <c r="L32" s="72">
        <v>1823.6946780163207</v>
      </c>
      <c r="M32" s="72">
        <v>666.29499746144734</v>
      </c>
    </row>
    <row r="33" spans="2:13" x14ac:dyDescent="0.25">
      <c r="B33" s="11">
        <v>3.4</v>
      </c>
      <c r="C33" s="11">
        <v>5</v>
      </c>
      <c r="D33" s="72">
        <v>1160.7248481247093</v>
      </c>
      <c r="E33" s="72">
        <v>3.5874453006885174E-2</v>
      </c>
      <c r="F33" s="72">
        <v>2270.5476760774532</v>
      </c>
      <c r="G33" s="72">
        <v>6.7641885818023398E-2</v>
      </c>
      <c r="H33" s="72">
        <v>2202.8830504956154</v>
      </c>
      <c r="I33" s="72">
        <v>56.35005735649856</v>
      </c>
      <c r="J33" s="72">
        <v>1.6696313290814391E-2</v>
      </c>
      <c r="K33" s="72">
        <v>578.13304619827102</v>
      </c>
      <c r="L33" s="72">
        <v>343.91847351843239</v>
      </c>
      <c r="M33" s="72">
        <v>167.53620087997209</v>
      </c>
    </row>
    <row r="34" spans="2:13" x14ac:dyDescent="0.25">
      <c r="B34" s="11">
        <v>3.2</v>
      </c>
      <c r="C34" s="11">
        <v>8</v>
      </c>
      <c r="D34" s="72">
        <v>15722.618461720485</v>
      </c>
      <c r="E34" s="72">
        <v>0.24010483628042184</v>
      </c>
      <c r="F34" s="72">
        <v>25173.192619362388</v>
      </c>
      <c r="G34" s="72">
        <v>0.74993458132342483</v>
      </c>
      <c r="H34" s="72">
        <v>29839.190377194616</v>
      </c>
      <c r="I34" s="72">
        <v>269.86400594062428</v>
      </c>
      <c r="J34" s="72">
        <v>7.9959705463888683E-2</v>
      </c>
      <c r="K34" s="72">
        <v>7831.111154528352</v>
      </c>
      <c r="L34" s="72">
        <v>4658.5536182875521</v>
      </c>
      <c r="M34" s="72">
        <v>1473.995480786296</v>
      </c>
    </row>
    <row r="35" spans="2:13" x14ac:dyDescent="0.25">
      <c r="B35" s="11">
        <v>3.1</v>
      </c>
      <c r="C35" s="11">
        <v>3</v>
      </c>
      <c r="D35" s="72">
        <v>189.69501417228742</v>
      </c>
      <c r="E35" s="72">
        <v>9.3806278138130941E-3</v>
      </c>
      <c r="F35" s="72">
        <v>424.08138258309202</v>
      </c>
      <c r="G35" s="72">
        <v>1.2633808468532893E-2</v>
      </c>
      <c r="H35" s="72">
        <v>360.01291103467491</v>
      </c>
      <c r="I35" s="72">
        <v>18.418361502504396</v>
      </c>
      <c r="J35" s="72">
        <v>5.4572922970383408E-3</v>
      </c>
      <c r="K35" s="72">
        <v>94.483164179031846</v>
      </c>
      <c r="L35" s="72">
        <v>56.205930125122201</v>
      </c>
      <c r="M35" s="72">
        <v>36.506822498766674</v>
      </c>
    </row>
    <row r="36" spans="2:13" x14ac:dyDescent="0.25">
      <c r="B36" s="11">
        <v>3.5</v>
      </c>
      <c r="C36" s="11">
        <v>5</v>
      </c>
      <c r="D36" s="72">
        <v>1129.2130464483855</v>
      </c>
      <c r="E36" s="72">
        <v>3.4900519649443948E-2</v>
      </c>
      <c r="F36" s="72">
        <v>2208.9059802175025</v>
      </c>
      <c r="G36" s="72">
        <v>6.5805518056659615E-2</v>
      </c>
      <c r="H36" s="72">
        <v>2143.0783397448254</v>
      </c>
      <c r="I36" s="72">
        <v>54.820244468684287</v>
      </c>
      <c r="J36" s="72">
        <v>1.6243035398128682E-2</v>
      </c>
      <c r="K36" s="72">
        <v>562.43766936218253</v>
      </c>
      <c r="L36" s="72">
        <v>334.58164339211424</v>
      </c>
      <c r="M36" s="72">
        <v>162.98786408485321</v>
      </c>
    </row>
    <row r="37" spans="2:13" x14ac:dyDescent="0.25">
      <c r="B37" s="11">
        <v>3.9</v>
      </c>
      <c r="C37" s="11">
        <v>2</v>
      </c>
      <c r="D37" s="72">
        <v>50.81733763869795</v>
      </c>
      <c r="E37" s="72">
        <v>3.1786878983754165E-3</v>
      </c>
      <c r="F37" s="72">
        <v>121.45102167718065</v>
      </c>
      <c r="G37" s="72">
        <v>3.6181473867848883E-3</v>
      </c>
      <c r="H37" s="72">
        <v>96.443745420338573</v>
      </c>
      <c r="I37" s="72">
        <v>6.9778556745137124</v>
      </c>
      <c r="J37" s="72">
        <v>2.0675127924485079E-3</v>
      </c>
      <c r="K37" s="72">
        <v>25.311065112642421</v>
      </c>
      <c r="L37" s="72">
        <v>15.05698892998458</v>
      </c>
      <c r="M37" s="72">
        <v>11.292741697488436</v>
      </c>
    </row>
    <row r="38" spans="2:13" x14ac:dyDescent="0.25">
      <c r="B38" s="11">
        <v>3.4</v>
      </c>
      <c r="C38" s="11">
        <v>8</v>
      </c>
      <c r="D38" s="72">
        <v>14857.278055996278</v>
      </c>
      <c r="E38" s="72">
        <v>0.22688996262886665</v>
      </c>
      <c r="F38" s="72">
        <v>23787.712155809302</v>
      </c>
      <c r="G38" s="72">
        <v>0.70865973283371486</v>
      </c>
      <c r="H38" s="72">
        <v>28196.903046343879</v>
      </c>
      <c r="I38" s="72">
        <v>255.01124913299859</v>
      </c>
      <c r="J38" s="72">
        <v>7.5558888631999596E-2</v>
      </c>
      <c r="K38" s="72">
        <v>7400.1029913378679</v>
      </c>
      <c r="L38" s="72">
        <v>4402.1564610359346</v>
      </c>
      <c r="M38" s="72">
        <v>1392.8698177496512</v>
      </c>
    </row>
    <row r="39" spans="2:13" x14ac:dyDescent="0.25">
      <c r="B39" s="11">
        <v>2.6</v>
      </c>
      <c r="C39" s="11">
        <v>7</v>
      </c>
      <c r="D39" s="72">
        <v>8267.4428388842607</v>
      </c>
      <c r="E39" s="72">
        <v>0.15970084883264948</v>
      </c>
      <c r="F39" s="72">
        <v>14150.787123108636</v>
      </c>
      <c r="G39" s="72">
        <v>0.42156609918452936</v>
      </c>
      <c r="H39" s="72">
        <v>15690.376345559853</v>
      </c>
      <c r="I39" s="72">
        <v>200.68101364219604</v>
      </c>
      <c r="J39" s="72">
        <v>5.9461041079169205E-2</v>
      </c>
      <c r="K39" s="72">
        <v>4117.8423296756246</v>
      </c>
      <c r="L39" s="72">
        <v>2449.612693002744</v>
      </c>
      <c r="M39" s="72">
        <v>894.97694035118843</v>
      </c>
    </row>
    <row r="40" spans="2:13" x14ac:dyDescent="0.25">
      <c r="B40" s="11">
        <v>3</v>
      </c>
      <c r="C40" s="11">
        <v>2</v>
      </c>
      <c r="D40" s="72">
        <v>65.138074902133141</v>
      </c>
      <c r="E40" s="72">
        <v>4.0744678890302297E-3</v>
      </c>
      <c r="F40" s="72">
        <v>155.67690309152309</v>
      </c>
      <c r="G40" s="72">
        <v>4.6377706199995641E-3</v>
      </c>
      <c r="H40" s="72">
        <v>123.62237387753942</v>
      </c>
      <c r="I40" s="72">
        <v>8.9442719099991574</v>
      </c>
      <c r="J40" s="72">
        <v>2.6501546399997507E-3</v>
      </c>
      <c r="K40" s="72">
        <v>32.443928229419036</v>
      </c>
      <c r="L40" s="72">
        <v>19.300170341372787</v>
      </c>
      <c r="M40" s="72">
        <v>14.475127756029591</v>
      </c>
    </row>
  </sheetData>
  <mergeCells count="4">
    <mergeCell ref="B3:G9"/>
    <mergeCell ref="D15:M15"/>
    <mergeCell ref="D30:M30"/>
    <mergeCell ref="I3:K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EFBD-3DB2-4153-AA08-DA97FFA26781}">
  <sheetPr codeName="Hoja5"/>
  <dimension ref="B1:Q42"/>
  <sheetViews>
    <sheetView showGridLines="0" topLeftCell="A14" zoomScale="134" zoomScaleNormal="70" workbookViewId="0">
      <selection activeCell="F15" sqref="F15"/>
    </sheetView>
  </sheetViews>
  <sheetFormatPr baseColWidth="10" defaultColWidth="11.42578125" defaultRowHeight="15" x14ac:dyDescent="0.25"/>
  <cols>
    <col min="2" max="2" width="36.140625" customWidth="1"/>
    <col min="3" max="4" width="26.85546875" bestFit="1" customWidth="1"/>
    <col min="5" max="5" width="19.85546875" customWidth="1"/>
    <col min="6" max="7" width="11.85546875" bestFit="1" customWidth="1"/>
    <col min="11" max="12" width="11.85546875" bestFit="1" customWidth="1"/>
    <col min="14" max="16" width="11.85546875" bestFit="1" customWidth="1"/>
  </cols>
  <sheetData>
    <row r="1" spans="2:17" ht="15.75" thickBot="1" x14ac:dyDescent="0.3"/>
    <row r="2" spans="2:17" ht="15.75" thickBot="1" x14ac:dyDescent="0.3">
      <c r="B2" s="12" t="s">
        <v>171</v>
      </c>
      <c r="C2" s="8"/>
      <c r="D2" s="8"/>
    </row>
    <row r="3" spans="2:17" ht="14.45" customHeight="1" x14ac:dyDescent="0.25">
      <c r="B3" s="173" t="s">
        <v>172</v>
      </c>
      <c r="C3" s="174"/>
      <c r="D3" s="174"/>
      <c r="E3" s="175"/>
      <c r="F3" s="23"/>
      <c r="G3" s="23"/>
    </row>
    <row r="4" spans="2:17" x14ac:dyDescent="0.25">
      <c r="B4" s="176"/>
      <c r="C4" s="177"/>
      <c r="D4" s="177"/>
      <c r="E4" s="178"/>
      <c r="F4" s="23"/>
      <c r="G4" s="23"/>
    </row>
    <row r="5" spans="2:17" x14ac:dyDescent="0.25">
      <c r="B5" s="176"/>
      <c r="C5" s="177"/>
      <c r="D5" s="177"/>
      <c r="E5" s="178"/>
      <c r="F5" s="23"/>
      <c r="G5" s="23"/>
    </row>
    <row r="6" spans="2:17" x14ac:dyDescent="0.25">
      <c r="B6" s="176"/>
      <c r="C6" s="177"/>
      <c r="D6" s="177"/>
      <c r="E6" s="178"/>
      <c r="F6" s="23"/>
      <c r="G6" s="23"/>
    </row>
    <row r="7" spans="2:17" x14ac:dyDescent="0.25">
      <c r="B7" s="176"/>
      <c r="C7" s="177"/>
      <c r="D7" s="177"/>
      <c r="E7" s="178"/>
      <c r="F7" s="23"/>
      <c r="G7" s="23"/>
    </row>
    <row r="8" spans="2:17" ht="15.75" thickBot="1" x14ac:dyDescent="0.3">
      <c r="B8" s="176"/>
      <c r="C8" s="180"/>
      <c r="D8" s="180"/>
      <c r="E8" s="181"/>
      <c r="F8" s="23"/>
      <c r="G8" s="23"/>
    </row>
    <row r="9" spans="2:17" x14ac:dyDescent="0.25">
      <c r="B9" s="22"/>
      <c r="C9" s="23"/>
      <c r="D9" s="23"/>
      <c r="E9" s="23"/>
      <c r="F9" s="23"/>
      <c r="G9" s="23"/>
    </row>
    <row r="10" spans="2:17" x14ac:dyDescent="0.25">
      <c r="B10" s="23"/>
      <c r="C10" s="23"/>
      <c r="D10" s="23"/>
      <c r="E10" s="23"/>
    </row>
    <row r="11" spans="2:17" x14ac:dyDescent="0.25">
      <c r="B11" s="249"/>
      <c r="C11" s="131"/>
      <c r="D11" s="131"/>
      <c r="J11" s="37"/>
    </row>
    <row r="12" spans="2:17" x14ac:dyDescent="0.25">
      <c r="B12" s="82"/>
      <c r="C12" s="250"/>
      <c r="D12" s="16" t="s">
        <v>15</v>
      </c>
      <c r="J12" s="80"/>
      <c r="K12" s="80"/>
      <c r="L12" s="80"/>
      <c r="M12" s="80"/>
      <c r="N12" s="80"/>
      <c r="O12" s="80"/>
      <c r="P12" s="80"/>
    </row>
    <row r="13" spans="2:17" ht="27.95" customHeight="1" x14ac:dyDescent="0.25">
      <c r="B13" s="77" t="s">
        <v>173</v>
      </c>
      <c r="C13" s="34" t="s">
        <v>174</v>
      </c>
      <c r="D13" s="34" t="s">
        <v>174</v>
      </c>
      <c r="J13" s="80"/>
      <c r="K13" s="80"/>
      <c r="L13" s="80"/>
      <c r="M13" s="80"/>
      <c r="N13" s="80"/>
      <c r="O13" s="80"/>
      <c r="P13" s="81"/>
    </row>
    <row r="14" spans="2:17" x14ac:dyDescent="0.25">
      <c r="B14" s="35" t="s">
        <v>175</v>
      </c>
      <c r="C14" s="78">
        <f>(MID(RIGHT(B14,13),2,SEARCH("_",RIGHT(B14,13),SEARCH("_",RIGHT(B14,13))+1)-SEARCH("_",RIGHT(B14,13))-1))-(MID( B14,SEARCH("_",B14)+1, SEARCH("_",B14,SEARCH("_",B14)+1)-(SEARCH("_",B14)+1)))</f>
        <v>226</v>
      </c>
      <c r="D14" s="124">
        <v>226</v>
      </c>
      <c r="E14" t="str">
        <f>RIGHT(MID(B14,1,LEN(B14)-2),SEARCH("_",B14,SEARCH("_",B14,SEARCH("_",B14,1)+1)+1)- SEARCH("_",B14,SEARCH("_",B14)+1)-1)</f>
        <v>20/12/2023</v>
      </c>
      <c r="F14" s="131" t="str">
        <f>MID(B14,SEARCH("_",B14)+1,SEARCH("_",B14,SEARCH("_",B14,1)+1)-SEARCH("_",B14)-1)</f>
        <v>08/05/2023</v>
      </c>
      <c r="G14" s="250"/>
    </row>
    <row r="15" spans="2:17" x14ac:dyDescent="0.25">
      <c r="B15" s="76" t="s">
        <v>176</v>
      </c>
      <c r="C15" s="78">
        <f>(MID(RIGHT(B15,13),2,SEARCH("_",RIGHT(B15,13),SEARCH("_",RIGHT(B15,13))+1)-SEARCH("_",RIGHT(B15,13))-1))-(MID( B15,SEARCH("_",B15)+1, SEARCH("_",B15,SEARCH("_",B15)+1)-(SEARCH("_",B15)+1)))</f>
        <v>117</v>
      </c>
      <c r="D15" s="125">
        <v>117</v>
      </c>
      <c r="E15" s="8"/>
      <c r="F15" s="133"/>
      <c r="G15" s="8"/>
      <c r="H15" s="53"/>
      <c r="I15" s="8"/>
      <c r="J15" s="8"/>
      <c r="K15" s="53"/>
      <c r="L15" s="53"/>
      <c r="M15" s="53"/>
      <c r="N15" s="53"/>
      <c r="O15" s="53"/>
      <c r="P15" s="53"/>
      <c r="Q15" s="53"/>
    </row>
    <row r="16" spans="2:17" x14ac:dyDescent="0.25">
      <c r="B16" s="76" t="s">
        <v>177</v>
      </c>
      <c r="C16" s="78">
        <f t="shared" ref="C16:C28" si="0">(MID(RIGHT(B16,13),2,SEARCH("_",RIGHT(B16,13),SEARCH("_",RIGHT(B16,13))+1)-SEARCH("_",RIGHT(B16,13))-1))-(MID( B16,SEARCH("_",B16)+1, SEARCH("_",B16,SEARCH("_",B16)+1)-(SEARCH("_",B16)+1)))</f>
        <v>106</v>
      </c>
      <c r="D16" s="125">
        <v>106</v>
      </c>
      <c r="E16" s="8"/>
      <c r="F16" s="122"/>
      <c r="G16" s="53"/>
      <c r="H16" s="53"/>
      <c r="I16" s="8"/>
      <c r="J16" s="8"/>
      <c r="K16" s="53"/>
      <c r="L16" s="53"/>
      <c r="M16" s="53"/>
      <c r="N16" s="53"/>
      <c r="O16" s="53"/>
      <c r="P16" s="53"/>
      <c r="Q16" s="53"/>
    </row>
    <row r="17" spans="2:17" x14ac:dyDescent="0.25">
      <c r="B17" s="76" t="s">
        <v>178</v>
      </c>
      <c r="C17" s="78">
        <f t="shared" si="0"/>
        <v>115</v>
      </c>
      <c r="D17" s="125">
        <v>115</v>
      </c>
      <c r="E17" s="53"/>
      <c r="F17" s="53"/>
      <c r="G17" s="53"/>
      <c r="H17" s="53"/>
      <c r="I17" s="8"/>
      <c r="J17" s="8"/>
      <c r="K17" s="53"/>
      <c r="L17" s="53"/>
      <c r="M17" s="53"/>
      <c r="N17" s="53"/>
      <c r="O17" s="53"/>
      <c r="P17" s="53"/>
      <c r="Q17" s="53"/>
    </row>
    <row r="18" spans="2:17" x14ac:dyDescent="0.25">
      <c r="B18" s="76" t="s">
        <v>179</v>
      </c>
      <c r="C18" s="78">
        <f t="shared" si="0"/>
        <v>55</v>
      </c>
      <c r="D18" s="125">
        <v>55</v>
      </c>
      <c r="E18" s="53"/>
      <c r="F18" s="134"/>
      <c r="G18" s="53"/>
      <c r="H18" s="53"/>
      <c r="I18" s="8"/>
      <c r="J18" s="8"/>
      <c r="K18" s="53"/>
      <c r="L18" s="53"/>
      <c r="M18" s="53"/>
      <c r="N18" s="53"/>
      <c r="O18" s="53"/>
      <c r="P18" s="53"/>
      <c r="Q18" s="53"/>
    </row>
    <row r="19" spans="2:17" x14ac:dyDescent="0.25">
      <c r="B19" s="76" t="s">
        <v>180</v>
      </c>
      <c r="C19" s="78">
        <f t="shared" si="0"/>
        <v>83</v>
      </c>
      <c r="D19" s="125">
        <v>83</v>
      </c>
      <c r="E19" s="53"/>
      <c r="F19" s="53"/>
      <c r="G19" s="53"/>
      <c r="H19" s="53"/>
      <c r="I19" s="8"/>
      <c r="J19" s="8"/>
      <c r="K19" s="53"/>
      <c r="L19" s="53"/>
      <c r="M19" s="53"/>
      <c r="N19" s="53"/>
      <c r="O19" s="53"/>
      <c r="P19" s="53"/>
      <c r="Q19" s="53"/>
    </row>
    <row r="20" spans="2:17" x14ac:dyDescent="0.25">
      <c r="B20" s="76" t="s">
        <v>181</v>
      </c>
      <c r="C20" s="78">
        <f t="shared" si="0"/>
        <v>108</v>
      </c>
      <c r="D20" s="125">
        <v>108</v>
      </c>
      <c r="E20" s="53"/>
      <c r="F20" s="53"/>
      <c r="N20" s="53"/>
      <c r="O20" s="53"/>
      <c r="P20" s="53"/>
      <c r="Q20" s="53"/>
    </row>
    <row r="21" spans="2:17" x14ac:dyDescent="0.25">
      <c r="B21" s="76" t="s">
        <v>182</v>
      </c>
      <c r="C21" s="78">
        <f t="shared" si="0"/>
        <v>47</v>
      </c>
      <c r="D21" s="125">
        <v>47</v>
      </c>
      <c r="E21" s="53"/>
      <c r="F21" s="53"/>
      <c r="N21" s="53"/>
      <c r="O21" s="53"/>
      <c r="P21" s="53"/>
      <c r="Q21" s="53"/>
    </row>
    <row r="22" spans="2:17" x14ac:dyDescent="0.25">
      <c r="B22" s="76" t="s">
        <v>183</v>
      </c>
      <c r="C22" s="78">
        <f t="shared" si="0"/>
        <v>112</v>
      </c>
      <c r="D22" s="125">
        <v>112</v>
      </c>
      <c r="E22" s="53"/>
      <c r="F22" s="53"/>
      <c r="G22" s="53"/>
      <c r="H22" s="53"/>
      <c r="I22" s="8"/>
      <c r="J22" s="8"/>
      <c r="K22" s="53"/>
      <c r="L22" s="53"/>
      <c r="M22" s="53"/>
      <c r="N22" s="53"/>
      <c r="O22" s="53"/>
      <c r="P22" s="53"/>
      <c r="Q22" s="53"/>
    </row>
    <row r="23" spans="2:17" x14ac:dyDescent="0.25">
      <c r="B23" s="76" t="s">
        <v>184</v>
      </c>
      <c r="C23" s="78">
        <f t="shared" si="0"/>
        <v>86</v>
      </c>
      <c r="D23" s="125">
        <v>86</v>
      </c>
      <c r="E23" s="53"/>
      <c r="F23" s="53"/>
      <c r="G23" s="53"/>
      <c r="H23" s="53"/>
      <c r="I23" s="8"/>
      <c r="J23" s="8"/>
      <c r="K23" s="53"/>
      <c r="L23" s="53"/>
      <c r="M23" s="53"/>
      <c r="N23" s="53"/>
      <c r="O23" s="53"/>
      <c r="P23" s="53"/>
      <c r="Q23" s="53"/>
    </row>
    <row r="24" spans="2:17" x14ac:dyDescent="0.25">
      <c r="B24" s="76" t="s">
        <v>185</v>
      </c>
      <c r="C24" s="78">
        <f t="shared" si="0"/>
        <v>86</v>
      </c>
      <c r="D24" s="125">
        <v>86</v>
      </c>
      <c r="E24" s="53"/>
      <c r="F24" s="53"/>
      <c r="G24" s="53"/>
      <c r="H24" s="53"/>
      <c r="I24" s="8"/>
      <c r="J24" s="8"/>
      <c r="K24" s="53"/>
      <c r="L24" s="53"/>
      <c r="M24" s="53"/>
      <c r="N24" s="53"/>
      <c r="O24" s="53"/>
      <c r="P24" s="53"/>
      <c r="Q24" s="53"/>
    </row>
    <row r="25" spans="2:17" x14ac:dyDescent="0.25">
      <c r="B25" s="76" t="s">
        <v>186</v>
      </c>
      <c r="C25" s="78">
        <f t="shared" si="0"/>
        <v>48</v>
      </c>
      <c r="D25" s="125">
        <v>48</v>
      </c>
      <c r="E25" s="53"/>
      <c r="F25" s="53"/>
      <c r="G25" s="53"/>
      <c r="H25" s="53"/>
      <c r="I25" s="8"/>
      <c r="J25" s="8"/>
      <c r="K25" s="53"/>
      <c r="L25" s="53"/>
      <c r="M25" s="53"/>
      <c r="N25" s="53"/>
      <c r="O25" s="53"/>
      <c r="P25" s="53"/>
      <c r="Q25" s="53"/>
    </row>
    <row r="26" spans="2:17" x14ac:dyDescent="0.25">
      <c r="B26" s="76" t="s">
        <v>187</v>
      </c>
      <c r="C26" s="78">
        <f t="shared" si="0"/>
        <v>115</v>
      </c>
      <c r="D26" s="125">
        <v>115</v>
      </c>
      <c r="E26" s="53"/>
      <c r="F26" s="53"/>
      <c r="G26" s="53"/>
      <c r="H26" s="53"/>
      <c r="I26" s="8"/>
      <c r="J26" s="8"/>
      <c r="K26" s="53"/>
      <c r="L26" s="53"/>
      <c r="M26" s="53"/>
      <c r="N26" s="53"/>
      <c r="O26" s="53"/>
      <c r="P26" s="53"/>
      <c r="Q26" s="53"/>
    </row>
    <row r="27" spans="2:17" x14ac:dyDescent="0.25">
      <c r="B27" s="76" t="s">
        <v>188</v>
      </c>
      <c r="C27" s="78">
        <f t="shared" si="0"/>
        <v>83</v>
      </c>
      <c r="D27" s="125">
        <v>83</v>
      </c>
      <c r="E27" s="53"/>
      <c r="F27" s="53"/>
      <c r="G27" s="53"/>
      <c r="H27" s="53"/>
      <c r="I27" s="8"/>
      <c r="J27" s="8"/>
      <c r="K27" s="53"/>
      <c r="L27" s="53"/>
      <c r="M27" s="53"/>
      <c r="N27" s="53"/>
      <c r="O27" s="53"/>
      <c r="P27" s="53"/>
      <c r="Q27" s="53"/>
    </row>
    <row r="28" spans="2:17" x14ac:dyDescent="0.25">
      <c r="B28" s="35" t="s">
        <v>189</v>
      </c>
      <c r="C28" s="78">
        <f t="shared" si="0"/>
        <v>45</v>
      </c>
      <c r="D28" s="124">
        <v>45</v>
      </c>
    </row>
    <row r="30" spans="2:17" x14ac:dyDescent="0.25">
      <c r="B30" s="8"/>
      <c r="C30" s="8"/>
      <c r="D30" s="8"/>
      <c r="E30" s="8"/>
      <c r="F30" s="8"/>
      <c r="G30" s="8"/>
      <c r="H30" s="8"/>
    </row>
    <row r="31" spans="2:17" x14ac:dyDescent="0.25">
      <c r="B31" s="8"/>
      <c r="C31" s="8"/>
      <c r="D31" s="8"/>
      <c r="E31" s="8"/>
      <c r="F31" s="8"/>
      <c r="G31" s="8"/>
      <c r="H31" s="8"/>
    </row>
    <row r="32" spans="2:17" x14ac:dyDescent="0.25">
      <c r="B32" s="8"/>
      <c r="C32" s="8"/>
      <c r="D32" s="8"/>
      <c r="E32" s="8"/>
      <c r="F32" s="8"/>
      <c r="G32" s="8"/>
      <c r="H32" s="8"/>
    </row>
    <row r="33" spans="2:8" x14ac:dyDescent="0.25">
      <c r="B33" s="8"/>
      <c r="C33" s="8"/>
      <c r="D33" s="8"/>
      <c r="E33" s="8"/>
      <c r="F33" s="8"/>
      <c r="G33" s="8"/>
      <c r="H33" s="8"/>
    </row>
    <row r="34" spans="2:8" x14ac:dyDescent="0.25">
      <c r="B34" s="8"/>
      <c r="C34" s="8"/>
      <c r="D34" s="8"/>
      <c r="E34" s="8"/>
      <c r="F34" s="8"/>
      <c r="G34" s="8"/>
      <c r="H34" s="8"/>
    </row>
    <row r="35" spans="2:8" x14ac:dyDescent="0.25">
      <c r="B35" s="8"/>
      <c r="C35" s="8"/>
      <c r="D35" s="8"/>
      <c r="E35" s="8"/>
      <c r="F35" s="8"/>
      <c r="G35" s="8"/>
      <c r="H35" s="8"/>
    </row>
    <row r="36" spans="2:8" x14ac:dyDescent="0.25">
      <c r="B36" s="8"/>
      <c r="C36" s="8"/>
      <c r="D36" s="8"/>
      <c r="E36" s="8"/>
      <c r="F36" s="8"/>
      <c r="G36" s="8"/>
      <c r="H36" s="8"/>
    </row>
    <row r="37" spans="2:8" x14ac:dyDescent="0.25">
      <c r="B37" s="8"/>
      <c r="C37" s="8"/>
      <c r="D37" s="8"/>
      <c r="E37" s="8"/>
      <c r="F37" s="8"/>
      <c r="G37" s="8"/>
      <c r="H37" s="8"/>
    </row>
    <row r="38" spans="2:8" x14ac:dyDescent="0.25">
      <c r="B38" s="8"/>
      <c r="C38" s="8"/>
      <c r="D38" s="8"/>
      <c r="E38" s="8"/>
      <c r="F38" s="8"/>
      <c r="G38" s="8"/>
      <c r="H38" s="8"/>
    </row>
    <row r="39" spans="2:8" x14ac:dyDescent="0.25">
      <c r="B39" s="8"/>
      <c r="C39" s="8"/>
      <c r="D39" s="8"/>
      <c r="E39" s="8"/>
      <c r="F39" s="8"/>
      <c r="G39" s="8"/>
      <c r="H39" s="8"/>
    </row>
    <row r="40" spans="2:8" x14ac:dyDescent="0.25">
      <c r="B40" s="8"/>
      <c r="C40" s="8"/>
      <c r="D40" s="8"/>
      <c r="E40" s="8"/>
      <c r="F40" s="8"/>
      <c r="G40" s="8"/>
      <c r="H40" s="8"/>
    </row>
    <row r="41" spans="2:8" x14ac:dyDescent="0.25">
      <c r="B41" s="8"/>
      <c r="C41" s="8"/>
      <c r="D41" s="8"/>
      <c r="E41" s="8"/>
      <c r="F41" s="8"/>
      <c r="G41" s="8"/>
      <c r="H41" s="8"/>
    </row>
    <row r="42" spans="2:8" x14ac:dyDescent="0.25">
      <c r="B42" s="8"/>
      <c r="C42" s="8"/>
      <c r="D42" s="8"/>
      <c r="E42" s="8"/>
      <c r="F42" s="8"/>
      <c r="G42" s="8"/>
      <c r="H42" s="8"/>
    </row>
  </sheetData>
  <mergeCells count="1">
    <mergeCell ref="B3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9389-22C2-49CA-ABB9-AAF46803C3A1}">
  <sheetPr codeName="Hoja6"/>
  <dimension ref="B2:E46"/>
  <sheetViews>
    <sheetView showGridLines="0" topLeftCell="C11" zoomScale="123" workbookViewId="0">
      <selection activeCell="E17" sqref="E17"/>
    </sheetView>
  </sheetViews>
  <sheetFormatPr baseColWidth="10" defaultColWidth="11.42578125" defaultRowHeight="15" x14ac:dyDescent="0.25"/>
  <cols>
    <col min="2" max="2" width="13.5703125" bestFit="1" customWidth="1"/>
    <col min="3" max="3" width="29.28515625" customWidth="1"/>
    <col min="4" max="4" width="32" customWidth="1"/>
    <col min="5" max="5" width="27" bestFit="1" customWidth="1"/>
  </cols>
  <sheetData>
    <row r="2" spans="2:5" ht="15.75" thickBot="1" x14ac:dyDescent="0.3"/>
    <row r="3" spans="2:5" ht="15.75" thickBot="1" x14ac:dyDescent="0.3">
      <c r="B3" s="12" t="s">
        <v>190</v>
      </c>
      <c r="C3" s="8"/>
      <c r="D3" s="8"/>
    </row>
    <row r="4" spans="2:5" x14ac:dyDescent="0.25">
      <c r="B4" s="173" t="s">
        <v>191</v>
      </c>
      <c r="C4" s="174"/>
      <c r="D4" s="175"/>
    </row>
    <row r="5" spans="2:5" x14ac:dyDescent="0.25">
      <c r="B5" s="176"/>
      <c r="C5" s="177"/>
      <c r="D5" s="178"/>
    </row>
    <row r="6" spans="2:5" x14ac:dyDescent="0.25">
      <c r="B6" s="176"/>
      <c r="C6" s="177"/>
      <c r="D6" s="178"/>
    </row>
    <row r="7" spans="2:5" x14ac:dyDescent="0.25">
      <c r="B7" s="176"/>
      <c r="C7" s="177"/>
      <c r="D7" s="178"/>
    </row>
    <row r="8" spans="2:5" x14ac:dyDescent="0.25">
      <c r="B8" s="176"/>
      <c r="C8" s="177"/>
      <c r="D8" s="178"/>
    </row>
    <row r="9" spans="2:5" ht="15.75" thickBot="1" x14ac:dyDescent="0.3">
      <c r="B9" s="179"/>
      <c r="C9" s="180"/>
      <c r="D9" s="181"/>
    </row>
    <row r="11" spans="2:5" x14ac:dyDescent="0.25">
      <c r="D11" s="16" t="s">
        <v>15</v>
      </c>
    </row>
    <row r="12" spans="2:5" x14ac:dyDescent="0.25">
      <c r="B12" s="13" t="s">
        <v>16</v>
      </c>
      <c r="C12" s="14">
        <v>2024</v>
      </c>
      <c r="D12" s="18">
        <v>2024</v>
      </c>
    </row>
    <row r="13" spans="2:5" x14ac:dyDescent="0.25">
      <c r="B13" s="13" t="s">
        <v>192</v>
      </c>
      <c r="C13" s="14">
        <v>3</v>
      </c>
      <c r="D13" s="18">
        <v>2</v>
      </c>
    </row>
    <row r="14" spans="2:5" x14ac:dyDescent="0.25">
      <c r="B14" s="13" t="s">
        <v>193</v>
      </c>
      <c r="C14" s="15" cm="1">
        <f t="array" ref="C14">LARGE(IF(WEEKDAY(DATE(C12,C13,_xlfn.SEQUENCE(7)),2)=2,DATE(C12,C13,_xlfn.SEQUENCE(7)),""),1)</f>
        <v>45356</v>
      </c>
      <c r="D14" s="17">
        <v>45328</v>
      </c>
    </row>
    <row r="16" spans="2:5" x14ac:dyDescent="0.25">
      <c r="C16" s="135" cm="1">
        <f t="array" ref="C16">SMALL(IF(WEEKDAY(DATE(C12,C13,_xlfn.SEQUENCE(31)),2)=2,DATE(C12,C13,_xlfn.SEQUENCE(31)),""),1)</f>
        <v>45356</v>
      </c>
      <c r="D16" s="250" cm="1">
        <f t="array" ref="D16:D46">WEEKDAY(_xlfn.SEQUENCE(31),2)</f>
        <v>7</v>
      </c>
      <c r="E16" s="135"/>
    </row>
    <row r="17" spans="4:5" x14ac:dyDescent="0.25">
      <c r="D17" s="250">
        <v>1</v>
      </c>
    </row>
    <row r="18" spans="4:5" x14ac:dyDescent="0.25">
      <c r="D18" s="250">
        <v>2</v>
      </c>
      <c r="E18" s="250"/>
    </row>
    <row r="19" spans="4:5" x14ac:dyDescent="0.25">
      <c r="D19" s="250">
        <v>3</v>
      </c>
    </row>
    <row r="20" spans="4:5" x14ac:dyDescent="0.25">
      <c r="D20" s="250">
        <v>4</v>
      </c>
    </row>
    <row r="21" spans="4:5" x14ac:dyDescent="0.25">
      <c r="D21" s="250">
        <v>5</v>
      </c>
    </row>
    <row r="22" spans="4:5" x14ac:dyDescent="0.25">
      <c r="D22" s="250">
        <v>6</v>
      </c>
    </row>
    <row r="23" spans="4:5" x14ac:dyDescent="0.25">
      <c r="D23" s="250">
        <v>7</v>
      </c>
    </row>
    <row r="24" spans="4:5" x14ac:dyDescent="0.25">
      <c r="D24" s="250">
        <v>1</v>
      </c>
    </row>
    <row r="25" spans="4:5" x14ac:dyDescent="0.25">
      <c r="D25" s="250">
        <v>2</v>
      </c>
    </row>
    <row r="26" spans="4:5" x14ac:dyDescent="0.25">
      <c r="D26" s="250">
        <v>3</v>
      </c>
    </row>
    <row r="27" spans="4:5" x14ac:dyDescent="0.25">
      <c r="D27" s="250">
        <v>4</v>
      </c>
    </row>
    <row r="28" spans="4:5" x14ac:dyDescent="0.25">
      <c r="D28" s="250">
        <v>5</v>
      </c>
    </row>
    <row r="29" spans="4:5" x14ac:dyDescent="0.25">
      <c r="D29" s="250">
        <v>6</v>
      </c>
    </row>
    <row r="30" spans="4:5" x14ac:dyDescent="0.25">
      <c r="D30" s="250">
        <v>7</v>
      </c>
    </row>
    <row r="31" spans="4:5" x14ac:dyDescent="0.25">
      <c r="D31" s="250">
        <v>1</v>
      </c>
    </row>
    <row r="32" spans="4:5" x14ac:dyDescent="0.25">
      <c r="D32" s="250">
        <v>2</v>
      </c>
    </row>
    <row r="33" spans="4:4" x14ac:dyDescent="0.25">
      <c r="D33" s="250">
        <v>3</v>
      </c>
    </row>
    <row r="34" spans="4:4" x14ac:dyDescent="0.25">
      <c r="D34" s="250">
        <v>4</v>
      </c>
    </row>
    <row r="35" spans="4:4" x14ac:dyDescent="0.25">
      <c r="D35" s="250">
        <v>5</v>
      </c>
    </row>
    <row r="36" spans="4:4" x14ac:dyDescent="0.25">
      <c r="D36" s="250">
        <v>6</v>
      </c>
    </row>
    <row r="37" spans="4:4" x14ac:dyDescent="0.25">
      <c r="D37" s="250">
        <v>7</v>
      </c>
    </row>
    <row r="38" spans="4:4" x14ac:dyDescent="0.25">
      <c r="D38" s="250">
        <v>1</v>
      </c>
    </row>
    <row r="39" spans="4:4" x14ac:dyDescent="0.25">
      <c r="D39" s="250">
        <v>2</v>
      </c>
    </row>
    <row r="40" spans="4:4" x14ac:dyDescent="0.25">
      <c r="D40" s="250">
        <v>3</v>
      </c>
    </row>
    <row r="41" spans="4:4" x14ac:dyDescent="0.25">
      <c r="D41" s="250">
        <v>4</v>
      </c>
    </row>
    <row r="42" spans="4:4" x14ac:dyDescent="0.25">
      <c r="D42" s="250">
        <v>5</v>
      </c>
    </row>
    <row r="43" spans="4:4" x14ac:dyDescent="0.25">
      <c r="D43" s="250">
        <v>6</v>
      </c>
    </row>
    <row r="44" spans="4:4" x14ac:dyDescent="0.25">
      <c r="D44" s="250">
        <v>7</v>
      </c>
    </row>
    <row r="45" spans="4:4" x14ac:dyDescent="0.25">
      <c r="D45" s="250">
        <v>1</v>
      </c>
    </row>
    <row r="46" spans="4:4" x14ac:dyDescent="0.25">
      <c r="D46" s="250">
        <v>2</v>
      </c>
    </row>
  </sheetData>
  <mergeCells count="1">
    <mergeCell ref="B4:D9"/>
  </mergeCells>
  <dataValidations count="1">
    <dataValidation type="list" allowBlank="1" showInputMessage="1" showErrorMessage="1" sqref="C13" xr:uid="{862CFB2E-52FC-4E5B-93D1-03CFA9EBECD8}">
      <formula1>"1,2,3,4,5,6,7,8,9,10,11,12"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A916-7D24-462C-A167-2D5EDE347DD9}">
  <sheetPr codeName="Hoja10"/>
  <dimension ref="B1:AI419"/>
  <sheetViews>
    <sheetView showGridLines="0" topLeftCell="K4" zoomScale="63" zoomScaleNormal="70" workbookViewId="0">
      <selection activeCell="AB12" sqref="AB12"/>
    </sheetView>
  </sheetViews>
  <sheetFormatPr baseColWidth="10" defaultColWidth="11.42578125" defaultRowHeight="15" x14ac:dyDescent="0.25"/>
  <cols>
    <col min="1" max="1" width="4.140625" customWidth="1"/>
    <col min="2" max="2" width="7.42578125" bestFit="1" customWidth="1"/>
    <col min="3" max="3" width="4.140625" customWidth="1"/>
    <col min="4" max="4" width="11.28515625" bestFit="1" customWidth="1"/>
    <col min="5" max="22" width="4.140625" customWidth="1"/>
    <col min="23" max="23" width="24.42578125" customWidth="1"/>
    <col min="24" max="24" width="22.28515625" customWidth="1"/>
    <col min="25" max="25" width="14.5703125" customWidth="1"/>
    <col min="26" max="26" width="25" customWidth="1"/>
    <col min="27" max="27" width="7.28515625" customWidth="1"/>
    <col min="28" max="28" width="9.5703125" bestFit="1" customWidth="1"/>
    <col min="29" max="29" width="37.140625" customWidth="1"/>
    <col min="30" max="30" width="12.7109375" customWidth="1"/>
    <col min="32" max="32" width="15.5703125" customWidth="1"/>
  </cols>
  <sheetData>
    <row r="1" spans="2:35" ht="15.75" thickBot="1" x14ac:dyDescent="0.3"/>
    <row r="2" spans="2:35" ht="15.75" thickBot="1" x14ac:dyDescent="0.3">
      <c r="D2" s="208" t="s">
        <v>194</v>
      </c>
      <c r="E2" s="208"/>
      <c r="F2" s="208"/>
      <c r="G2" s="208"/>
      <c r="H2" s="208"/>
      <c r="I2" s="208"/>
      <c r="W2" s="12" t="s">
        <v>195</v>
      </c>
    </row>
    <row r="3" spans="2:35" ht="45.75" customHeight="1" x14ac:dyDescent="0.25">
      <c r="D3" s="173" t="s">
        <v>196</v>
      </c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5"/>
      <c r="T3" s="79"/>
      <c r="U3" s="23"/>
      <c r="V3" s="23"/>
      <c r="W3" s="173" t="s">
        <v>197</v>
      </c>
      <c r="X3" s="174"/>
      <c r="Y3" s="175"/>
      <c r="AA3" s="103"/>
      <c r="AB3" s="37"/>
    </row>
    <row r="4" spans="2:35" ht="27.75" customHeight="1" x14ac:dyDescent="0.25">
      <c r="D4" s="176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8"/>
      <c r="T4" s="23"/>
      <c r="U4" s="23"/>
      <c r="V4" s="23"/>
      <c r="W4" s="176"/>
      <c r="X4" s="177"/>
      <c r="Y4" s="178"/>
      <c r="Z4">
        <f>IF(AND(D11&gt;9,D11&lt;=143),1,0)</f>
        <v>0</v>
      </c>
      <c r="AA4" s="103"/>
      <c r="AB4" s="103"/>
    </row>
    <row r="5" spans="2:35" ht="33" customHeight="1" x14ac:dyDescent="0.25">
      <c r="D5" s="176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8"/>
      <c r="T5" s="23"/>
      <c r="U5" s="23"/>
      <c r="V5" s="23"/>
      <c r="W5" s="176"/>
      <c r="X5" s="177"/>
      <c r="Y5" s="178"/>
      <c r="Z5">
        <f>IF(AND(D11&gt;144,D11&lt;=246),1,0)</f>
        <v>0</v>
      </c>
    </row>
    <row r="6" spans="2:35" ht="60.95" customHeight="1" thickBot="1" x14ac:dyDescent="0.3">
      <c r="D6" s="179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1"/>
      <c r="T6" s="23"/>
      <c r="U6" s="23"/>
      <c r="V6" s="23"/>
      <c r="W6" s="179"/>
      <c r="X6" s="180"/>
      <c r="Y6" s="181"/>
      <c r="Z6">
        <f>IF(AND(D11&gt;247,D11&lt;=321),1,0)</f>
        <v>0</v>
      </c>
    </row>
    <row r="7" spans="2:35" ht="22.5" customHeight="1" x14ac:dyDescent="0.25"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AI7" s="16" t="s">
        <v>15</v>
      </c>
    </row>
    <row r="8" spans="2:35" ht="23.25" customHeight="1" x14ac:dyDescent="0.25">
      <c r="B8" s="89"/>
      <c r="D8" s="90" t="str" cm="1">
        <f t="array" ref="D8">IFERROR(INDEX($Y$10:$Y$28,MATCH(INDEX($AC$10:$AC$419,MATCH(1,IF(D$10=$AB$10:$AB$419,IF($C8=$AA$10:$AA$419,1," "),""),0)),$X$10:$X$28,0)),"")</f>
        <v/>
      </c>
      <c r="X8" s="106" t="s">
        <v>198</v>
      </c>
      <c r="Y8" s="106"/>
      <c r="Z8" s="8"/>
      <c r="AA8" s="204" t="s">
        <v>199</v>
      </c>
      <c r="AB8" s="204"/>
      <c r="AC8" s="204"/>
    </row>
    <row r="9" spans="2:35" ht="15.75" x14ac:dyDescent="0.3">
      <c r="B9" s="89"/>
      <c r="D9" s="205" t="s">
        <v>200</v>
      </c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X9" s="107" t="s">
        <v>201</v>
      </c>
      <c r="Y9" s="107" t="s">
        <v>202</v>
      </c>
      <c r="Z9" s="8"/>
      <c r="AA9" s="107" t="s">
        <v>203</v>
      </c>
      <c r="AB9" s="107" t="s">
        <v>200</v>
      </c>
      <c r="AC9" s="107" t="s">
        <v>201</v>
      </c>
    </row>
    <row r="10" spans="2:35" x14ac:dyDescent="0.25">
      <c r="B10" s="89"/>
      <c r="C10" s="89"/>
      <c r="D10" s="28">
        <v>1</v>
      </c>
      <c r="E10" s="28">
        <v>2</v>
      </c>
      <c r="F10" s="28">
        <v>3</v>
      </c>
      <c r="G10" s="28">
        <v>4</v>
      </c>
      <c r="H10" s="28">
        <v>5</v>
      </c>
      <c r="I10" s="28">
        <v>6</v>
      </c>
      <c r="J10" s="28">
        <v>7</v>
      </c>
      <c r="K10" s="28">
        <v>8</v>
      </c>
      <c r="L10" s="28">
        <v>9</v>
      </c>
      <c r="M10" s="28">
        <v>10</v>
      </c>
      <c r="N10" s="28">
        <v>11</v>
      </c>
      <c r="O10" s="28">
        <v>12</v>
      </c>
      <c r="P10" s="28">
        <v>13</v>
      </c>
      <c r="Q10" s="28">
        <v>14</v>
      </c>
      <c r="R10" s="28">
        <v>15</v>
      </c>
      <c r="S10" s="28">
        <v>16</v>
      </c>
      <c r="T10" s="28">
        <v>17</v>
      </c>
      <c r="W10" t="str" cm="1">
        <f t="array" ref="W10">IFERROR(INDEX(Y10:Y28,MATCH(IFERROR(INDEX($AC$10:$AC$419,IF(AND(D$10=$AB10,C$11=$AA10),ROW($AB10)-ROW($AB$9),"")),0),$X$10:$X$28,0))," ")</f>
        <v xml:space="preserve"> </v>
      </c>
      <c r="X10" s="11" t="s">
        <v>204</v>
      </c>
      <c r="Y10" s="11">
        <v>47</v>
      </c>
      <c r="Z10" s="8">
        <f>MATCH(1,AA10:AA15,0)</f>
        <v>1</v>
      </c>
      <c r="AA10" s="11">
        <v>1</v>
      </c>
      <c r="AB10" s="11">
        <v>10</v>
      </c>
      <c r="AC10" s="11" t="s">
        <v>205</v>
      </c>
      <c r="AD10" t="e" cm="1">
        <f t="array" ref="AD10:AD419">IF(SEARCH(1,AA10:AA419)*SEARCH(13,AB10:AB419),1,0)</f>
        <v>#VALUE!</v>
      </c>
    </row>
    <row r="11" spans="2:35" x14ac:dyDescent="0.25">
      <c r="B11" s="206" t="s">
        <v>203</v>
      </c>
      <c r="C11">
        <v>1</v>
      </c>
      <c r="D11" s="90" t="str" cm="1">
        <f t="array" ref="D11">IFERROR(INDEX($Y$10:$Y$28,MATCH(IFERROR(INDEX($AC$10:$AC$419,MATCH(1,IF($C11&amp;"-"&amp;D$10=$AA$10:$AA$419&amp;"-"&amp;$AB$10:$AB$419,1,0),0)),""),$X$10:$X$28,0)),"")</f>
        <v/>
      </c>
      <c r="E11" s="90" t="str" cm="1">
        <f t="array" ref="E11">IFERROR(INDEX($Y$10:$Y$28,MATCH(IFERROR(INDEX($AC$10:$AC$419,MATCH(1,IF($C11&amp;"-"&amp;E$10=$AA$10:$AA$419&amp;"-"&amp;$AB$10:$AB$419,1,0),0)),""),$X$10:$X$28,0)),"")</f>
        <v/>
      </c>
      <c r="F11" s="90" t="str" cm="1">
        <f t="array" ref="F11">IFERROR(INDEX($Y$10:$Y$28,MATCH(IFERROR(INDEX($AC$10:$AC$419,MATCH(1,IF($C11&amp;"-"&amp;F$10=$AA$10:$AA$419&amp;"-"&amp;$AB$10:$AB$419,1,0),0)),""),$X$10:$X$28,0)),"")</f>
        <v/>
      </c>
      <c r="G11" s="90" t="str" cm="1">
        <f t="array" ref="G11">IFERROR(INDEX($Y$10:$Y$28,MATCH(IFERROR(INDEX($AC$10:$AC$419,MATCH(1,IF($C11&amp;"-"&amp;G$10=$AA$10:$AA$419&amp;"-"&amp;$AB$10:$AB$419,1,0),0)),""),$X$10:$X$28,0)),"")</f>
        <v/>
      </c>
      <c r="H11" s="90" t="str" cm="1">
        <f t="array" ref="H11">IFERROR(INDEX($Y$10:$Y$28,MATCH(IFERROR(INDEX($AC$10:$AC$419,MATCH(1,IF($C11&amp;"-"&amp;H$10=$AA$10:$AA$419&amp;"-"&amp;$AB$10:$AB$419,1,0),0)),""),$X$10:$X$28,0)),"")</f>
        <v/>
      </c>
      <c r="I11" s="90" t="str" cm="1">
        <f t="array" ref="I11">IFERROR(INDEX($Y$10:$Y$28,MATCH(IFERROR(INDEX($AC$10:$AC$419,MATCH(1,IF($C11&amp;"-"&amp;I$10=$AA$10:$AA$419&amp;"-"&amp;$AB$10:$AB$419,1,0),0)),""),$X$10:$X$28,0)),"")</f>
        <v/>
      </c>
      <c r="J11" s="90" t="str" cm="1">
        <f t="array" ref="J11">IFERROR(INDEX($Y$10:$Y$28,MATCH(IFERROR(INDEX($AC$10:$AC$419,MATCH(1,IF($C11&amp;"-"&amp;J$10=$AA$10:$AA$419&amp;"-"&amp;$AB$10:$AB$419,1,0),0)),""),$X$10:$X$28,0)),"")</f>
        <v/>
      </c>
      <c r="K11" s="90" t="str" cm="1">
        <f t="array" ref="K11">IFERROR(INDEX($Y$10:$Y$28,MATCH(IFERROR(INDEX($AC$10:$AC$419,MATCH(1,IF($C11&amp;"-"&amp;K$10=$AA$10:$AA$419&amp;"-"&amp;$AB$10:$AB$419,1,0),0)),""),$X$10:$X$28,0)),"")</f>
        <v/>
      </c>
      <c r="L11" s="90" t="str" cm="1">
        <f t="array" ref="L11">IFERROR(INDEX($Y$10:$Y$28,MATCH(IFERROR(INDEX($AC$10:$AC$419,MATCH(1,IF($C11&amp;"-"&amp;L$10=$AA$10:$AA$419&amp;"-"&amp;$AB$10:$AB$419,1,0),0)),""),$X$10:$X$28,0)),"")</f>
        <v/>
      </c>
      <c r="M11" s="90" cm="1">
        <f t="array" ref="M11">IFERROR(INDEX($Y$10:$Y$28,MATCH(IFERROR(INDEX($AC$10:$AC$419,MATCH(1,IF($C11&amp;"-"&amp;M$10=$AA$10:$AA$419&amp;"-"&amp;$AB$10:$AB$419,1,0),0)),""),$X$10:$X$28,0)),"")</f>
        <v>200</v>
      </c>
      <c r="N11" s="90" cm="1">
        <f t="array" ref="N11">IFERROR(INDEX($Y$10:$Y$28,MATCH(IFERROR(INDEX($AC$10:$AC$419,MATCH(1,IF($C11&amp;"-"&amp;N$10=$AA$10:$AA$419&amp;"-"&amp;$AB$10:$AB$419,1,0),0)),""),$X$10:$X$28,0)),"")</f>
        <v>200</v>
      </c>
      <c r="O11" s="90" t="str" cm="1">
        <f t="array" ref="O11">IFERROR(INDEX($Y$10:$Y$28,MATCH(IFERROR(INDEX($AC$10:$AC$419,MATCH(1,IF($C11&amp;"-"&amp;O$10=$AA$10:$AA$419&amp;"-"&amp;$AB$10:$AB$419,1,0),0)),""),$X$10:$X$28,0)),"")</f>
        <v/>
      </c>
      <c r="P11" s="90" cm="1">
        <f t="array" ref="P11">IFERROR(INDEX($Y$10:$Y$28,MATCH(IFERROR(INDEX($AC$10:$AC$419,MATCH(1,IF($C11&amp;"-"&amp;P$10=$AA$10:$AA$419&amp;"-"&amp;$AB$10:$AB$419,1,0),0)),""),$X$10:$X$28,0)),"")</f>
        <v>200</v>
      </c>
      <c r="Q11" s="90" cm="1">
        <f t="array" ref="Q11">IFERROR(INDEX($Y$10:$Y$28,MATCH(IFERROR(INDEX($AC$10:$AC$419,MATCH(1,IF($C11&amp;"-"&amp;Q$10=$AA$10:$AA$419&amp;"-"&amp;$AB$10:$AB$419,1,0),0)),""),$X$10:$X$28,0)),"")</f>
        <v>200</v>
      </c>
      <c r="R11" s="90" cm="1">
        <f t="array" ref="R11">IFERROR(INDEX($Y$10:$Y$28,MATCH(IFERROR(INDEX($AC$10:$AC$419,MATCH(1,IF($C11&amp;"-"&amp;R$10=$AA$10:$AA$419&amp;"-"&amp;$AB$10:$AB$419,1,0),0)),""),$X$10:$X$28,0)),"")</f>
        <v>88</v>
      </c>
      <c r="S11" s="90" t="str" cm="1">
        <f t="array" ref="S11">IFERROR(INDEX($Y$10:$Y$28,MATCH(IFERROR(INDEX($AC$10:$AC$419,MATCH(1,IF($C11&amp;"-"&amp;S$10=$AA$10:$AA$419&amp;"-"&amp;$AB$10:$AB$419,1,0),0)),""),$X$10:$X$28,0)),"")</f>
        <v/>
      </c>
      <c r="T11" s="90" t="str" cm="1">
        <f t="array" ref="T11">IFERROR(INDEX($Y$10:$Y$28,MATCH(IFERROR(INDEX($AC$10:$AC$419,MATCH(1,IF($C11&amp;"-"&amp;T$10=$AA$10:$AA$419&amp;"-"&amp;$AB$10:$AB$419,1,0),0)),""),$X$10:$X$28,0)),"")</f>
        <v/>
      </c>
      <c r="X11" s="11" t="s">
        <v>206</v>
      </c>
      <c r="Y11" s="11">
        <v>116</v>
      </c>
      <c r="Z11" s="8">
        <f>MATCH(11,AB10:AB14,0)</f>
        <v>2</v>
      </c>
      <c r="AA11" s="11">
        <v>1</v>
      </c>
      <c r="AB11" s="11">
        <v>11</v>
      </c>
      <c r="AC11" s="11" t="s">
        <v>205</v>
      </c>
      <c r="AD11" t="e">
        <v>#VALUE!</v>
      </c>
    </row>
    <row r="12" spans="2:35" x14ac:dyDescent="0.25">
      <c r="B12" s="207"/>
      <c r="C12">
        <v>2</v>
      </c>
      <c r="D12" s="90" t="str" cm="1">
        <f t="array" ref="D12">IFERROR(INDEX($Y$10:$Y$28,MATCH(IFERROR(INDEX($AC$10:$AC$419,MATCH(1,IF($C12&amp;"-"&amp;D$10=$AA$10:$AA$419&amp;"-"&amp;$AB$10:$AB$419,1,0),0)),""),$X$10:$X$28,0)),"")</f>
        <v/>
      </c>
      <c r="E12" s="90" t="str" cm="1">
        <f t="array" ref="E12">IFERROR(INDEX($Y$10:$Y$28,MATCH(IFERROR(INDEX($AC$10:$AC$419,MATCH(1,IF($C12&amp;"-"&amp;E$10=$AA$10:$AA$419&amp;"-"&amp;$AB$10:$AB$419,1,0),0)),""),$X$10:$X$28,0)),"")</f>
        <v/>
      </c>
      <c r="F12" s="90" t="str" cm="1">
        <f t="array" ref="F12">IFERROR(INDEX($Y$10:$Y$28,MATCH(IFERROR(INDEX($AC$10:$AC$419,MATCH(1,IF($C12&amp;"-"&amp;F$10=$AA$10:$AA$419&amp;"-"&amp;$AB$10:$AB$419,1,0),0)),""),$X$10:$X$28,0)),"")</f>
        <v/>
      </c>
      <c r="G12" s="90" t="str" cm="1">
        <f t="array" ref="G12">IFERROR(INDEX($Y$10:$Y$28,MATCH(IFERROR(INDEX($AC$10:$AC$419,MATCH(1,IF($C12&amp;"-"&amp;G$10=$AA$10:$AA$419&amp;"-"&amp;$AB$10:$AB$419,1,0),0)),""),$X$10:$X$28,0)),"")</f>
        <v/>
      </c>
      <c r="H12" s="90" t="str" cm="1">
        <f t="array" ref="H12">IFERROR(INDEX($Y$10:$Y$28,MATCH(IFERROR(INDEX($AC$10:$AC$419,MATCH(1,IF($C12&amp;"-"&amp;H$10=$AA$10:$AA$419&amp;"-"&amp;$AB$10:$AB$419,1,0),0)),""),$X$10:$X$28,0)),"")</f>
        <v/>
      </c>
      <c r="I12" s="90" t="str" cm="1">
        <f t="array" ref="I12">IFERROR(INDEX($Y$10:$Y$28,MATCH(IFERROR(INDEX($AC$10:$AC$419,MATCH(1,IF($C12&amp;"-"&amp;I$10=$AA$10:$AA$419&amp;"-"&amp;$AB$10:$AB$419,1,0),0)),""),$X$10:$X$28,0)),"")</f>
        <v/>
      </c>
      <c r="J12" s="90" t="str" cm="1">
        <f t="array" ref="J12">IFERROR(INDEX($Y$10:$Y$28,MATCH(IFERROR(INDEX($AC$10:$AC$419,MATCH(1,IF($C12&amp;"-"&amp;J$10=$AA$10:$AA$419&amp;"-"&amp;$AB$10:$AB$419,1,0),0)),""),$X$10:$X$28,0)),"")</f>
        <v/>
      </c>
      <c r="K12" s="90" t="str" cm="1">
        <f t="array" ref="K12">IFERROR(INDEX($Y$10:$Y$28,MATCH(IFERROR(INDEX($AC$10:$AC$419,MATCH(1,IF($C12&amp;"-"&amp;K$10=$AA$10:$AA$419&amp;"-"&amp;$AB$10:$AB$419,1,0),0)),""),$X$10:$X$28,0)),"")</f>
        <v/>
      </c>
      <c r="L12" s="90" t="str" cm="1">
        <f t="array" ref="L12">IFERROR(INDEX($Y$10:$Y$28,MATCH(IFERROR(INDEX($AC$10:$AC$419,MATCH(1,IF($C12&amp;"-"&amp;L$10=$AA$10:$AA$419&amp;"-"&amp;$AB$10:$AB$419,1,0),0)),""),$X$10:$X$28,0)),"")</f>
        <v/>
      </c>
      <c r="M12" s="90" cm="1">
        <f t="array" ref="M12">IFERROR(INDEX($Y$10:$Y$28,MATCH(IFERROR(INDEX($AC$10:$AC$419,MATCH(1,IF($C12&amp;"-"&amp;M$10=$AA$10:$AA$419&amp;"-"&amp;$AB$10:$AB$419,1,0),0)),""),$X$10:$X$28,0)),"")</f>
        <v>200</v>
      </c>
      <c r="N12" s="90" cm="1">
        <f t="array" ref="N12">IFERROR(INDEX($Y$10:$Y$28,MATCH(IFERROR(INDEX($AC$10:$AC$419,MATCH(1,IF($C12&amp;"-"&amp;N$10=$AA$10:$AA$419&amp;"-"&amp;$AB$10:$AB$419,1,0),0)),""),$X$10:$X$28,0)),"")</f>
        <v>200</v>
      </c>
      <c r="O12" s="90" t="str" cm="1">
        <f t="array" ref="O12">IFERROR(INDEX($Y$10:$Y$28,MATCH(IFERROR(INDEX($AC$10:$AC$419,MATCH(1,IF($C12&amp;"-"&amp;O$10=$AA$10:$AA$419&amp;"-"&amp;$AB$10:$AB$419,1,0),0)),""),$X$10:$X$28,0)),"")</f>
        <v/>
      </c>
      <c r="P12" s="90" cm="1">
        <f t="array" ref="P12">IFERROR(INDEX($Y$10:$Y$28,MATCH(IFERROR(INDEX($AC$10:$AC$419,MATCH(1,IF($C12&amp;"-"&amp;P$10=$AA$10:$AA$419&amp;"-"&amp;$AB$10:$AB$419,1,0),0)),""),$X$10:$X$28,0)),"")</f>
        <v>200</v>
      </c>
      <c r="Q12" s="90" cm="1">
        <f t="array" ref="Q12">IFERROR(INDEX($Y$10:$Y$28,MATCH(IFERROR(INDEX($AC$10:$AC$419,MATCH(1,IF($C12&amp;"-"&amp;Q$10=$AA$10:$AA$419&amp;"-"&amp;$AB$10:$AB$419,1,0),0)),""),$X$10:$X$28,0)),"")</f>
        <v>200</v>
      </c>
      <c r="R12" s="90" cm="1">
        <f t="array" ref="R12">IFERROR(INDEX($Y$10:$Y$28,MATCH(IFERROR(INDEX($AC$10:$AC$419,MATCH(1,IF($C12&amp;"-"&amp;R$10=$AA$10:$AA$419&amp;"-"&amp;$AB$10:$AB$419,1,0),0)),""),$X$10:$X$28,0)),"")</f>
        <v>88</v>
      </c>
      <c r="S12" s="90" cm="1">
        <f t="array" ref="S12">IFERROR(INDEX($Y$10:$Y$28,MATCH(IFERROR(INDEX($AC$10:$AC$419,MATCH(1,IF($C12&amp;"-"&amp;S$10=$AA$10:$AA$419&amp;"-"&amp;$AB$10:$AB$419,1,0),0)),""),$X$10:$X$28,0)),"")</f>
        <v>88</v>
      </c>
      <c r="T12" s="90" t="str" cm="1">
        <f t="array" ref="T12">IFERROR(INDEX($Y$10:$Y$28,MATCH(IFERROR(INDEX($AC$10:$AC$419,MATCH(1,IF($C12&amp;"-"&amp;T$10=$AA$10:$AA$419&amp;"-"&amp;$AB$10:$AB$419,1,0),0)),""),$X$10:$X$28,0)),"")</f>
        <v/>
      </c>
      <c r="X12" s="11" t="s">
        <v>207</v>
      </c>
      <c r="Y12" s="11">
        <v>38</v>
      </c>
      <c r="Z12" s="8" t="b">
        <f>AND(Z10,Z11)</f>
        <v>1</v>
      </c>
      <c r="AA12" s="11">
        <v>1</v>
      </c>
      <c r="AB12" s="11">
        <v>13</v>
      </c>
      <c r="AC12" s="11" t="s">
        <v>205</v>
      </c>
      <c r="AD12">
        <v>1</v>
      </c>
    </row>
    <row r="13" spans="2:35" x14ac:dyDescent="0.25">
      <c r="B13" s="207"/>
      <c r="C13">
        <v>3</v>
      </c>
      <c r="D13" s="90" t="str" cm="1">
        <f t="array" ref="D13">IFERROR(INDEX($Y$10:$Y$28,MATCH(IFERROR(INDEX($AC$10:$AC$419,MATCH(1,IF($C13&amp;"-"&amp;D$10=$AA$10:$AA$419&amp;"-"&amp;$AB$10:$AB$419,1,0),0)),""),$X$10:$X$28,0)),"")</f>
        <v/>
      </c>
      <c r="E13" s="90" t="str" cm="1">
        <f t="array" ref="E13">IFERROR(INDEX($Y$10:$Y$28,MATCH(IFERROR(INDEX($AC$10:$AC$419,MATCH(1,IF($C13&amp;"-"&amp;E$10=$AA$10:$AA$419&amp;"-"&amp;$AB$10:$AB$419,1,0),0)),""),$X$10:$X$28,0)),"")</f>
        <v/>
      </c>
      <c r="F13" s="90" t="str" cm="1">
        <f t="array" ref="F13">IFERROR(INDEX($Y$10:$Y$28,MATCH(IFERROR(INDEX($AC$10:$AC$419,MATCH(1,IF($C13&amp;"-"&amp;F$10=$AA$10:$AA$419&amp;"-"&amp;$AB$10:$AB$419,1,0),0)),""),$X$10:$X$28,0)),"")</f>
        <v/>
      </c>
      <c r="G13" s="90" t="str" cm="1">
        <f t="array" ref="G13">IFERROR(INDEX($Y$10:$Y$28,MATCH(IFERROR(INDEX($AC$10:$AC$419,MATCH(1,IF($C13&amp;"-"&amp;G$10=$AA$10:$AA$419&amp;"-"&amp;$AB$10:$AB$419,1,0),0)),""),$X$10:$X$28,0)),"")</f>
        <v/>
      </c>
      <c r="H13" s="90" t="str" cm="1">
        <f t="array" ref="H13">IFERROR(INDEX($Y$10:$Y$28,MATCH(IFERROR(INDEX($AC$10:$AC$419,MATCH(1,IF($C13&amp;"-"&amp;H$10=$AA$10:$AA$419&amp;"-"&amp;$AB$10:$AB$419,1,0),0)),""),$X$10:$X$28,0)),"")</f>
        <v/>
      </c>
      <c r="I13" s="90" t="str" cm="1">
        <f t="array" ref="I13">IFERROR(INDEX($Y$10:$Y$28,MATCH(IFERROR(INDEX($AC$10:$AC$419,MATCH(1,IF($C13&amp;"-"&amp;I$10=$AA$10:$AA$419&amp;"-"&amp;$AB$10:$AB$419,1,0),0)),""),$X$10:$X$28,0)),"")</f>
        <v/>
      </c>
      <c r="J13" s="90" t="str" cm="1">
        <f t="array" ref="J13">IFERROR(INDEX($Y$10:$Y$28,MATCH(IFERROR(INDEX($AC$10:$AC$419,MATCH(1,IF($C13&amp;"-"&amp;J$10=$AA$10:$AA$419&amp;"-"&amp;$AB$10:$AB$419,1,0),0)),""),$X$10:$X$28,0)),"")</f>
        <v/>
      </c>
      <c r="K13" s="90" t="str" cm="1">
        <f t="array" ref="K13">IFERROR(INDEX($Y$10:$Y$28,MATCH(IFERROR(INDEX($AC$10:$AC$419,MATCH(1,IF($C13&amp;"-"&amp;K$10=$AA$10:$AA$419&amp;"-"&amp;$AB$10:$AB$419,1,0),0)),""),$X$10:$X$28,0)),"")</f>
        <v/>
      </c>
      <c r="L13" s="90" t="str" cm="1">
        <f t="array" ref="L13">IFERROR(INDEX($Y$10:$Y$28,MATCH(IFERROR(INDEX($AC$10:$AC$419,MATCH(1,IF($C13&amp;"-"&amp;L$10=$AA$10:$AA$419&amp;"-"&amp;$AB$10:$AB$419,1,0),0)),""),$X$10:$X$28,0)),"")</f>
        <v/>
      </c>
      <c r="M13" s="90" cm="1">
        <f t="array" ref="M13">IFERROR(INDEX($Y$10:$Y$28,MATCH(IFERROR(INDEX($AC$10:$AC$419,MATCH(1,IF($C13&amp;"-"&amp;M$10=$AA$10:$AA$419&amp;"-"&amp;$AB$10:$AB$419,1,0),0)),""),$X$10:$X$28,0)),"")</f>
        <v>200</v>
      </c>
      <c r="N13" s="90" cm="1">
        <f t="array" ref="N13">IFERROR(INDEX($Y$10:$Y$28,MATCH(IFERROR(INDEX($AC$10:$AC$419,MATCH(1,IF($C13&amp;"-"&amp;N$10=$AA$10:$AA$419&amp;"-"&amp;$AB$10:$AB$419,1,0),0)),""),$X$10:$X$28,0)),"")</f>
        <v>200</v>
      </c>
      <c r="O13" s="90" t="str" cm="1">
        <f t="array" ref="O13">IFERROR(INDEX($Y$10:$Y$28,MATCH(IFERROR(INDEX($AC$10:$AC$419,MATCH(1,IF($C13&amp;"-"&amp;O$10=$AA$10:$AA$419&amp;"-"&amp;$AB$10:$AB$419,1,0),0)),""),$X$10:$X$28,0)),"")</f>
        <v/>
      </c>
      <c r="P13" s="90" cm="1">
        <f t="array" ref="P13">IFERROR(INDEX($Y$10:$Y$28,MATCH(IFERROR(INDEX($AC$10:$AC$419,MATCH(1,IF($C13&amp;"-"&amp;P$10=$AA$10:$AA$419&amp;"-"&amp;$AB$10:$AB$419,1,0),0)),""),$X$10:$X$28,0)),"")</f>
        <v>200</v>
      </c>
      <c r="Q13" s="90" cm="1">
        <f t="array" ref="Q13">IFERROR(INDEX($Y$10:$Y$28,MATCH(IFERROR(INDEX($AC$10:$AC$419,MATCH(1,IF($C13&amp;"-"&amp;Q$10=$AA$10:$AA$419&amp;"-"&amp;$AB$10:$AB$419,1,0),0)),""),$X$10:$X$28,0)),"")</f>
        <v>200</v>
      </c>
      <c r="R13" s="90" cm="1">
        <f t="array" ref="R13">IFERROR(INDEX($Y$10:$Y$28,MATCH(IFERROR(INDEX($AC$10:$AC$419,MATCH(1,IF($C13&amp;"-"&amp;R$10=$AA$10:$AA$419&amp;"-"&amp;$AB$10:$AB$419,1,0),0)),""),$X$10:$X$28,0)),"")</f>
        <v>88</v>
      </c>
      <c r="S13" s="90" cm="1">
        <f t="array" ref="S13">IFERROR(INDEX($Y$10:$Y$28,MATCH(IFERROR(INDEX($AC$10:$AC$419,MATCH(1,IF($C13&amp;"-"&amp;S$10=$AA$10:$AA$419&amp;"-"&amp;$AB$10:$AB$419,1,0),0)),""),$X$10:$X$28,0)),"")</f>
        <v>88</v>
      </c>
      <c r="T13" s="90" t="str" cm="1">
        <f t="array" ref="T13">IFERROR(INDEX($Y$10:$Y$28,MATCH(IFERROR(INDEX($AC$10:$AC$419,MATCH(1,IF($C13&amp;"-"&amp;T$10=$AA$10:$AA$419&amp;"-"&amp;$AB$10:$AB$419,1,0),0)),""),$X$10:$X$28,0)),"")</f>
        <v/>
      </c>
      <c r="X13" s="11" t="s">
        <v>208</v>
      </c>
      <c r="Y13" s="11">
        <v>12</v>
      </c>
      <c r="Z13" s="8"/>
      <c r="AA13" s="11">
        <v>1</v>
      </c>
      <c r="AB13" s="11">
        <v>14</v>
      </c>
      <c r="AC13" s="11" t="s">
        <v>205</v>
      </c>
      <c r="AD13" t="e">
        <v>#VALUE!</v>
      </c>
    </row>
    <row r="14" spans="2:35" x14ac:dyDescent="0.25">
      <c r="B14" s="207"/>
      <c r="C14">
        <v>4</v>
      </c>
      <c r="D14" s="90" t="str" cm="1">
        <f t="array" ref="D14">IFERROR(INDEX($Y$10:$Y$28,MATCH(IFERROR(INDEX($AC$10:$AC$419,MATCH(1,IF($C14&amp;"-"&amp;D$10=$AA$10:$AA$419&amp;"-"&amp;$AB$10:$AB$419,1,0),0)),""),$X$10:$X$28,0)),"")</f>
        <v/>
      </c>
      <c r="E14" s="90" t="str" cm="1">
        <f t="array" ref="E14">IFERROR(INDEX($Y$10:$Y$28,MATCH(IFERROR(INDEX($AC$10:$AC$419,MATCH(1,IF($C14&amp;"-"&amp;E$10=$AA$10:$AA$419&amp;"-"&amp;$AB$10:$AB$419,1,0),0)),""),$X$10:$X$28,0)),"")</f>
        <v/>
      </c>
      <c r="F14" s="90" t="str" cm="1">
        <f t="array" ref="F14">IFERROR(INDEX($Y$10:$Y$28,MATCH(IFERROR(INDEX($AC$10:$AC$419,MATCH(1,IF($C14&amp;"-"&amp;F$10=$AA$10:$AA$419&amp;"-"&amp;$AB$10:$AB$419,1,0),0)),""),$X$10:$X$28,0)),"")</f>
        <v/>
      </c>
      <c r="G14" s="90" t="str" cm="1">
        <f t="array" ref="G14">IFERROR(INDEX($Y$10:$Y$28,MATCH(IFERROR(INDEX($AC$10:$AC$419,MATCH(1,IF($C14&amp;"-"&amp;G$10=$AA$10:$AA$419&amp;"-"&amp;$AB$10:$AB$419,1,0),0)),""),$X$10:$X$28,0)),"")</f>
        <v/>
      </c>
      <c r="H14" s="90" t="str" cm="1">
        <f t="array" ref="H14">IFERROR(INDEX($Y$10:$Y$28,MATCH(IFERROR(INDEX($AC$10:$AC$419,MATCH(1,IF($C14&amp;"-"&amp;H$10=$AA$10:$AA$419&amp;"-"&amp;$AB$10:$AB$419,1,0),0)),""),$X$10:$X$28,0)),"")</f>
        <v/>
      </c>
      <c r="I14" s="90" t="str" cm="1">
        <f t="array" ref="I14">IFERROR(INDEX($Y$10:$Y$28,MATCH(IFERROR(INDEX($AC$10:$AC$419,MATCH(1,IF($C14&amp;"-"&amp;I$10=$AA$10:$AA$419&amp;"-"&amp;$AB$10:$AB$419,1,0),0)),""),$X$10:$X$28,0)),"")</f>
        <v/>
      </c>
      <c r="J14" s="90" t="str" cm="1">
        <f t="array" ref="J14">IFERROR(INDEX($Y$10:$Y$28,MATCH(IFERROR(INDEX($AC$10:$AC$419,MATCH(1,IF($C14&amp;"-"&amp;J$10=$AA$10:$AA$419&amp;"-"&amp;$AB$10:$AB$419,1,0),0)),""),$X$10:$X$28,0)),"")</f>
        <v/>
      </c>
      <c r="K14" s="90" t="str" cm="1">
        <f t="array" ref="K14">IFERROR(INDEX($Y$10:$Y$28,MATCH(IFERROR(INDEX($AC$10:$AC$419,MATCH(1,IF($C14&amp;"-"&amp;K$10=$AA$10:$AA$419&amp;"-"&amp;$AB$10:$AB$419,1,0),0)),""),$X$10:$X$28,0)),"")</f>
        <v/>
      </c>
      <c r="L14" s="90" cm="1">
        <f t="array" ref="L14">IFERROR(INDEX($Y$10:$Y$28,MATCH(IFERROR(INDEX($AC$10:$AC$419,MATCH(1,IF($C14&amp;"-"&amp;L$10=$AA$10:$AA$419&amp;"-"&amp;$AB$10:$AB$419,1,0),0)),""),$X$10:$X$28,0)),"")</f>
        <v>200</v>
      </c>
      <c r="M14" s="90" cm="1">
        <f t="array" ref="M14">IFERROR(INDEX($Y$10:$Y$28,MATCH(IFERROR(INDEX($AC$10:$AC$419,MATCH(1,IF($C14&amp;"-"&amp;M$10=$AA$10:$AA$419&amp;"-"&amp;$AB$10:$AB$419,1,0),0)),""),$X$10:$X$28,0)),"")</f>
        <v>200</v>
      </c>
      <c r="N14" s="90" cm="1">
        <f t="array" ref="N14">IFERROR(INDEX($Y$10:$Y$28,MATCH(IFERROR(INDEX($AC$10:$AC$419,MATCH(1,IF($C14&amp;"-"&amp;N$10=$AA$10:$AA$419&amp;"-"&amp;$AB$10:$AB$419,1,0),0)),""),$X$10:$X$28,0)),"")</f>
        <v>200</v>
      </c>
      <c r="O14" s="90" t="str" cm="1">
        <f t="array" ref="O14">IFERROR(INDEX($Y$10:$Y$28,MATCH(IFERROR(INDEX($AC$10:$AC$419,MATCH(1,IF($C14&amp;"-"&amp;O$10=$AA$10:$AA$419&amp;"-"&amp;$AB$10:$AB$419,1,0),0)),""),$X$10:$X$28,0)),"")</f>
        <v/>
      </c>
      <c r="P14" s="90" cm="1">
        <f t="array" ref="P14">IFERROR(INDEX($Y$10:$Y$28,MATCH(IFERROR(INDEX($AC$10:$AC$419,MATCH(1,IF($C14&amp;"-"&amp;P$10=$AA$10:$AA$419&amp;"-"&amp;$AB$10:$AB$419,1,0),0)),""),$X$10:$X$28,0)),"")</f>
        <v>200</v>
      </c>
      <c r="Q14" s="90" cm="1">
        <f t="array" ref="Q14">IFERROR(INDEX($Y$10:$Y$28,MATCH(IFERROR(INDEX($AC$10:$AC$419,MATCH(1,IF($C14&amp;"-"&amp;Q$10=$AA$10:$AA$419&amp;"-"&amp;$AB$10:$AB$419,1,0),0)),""),$X$10:$X$28,0)),"")</f>
        <v>200</v>
      </c>
      <c r="R14" s="90" cm="1">
        <f t="array" ref="R14">IFERROR(INDEX($Y$10:$Y$28,MATCH(IFERROR(INDEX($AC$10:$AC$419,MATCH(1,IF($C14&amp;"-"&amp;R$10=$AA$10:$AA$419&amp;"-"&amp;$AB$10:$AB$419,1,0),0)),""),$X$10:$X$28,0)),"")</f>
        <v>88</v>
      </c>
      <c r="S14" s="90" cm="1">
        <f t="array" ref="S14">IFERROR(INDEX($Y$10:$Y$28,MATCH(IFERROR(INDEX($AC$10:$AC$419,MATCH(1,IF($C14&amp;"-"&amp;S$10=$AA$10:$AA$419&amp;"-"&amp;$AB$10:$AB$419,1,0),0)),""),$X$10:$X$28,0)),"")</f>
        <v>88</v>
      </c>
      <c r="T14" s="90" t="str" cm="1">
        <f t="array" ref="T14">IFERROR(INDEX($Y$10:$Y$28,MATCH(IFERROR(INDEX($AC$10:$AC$419,MATCH(1,IF($C14&amp;"-"&amp;T$10=$AA$10:$AA$419&amp;"-"&amp;$AB$10:$AB$419,1,0),0)),""),$X$10:$X$28,0)),"")</f>
        <v/>
      </c>
      <c r="X14" s="11" t="s">
        <v>209</v>
      </c>
      <c r="Y14" s="11">
        <v>189</v>
      </c>
      <c r="Z14" s="8"/>
      <c r="AA14" s="11">
        <v>1</v>
      </c>
      <c r="AB14" s="11">
        <v>15</v>
      </c>
      <c r="AC14" s="11" t="s">
        <v>210</v>
      </c>
      <c r="AD14" t="e">
        <v>#VALUE!</v>
      </c>
    </row>
    <row r="15" spans="2:35" x14ac:dyDescent="0.25">
      <c r="B15" s="207"/>
      <c r="C15">
        <v>5</v>
      </c>
      <c r="D15" s="90" t="str" cm="1">
        <f t="array" ref="D15">IFERROR(INDEX($Y$10:$Y$28,MATCH(IFERROR(INDEX($AC$10:$AC$419,MATCH(1,IF($C15&amp;"-"&amp;D$10=$AA$10:$AA$419&amp;"-"&amp;$AB$10:$AB$419,1,0),0)),""),$X$10:$X$28,0)),"")</f>
        <v/>
      </c>
      <c r="E15" s="90" t="str" cm="1">
        <f t="array" ref="E15">IFERROR(INDEX($Y$10:$Y$28,MATCH(IFERROR(INDEX($AC$10:$AC$419,MATCH(1,IF($C15&amp;"-"&amp;E$10=$AA$10:$AA$419&amp;"-"&amp;$AB$10:$AB$419,1,0),0)),""),$X$10:$X$28,0)),"")</f>
        <v/>
      </c>
      <c r="F15" s="90" t="str" cm="1">
        <f t="array" ref="F15">IFERROR(INDEX($Y$10:$Y$28,MATCH(IFERROR(INDEX($AC$10:$AC$419,MATCH(1,IF($C15&amp;"-"&amp;F$10=$AA$10:$AA$419&amp;"-"&amp;$AB$10:$AB$419,1,0),0)),""),$X$10:$X$28,0)),"")</f>
        <v/>
      </c>
      <c r="G15" s="90" t="str" cm="1">
        <f t="array" ref="G15">IFERROR(INDEX($Y$10:$Y$28,MATCH(IFERROR(INDEX($AC$10:$AC$419,MATCH(1,IF($C15&amp;"-"&amp;G$10=$AA$10:$AA$419&amp;"-"&amp;$AB$10:$AB$419,1,0),0)),""),$X$10:$X$28,0)),"")</f>
        <v/>
      </c>
      <c r="H15" s="90" t="str" cm="1">
        <f t="array" ref="H15">IFERROR(INDEX($Y$10:$Y$28,MATCH(IFERROR(INDEX($AC$10:$AC$419,MATCH(1,IF($C15&amp;"-"&amp;H$10=$AA$10:$AA$419&amp;"-"&amp;$AB$10:$AB$419,1,0),0)),""),$X$10:$X$28,0)),"")</f>
        <v/>
      </c>
      <c r="I15" s="90" t="str" cm="1">
        <f t="array" ref="I15">IFERROR(INDEX($Y$10:$Y$28,MATCH(IFERROR(INDEX($AC$10:$AC$419,MATCH(1,IF($C15&amp;"-"&amp;I$10=$AA$10:$AA$419&amp;"-"&amp;$AB$10:$AB$419,1,0),0)),""),$X$10:$X$28,0)),"")</f>
        <v/>
      </c>
      <c r="J15" s="90" t="str" cm="1">
        <f t="array" ref="J15">IFERROR(INDEX($Y$10:$Y$28,MATCH(IFERROR(INDEX($AC$10:$AC$419,MATCH(1,IF($C15&amp;"-"&amp;J$10=$AA$10:$AA$419&amp;"-"&amp;$AB$10:$AB$419,1,0),0)),""),$X$10:$X$28,0)),"")</f>
        <v/>
      </c>
      <c r="K15" s="90" cm="1">
        <f t="array" ref="K15">IFERROR(INDEX($Y$10:$Y$28,MATCH(IFERROR(INDEX($AC$10:$AC$419,MATCH(1,IF($C15&amp;"-"&amp;K$10=$AA$10:$AA$419&amp;"-"&amp;$AB$10:$AB$419,1,0),0)),""),$X$10:$X$28,0)),"")</f>
        <v>200</v>
      </c>
      <c r="L15" s="90" cm="1">
        <f t="array" ref="L15">IFERROR(INDEX($Y$10:$Y$28,MATCH(IFERROR(INDEX($AC$10:$AC$419,MATCH(1,IF($C15&amp;"-"&amp;L$10=$AA$10:$AA$419&amp;"-"&amp;$AB$10:$AB$419,1,0),0)),""),$X$10:$X$28,0)),"")</f>
        <v>200</v>
      </c>
      <c r="M15" s="90" cm="1">
        <f t="array" ref="M15">IFERROR(INDEX($Y$10:$Y$28,MATCH(IFERROR(INDEX($AC$10:$AC$419,MATCH(1,IF($C15&amp;"-"&amp;M$10=$AA$10:$AA$419&amp;"-"&amp;$AB$10:$AB$419,1,0),0)),""),$X$10:$X$28,0)),"")</f>
        <v>200</v>
      </c>
      <c r="N15" s="90" cm="1">
        <f t="array" ref="N15">IFERROR(INDEX($Y$10:$Y$28,MATCH(IFERROR(INDEX($AC$10:$AC$419,MATCH(1,IF($C15&amp;"-"&amp;N$10=$AA$10:$AA$419&amp;"-"&amp;$AB$10:$AB$419,1,0),0)),""),$X$10:$X$28,0)),"")</f>
        <v>200</v>
      </c>
      <c r="O15" s="90" cm="1">
        <f t="array" ref="O15">IFERROR(INDEX($Y$10:$Y$28,MATCH(IFERROR(INDEX($AC$10:$AC$419,MATCH(1,IF($C15&amp;"-"&amp;O$10=$AA$10:$AA$419&amp;"-"&amp;$AB$10:$AB$419,1,0),0)),""),$X$10:$X$28,0)),"")</f>
        <v>200</v>
      </c>
      <c r="P15" s="90" cm="1">
        <f t="array" ref="P15">IFERROR(INDEX($Y$10:$Y$28,MATCH(IFERROR(INDEX($AC$10:$AC$419,MATCH(1,IF($C15&amp;"-"&amp;P$10=$AA$10:$AA$419&amp;"-"&amp;$AB$10:$AB$419,1,0),0)),""),$X$10:$X$28,0)),"")</f>
        <v>200</v>
      </c>
      <c r="Q15" s="90" cm="1">
        <f t="array" ref="Q15">IFERROR(INDEX($Y$10:$Y$28,MATCH(IFERROR(INDEX($AC$10:$AC$419,MATCH(1,IF($C15&amp;"-"&amp;Q$10=$AA$10:$AA$419&amp;"-"&amp;$AB$10:$AB$419,1,0),0)),""),$X$10:$X$28,0)),"")</f>
        <v>200</v>
      </c>
      <c r="R15" s="90" cm="1">
        <f t="array" ref="R15">IFERROR(INDEX($Y$10:$Y$28,MATCH(IFERROR(INDEX($AC$10:$AC$419,MATCH(1,IF($C15&amp;"-"&amp;R$10=$AA$10:$AA$419&amp;"-"&amp;$AB$10:$AB$419,1,0),0)),""),$X$10:$X$28,0)),"")</f>
        <v>88</v>
      </c>
      <c r="S15" s="90" cm="1">
        <f t="array" ref="S15">IFERROR(INDEX($Y$10:$Y$28,MATCH(IFERROR(INDEX($AC$10:$AC$419,MATCH(1,IF($C15&amp;"-"&amp;S$10=$AA$10:$AA$419&amp;"-"&amp;$AB$10:$AB$419,1,0),0)),""),$X$10:$X$28,0)),"")</f>
        <v>88</v>
      </c>
      <c r="T15" s="90" t="str" cm="1">
        <f t="array" ref="T15">IFERROR(INDEX($Y$10:$Y$28,MATCH(IFERROR(INDEX($AC$10:$AC$419,MATCH(1,IF($C15&amp;"-"&amp;T$10=$AA$10:$AA$419&amp;"-"&amp;$AB$10:$AB$419,1,0),0)),""),$X$10:$X$28,0)),"")</f>
        <v/>
      </c>
      <c r="X15" s="11" t="s">
        <v>211</v>
      </c>
      <c r="Y15" s="11">
        <v>16</v>
      </c>
      <c r="Z15" s="8"/>
      <c r="AA15" s="11">
        <v>2</v>
      </c>
      <c r="AB15" s="11">
        <v>10</v>
      </c>
      <c r="AC15" s="11" t="s">
        <v>205</v>
      </c>
      <c r="AD15" t="e">
        <v>#VALUE!</v>
      </c>
    </row>
    <row r="16" spans="2:35" x14ac:dyDescent="0.25">
      <c r="B16" s="207"/>
      <c r="C16">
        <v>6</v>
      </c>
      <c r="D16" s="90" t="str" cm="1">
        <f t="array" ref="D16">IFERROR(INDEX($Y$10:$Y$28,MATCH(IFERROR(INDEX($AC$10:$AC$419,MATCH(1,IF($C16&amp;"-"&amp;D$10=$AA$10:$AA$419&amp;"-"&amp;$AB$10:$AB$419,1,0),0)),""),$X$10:$X$28,0)),"")</f>
        <v/>
      </c>
      <c r="E16" s="90" t="str" cm="1">
        <f t="array" ref="E16">IFERROR(INDEX($Y$10:$Y$28,MATCH(IFERROR(INDEX($AC$10:$AC$419,MATCH(1,IF($C16&amp;"-"&amp;E$10=$AA$10:$AA$419&amp;"-"&amp;$AB$10:$AB$419,1,0),0)),""),$X$10:$X$28,0)),"")</f>
        <v/>
      </c>
      <c r="F16" s="90" t="str" cm="1">
        <f t="array" ref="F16">IFERROR(INDEX($Y$10:$Y$28,MATCH(IFERROR(INDEX($AC$10:$AC$419,MATCH(1,IF($C16&amp;"-"&amp;F$10=$AA$10:$AA$419&amp;"-"&amp;$AB$10:$AB$419,1,0),0)),""),$X$10:$X$28,0)),"")</f>
        <v/>
      </c>
      <c r="G16" s="90" t="str" cm="1">
        <f t="array" ref="G16">IFERROR(INDEX($Y$10:$Y$28,MATCH(IFERROR(INDEX($AC$10:$AC$419,MATCH(1,IF($C16&amp;"-"&amp;G$10=$AA$10:$AA$419&amp;"-"&amp;$AB$10:$AB$419,1,0),0)),""),$X$10:$X$28,0)),"")</f>
        <v/>
      </c>
      <c r="H16" s="90" t="str" cm="1">
        <f t="array" ref="H16">IFERROR(INDEX($Y$10:$Y$28,MATCH(IFERROR(INDEX($AC$10:$AC$419,MATCH(1,IF($C16&amp;"-"&amp;H$10=$AA$10:$AA$419&amp;"-"&amp;$AB$10:$AB$419,1,0),0)),""),$X$10:$X$28,0)),"")</f>
        <v/>
      </c>
      <c r="I16" s="90" t="str" cm="1">
        <f t="array" ref="I16">IFERROR(INDEX($Y$10:$Y$28,MATCH(IFERROR(INDEX($AC$10:$AC$419,MATCH(1,IF($C16&amp;"-"&amp;I$10=$AA$10:$AA$419&amp;"-"&amp;$AB$10:$AB$419,1,0),0)),""),$X$10:$X$28,0)),"")</f>
        <v/>
      </c>
      <c r="J16" s="90" t="str" cm="1">
        <f t="array" ref="J16">IFERROR(INDEX($Y$10:$Y$28,MATCH(IFERROR(INDEX($AC$10:$AC$419,MATCH(1,IF($C16&amp;"-"&amp;J$10=$AA$10:$AA$419&amp;"-"&amp;$AB$10:$AB$419,1,0),0)),""),$X$10:$X$28,0)),"")</f>
        <v/>
      </c>
      <c r="K16" s="90" cm="1">
        <f t="array" ref="K16">IFERROR(INDEX($Y$10:$Y$28,MATCH(IFERROR(INDEX($AC$10:$AC$419,MATCH(1,IF($C16&amp;"-"&amp;K$10=$AA$10:$AA$419&amp;"-"&amp;$AB$10:$AB$419,1,0),0)),""),$X$10:$X$28,0)),"")</f>
        <v>74</v>
      </c>
      <c r="L16" s="90" cm="1">
        <f t="array" ref="L16">IFERROR(INDEX($Y$10:$Y$28,MATCH(IFERROR(INDEX($AC$10:$AC$419,MATCH(1,IF($C16&amp;"-"&amp;L$10=$AA$10:$AA$419&amp;"-"&amp;$AB$10:$AB$419,1,0),0)),""),$X$10:$X$28,0)),"")</f>
        <v>200</v>
      </c>
      <c r="M16" s="90" cm="1">
        <f t="array" ref="M16">IFERROR(INDEX($Y$10:$Y$28,MATCH(IFERROR(INDEX($AC$10:$AC$419,MATCH(1,IF($C16&amp;"-"&amp;M$10=$AA$10:$AA$419&amp;"-"&amp;$AB$10:$AB$419,1,0),0)),""),$X$10:$X$28,0)),"")</f>
        <v>200</v>
      </c>
      <c r="N16" s="90" cm="1">
        <f t="array" ref="N16">IFERROR(INDEX($Y$10:$Y$28,MATCH(IFERROR(INDEX($AC$10:$AC$419,MATCH(1,IF($C16&amp;"-"&amp;N$10=$AA$10:$AA$419&amp;"-"&amp;$AB$10:$AB$419,1,0),0)),""),$X$10:$X$28,0)),"")</f>
        <v>200</v>
      </c>
      <c r="O16" s="90" cm="1">
        <f t="array" ref="O16">IFERROR(INDEX($Y$10:$Y$28,MATCH(IFERROR(INDEX($AC$10:$AC$419,MATCH(1,IF($C16&amp;"-"&amp;O$10=$AA$10:$AA$419&amp;"-"&amp;$AB$10:$AB$419,1,0),0)),""),$X$10:$X$28,0)),"")</f>
        <v>200</v>
      </c>
      <c r="P16" s="90" cm="1">
        <f t="array" ref="P16">IFERROR(INDEX($Y$10:$Y$28,MATCH(IFERROR(INDEX($AC$10:$AC$419,MATCH(1,IF($C16&amp;"-"&amp;P$10=$AA$10:$AA$419&amp;"-"&amp;$AB$10:$AB$419,1,0),0)),""),$X$10:$X$28,0)),"")</f>
        <v>200</v>
      </c>
      <c r="Q16" s="90" cm="1">
        <f t="array" ref="Q16">IFERROR(INDEX($Y$10:$Y$28,MATCH(IFERROR(INDEX($AC$10:$AC$419,MATCH(1,IF($C16&amp;"-"&amp;Q$10=$AA$10:$AA$419&amp;"-"&amp;$AB$10:$AB$419,1,0),0)),""),$X$10:$X$28,0)),"")</f>
        <v>200</v>
      </c>
      <c r="R16" s="90" cm="1">
        <f t="array" ref="R16">IFERROR(INDEX($Y$10:$Y$28,MATCH(IFERROR(INDEX($AC$10:$AC$419,MATCH(1,IF($C16&amp;"-"&amp;R$10=$AA$10:$AA$419&amp;"-"&amp;$AB$10:$AB$419,1,0),0)),""),$X$10:$X$28,0)),"")</f>
        <v>88</v>
      </c>
      <c r="S16" s="90" cm="1">
        <f t="array" ref="S16">IFERROR(INDEX($Y$10:$Y$28,MATCH(IFERROR(INDEX($AC$10:$AC$419,MATCH(1,IF($C16&amp;"-"&amp;S$10=$AA$10:$AA$419&amp;"-"&amp;$AB$10:$AB$419,1,0),0)),""),$X$10:$X$28,0)),"")</f>
        <v>88</v>
      </c>
      <c r="T16" s="90" cm="1">
        <f t="array" ref="T16">IFERROR(INDEX($Y$10:$Y$28,MATCH(IFERROR(INDEX($AC$10:$AC$419,MATCH(1,IF($C16&amp;"-"&amp;T$10=$AA$10:$AA$419&amp;"-"&amp;$AB$10:$AB$419,1,0),0)),""),$X$10:$X$28,0)),"")</f>
        <v>88</v>
      </c>
      <c r="X16" s="11" t="s">
        <v>212</v>
      </c>
      <c r="Y16" s="11">
        <v>74</v>
      </c>
      <c r="Z16" s="8"/>
      <c r="AA16" s="11">
        <v>2</v>
      </c>
      <c r="AB16" s="11">
        <v>11</v>
      </c>
      <c r="AC16" s="11" t="s">
        <v>205</v>
      </c>
      <c r="AD16" t="e">
        <v>#VALUE!</v>
      </c>
    </row>
    <row r="17" spans="2:30" x14ac:dyDescent="0.25">
      <c r="B17" s="207"/>
      <c r="C17">
        <v>7</v>
      </c>
      <c r="D17" s="90" t="str" cm="1">
        <f t="array" ref="D17">IFERROR(INDEX($Y$10:$Y$28,MATCH(IFERROR(INDEX($AC$10:$AC$419,MATCH(1,IF($C17&amp;"-"&amp;D$10=$AA$10:$AA$419&amp;"-"&amp;$AB$10:$AB$419,1,0),0)),""),$X$10:$X$28,0)),"")</f>
        <v/>
      </c>
      <c r="E17" s="90" t="str" cm="1">
        <f t="array" ref="E17">IFERROR(INDEX($Y$10:$Y$28,MATCH(IFERROR(INDEX($AC$10:$AC$419,MATCH(1,IF($C17&amp;"-"&amp;E$10=$AA$10:$AA$419&amp;"-"&amp;$AB$10:$AB$419,1,0),0)),""),$X$10:$X$28,0)),"")</f>
        <v/>
      </c>
      <c r="F17" s="90" t="str" cm="1">
        <f t="array" ref="F17">IFERROR(INDEX($Y$10:$Y$28,MATCH(IFERROR(INDEX($AC$10:$AC$419,MATCH(1,IF($C17&amp;"-"&amp;F$10=$AA$10:$AA$419&amp;"-"&amp;$AB$10:$AB$419,1,0),0)),""),$X$10:$X$28,0)),"")</f>
        <v/>
      </c>
      <c r="G17" s="90" t="str" cm="1">
        <f t="array" ref="G17">IFERROR(INDEX($Y$10:$Y$28,MATCH(IFERROR(INDEX($AC$10:$AC$419,MATCH(1,IF($C17&amp;"-"&amp;G$10=$AA$10:$AA$419&amp;"-"&amp;$AB$10:$AB$419,1,0),0)),""),$X$10:$X$28,0)),"")</f>
        <v/>
      </c>
      <c r="H17" s="90" t="str" cm="1">
        <f t="array" ref="H17">IFERROR(INDEX($Y$10:$Y$28,MATCH(IFERROR(INDEX($AC$10:$AC$419,MATCH(1,IF($C17&amp;"-"&amp;H$10=$AA$10:$AA$419&amp;"-"&amp;$AB$10:$AB$419,1,0),0)),""),$X$10:$X$28,0)),"")</f>
        <v/>
      </c>
      <c r="I17" s="90" t="str" cm="1">
        <f t="array" ref="I17">IFERROR(INDEX($Y$10:$Y$28,MATCH(IFERROR(INDEX($AC$10:$AC$419,MATCH(1,IF($C17&amp;"-"&amp;I$10=$AA$10:$AA$419&amp;"-"&amp;$AB$10:$AB$419,1,0),0)),""),$X$10:$X$28,0)),"")</f>
        <v/>
      </c>
      <c r="J17" s="90" cm="1">
        <f t="array" ref="J17">IFERROR(INDEX($Y$10:$Y$28,MATCH(IFERROR(INDEX($AC$10:$AC$419,MATCH(1,IF($C17&amp;"-"&amp;J$10=$AA$10:$AA$419&amp;"-"&amp;$AB$10:$AB$419,1,0),0)),""),$X$10:$X$28,0)),"")</f>
        <v>74</v>
      </c>
      <c r="K17" s="90" cm="1">
        <f t="array" ref="K17">IFERROR(INDEX($Y$10:$Y$28,MATCH(IFERROR(INDEX($AC$10:$AC$419,MATCH(1,IF($C17&amp;"-"&amp;K$10=$AA$10:$AA$419&amp;"-"&amp;$AB$10:$AB$419,1,0),0)),""),$X$10:$X$28,0)),"")</f>
        <v>74</v>
      </c>
      <c r="L17" s="90" cm="1">
        <f t="array" ref="L17">IFERROR(INDEX($Y$10:$Y$28,MATCH(IFERROR(INDEX($AC$10:$AC$419,MATCH(1,IF($C17&amp;"-"&amp;L$10=$AA$10:$AA$419&amp;"-"&amp;$AB$10:$AB$419,1,0),0)),""),$X$10:$X$28,0)),"")</f>
        <v>74</v>
      </c>
      <c r="M17" s="90" cm="1">
        <f t="array" ref="M17">IFERROR(INDEX($Y$10:$Y$28,MATCH(IFERROR(INDEX($AC$10:$AC$419,MATCH(1,IF($C17&amp;"-"&amp;M$10=$AA$10:$AA$419&amp;"-"&amp;$AB$10:$AB$419,1,0),0)),""),$X$10:$X$28,0)),"")</f>
        <v>200</v>
      </c>
      <c r="N17" s="90" cm="1">
        <f t="array" ref="N17">IFERROR(INDEX($Y$10:$Y$28,MATCH(IFERROR(INDEX($AC$10:$AC$419,MATCH(1,IF($C17&amp;"-"&amp;N$10=$AA$10:$AA$419&amp;"-"&amp;$AB$10:$AB$419,1,0),0)),""),$X$10:$X$28,0)),"")</f>
        <v>200</v>
      </c>
      <c r="O17" s="90" cm="1">
        <f t="array" ref="O17">IFERROR(INDEX($Y$10:$Y$28,MATCH(IFERROR(INDEX($AC$10:$AC$419,MATCH(1,IF($C17&amp;"-"&amp;O$10=$AA$10:$AA$419&amp;"-"&amp;$AB$10:$AB$419,1,0),0)),""),$X$10:$X$28,0)),"")</f>
        <v>200</v>
      </c>
      <c r="P17" s="90" cm="1">
        <f t="array" ref="P17">IFERROR(INDEX($Y$10:$Y$28,MATCH(IFERROR(INDEX($AC$10:$AC$419,MATCH(1,IF($C17&amp;"-"&amp;P$10=$AA$10:$AA$419&amp;"-"&amp;$AB$10:$AB$419,1,0),0)),""),$X$10:$X$28,0)),"")</f>
        <v>200</v>
      </c>
      <c r="Q17" s="90" cm="1">
        <f t="array" ref="Q17">IFERROR(INDEX($Y$10:$Y$28,MATCH(IFERROR(INDEX($AC$10:$AC$419,MATCH(1,IF($C17&amp;"-"&amp;Q$10=$AA$10:$AA$419&amp;"-"&amp;$AB$10:$AB$419,1,0),0)),""),$X$10:$X$28,0)),"")</f>
        <v>200</v>
      </c>
      <c r="R17" s="90" cm="1">
        <f t="array" ref="R17">IFERROR(INDEX($Y$10:$Y$28,MATCH(IFERROR(INDEX($AC$10:$AC$419,MATCH(1,IF($C17&amp;"-"&amp;R$10=$AA$10:$AA$419&amp;"-"&amp;$AB$10:$AB$419,1,0),0)),""),$X$10:$X$28,0)),"")</f>
        <v>88</v>
      </c>
      <c r="S17" s="90" cm="1">
        <f t="array" ref="S17">IFERROR(INDEX($Y$10:$Y$28,MATCH(IFERROR(INDEX($AC$10:$AC$419,MATCH(1,IF($C17&amp;"-"&amp;S$10=$AA$10:$AA$419&amp;"-"&amp;$AB$10:$AB$419,1,0),0)),""),$X$10:$X$28,0)),"")</f>
        <v>88</v>
      </c>
      <c r="T17" s="90" t="str" cm="1">
        <f t="array" ref="T17">IFERROR(INDEX($Y$10:$Y$28,MATCH(IFERROR(INDEX($AC$10:$AC$419,MATCH(1,IF($C17&amp;"-"&amp;T$10=$AA$10:$AA$419&amp;"-"&amp;$AB$10:$AB$419,1,0),0)),""),$X$10:$X$28,0)),"")</f>
        <v/>
      </c>
      <c r="X17" s="11" t="s">
        <v>213</v>
      </c>
      <c r="Y17" s="11">
        <v>321</v>
      </c>
      <c r="Z17" s="8"/>
      <c r="AA17" s="11">
        <v>2</v>
      </c>
      <c r="AB17" s="11">
        <v>13</v>
      </c>
      <c r="AC17" s="11" t="s">
        <v>205</v>
      </c>
      <c r="AD17" t="e">
        <v>#VALUE!</v>
      </c>
    </row>
    <row r="18" spans="2:30" x14ac:dyDescent="0.25">
      <c r="B18" s="207"/>
      <c r="C18">
        <v>8</v>
      </c>
      <c r="D18" s="90" t="str" cm="1">
        <f t="array" ref="D18">IFERROR(INDEX($Y$10:$Y$28,MATCH(IFERROR(INDEX($AC$10:$AC$419,MATCH(1,IF($C18&amp;"-"&amp;D$10=$AA$10:$AA$419&amp;"-"&amp;$AB$10:$AB$419,1,0),0)),""),$X$10:$X$28,0)),"")</f>
        <v/>
      </c>
      <c r="E18" s="90" t="str" cm="1">
        <f t="array" ref="E18">IFERROR(INDEX($Y$10:$Y$28,MATCH(IFERROR(INDEX($AC$10:$AC$419,MATCH(1,IF($C18&amp;"-"&amp;E$10=$AA$10:$AA$419&amp;"-"&amp;$AB$10:$AB$419,1,0),0)),""),$X$10:$X$28,0)),"")</f>
        <v/>
      </c>
      <c r="F18" s="90" t="str" cm="1">
        <f t="array" ref="F18">IFERROR(INDEX($Y$10:$Y$28,MATCH(IFERROR(INDEX($AC$10:$AC$419,MATCH(1,IF($C18&amp;"-"&amp;F$10=$AA$10:$AA$419&amp;"-"&amp;$AB$10:$AB$419,1,0),0)),""),$X$10:$X$28,0)),"")</f>
        <v/>
      </c>
      <c r="G18" s="90" t="str" cm="1">
        <f t="array" ref="G18">IFERROR(INDEX($Y$10:$Y$28,MATCH(IFERROR(INDEX($AC$10:$AC$419,MATCH(1,IF($C18&amp;"-"&amp;G$10=$AA$10:$AA$419&amp;"-"&amp;$AB$10:$AB$419,1,0),0)),""),$X$10:$X$28,0)),"")</f>
        <v/>
      </c>
      <c r="H18" s="90" t="str" cm="1">
        <f t="array" ref="H18">IFERROR(INDEX($Y$10:$Y$28,MATCH(IFERROR(INDEX($AC$10:$AC$419,MATCH(1,IF($C18&amp;"-"&amp;H$10=$AA$10:$AA$419&amp;"-"&amp;$AB$10:$AB$419,1,0),0)),""),$X$10:$X$28,0)),"")</f>
        <v/>
      </c>
      <c r="I18" s="90" cm="1">
        <f t="array" ref="I18">IFERROR(INDEX($Y$10:$Y$28,MATCH(IFERROR(INDEX($AC$10:$AC$419,MATCH(1,IF($C18&amp;"-"&amp;I$10=$AA$10:$AA$419&amp;"-"&amp;$AB$10:$AB$419,1,0),0)),""),$X$10:$X$28,0)),"")</f>
        <v>74</v>
      </c>
      <c r="J18" s="90" cm="1">
        <f t="array" ref="J18">IFERROR(INDEX($Y$10:$Y$28,MATCH(IFERROR(INDEX($AC$10:$AC$419,MATCH(1,IF($C18&amp;"-"&amp;J$10=$AA$10:$AA$419&amp;"-"&amp;$AB$10:$AB$419,1,0),0)),""),$X$10:$X$28,0)),"")</f>
        <v>74</v>
      </c>
      <c r="K18" s="90" cm="1">
        <f t="array" ref="K18">IFERROR(INDEX($Y$10:$Y$28,MATCH(IFERROR(INDEX($AC$10:$AC$419,MATCH(1,IF($C18&amp;"-"&amp;K$10=$AA$10:$AA$419&amp;"-"&amp;$AB$10:$AB$419,1,0),0)),""),$X$10:$X$28,0)),"")</f>
        <v>74</v>
      </c>
      <c r="L18" s="90" cm="1">
        <f t="array" ref="L18">IFERROR(INDEX($Y$10:$Y$28,MATCH(IFERROR(INDEX($AC$10:$AC$419,MATCH(1,IF($C18&amp;"-"&amp;L$10=$AA$10:$AA$419&amp;"-"&amp;$AB$10:$AB$419,1,0),0)),""),$X$10:$X$28,0)),"")</f>
        <v>74</v>
      </c>
      <c r="M18" s="90" cm="1">
        <f t="array" ref="M18">IFERROR(INDEX($Y$10:$Y$28,MATCH(IFERROR(INDEX($AC$10:$AC$419,MATCH(1,IF($C18&amp;"-"&amp;M$10=$AA$10:$AA$419&amp;"-"&amp;$AB$10:$AB$419,1,0),0)),""),$X$10:$X$28,0)),"")</f>
        <v>200</v>
      </c>
      <c r="N18" s="90" cm="1">
        <f t="array" ref="N18">IFERROR(INDEX($Y$10:$Y$28,MATCH(IFERROR(INDEX($AC$10:$AC$419,MATCH(1,IF($C18&amp;"-"&amp;N$10=$AA$10:$AA$419&amp;"-"&amp;$AB$10:$AB$419,1,0),0)),""),$X$10:$X$28,0)),"")</f>
        <v>200</v>
      </c>
      <c r="O18" s="90" cm="1">
        <f t="array" ref="O18">IFERROR(INDEX($Y$10:$Y$28,MATCH(IFERROR(INDEX($AC$10:$AC$419,MATCH(1,IF($C18&amp;"-"&amp;O$10=$AA$10:$AA$419&amp;"-"&amp;$AB$10:$AB$419,1,0),0)),""),$X$10:$X$28,0)),"")</f>
        <v>200</v>
      </c>
      <c r="P18" s="90" cm="1">
        <f t="array" ref="P18">IFERROR(INDEX($Y$10:$Y$28,MATCH(IFERROR(INDEX($AC$10:$AC$419,MATCH(1,IF($C18&amp;"-"&amp;P$10=$AA$10:$AA$419&amp;"-"&amp;$AB$10:$AB$419,1,0),0)),""),$X$10:$X$28,0)),"")</f>
        <v>200</v>
      </c>
      <c r="Q18" s="90" cm="1">
        <f t="array" ref="Q18">IFERROR(INDEX($Y$10:$Y$28,MATCH(IFERROR(INDEX($AC$10:$AC$419,MATCH(1,IF($C18&amp;"-"&amp;Q$10=$AA$10:$AA$419&amp;"-"&amp;$AB$10:$AB$419,1,0),0)),""),$X$10:$X$28,0)),"")</f>
        <v>200</v>
      </c>
      <c r="R18" s="90" cm="1">
        <f t="array" ref="R18">IFERROR(INDEX($Y$10:$Y$28,MATCH(IFERROR(INDEX($AC$10:$AC$419,MATCH(1,IF($C18&amp;"-"&amp;R$10=$AA$10:$AA$419&amp;"-"&amp;$AB$10:$AB$419,1,0),0)),""),$X$10:$X$28,0)),"")</f>
        <v>88</v>
      </c>
      <c r="S18" s="90" cm="1">
        <f t="array" ref="S18">IFERROR(INDEX($Y$10:$Y$28,MATCH(IFERROR(INDEX($AC$10:$AC$419,MATCH(1,IF($C18&amp;"-"&amp;S$10=$AA$10:$AA$419&amp;"-"&amp;$AB$10:$AB$419,1,0),0)),""),$X$10:$X$28,0)),"")</f>
        <v>88</v>
      </c>
      <c r="T18" s="90" t="str" cm="1">
        <f t="array" ref="T18">IFERROR(INDEX($Y$10:$Y$28,MATCH(IFERROR(INDEX($AC$10:$AC$419,MATCH(1,IF($C18&amp;"-"&amp;T$10=$AA$10:$AA$419&amp;"-"&amp;$AB$10:$AB$419,1,0),0)),""),$X$10:$X$28,0)),"")</f>
        <v/>
      </c>
      <c r="X18" s="11" t="s">
        <v>214</v>
      </c>
      <c r="Y18" s="11">
        <v>305</v>
      </c>
      <c r="Z18" s="8"/>
      <c r="AA18" s="11">
        <v>2</v>
      </c>
      <c r="AB18" s="11">
        <v>14</v>
      </c>
      <c r="AC18" s="11" t="s">
        <v>205</v>
      </c>
      <c r="AD18" t="e">
        <v>#VALUE!</v>
      </c>
    </row>
    <row r="19" spans="2:30" x14ac:dyDescent="0.25">
      <c r="B19" s="207"/>
      <c r="C19">
        <v>9</v>
      </c>
      <c r="D19" s="90" t="str" cm="1">
        <f t="array" ref="D19">IFERROR(INDEX($Y$10:$Y$28,MATCH(IFERROR(INDEX($AC$10:$AC$419,MATCH(1,IF($C19&amp;"-"&amp;D$10=$AA$10:$AA$419&amp;"-"&amp;$AB$10:$AB$419,1,0),0)),""),$X$10:$X$28,0)),"")</f>
        <v/>
      </c>
      <c r="E19" s="90" t="str" cm="1">
        <f t="array" ref="E19">IFERROR(INDEX($Y$10:$Y$28,MATCH(IFERROR(INDEX($AC$10:$AC$419,MATCH(1,IF($C19&amp;"-"&amp;E$10=$AA$10:$AA$419&amp;"-"&amp;$AB$10:$AB$419,1,0),0)),""),$X$10:$X$28,0)),"")</f>
        <v/>
      </c>
      <c r="F19" s="90" t="str" cm="1">
        <f t="array" ref="F19">IFERROR(INDEX($Y$10:$Y$28,MATCH(IFERROR(INDEX($AC$10:$AC$419,MATCH(1,IF($C19&amp;"-"&amp;F$10=$AA$10:$AA$419&amp;"-"&amp;$AB$10:$AB$419,1,0),0)),""),$X$10:$X$28,0)),"")</f>
        <v/>
      </c>
      <c r="G19" s="90" t="str" cm="1">
        <f t="array" ref="G19">IFERROR(INDEX($Y$10:$Y$28,MATCH(IFERROR(INDEX($AC$10:$AC$419,MATCH(1,IF($C19&amp;"-"&amp;G$10=$AA$10:$AA$419&amp;"-"&amp;$AB$10:$AB$419,1,0),0)),""),$X$10:$X$28,0)),"")</f>
        <v/>
      </c>
      <c r="H19" s="90" cm="1">
        <f t="array" ref="H19">IFERROR(INDEX($Y$10:$Y$28,MATCH(IFERROR(INDEX($AC$10:$AC$419,MATCH(1,IF($C19&amp;"-"&amp;H$10=$AA$10:$AA$419&amp;"-"&amp;$AB$10:$AB$419,1,0),0)),""),$X$10:$X$28,0)),"")</f>
        <v>74</v>
      </c>
      <c r="I19" s="90" cm="1">
        <f t="array" ref="I19">IFERROR(INDEX($Y$10:$Y$28,MATCH(IFERROR(INDEX($AC$10:$AC$419,MATCH(1,IF($C19&amp;"-"&amp;I$10=$AA$10:$AA$419&amp;"-"&amp;$AB$10:$AB$419,1,0),0)),""),$X$10:$X$28,0)),"")</f>
        <v>74</v>
      </c>
      <c r="J19" s="90" cm="1">
        <f t="array" ref="J19">IFERROR(INDEX($Y$10:$Y$28,MATCH(IFERROR(INDEX($AC$10:$AC$419,MATCH(1,IF($C19&amp;"-"&amp;J$10=$AA$10:$AA$419&amp;"-"&amp;$AB$10:$AB$419,1,0),0)),""),$X$10:$X$28,0)),"")</f>
        <v>74</v>
      </c>
      <c r="K19" s="90" cm="1">
        <f t="array" ref="K19">IFERROR(INDEX($Y$10:$Y$28,MATCH(IFERROR(INDEX($AC$10:$AC$419,MATCH(1,IF($C19&amp;"-"&amp;K$10=$AA$10:$AA$419&amp;"-"&amp;$AB$10:$AB$419,1,0),0)),""),$X$10:$X$28,0)),"")</f>
        <v>74</v>
      </c>
      <c r="L19" s="90" cm="1">
        <f t="array" ref="L19">IFERROR(INDEX($Y$10:$Y$28,MATCH(IFERROR(INDEX($AC$10:$AC$419,MATCH(1,IF($C19&amp;"-"&amp;L$10=$AA$10:$AA$419&amp;"-"&amp;$AB$10:$AB$419,1,0),0)),""),$X$10:$X$28,0)),"")</f>
        <v>74</v>
      </c>
      <c r="M19" s="90" cm="1">
        <f t="array" ref="M19">IFERROR(INDEX($Y$10:$Y$28,MATCH(IFERROR(INDEX($AC$10:$AC$419,MATCH(1,IF($C19&amp;"-"&amp;M$10=$AA$10:$AA$419&amp;"-"&amp;$AB$10:$AB$419,1,0),0)),""),$X$10:$X$28,0)),"")</f>
        <v>74</v>
      </c>
      <c r="N19" s="90" cm="1">
        <f t="array" ref="N19">IFERROR(INDEX($Y$10:$Y$28,MATCH(IFERROR(INDEX($AC$10:$AC$419,MATCH(1,IF($C19&amp;"-"&amp;N$10=$AA$10:$AA$419&amp;"-"&amp;$AB$10:$AB$419,1,0),0)),""),$X$10:$X$28,0)),"")</f>
        <v>200</v>
      </c>
      <c r="O19" s="90" cm="1">
        <f t="array" ref="O19">IFERROR(INDEX($Y$10:$Y$28,MATCH(IFERROR(INDEX($AC$10:$AC$419,MATCH(1,IF($C19&amp;"-"&amp;O$10=$AA$10:$AA$419&amp;"-"&amp;$AB$10:$AB$419,1,0),0)),""),$X$10:$X$28,0)),"")</f>
        <v>200</v>
      </c>
      <c r="P19" s="90" cm="1">
        <f t="array" ref="P19">IFERROR(INDEX($Y$10:$Y$28,MATCH(IFERROR(INDEX($AC$10:$AC$419,MATCH(1,IF($C19&amp;"-"&amp;P$10=$AA$10:$AA$419&amp;"-"&amp;$AB$10:$AB$419,1,0),0)),""),$X$10:$X$28,0)),"")</f>
        <v>200</v>
      </c>
      <c r="Q19" s="90" cm="1">
        <f t="array" ref="Q19">IFERROR(INDEX($Y$10:$Y$28,MATCH(IFERROR(INDEX($AC$10:$AC$419,MATCH(1,IF($C19&amp;"-"&amp;Q$10=$AA$10:$AA$419&amp;"-"&amp;$AB$10:$AB$419,1,0),0)),""),$X$10:$X$28,0)),"")</f>
        <v>200</v>
      </c>
      <c r="R19" s="90" cm="1">
        <f t="array" ref="R19">IFERROR(INDEX($Y$10:$Y$28,MATCH(IFERROR(INDEX($AC$10:$AC$419,MATCH(1,IF($C19&amp;"-"&amp;R$10=$AA$10:$AA$419&amp;"-"&amp;$AB$10:$AB$419,1,0),0)),""),$X$10:$X$28,0)),"")</f>
        <v>88</v>
      </c>
      <c r="S19" s="90" cm="1">
        <f t="array" ref="S19">IFERROR(INDEX($Y$10:$Y$28,MATCH(IFERROR(INDEX($AC$10:$AC$419,MATCH(1,IF($C19&amp;"-"&amp;S$10=$AA$10:$AA$419&amp;"-"&amp;$AB$10:$AB$419,1,0),0)),""),$X$10:$X$28,0)),"")</f>
        <v>88</v>
      </c>
      <c r="T19" s="90" t="str" cm="1">
        <f t="array" ref="T19">IFERROR(INDEX($Y$10:$Y$28,MATCH(IFERROR(INDEX($AC$10:$AC$419,MATCH(1,IF($C19&amp;"-"&amp;T$10=$AA$10:$AA$419&amp;"-"&amp;$AB$10:$AB$419,1,0),0)),""),$X$10:$X$28,0)),"")</f>
        <v/>
      </c>
      <c r="X19" s="11" t="s">
        <v>215</v>
      </c>
      <c r="Y19" s="11">
        <v>27</v>
      </c>
      <c r="Z19" s="8"/>
      <c r="AA19" s="11">
        <v>2</v>
      </c>
      <c r="AB19" s="11">
        <v>15</v>
      </c>
      <c r="AC19" s="11" t="s">
        <v>210</v>
      </c>
      <c r="AD19" t="e">
        <v>#VALUE!</v>
      </c>
    </row>
    <row r="20" spans="2:30" x14ac:dyDescent="0.25">
      <c r="B20" s="207"/>
      <c r="C20">
        <v>10</v>
      </c>
      <c r="D20" s="90" t="str" cm="1">
        <f t="array" ref="D20">IFERROR(INDEX($Y$10:$Y$28,MATCH(IFERROR(INDEX($AC$10:$AC$419,MATCH(1,IF($C20&amp;"-"&amp;D$10=$AA$10:$AA$419&amp;"-"&amp;$AB$10:$AB$419,1,0),0)),""),$X$10:$X$28,0)),"")</f>
        <v/>
      </c>
      <c r="E20" s="90" t="str" cm="1">
        <f t="array" ref="E20">IFERROR(INDEX($Y$10:$Y$28,MATCH(IFERROR(INDEX($AC$10:$AC$419,MATCH(1,IF($C20&amp;"-"&amp;E$10=$AA$10:$AA$419&amp;"-"&amp;$AB$10:$AB$419,1,0),0)),""),$X$10:$X$28,0)),"")</f>
        <v/>
      </c>
      <c r="F20" s="90" t="str" cm="1">
        <f t="array" ref="F20">IFERROR(INDEX($Y$10:$Y$28,MATCH(IFERROR(INDEX($AC$10:$AC$419,MATCH(1,IF($C20&amp;"-"&amp;F$10=$AA$10:$AA$419&amp;"-"&amp;$AB$10:$AB$419,1,0),0)),""),$X$10:$X$28,0)),"")</f>
        <v/>
      </c>
      <c r="G20" s="90" t="str" cm="1">
        <f t="array" ref="G20">IFERROR(INDEX($Y$10:$Y$28,MATCH(IFERROR(INDEX($AC$10:$AC$419,MATCH(1,IF($C20&amp;"-"&amp;G$10=$AA$10:$AA$419&amp;"-"&amp;$AB$10:$AB$419,1,0),0)),""),$X$10:$X$28,0)),"")</f>
        <v/>
      </c>
      <c r="H20" s="90" t="str" cm="1">
        <f t="array" ref="H20">IFERROR(INDEX($Y$10:$Y$28,MATCH(IFERROR(INDEX($AC$10:$AC$419,MATCH(1,IF($C20&amp;"-"&amp;H$10=$AA$10:$AA$419&amp;"-"&amp;$AB$10:$AB$419,1,0),0)),""),$X$10:$X$28,0)),"")</f>
        <v/>
      </c>
      <c r="I20" s="90" cm="1">
        <f t="array" ref="I20">IFERROR(INDEX($Y$10:$Y$28,MATCH(IFERROR(INDEX($AC$10:$AC$419,MATCH(1,IF($C20&amp;"-"&amp;I$10=$AA$10:$AA$419&amp;"-"&amp;$AB$10:$AB$419,1,0),0)),""),$X$10:$X$28,0)),"")</f>
        <v>321</v>
      </c>
      <c r="J20" s="90" cm="1">
        <f t="array" ref="J20">IFERROR(INDEX($Y$10:$Y$28,MATCH(IFERROR(INDEX($AC$10:$AC$419,MATCH(1,IF($C20&amp;"-"&amp;J$10=$AA$10:$AA$419&amp;"-"&amp;$AB$10:$AB$419,1,0),0)),""),$X$10:$X$28,0)),"")</f>
        <v>74</v>
      </c>
      <c r="K20" s="90" cm="1">
        <f t="array" ref="K20">IFERROR(INDEX($Y$10:$Y$28,MATCH(IFERROR(INDEX($AC$10:$AC$419,MATCH(1,IF($C20&amp;"-"&amp;K$10=$AA$10:$AA$419&amp;"-"&amp;$AB$10:$AB$419,1,0),0)),""),$X$10:$X$28,0)),"")</f>
        <v>74</v>
      </c>
      <c r="L20" s="90" cm="1">
        <f t="array" ref="L20">IFERROR(INDEX($Y$10:$Y$28,MATCH(IFERROR(INDEX($AC$10:$AC$419,MATCH(1,IF($C20&amp;"-"&amp;L$10=$AA$10:$AA$419&amp;"-"&amp;$AB$10:$AB$419,1,0),0)),""),$X$10:$X$28,0)),"")</f>
        <v>74</v>
      </c>
      <c r="M20" s="90" cm="1">
        <f t="array" ref="M20">IFERROR(INDEX($Y$10:$Y$28,MATCH(IFERROR(INDEX($AC$10:$AC$419,MATCH(1,IF($C20&amp;"-"&amp;M$10=$AA$10:$AA$419&amp;"-"&amp;$AB$10:$AB$419,1,0),0)),""),$X$10:$X$28,0)),"")</f>
        <v>74</v>
      </c>
      <c r="N20" s="90" cm="1">
        <f t="array" ref="N20">IFERROR(INDEX($Y$10:$Y$28,MATCH(IFERROR(INDEX($AC$10:$AC$419,MATCH(1,IF($C20&amp;"-"&amp;N$10=$AA$10:$AA$419&amp;"-"&amp;$AB$10:$AB$419,1,0),0)),""),$X$10:$X$28,0)),"")</f>
        <v>74</v>
      </c>
      <c r="O20" s="90" cm="1">
        <f t="array" ref="O20">IFERROR(INDEX($Y$10:$Y$28,MATCH(IFERROR(INDEX($AC$10:$AC$419,MATCH(1,IF($C20&amp;"-"&amp;O$10=$AA$10:$AA$419&amp;"-"&amp;$AB$10:$AB$419,1,0),0)),""),$X$10:$X$28,0)),"")</f>
        <v>200</v>
      </c>
      <c r="P20" s="90" cm="1">
        <f t="array" ref="P20">IFERROR(INDEX($Y$10:$Y$28,MATCH(IFERROR(INDEX($AC$10:$AC$419,MATCH(1,IF($C20&amp;"-"&amp;P$10=$AA$10:$AA$419&amp;"-"&amp;$AB$10:$AB$419,1,0),0)),""),$X$10:$X$28,0)),"")</f>
        <v>200</v>
      </c>
      <c r="Q20" s="90" cm="1">
        <f t="array" ref="Q20">IFERROR(INDEX($Y$10:$Y$28,MATCH(IFERROR(INDEX($AC$10:$AC$419,MATCH(1,IF($C20&amp;"-"&amp;Q$10=$AA$10:$AA$419&amp;"-"&amp;$AB$10:$AB$419,1,0),0)),""),$X$10:$X$28,0)),"")</f>
        <v>200</v>
      </c>
      <c r="R20" s="90" cm="1">
        <f t="array" ref="R20">IFERROR(INDEX($Y$10:$Y$28,MATCH(IFERROR(INDEX($AC$10:$AC$419,MATCH(1,IF($C20&amp;"-"&amp;R$10=$AA$10:$AA$419&amp;"-"&amp;$AB$10:$AB$419,1,0),0)),""),$X$10:$X$28,0)),"")</f>
        <v>88</v>
      </c>
      <c r="S20" s="90" cm="1">
        <f t="array" ref="S20">IFERROR(INDEX($Y$10:$Y$28,MATCH(IFERROR(INDEX($AC$10:$AC$419,MATCH(1,IF($C20&amp;"-"&amp;S$10=$AA$10:$AA$419&amp;"-"&amp;$AB$10:$AB$419,1,0),0)),""),$X$10:$X$28,0)),"")</f>
        <v>88</v>
      </c>
      <c r="T20" s="90" cm="1">
        <f t="array" ref="T20">IFERROR(INDEX($Y$10:$Y$28,MATCH(IFERROR(INDEX($AC$10:$AC$419,MATCH(1,IF($C20&amp;"-"&amp;T$10=$AA$10:$AA$419&amp;"-"&amp;$AB$10:$AB$419,1,0),0)),""),$X$10:$X$28,0)),"")</f>
        <v>88</v>
      </c>
      <c r="X20" s="11" t="s">
        <v>216</v>
      </c>
      <c r="Y20" s="11">
        <v>26</v>
      </c>
      <c r="Z20" s="8"/>
      <c r="AA20" s="11">
        <v>2</v>
      </c>
      <c r="AB20" s="11">
        <v>16</v>
      </c>
      <c r="AC20" s="11" t="s">
        <v>210</v>
      </c>
      <c r="AD20" t="e">
        <v>#VALUE!</v>
      </c>
    </row>
    <row r="21" spans="2:30" x14ac:dyDescent="0.25">
      <c r="B21" s="207"/>
      <c r="C21">
        <v>11</v>
      </c>
      <c r="D21" s="90" t="str" cm="1">
        <f t="array" ref="D21">IFERROR(INDEX($Y$10:$Y$28,MATCH(IFERROR(INDEX($AC$10:$AC$419,MATCH(1,IF($C21&amp;"-"&amp;D$10=$AA$10:$AA$419&amp;"-"&amp;$AB$10:$AB$419,1,0),0)),""),$X$10:$X$28,0)),"")</f>
        <v/>
      </c>
      <c r="E21" s="90" t="str" cm="1">
        <f t="array" ref="E21">IFERROR(INDEX($Y$10:$Y$28,MATCH(IFERROR(INDEX($AC$10:$AC$419,MATCH(1,IF($C21&amp;"-"&amp;E$10=$AA$10:$AA$419&amp;"-"&amp;$AB$10:$AB$419,1,0),0)),""),$X$10:$X$28,0)),"")</f>
        <v/>
      </c>
      <c r="F21" s="90" t="str" cm="1">
        <f t="array" ref="F21">IFERROR(INDEX($Y$10:$Y$28,MATCH(IFERROR(INDEX($AC$10:$AC$419,MATCH(1,IF($C21&amp;"-"&amp;F$10=$AA$10:$AA$419&amp;"-"&amp;$AB$10:$AB$419,1,0),0)),""),$X$10:$X$28,0)),"")</f>
        <v/>
      </c>
      <c r="G21" s="90" t="str" cm="1">
        <f t="array" ref="G21">IFERROR(INDEX($Y$10:$Y$28,MATCH(IFERROR(INDEX($AC$10:$AC$419,MATCH(1,IF($C21&amp;"-"&amp;G$10=$AA$10:$AA$419&amp;"-"&amp;$AB$10:$AB$419,1,0),0)),""),$X$10:$X$28,0)),"")</f>
        <v/>
      </c>
      <c r="H21" s="90" cm="1">
        <f t="array" ref="H21">IFERROR(INDEX($Y$10:$Y$28,MATCH(IFERROR(INDEX($AC$10:$AC$419,MATCH(1,IF($C21&amp;"-"&amp;H$10=$AA$10:$AA$419&amp;"-"&amp;$AB$10:$AB$419,1,0),0)),""),$X$10:$X$28,0)),"")</f>
        <v>321</v>
      </c>
      <c r="I21" s="90" cm="1">
        <f t="array" ref="I21">IFERROR(INDEX($Y$10:$Y$28,MATCH(IFERROR(INDEX($AC$10:$AC$419,MATCH(1,IF($C21&amp;"-"&amp;I$10=$AA$10:$AA$419&amp;"-"&amp;$AB$10:$AB$419,1,0),0)),""),$X$10:$X$28,0)),"")</f>
        <v>321</v>
      </c>
      <c r="J21" s="90" cm="1">
        <f t="array" ref="J21">IFERROR(INDEX($Y$10:$Y$28,MATCH(IFERROR(INDEX($AC$10:$AC$419,MATCH(1,IF($C21&amp;"-"&amp;J$10=$AA$10:$AA$419&amp;"-"&amp;$AB$10:$AB$419,1,0),0)),""),$X$10:$X$28,0)),"")</f>
        <v>321</v>
      </c>
      <c r="K21" s="90" cm="1">
        <f t="array" ref="K21">IFERROR(INDEX($Y$10:$Y$28,MATCH(IFERROR(INDEX($AC$10:$AC$419,MATCH(1,IF($C21&amp;"-"&amp;K$10=$AA$10:$AA$419&amp;"-"&amp;$AB$10:$AB$419,1,0),0)),""),$X$10:$X$28,0)),"")</f>
        <v>74</v>
      </c>
      <c r="L21" s="90" cm="1">
        <f t="array" ref="L21">IFERROR(INDEX($Y$10:$Y$28,MATCH(IFERROR(INDEX($AC$10:$AC$419,MATCH(1,IF($C21&amp;"-"&amp;L$10=$AA$10:$AA$419&amp;"-"&amp;$AB$10:$AB$419,1,0),0)),""),$X$10:$X$28,0)),"")</f>
        <v>74</v>
      </c>
      <c r="M21" s="90" cm="1">
        <f t="array" ref="M21">IFERROR(INDEX($Y$10:$Y$28,MATCH(IFERROR(INDEX($AC$10:$AC$419,MATCH(1,IF($C21&amp;"-"&amp;M$10=$AA$10:$AA$419&amp;"-"&amp;$AB$10:$AB$419,1,0),0)),""),$X$10:$X$28,0)),"")</f>
        <v>74</v>
      </c>
      <c r="N21" s="90" cm="1">
        <f t="array" ref="N21">IFERROR(INDEX($Y$10:$Y$28,MATCH(IFERROR(INDEX($AC$10:$AC$419,MATCH(1,IF($C21&amp;"-"&amp;N$10=$AA$10:$AA$419&amp;"-"&amp;$AB$10:$AB$419,1,0),0)),""),$X$10:$X$28,0)),"")</f>
        <v>74</v>
      </c>
      <c r="O21" s="90" cm="1">
        <f t="array" ref="O21">IFERROR(INDEX($Y$10:$Y$28,MATCH(IFERROR(INDEX($AC$10:$AC$419,MATCH(1,IF($C21&amp;"-"&amp;O$10=$AA$10:$AA$419&amp;"-"&amp;$AB$10:$AB$419,1,0),0)),""),$X$10:$X$28,0)),"")</f>
        <v>200</v>
      </c>
      <c r="P21" s="90" cm="1">
        <f t="array" ref="P21">IFERROR(INDEX($Y$10:$Y$28,MATCH(IFERROR(INDEX($AC$10:$AC$419,MATCH(1,IF($C21&amp;"-"&amp;P$10=$AA$10:$AA$419&amp;"-"&amp;$AB$10:$AB$419,1,0),0)),""),$X$10:$X$28,0)),"")</f>
        <v>200</v>
      </c>
      <c r="Q21" s="90" cm="1">
        <f t="array" ref="Q21">IFERROR(INDEX($Y$10:$Y$28,MATCH(IFERROR(INDEX($AC$10:$AC$419,MATCH(1,IF($C21&amp;"-"&amp;Q$10=$AA$10:$AA$419&amp;"-"&amp;$AB$10:$AB$419,1,0),0)),""),$X$10:$X$28,0)),"")</f>
        <v>200</v>
      </c>
      <c r="R21" s="90" cm="1">
        <f t="array" ref="R21">IFERROR(INDEX($Y$10:$Y$28,MATCH(IFERROR(INDEX($AC$10:$AC$419,MATCH(1,IF($C21&amp;"-"&amp;R$10=$AA$10:$AA$419&amp;"-"&amp;$AB$10:$AB$419,1,0),0)),""),$X$10:$X$28,0)),"")</f>
        <v>88</v>
      </c>
      <c r="S21" s="90" cm="1">
        <f t="array" ref="S21">IFERROR(INDEX($Y$10:$Y$28,MATCH(IFERROR(INDEX($AC$10:$AC$419,MATCH(1,IF($C21&amp;"-"&amp;S$10=$AA$10:$AA$419&amp;"-"&amp;$AB$10:$AB$419,1,0),0)),""),$X$10:$X$28,0)),"")</f>
        <v>88</v>
      </c>
      <c r="T21" s="90" t="str" cm="1">
        <f t="array" ref="T21">IFERROR(INDEX($Y$10:$Y$28,MATCH(IFERROR(INDEX($AC$10:$AC$419,MATCH(1,IF($C21&amp;"-"&amp;T$10=$AA$10:$AA$419&amp;"-"&amp;$AB$10:$AB$419,1,0),0)),""),$X$10:$X$28,0)),"")</f>
        <v/>
      </c>
      <c r="X21" s="11" t="s">
        <v>217</v>
      </c>
      <c r="Y21" s="11">
        <v>52</v>
      </c>
      <c r="Z21" s="8"/>
      <c r="AA21" s="11">
        <v>3</v>
      </c>
      <c r="AB21" s="11">
        <v>10</v>
      </c>
      <c r="AC21" s="11" t="s">
        <v>205</v>
      </c>
      <c r="AD21" t="e">
        <v>#VALUE!</v>
      </c>
    </row>
    <row r="22" spans="2:30" x14ac:dyDescent="0.25">
      <c r="B22" s="207"/>
      <c r="C22">
        <v>12</v>
      </c>
      <c r="D22" s="90" t="str" cm="1">
        <f t="array" ref="D22">IFERROR(INDEX($Y$10:$Y$28,MATCH(IFERROR(INDEX($AC$10:$AC$419,MATCH(1,IF($C22&amp;"-"&amp;D$10=$AA$10:$AA$419&amp;"-"&amp;$AB$10:$AB$419,1,0),0)),""),$X$10:$X$28,0)),"")</f>
        <v/>
      </c>
      <c r="E22" s="90" t="str" cm="1">
        <f t="array" ref="E22">IFERROR(INDEX($Y$10:$Y$28,MATCH(IFERROR(INDEX($AC$10:$AC$419,MATCH(1,IF($C22&amp;"-"&amp;E$10=$AA$10:$AA$419&amp;"-"&amp;$AB$10:$AB$419,1,0),0)),""),$X$10:$X$28,0)),"")</f>
        <v/>
      </c>
      <c r="F22" s="90" t="str" cm="1">
        <f t="array" ref="F22">IFERROR(INDEX($Y$10:$Y$28,MATCH(IFERROR(INDEX($AC$10:$AC$419,MATCH(1,IF($C22&amp;"-"&amp;F$10=$AA$10:$AA$419&amp;"-"&amp;$AB$10:$AB$419,1,0),0)),""),$X$10:$X$28,0)),"")</f>
        <v/>
      </c>
      <c r="G22" s="90" cm="1">
        <f t="array" ref="G22">IFERROR(INDEX($Y$10:$Y$28,MATCH(IFERROR(INDEX($AC$10:$AC$419,MATCH(1,IF($C22&amp;"-"&amp;G$10=$AA$10:$AA$419&amp;"-"&amp;$AB$10:$AB$419,1,0),0)),""),$X$10:$X$28,0)),"")</f>
        <v>321</v>
      </c>
      <c r="H22" s="90" cm="1">
        <f t="array" ref="H22">IFERROR(INDEX($Y$10:$Y$28,MATCH(IFERROR(INDEX($AC$10:$AC$419,MATCH(1,IF($C22&amp;"-"&amp;H$10=$AA$10:$AA$419&amp;"-"&amp;$AB$10:$AB$419,1,0),0)),""),$X$10:$X$28,0)),"")</f>
        <v>321</v>
      </c>
      <c r="I22" s="90" cm="1">
        <f t="array" ref="I22">IFERROR(INDEX($Y$10:$Y$28,MATCH(IFERROR(INDEX($AC$10:$AC$419,MATCH(1,IF($C22&amp;"-"&amp;I$10=$AA$10:$AA$419&amp;"-"&amp;$AB$10:$AB$419,1,0),0)),""),$X$10:$X$28,0)),"")</f>
        <v>321</v>
      </c>
      <c r="J22" s="90" cm="1">
        <f t="array" ref="J22">IFERROR(INDEX($Y$10:$Y$28,MATCH(IFERROR(INDEX($AC$10:$AC$419,MATCH(1,IF($C22&amp;"-"&amp;J$10=$AA$10:$AA$419&amp;"-"&amp;$AB$10:$AB$419,1,0),0)),""),$X$10:$X$28,0)),"")</f>
        <v>321</v>
      </c>
      <c r="K22" s="90" cm="1">
        <f t="array" ref="K22">IFERROR(INDEX($Y$10:$Y$28,MATCH(IFERROR(INDEX($AC$10:$AC$419,MATCH(1,IF($C22&amp;"-"&amp;K$10=$AA$10:$AA$419&amp;"-"&amp;$AB$10:$AB$419,1,0),0)),""),$X$10:$X$28,0)),"")</f>
        <v>321</v>
      </c>
      <c r="L22" s="90" cm="1">
        <f t="array" ref="L22">IFERROR(INDEX($Y$10:$Y$28,MATCH(IFERROR(INDEX($AC$10:$AC$419,MATCH(1,IF($C22&amp;"-"&amp;L$10=$AA$10:$AA$419&amp;"-"&amp;$AB$10:$AB$419,1,0),0)),""),$X$10:$X$28,0)),"")</f>
        <v>74</v>
      </c>
      <c r="M22" s="90" cm="1">
        <f t="array" ref="M22">IFERROR(INDEX($Y$10:$Y$28,MATCH(IFERROR(INDEX($AC$10:$AC$419,MATCH(1,IF($C22&amp;"-"&amp;M$10=$AA$10:$AA$419&amp;"-"&amp;$AB$10:$AB$419,1,0),0)),""),$X$10:$X$28,0)),"")</f>
        <v>74</v>
      </c>
      <c r="N22" s="90" cm="1">
        <f t="array" ref="N22">IFERROR(INDEX($Y$10:$Y$28,MATCH(IFERROR(INDEX($AC$10:$AC$419,MATCH(1,IF($C22&amp;"-"&amp;N$10=$AA$10:$AA$419&amp;"-"&amp;$AB$10:$AB$419,1,0),0)),""),$X$10:$X$28,0)),"")</f>
        <v>74</v>
      </c>
      <c r="O22" s="90" cm="1">
        <f t="array" ref="O22">IFERROR(INDEX($Y$10:$Y$28,MATCH(IFERROR(INDEX($AC$10:$AC$419,MATCH(1,IF($C22&amp;"-"&amp;O$10=$AA$10:$AA$419&amp;"-"&amp;$AB$10:$AB$419,1,0),0)),""),$X$10:$X$28,0)),"")</f>
        <v>74</v>
      </c>
      <c r="P22" s="90" cm="1">
        <f t="array" ref="P22">IFERROR(INDEX($Y$10:$Y$28,MATCH(IFERROR(INDEX($AC$10:$AC$419,MATCH(1,IF($C22&amp;"-"&amp;P$10=$AA$10:$AA$419&amp;"-"&amp;$AB$10:$AB$419,1,0),0)),""),$X$10:$X$28,0)),"")</f>
        <v>116</v>
      </c>
      <c r="Q22" s="90" cm="1">
        <f t="array" ref="Q22">IFERROR(INDEX($Y$10:$Y$28,MATCH(IFERROR(INDEX($AC$10:$AC$419,MATCH(1,IF($C22&amp;"-"&amp;Q$10=$AA$10:$AA$419&amp;"-"&amp;$AB$10:$AB$419,1,0),0)),""),$X$10:$X$28,0)),"")</f>
        <v>116</v>
      </c>
      <c r="R22" s="90" cm="1">
        <f t="array" ref="R22">IFERROR(INDEX($Y$10:$Y$28,MATCH(IFERROR(INDEX($AC$10:$AC$419,MATCH(1,IF($C22&amp;"-"&amp;R$10=$AA$10:$AA$419&amp;"-"&amp;$AB$10:$AB$419,1,0),0)),""),$X$10:$X$28,0)),"")</f>
        <v>88</v>
      </c>
      <c r="S22" s="90" cm="1">
        <f t="array" ref="S22">IFERROR(INDEX($Y$10:$Y$28,MATCH(IFERROR(INDEX($AC$10:$AC$419,MATCH(1,IF($C22&amp;"-"&amp;S$10=$AA$10:$AA$419&amp;"-"&amp;$AB$10:$AB$419,1,0),0)),""),$X$10:$X$28,0)),"")</f>
        <v>88</v>
      </c>
      <c r="T22" s="90" t="str" cm="1">
        <f t="array" ref="T22">IFERROR(INDEX($Y$10:$Y$28,MATCH(IFERROR(INDEX($AC$10:$AC$419,MATCH(1,IF($C22&amp;"-"&amp;T$10=$AA$10:$AA$419&amp;"-"&amp;$AB$10:$AB$419,1,0),0)),""),$X$10:$X$28,0)),"")</f>
        <v/>
      </c>
      <c r="X22" s="11" t="s">
        <v>218</v>
      </c>
      <c r="Y22" s="11">
        <v>14</v>
      </c>
      <c r="Z22" s="8"/>
      <c r="AA22" s="11">
        <v>3</v>
      </c>
      <c r="AB22" s="11">
        <v>11</v>
      </c>
      <c r="AC22" s="11" t="s">
        <v>205</v>
      </c>
      <c r="AD22" t="e">
        <v>#VALUE!</v>
      </c>
    </row>
    <row r="23" spans="2:30" x14ac:dyDescent="0.25">
      <c r="B23" s="207"/>
      <c r="C23">
        <v>13</v>
      </c>
      <c r="D23" s="90" t="str" cm="1">
        <f t="array" ref="D23">IFERROR(INDEX($Y$10:$Y$28,MATCH(IFERROR(INDEX($AC$10:$AC$419,MATCH(1,IF($C23&amp;"-"&amp;D$10=$AA$10:$AA$419&amp;"-"&amp;$AB$10:$AB$419,1,0),0)),""),$X$10:$X$28,0)),"")</f>
        <v/>
      </c>
      <c r="E23" s="90" t="str" cm="1">
        <f t="array" ref="E23">IFERROR(INDEX($Y$10:$Y$28,MATCH(IFERROR(INDEX($AC$10:$AC$419,MATCH(1,IF($C23&amp;"-"&amp;E$10=$AA$10:$AA$419&amp;"-"&amp;$AB$10:$AB$419,1,0),0)),""),$X$10:$X$28,0)),"")</f>
        <v/>
      </c>
      <c r="F23" s="90" t="str" cm="1">
        <f t="array" ref="F23">IFERROR(INDEX($Y$10:$Y$28,MATCH(IFERROR(INDEX($AC$10:$AC$419,MATCH(1,IF($C23&amp;"-"&amp;F$10=$AA$10:$AA$419&amp;"-"&amp;$AB$10:$AB$419,1,0),0)),""),$X$10:$X$28,0)),"")</f>
        <v/>
      </c>
      <c r="G23" s="90" cm="1">
        <f t="array" ref="G23">IFERROR(INDEX($Y$10:$Y$28,MATCH(IFERROR(INDEX($AC$10:$AC$419,MATCH(1,IF($C23&amp;"-"&amp;G$10=$AA$10:$AA$419&amp;"-"&amp;$AB$10:$AB$419,1,0),0)),""),$X$10:$X$28,0)),"")</f>
        <v>321</v>
      </c>
      <c r="H23" s="90" cm="1">
        <f t="array" ref="H23">IFERROR(INDEX($Y$10:$Y$28,MATCH(IFERROR(INDEX($AC$10:$AC$419,MATCH(1,IF($C23&amp;"-"&amp;H$10=$AA$10:$AA$419&amp;"-"&amp;$AB$10:$AB$419,1,0),0)),""),$X$10:$X$28,0)),"")</f>
        <v>321</v>
      </c>
      <c r="I23" s="90" cm="1">
        <f t="array" ref="I23">IFERROR(INDEX($Y$10:$Y$28,MATCH(IFERROR(INDEX($AC$10:$AC$419,MATCH(1,IF($C23&amp;"-"&amp;I$10=$AA$10:$AA$419&amp;"-"&amp;$AB$10:$AB$419,1,0),0)),""),$X$10:$X$28,0)),"")</f>
        <v>321</v>
      </c>
      <c r="J23" s="90" cm="1">
        <f t="array" ref="J23">IFERROR(INDEX($Y$10:$Y$28,MATCH(IFERROR(INDEX($AC$10:$AC$419,MATCH(1,IF($C23&amp;"-"&amp;J$10=$AA$10:$AA$419&amp;"-"&amp;$AB$10:$AB$419,1,0),0)),""),$X$10:$X$28,0)),"")</f>
        <v>321</v>
      </c>
      <c r="K23" s="90" cm="1">
        <f t="array" ref="K23">IFERROR(INDEX($Y$10:$Y$28,MATCH(IFERROR(INDEX($AC$10:$AC$419,MATCH(1,IF($C23&amp;"-"&amp;K$10=$AA$10:$AA$419&amp;"-"&amp;$AB$10:$AB$419,1,0),0)),""),$X$10:$X$28,0)),"")</f>
        <v>321</v>
      </c>
      <c r="L23" s="90" cm="1">
        <f t="array" ref="L23">IFERROR(INDEX($Y$10:$Y$28,MATCH(IFERROR(INDEX($AC$10:$AC$419,MATCH(1,IF($C23&amp;"-"&amp;L$10=$AA$10:$AA$419&amp;"-"&amp;$AB$10:$AB$419,1,0),0)),""),$X$10:$X$28,0)),"")</f>
        <v>74</v>
      </c>
      <c r="M23" s="90" cm="1">
        <f t="array" ref="M23">IFERROR(INDEX($Y$10:$Y$28,MATCH(IFERROR(INDEX($AC$10:$AC$419,MATCH(1,IF($C23&amp;"-"&amp;M$10=$AA$10:$AA$419&amp;"-"&amp;$AB$10:$AB$419,1,0),0)),""),$X$10:$X$28,0)),"")</f>
        <v>74</v>
      </c>
      <c r="N23" s="90" cm="1">
        <f t="array" ref="N23">IFERROR(INDEX($Y$10:$Y$28,MATCH(IFERROR(INDEX($AC$10:$AC$419,MATCH(1,IF($C23&amp;"-"&amp;N$10=$AA$10:$AA$419&amp;"-"&amp;$AB$10:$AB$419,1,0),0)),""),$X$10:$X$28,0)),"")</f>
        <v>74</v>
      </c>
      <c r="O23" s="90" cm="1">
        <f t="array" ref="O23">IFERROR(INDEX($Y$10:$Y$28,MATCH(IFERROR(INDEX($AC$10:$AC$419,MATCH(1,IF($C23&amp;"-"&amp;O$10=$AA$10:$AA$419&amp;"-"&amp;$AB$10:$AB$419,1,0),0)),""),$X$10:$X$28,0)),"")</f>
        <v>74</v>
      </c>
      <c r="P23" s="90" cm="1">
        <f t="array" ref="P23">IFERROR(INDEX($Y$10:$Y$28,MATCH(IFERROR(INDEX($AC$10:$AC$419,MATCH(1,IF($C23&amp;"-"&amp;P$10=$AA$10:$AA$419&amp;"-"&amp;$AB$10:$AB$419,1,0),0)),""),$X$10:$X$28,0)),"")</f>
        <v>116</v>
      </c>
      <c r="Q23" s="90" cm="1">
        <f t="array" ref="Q23">IFERROR(INDEX($Y$10:$Y$28,MATCH(IFERROR(INDEX($AC$10:$AC$419,MATCH(1,IF($C23&amp;"-"&amp;Q$10=$AA$10:$AA$419&amp;"-"&amp;$AB$10:$AB$419,1,0),0)),""),$X$10:$X$28,0)),"")</f>
        <v>116</v>
      </c>
      <c r="R23" s="90" cm="1">
        <f t="array" ref="R23">IFERROR(INDEX($Y$10:$Y$28,MATCH(IFERROR(INDEX($AC$10:$AC$419,MATCH(1,IF($C23&amp;"-"&amp;R$10=$AA$10:$AA$419&amp;"-"&amp;$AB$10:$AB$419,1,0),0)),""),$X$10:$X$28,0)),"")</f>
        <v>88</v>
      </c>
      <c r="S23" s="90" cm="1">
        <f t="array" ref="S23">IFERROR(INDEX($Y$10:$Y$28,MATCH(IFERROR(INDEX($AC$10:$AC$419,MATCH(1,IF($C23&amp;"-"&amp;S$10=$AA$10:$AA$419&amp;"-"&amp;$AB$10:$AB$419,1,0),0)),""),$X$10:$X$28,0)),"")</f>
        <v>88</v>
      </c>
      <c r="T23" s="90" t="str" cm="1">
        <f t="array" ref="T23">IFERROR(INDEX($Y$10:$Y$28,MATCH(IFERROR(INDEX($AC$10:$AC$419,MATCH(1,IF($C23&amp;"-"&amp;T$10=$AA$10:$AA$419&amp;"-"&amp;$AB$10:$AB$419,1,0),0)),""),$X$10:$X$28,0)),"")</f>
        <v/>
      </c>
      <c r="X23" s="11" t="s">
        <v>219</v>
      </c>
      <c r="Y23" s="11">
        <v>9</v>
      </c>
      <c r="Z23" s="8"/>
      <c r="AA23" s="11">
        <v>3</v>
      </c>
      <c r="AB23" s="11">
        <v>13</v>
      </c>
      <c r="AC23" s="11" t="s">
        <v>205</v>
      </c>
      <c r="AD23" t="e">
        <v>#VALUE!</v>
      </c>
    </row>
    <row r="24" spans="2:30" x14ac:dyDescent="0.25">
      <c r="B24" s="207"/>
      <c r="C24">
        <v>14</v>
      </c>
      <c r="D24" s="90" t="str" cm="1">
        <f t="array" ref="D24">IFERROR(INDEX($Y$10:$Y$28,MATCH(IFERROR(INDEX($AC$10:$AC$419,MATCH(1,IF($C24&amp;"-"&amp;D$10=$AA$10:$AA$419&amp;"-"&amp;$AB$10:$AB$419,1,0),0)),""),$X$10:$X$28,0)),"")</f>
        <v/>
      </c>
      <c r="E24" s="90" t="str" cm="1">
        <f t="array" ref="E24">IFERROR(INDEX($Y$10:$Y$28,MATCH(IFERROR(INDEX($AC$10:$AC$419,MATCH(1,IF($C24&amp;"-"&amp;E$10=$AA$10:$AA$419&amp;"-"&amp;$AB$10:$AB$419,1,0),0)),""),$X$10:$X$28,0)),"")</f>
        <v/>
      </c>
      <c r="F24" s="90" t="str" cm="1">
        <f t="array" ref="F24">IFERROR(INDEX($Y$10:$Y$28,MATCH(IFERROR(INDEX($AC$10:$AC$419,MATCH(1,IF($C24&amp;"-"&amp;F$10=$AA$10:$AA$419&amp;"-"&amp;$AB$10:$AB$419,1,0),0)),""),$X$10:$X$28,0)),"")</f>
        <v/>
      </c>
      <c r="G24" s="90" t="str" cm="1">
        <f t="array" ref="G24">IFERROR(INDEX($Y$10:$Y$28,MATCH(IFERROR(INDEX($AC$10:$AC$419,MATCH(1,IF($C24&amp;"-"&amp;G$10=$AA$10:$AA$419&amp;"-"&amp;$AB$10:$AB$419,1,0),0)),""),$X$10:$X$28,0)),"")</f>
        <v/>
      </c>
      <c r="H24" s="90" cm="1">
        <f t="array" ref="H24">IFERROR(INDEX($Y$10:$Y$28,MATCH(IFERROR(INDEX($AC$10:$AC$419,MATCH(1,IF($C24&amp;"-"&amp;H$10=$AA$10:$AA$419&amp;"-"&amp;$AB$10:$AB$419,1,0),0)),""),$X$10:$X$28,0)),"")</f>
        <v>321</v>
      </c>
      <c r="I24" s="90" cm="1">
        <f t="array" ref="I24">IFERROR(INDEX($Y$10:$Y$28,MATCH(IFERROR(INDEX($AC$10:$AC$419,MATCH(1,IF($C24&amp;"-"&amp;I$10=$AA$10:$AA$419&amp;"-"&amp;$AB$10:$AB$419,1,0),0)),""),$X$10:$X$28,0)),"")</f>
        <v>321</v>
      </c>
      <c r="J24" s="90" cm="1">
        <f t="array" ref="J24">IFERROR(INDEX($Y$10:$Y$28,MATCH(IFERROR(INDEX($AC$10:$AC$419,MATCH(1,IF($C24&amp;"-"&amp;J$10=$AA$10:$AA$419&amp;"-"&amp;$AB$10:$AB$419,1,0),0)),""),$X$10:$X$28,0)),"")</f>
        <v>321</v>
      </c>
      <c r="K24" s="90" cm="1">
        <f t="array" ref="K24">IFERROR(INDEX($Y$10:$Y$28,MATCH(IFERROR(INDEX($AC$10:$AC$419,MATCH(1,IF($C24&amp;"-"&amp;K$10=$AA$10:$AA$419&amp;"-"&amp;$AB$10:$AB$419,1,0),0)),""),$X$10:$X$28,0)),"")</f>
        <v>321</v>
      </c>
      <c r="L24" s="90" cm="1">
        <f t="array" ref="L24">IFERROR(INDEX($Y$10:$Y$28,MATCH(IFERROR(INDEX($AC$10:$AC$419,MATCH(1,IF($C24&amp;"-"&amp;L$10=$AA$10:$AA$419&amp;"-"&amp;$AB$10:$AB$419,1,0),0)),""),$X$10:$X$28,0)),"")</f>
        <v>74</v>
      </c>
      <c r="M24" s="90" cm="1">
        <f t="array" ref="M24">IFERROR(INDEX($Y$10:$Y$28,MATCH(IFERROR(INDEX($AC$10:$AC$419,MATCH(1,IF($C24&amp;"-"&amp;M$10=$AA$10:$AA$419&amp;"-"&amp;$AB$10:$AB$419,1,0),0)),""),$X$10:$X$28,0)),"")</f>
        <v>74</v>
      </c>
      <c r="N24" s="90" cm="1">
        <f t="array" ref="N24">IFERROR(INDEX($Y$10:$Y$28,MATCH(IFERROR(INDEX($AC$10:$AC$419,MATCH(1,IF($C24&amp;"-"&amp;N$10=$AA$10:$AA$419&amp;"-"&amp;$AB$10:$AB$419,1,0),0)),""),$X$10:$X$28,0)),"")</f>
        <v>74</v>
      </c>
      <c r="O24" s="90" cm="1">
        <f t="array" ref="O24">IFERROR(INDEX($Y$10:$Y$28,MATCH(IFERROR(INDEX($AC$10:$AC$419,MATCH(1,IF($C24&amp;"-"&amp;O$10=$AA$10:$AA$419&amp;"-"&amp;$AB$10:$AB$419,1,0),0)),""),$X$10:$X$28,0)),"")</f>
        <v>74</v>
      </c>
      <c r="P24" s="90" cm="1">
        <f t="array" ref="P24">IFERROR(INDEX($Y$10:$Y$28,MATCH(IFERROR(INDEX($AC$10:$AC$419,MATCH(1,IF($C24&amp;"-"&amp;P$10=$AA$10:$AA$419&amp;"-"&amp;$AB$10:$AB$419,1,0),0)),""),$X$10:$X$28,0)),"")</f>
        <v>116</v>
      </c>
      <c r="Q24" s="90" cm="1">
        <f t="array" ref="Q24">IFERROR(INDEX($Y$10:$Y$28,MATCH(IFERROR(INDEX($AC$10:$AC$419,MATCH(1,IF($C24&amp;"-"&amp;Q$10=$AA$10:$AA$419&amp;"-"&amp;$AB$10:$AB$419,1,0),0)),""),$X$10:$X$28,0)),"")</f>
        <v>116</v>
      </c>
      <c r="R24" s="90" cm="1">
        <f t="array" ref="R24">IFERROR(INDEX($Y$10:$Y$28,MATCH(IFERROR(INDEX($AC$10:$AC$419,MATCH(1,IF($C24&amp;"-"&amp;R$10=$AA$10:$AA$419&amp;"-"&amp;$AB$10:$AB$419,1,0),0)),""),$X$10:$X$28,0)),"")</f>
        <v>189</v>
      </c>
      <c r="S24" s="90" cm="1">
        <f t="array" ref="S24">IFERROR(INDEX($Y$10:$Y$28,MATCH(IFERROR(INDEX($AC$10:$AC$419,MATCH(1,IF($C24&amp;"-"&amp;S$10=$AA$10:$AA$419&amp;"-"&amp;$AB$10:$AB$419,1,0),0)),""),$X$10:$X$28,0)),"")</f>
        <v>189</v>
      </c>
      <c r="T24" s="90" t="str" cm="1">
        <f t="array" ref="T24">IFERROR(INDEX($Y$10:$Y$28,MATCH(IFERROR(INDEX($AC$10:$AC$419,MATCH(1,IF($C24&amp;"-"&amp;T$10=$AA$10:$AA$419&amp;"-"&amp;$AB$10:$AB$419,1,0),0)),""),$X$10:$X$28,0)),"")</f>
        <v/>
      </c>
      <c r="X24" s="11" t="s">
        <v>205</v>
      </c>
      <c r="Y24" s="11">
        <v>200</v>
      </c>
      <c r="Z24" s="8"/>
      <c r="AA24" s="11">
        <v>3</v>
      </c>
      <c r="AB24" s="11">
        <v>14</v>
      </c>
      <c r="AC24" s="11" t="s">
        <v>205</v>
      </c>
      <c r="AD24" t="e">
        <v>#VALUE!</v>
      </c>
    </row>
    <row r="25" spans="2:30" x14ac:dyDescent="0.25">
      <c r="B25" s="207"/>
      <c r="C25">
        <v>15</v>
      </c>
      <c r="D25" s="90" t="str" cm="1">
        <f t="array" ref="D25">IFERROR(INDEX($Y$10:$Y$28,MATCH(IFERROR(INDEX($AC$10:$AC$419,MATCH(1,IF($C25&amp;"-"&amp;D$10=$AA$10:$AA$419&amp;"-"&amp;$AB$10:$AB$419,1,0),0)),""),$X$10:$X$28,0)),"")</f>
        <v/>
      </c>
      <c r="E25" s="90" t="str" cm="1">
        <f t="array" ref="E25">IFERROR(INDEX($Y$10:$Y$28,MATCH(IFERROR(INDEX($AC$10:$AC$419,MATCH(1,IF($C25&amp;"-"&amp;E$10=$AA$10:$AA$419&amp;"-"&amp;$AB$10:$AB$419,1,0),0)),""),$X$10:$X$28,0)),"")</f>
        <v/>
      </c>
      <c r="F25" s="90" t="str" cm="1">
        <f t="array" ref="F25">IFERROR(INDEX($Y$10:$Y$28,MATCH(IFERROR(INDEX($AC$10:$AC$419,MATCH(1,IF($C25&amp;"-"&amp;F$10=$AA$10:$AA$419&amp;"-"&amp;$AB$10:$AB$419,1,0),0)),""),$X$10:$X$28,0)),"")</f>
        <v/>
      </c>
      <c r="G25" s="90" cm="1">
        <f t="array" ref="G25">IFERROR(INDEX($Y$10:$Y$28,MATCH(IFERROR(INDEX($AC$10:$AC$419,MATCH(1,IF($C25&amp;"-"&amp;G$10=$AA$10:$AA$419&amp;"-"&amp;$AB$10:$AB$419,1,0),0)),""),$X$10:$X$28,0)),"")</f>
        <v>321</v>
      </c>
      <c r="H25" s="90" cm="1">
        <f t="array" ref="H25">IFERROR(INDEX($Y$10:$Y$28,MATCH(IFERROR(INDEX($AC$10:$AC$419,MATCH(1,IF($C25&amp;"-"&amp;H$10=$AA$10:$AA$419&amp;"-"&amp;$AB$10:$AB$419,1,0),0)),""),$X$10:$X$28,0)),"")</f>
        <v>321</v>
      </c>
      <c r="I25" s="90" cm="1">
        <f t="array" ref="I25">IFERROR(INDEX($Y$10:$Y$28,MATCH(IFERROR(INDEX($AC$10:$AC$419,MATCH(1,IF($C25&amp;"-"&amp;I$10=$AA$10:$AA$419&amp;"-"&amp;$AB$10:$AB$419,1,0),0)),""),$X$10:$X$28,0)),"")</f>
        <v>321</v>
      </c>
      <c r="J25" s="90" cm="1">
        <f t="array" ref="J25">IFERROR(INDEX($Y$10:$Y$28,MATCH(IFERROR(INDEX($AC$10:$AC$419,MATCH(1,IF($C25&amp;"-"&amp;J$10=$AA$10:$AA$419&amp;"-"&amp;$AB$10:$AB$419,1,0),0)),""),$X$10:$X$28,0)),"")</f>
        <v>321</v>
      </c>
      <c r="K25" s="90" cm="1">
        <f t="array" ref="K25">IFERROR(INDEX($Y$10:$Y$28,MATCH(IFERROR(INDEX($AC$10:$AC$419,MATCH(1,IF($C25&amp;"-"&amp;K$10=$AA$10:$AA$419&amp;"-"&amp;$AB$10:$AB$419,1,0),0)),""),$X$10:$X$28,0)),"")</f>
        <v>321</v>
      </c>
      <c r="L25" s="90" cm="1">
        <f t="array" ref="L25">IFERROR(INDEX($Y$10:$Y$28,MATCH(IFERROR(INDEX($AC$10:$AC$419,MATCH(1,IF($C25&amp;"-"&amp;L$10=$AA$10:$AA$419&amp;"-"&amp;$AB$10:$AB$419,1,0),0)),""),$X$10:$X$28,0)),"")</f>
        <v>321</v>
      </c>
      <c r="M25" s="90" cm="1">
        <f t="array" ref="M25">IFERROR(INDEX($Y$10:$Y$28,MATCH(IFERROR(INDEX($AC$10:$AC$419,MATCH(1,IF($C25&amp;"-"&amp;M$10=$AA$10:$AA$419&amp;"-"&amp;$AB$10:$AB$419,1,0),0)),""),$X$10:$X$28,0)),"")</f>
        <v>74</v>
      </c>
      <c r="N25" s="90" cm="1">
        <f t="array" ref="N25">IFERROR(INDEX($Y$10:$Y$28,MATCH(IFERROR(INDEX($AC$10:$AC$419,MATCH(1,IF($C25&amp;"-"&amp;N$10=$AA$10:$AA$419&amp;"-"&amp;$AB$10:$AB$419,1,0),0)),""),$X$10:$X$28,0)),"")</f>
        <v>74</v>
      </c>
      <c r="O25" s="90" cm="1">
        <f t="array" ref="O25">IFERROR(INDEX($Y$10:$Y$28,MATCH(IFERROR(INDEX($AC$10:$AC$419,MATCH(1,IF($C25&amp;"-"&amp;O$10=$AA$10:$AA$419&amp;"-"&amp;$AB$10:$AB$419,1,0),0)),""),$X$10:$X$28,0)),"")</f>
        <v>116</v>
      </c>
      <c r="P25" s="90" cm="1">
        <f t="array" ref="P25">IFERROR(INDEX($Y$10:$Y$28,MATCH(IFERROR(INDEX($AC$10:$AC$419,MATCH(1,IF($C25&amp;"-"&amp;P$10=$AA$10:$AA$419&amp;"-"&amp;$AB$10:$AB$419,1,0),0)),""),$X$10:$X$28,0)),"")</f>
        <v>116</v>
      </c>
      <c r="Q25" s="90" cm="1">
        <f t="array" ref="Q25">IFERROR(INDEX($Y$10:$Y$28,MATCH(IFERROR(INDEX($AC$10:$AC$419,MATCH(1,IF($C25&amp;"-"&amp;Q$10=$AA$10:$AA$419&amp;"-"&amp;$AB$10:$AB$419,1,0),0)),""),$X$10:$X$28,0)),"")</f>
        <v>116</v>
      </c>
      <c r="R25" s="90" cm="1">
        <f t="array" ref="R25">IFERROR(INDEX($Y$10:$Y$28,MATCH(IFERROR(INDEX($AC$10:$AC$419,MATCH(1,IF($C25&amp;"-"&amp;R$10=$AA$10:$AA$419&amp;"-"&amp;$AB$10:$AB$419,1,0),0)),""),$X$10:$X$28,0)),"")</f>
        <v>189</v>
      </c>
      <c r="S25" s="90" cm="1">
        <f t="array" ref="S25">IFERROR(INDEX($Y$10:$Y$28,MATCH(IFERROR(INDEX($AC$10:$AC$419,MATCH(1,IF($C25&amp;"-"&amp;S$10=$AA$10:$AA$419&amp;"-"&amp;$AB$10:$AB$419,1,0),0)),""),$X$10:$X$28,0)),"")</f>
        <v>189</v>
      </c>
      <c r="T25" s="90" cm="1">
        <f t="array" ref="T25">IFERROR(INDEX($Y$10:$Y$28,MATCH(IFERROR(INDEX($AC$10:$AC$419,MATCH(1,IF($C25&amp;"-"&amp;T$10=$AA$10:$AA$419&amp;"-"&amp;$AB$10:$AB$419,1,0),0)),""),$X$10:$X$28,0)),"")</f>
        <v>189</v>
      </c>
      <c r="X25" s="11" t="s">
        <v>220</v>
      </c>
      <c r="Y25" s="11">
        <v>67</v>
      </c>
      <c r="Z25" s="8"/>
      <c r="AA25" s="11">
        <v>3</v>
      </c>
      <c r="AB25" s="11">
        <v>15</v>
      </c>
      <c r="AC25" s="11" t="s">
        <v>210</v>
      </c>
      <c r="AD25" t="e">
        <v>#VALUE!</v>
      </c>
    </row>
    <row r="26" spans="2:30" x14ac:dyDescent="0.25">
      <c r="B26" s="207"/>
      <c r="C26">
        <v>16</v>
      </c>
      <c r="D26" s="90" t="str" cm="1">
        <f t="array" ref="D26">IFERROR(INDEX($Y$10:$Y$28,MATCH(IFERROR(INDEX($AC$10:$AC$419,MATCH(1,IF($C26&amp;"-"&amp;D$10=$AA$10:$AA$419&amp;"-"&amp;$AB$10:$AB$419,1,0),0)),""),$X$10:$X$28,0)),"")</f>
        <v/>
      </c>
      <c r="E26" s="90" t="str" cm="1">
        <f t="array" ref="E26">IFERROR(INDEX($Y$10:$Y$28,MATCH(IFERROR(INDEX($AC$10:$AC$419,MATCH(1,IF($C26&amp;"-"&amp;E$10=$AA$10:$AA$419&amp;"-"&amp;$AB$10:$AB$419,1,0),0)),""),$X$10:$X$28,0)),"")</f>
        <v/>
      </c>
      <c r="F26" s="90" t="str" cm="1">
        <f t="array" ref="F26">IFERROR(INDEX($Y$10:$Y$28,MATCH(IFERROR(INDEX($AC$10:$AC$419,MATCH(1,IF($C26&amp;"-"&amp;F$10=$AA$10:$AA$419&amp;"-"&amp;$AB$10:$AB$419,1,0),0)),""),$X$10:$X$28,0)),"")</f>
        <v/>
      </c>
      <c r="G26" s="90" cm="1">
        <f t="array" ref="G26">IFERROR(INDEX($Y$10:$Y$28,MATCH(IFERROR(INDEX($AC$10:$AC$419,MATCH(1,IF($C26&amp;"-"&amp;G$10=$AA$10:$AA$419&amp;"-"&amp;$AB$10:$AB$419,1,0),0)),""),$X$10:$X$28,0)),"")</f>
        <v>321</v>
      </c>
      <c r="H26" s="90" cm="1">
        <f t="array" ref="H26">IFERROR(INDEX($Y$10:$Y$28,MATCH(IFERROR(INDEX($AC$10:$AC$419,MATCH(1,IF($C26&amp;"-"&amp;H$10=$AA$10:$AA$419&amp;"-"&amp;$AB$10:$AB$419,1,0),0)),""),$X$10:$X$28,0)),"")</f>
        <v>321</v>
      </c>
      <c r="I26" s="90" cm="1">
        <f t="array" ref="I26">IFERROR(INDEX($Y$10:$Y$28,MATCH(IFERROR(INDEX($AC$10:$AC$419,MATCH(1,IF($C26&amp;"-"&amp;I$10=$AA$10:$AA$419&amp;"-"&amp;$AB$10:$AB$419,1,0),0)),""),$X$10:$X$28,0)),"")</f>
        <v>321</v>
      </c>
      <c r="J26" s="90" cm="1">
        <f t="array" ref="J26">IFERROR(INDEX($Y$10:$Y$28,MATCH(IFERROR(INDEX($AC$10:$AC$419,MATCH(1,IF($C26&amp;"-"&amp;J$10=$AA$10:$AA$419&amp;"-"&amp;$AB$10:$AB$419,1,0),0)),""),$X$10:$X$28,0)),"")</f>
        <v>321</v>
      </c>
      <c r="K26" s="90" cm="1">
        <f t="array" ref="K26">IFERROR(INDEX($Y$10:$Y$28,MATCH(IFERROR(INDEX($AC$10:$AC$419,MATCH(1,IF($C26&amp;"-"&amp;K$10=$AA$10:$AA$419&amp;"-"&amp;$AB$10:$AB$419,1,0),0)),""),$X$10:$X$28,0)),"")</f>
        <v>321</v>
      </c>
      <c r="L26" s="90" cm="1">
        <f t="array" ref="L26">IFERROR(INDEX($Y$10:$Y$28,MATCH(IFERROR(INDEX($AC$10:$AC$419,MATCH(1,IF($C26&amp;"-"&amp;L$10=$AA$10:$AA$419&amp;"-"&amp;$AB$10:$AB$419,1,0),0)),""),$X$10:$X$28,0)),"")</f>
        <v>321</v>
      </c>
      <c r="M26" s="90" cm="1">
        <f t="array" ref="M26">IFERROR(INDEX($Y$10:$Y$28,MATCH(IFERROR(INDEX($AC$10:$AC$419,MATCH(1,IF($C26&amp;"-"&amp;M$10=$AA$10:$AA$419&amp;"-"&amp;$AB$10:$AB$419,1,0),0)),""),$X$10:$X$28,0)),"")</f>
        <v>74</v>
      </c>
      <c r="N26" s="90" cm="1">
        <f t="array" ref="N26">IFERROR(INDEX($Y$10:$Y$28,MATCH(IFERROR(INDEX($AC$10:$AC$419,MATCH(1,IF($C26&amp;"-"&amp;N$10=$AA$10:$AA$419&amp;"-"&amp;$AB$10:$AB$419,1,0),0)),""),$X$10:$X$28,0)),"")</f>
        <v>74</v>
      </c>
      <c r="O26" s="90" cm="1">
        <f t="array" ref="O26">IFERROR(INDEX($Y$10:$Y$28,MATCH(IFERROR(INDEX($AC$10:$AC$419,MATCH(1,IF($C26&amp;"-"&amp;O$10=$AA$10:$AA$419&amp;"-"&amp;$AB$10:$AB$419,1,0),0)),""),$X$10:$X$28,0)),"")</f>
        <v>67</v>
      </c>
      <c r="P26" s="90" cm="1">
        <f t="array" ref="P26">IFERROR(INDEX($Y$10:$Y$28,MATCH(IFERROR(INDEX($AC$10:$AC$419,MATCH(1,IF($C26&amp;"-"&amp;P$10=$AA$10:$AA$419&amp;"-"&amp;$AB$10:$AB$419,1,0),0)),""),$X$10:$X$28,0)),"")</f>
        <v>116</v>
      </c>
      <c r="Q26" s="90" cm="1">
        <f t="array" ref="Q26">IFERROR(INDEX($Y$10:$Y$28,MATCH(IFERROR(INDEX($AC$10:$AC$419,MATCH(1,IF($C26&amp;"-"&amp;Q$10=$AA$10:$AA$419&amp;"-"&amp;$AB$10:$AB$419,1,0),0)),""),$X$10:$X$28,0)),"")</f>
        <v>116</v>
      </c>
      <c r="R26" s="90" cm="1">
        <f t="array" ref="R26">IFERROR(INDEX($Y$10:$Y$28,MATCH(IFERROR(INDEX($AC$10:$AC$419,MATCH(1,IF($C26&amp;"-"&amp;R$10=$AA$10:$AA$419&amp;"-"&amp;$AB$10:$AB$419,1,0),0)),""),$X$10:$X$28,0)),"")</f>
        <v>189</v>
      </c>
      <c r="S26" s="90" cm="1">
        <f t="array" ref="S26">IFERROR(INDEX($Y$10:$Y$28,MATCH(IFERROR(INDEX($AC$10:$AC$419,MATCH(1,IF($C26&amp;"-"&amp;S$10=$AA$10:$AA$419&amp;"-"&amp;$AB$10:$AB$419,1,0),0)),""),$X$10:$X$28,0)),"")</f>
        <v>189</v>
      </c>
      <c r="T26" s="90" t="str" cm="1">
        <f t="array" ref="T26">IFERROR(INDEX($Y$10:$Y$28,MATCH(IFERROR(INDEX($AC$10:$AC$419,MATCH(1,IF($C26&amp;"-"&amp;T$10=$AA$10:$AA$419&amp;"-"&amp;$AB$10:$AB$419,1,0),0)),""),$X$10:$X$28,0)),"")</f>
        <v/>
      </c>
      <c r="X26" s="11" t="s">
        <v>221</v>
      </c>
      <c r="Y26" s="11">
        <v>58</v>
      </c>
      <c r="Z26" s="8"/>
      <c r="AA26" s="11">
        <v>3</v>
      </c>
      <c r="AB26" s="11">
        <v>16</v>
      </c>
      <c r="AC26" s="11" t="s">
        <v>210</v>
      </c>
      <c r="AD26" t="e">
        <v>#VALUE!</v>
      </c>
    </row>
    <row r="27" spans="2:30" x14ac:dyDescent="0.25">
      <c r="B27" s="207"/>
      <c r="C27">
        <v>17</v>
      </c>
      <c r="D27" s="90" t="str" cm="1">
        <f t="array" ref="D27">IFERROR(INDEX($Y$10:$Y$28,MATCH(IFERROR(INDEX($AC$10:$AC$419,MATCH(1,IF($C27&amp;"-"&amp;D$10=$AA$10:$AA$419&amp;"-"&amp;$AB$10:$AB$419,1,0),0)),""),$X$10:$X$28,0)),"")</f>
        <v/>
      </c>
      <c r="E27" s="90" t="str" cm="1">
        <f t="array" ref="E27">IFERROR(INDEX($Y$10:$Y$28,MATCH(IFERROR(INDEX($AC$10:$AC$419,MATCH(1,IF($C27&amp;"-"&amp;E$10=$AA$10:$AA$419&amp;"-"&amp;$AB$10:$AB$419,1,0),0)),""),$X$10:$X$28,0)),"")</f>
        <v/>
      </c>
      <c r="F27" s="90" t="str" cm="1">
        <f t="array" ref="F27">IFERROR(INDEX($Y$10:$Y$28,MATCH(IFERROR(INDEX($AC$10:$AC$419,MATCH(1,IF($C27&amp;"-"&amp;F$10=$AA$10:$AA$419&amp;"-"&amp;$AB$10:$AB$419,1,0),0)),""),$X$10:$X$28,0)),"")</f>
        <v/>
      </c>
      <c r="G27" s="90" t="str" cm="1">
        <f t="array" ref="G27">IFERROR(INDEX($Y$10:$Y$28,MATCH(IFERROR(INDEX($AC$10:$AC$419,MATCH(1,IF($C27&amp;"-"&amp;G$10=$AA$10:$AA$419&amp;"-"&amp;$AB$10:$AB$419,1,0),0)),""),$X$10:$X$28,0)),"")</f>
        <v/>
      </c>
      <c r="H27" s="90" t="str" cm="1">
        <f t="array" ref="H27">IFERROR(INDEX($Y$10:$Y$28,MATCH(IFERROR(INDEX($AC$10:$AC$419,MATCH(1,IF($C27&amp;"-"&amp;H$10=$AA$10:$AA$419&amp;"-"&amp;$AB$10:$AB$419,1,0),0)),""),$X$10:$X$28,0)),"")</f>
        <v/>
      </c>
      <c r="I27" s="90" cm="1">
        <f t="array" ref="I27">IFERROR(INDEX($Y$10:$Y$28,MATCH(IFERROR(INDEX($AC$10:$AC$419,MATCH(1,IF($C27&amp;"-"&amp;I$10=$AA$10:$AA$419&amp;"-"&amp;$AB$10:$AB$419,1,0),0)),""),$X$10:$X$28,0)),"")</f>
        <v>321</v>
      </c>
      <c r="J27" s="90" cm="1">
        <f t="array" ref="J27">IFERROR(INDEX($Y$10:$Y$28,MATCH(IFERROR(INDEX($AC$10:$AC$419,MATCH(1,IF($C27&amp;"-"&amp;J$10=$AA$10:$AA$419&amp;"-"&amp;$AB$10:$AB$419,1,0),0)),""),$X$10:$X$28,0)),"")</f>
        <v>321</v>
      </c>
      <c r="K27" s="90" cm="1">
        <f t="array" ref="K27">IFERROR(INDEX($Y$10:$Y$28,MATCH(IFERROR(INDEX($AC$10:$AC$419,MATCH(1,IF($C27&amp;"-"&amp;K$10=$AA$10:$AA$419&amp;"-"&amp;$AB$10:$AB$419,1,0),0)),""),$X$10:$X$28,0)),"")</f>
        <v>321</v>
      </c>
      <c r="L27" s="90" cm="1">
        <f t="array" ref="L27">IFERROR(INDEX($Y$10:$Y$28,MATCH(IFERROR(INDEX($AC$10:$AC$419,MATCH(1,IF($C27&amp;"-"&amp;L$10=$AA$10:$AA$419&amp;"-"&amp;$AB$10:$AB$419,1,0),0)),""),$X$10:$X$28,0)),"")</f>
        <v>321</v>
      </c>
      <c r="M27" s="90" cm="1">
        <f t="array" ref="M27">IFERROR(INDEX($Y$10:$Y$28,MATCH(IFERROR(INDEX($AC$10:$AC$419,MATCH(1,IF($C27&amp;"-"&amp;M$10=$AA$10:$AA$419&amp;"-"&amp;$AB$10:$AB$419,1,0),0)),""),$X$10:$X$28,0)),"")</f>
        <v>321</v>
      </c>
      <c r="N27" s="90" cm="1">
        <f t="array" ref="N27">IFERROR(INDEX($Y$10:$Y$28,MATCH(IFERROR(INDEX($AC$10:$AC$419,MATCH(1,IF($C27&amp;"-"&amp;N$10=$AA$10:$AA$419&amp;"-"&amp;$AB$10:$AB$419,1,0),0)),""),$X$10:$X$28,0)),"")</f>
        <v>74</v>
      </c>
      <c r="O27" s="90" cm="1">
        <f t="array" ref="O27">IFERROR(INDEX($Y$10:$Y$28,MATCH(IFERROR(INDEX($AC$10:$AC$419,MATCH(1,IF($C27&amp;"-"&amp;O$10=$AA$10:$AA$419&amp;"-"&amp;$AB$10:$AB$419,1,0),0)),""),$X$10:$X$28,0)),"")</f>
        <v>67</v>
      </c>
      <c r="P27" s="90" cm="1">
        <f t="array" ref="P27">IFERROR(INDEX($Y$10:$Y$28,MATCH(IFERROR(INDEX($AC$10:$AC$419,MATCH(1,IF($C27&amp;"-"&amp;P$10=$AA$10:$AA$419&amp;"-"&amp;$AB$10:$AB$419,1,0),0)),""),$X$10:$X$28,0)),"")</f>
        <v>116</v>
      </c>
      <c r="Q27" s="90" cm="1">
        <f t="array" ref="Q27">IFERROR(INDEX($Y$10:$Y$28,MATCH(IFERROR(INDEX($AC$10:$AC$419,MATCH(1,IF($C27&amp;"-"&amp;Q$10=$AA$10:$AA$419&amp;"-"&amp;$AB$10:$AB$419,1,0),0)),""),$X$10:$X$28,0)),"")</f>
        <v>116</v>
      </c>
      <c r="R27" s="90" cm="1">
        <f t="array" ref="R27">IFERROR(INDEX($Y$10:$Y$28,MATCH(IFERROR(INDEX($AC$10:$AC$419,MATCH(1,IF($C27&amp;"-"&amp;R$10=$AA$10:$AA$419&amp;"-"&amp;$AB$10:$AB$419,1,0),0)),""),$X$10:$X$28,0)),"")</f>
        <v>189</v>
      </c>
      <c r="S27" s="90" cm="1">
        <f t="array" ref="S27">IFERROR(INDEX($Y$10:$Y$28,MATCH(IFERROR(INDEX($AC$10:$AC$419,MATCH(1,IF($C27&amp;"-"&amp;S$10=$AA$10:$AA$419&amp;"-"&amp;$AB$10:$AB$419,1,0),0)),""),$X$10:$X$28,0)),"")</f>
        <v>189</v>
      </c>
      <c r="T27" s="90" t="str" cm="1">
        <f t="array" ref="T27">IFERROR(INDEX($Y$10:$Y$28,MATCH(IFERROR(INDEX($AC$10:$AC$419,MATCH(1,IF($C27&amp;"-"&amp;T$10=$AA$10:$AA$419&amp;"-"&amp;$AB$10:$AB$419,1,0),0)),""),$X$10:$X$28,0)),"")</f>
        <v/>
      </c>
      <c r="X27" s="11" t="s">
        <v>210</v>
      </c>
      <c r="Y27" s="11">
        <v>88</v>
      </c>
      <c r="Z27" s="8"/>
      <c r="AA27" s="11">
        <v>4</v>
      </c>
      <c r="AB27" s="11">
        <v>9</v>
      </c>
      <c r="AC27" s="11" t="s">
        <v>205</v>
      </c>
      <c r="AD27" t="e">
        <v>#VALUE!</v>
      </c>
    </row>
    <row r="28" spans="2:30" x14ac:dyDescent="0.25">
      <c r="B28" s="207"/>
      <c r="C28">
        <v>18</v>
      </c>
      <c r="D28" s="90" t="str" cm="1">
        <f t="array" ref="D28">IFERROR(INDEX($Y$10:$Y$28,MATCH(IFERROR(INDEX($AC$10:$AC$419,MATCH(1,IF($C28&amp;"-"&amp;D$10=$AA$10:$AA$419&amp;"-"&amp;$AB$10:$AB$419,1,0),0)),""),$X$10:$X$28,0)),"")</f>
        <v/>
      </c>
      <c r="E28" s="90" t="str" cm="1">
        <f t="array" ref="E28">IFERROR(INDEX($Y$10:$Y$28,MATCH(IFERROR(INDEX($AC$10:$AC$419,MATCH(1,IF($C28&amp;"-"&amp;E$10=$AA$10:$AA$419&amp;"-"&amp;$AB$10:$AB$419,1,0),0)),""),$X$10:$X$28,0)),"")</f>
        <v/>
      </c>
      <c r="F28" s="90" t="str" cm="1">
        <f t="array" ref="F28">IFERROR(INDEX($Y$10:$Y$28,MATCH(IFERROR(INDEX($AC$10:$AC$419,MATCH(1,IF($C28&amp;"-"&amp;F$10=$AA$10:$AA$419&amp;"-"&amp;$AB$10:$AB$419,1,0),0)),""),$X$10:$X$28,0)),"")</f>
        <v/>
      </c>
      <c r="G28" s="90" t="str" cm="1">
        <f t="array" ref="G28">IFERROR(INDEX($Y$10:$Y$28,MATCH(IFERROR(INDEX($AC$10:$AC$419,MATCH(1,IF($C28&amp;"-"&amp;G$10=$AA$10:$AA$419&amp;"-"&amp;$AB$10:$AB$419,1,0),0)),""),$X$10:$X$28,0)),"")</f>
        <v/>
      </c>
      <c r="H28" s="90" t="str" cm="1">
        <f t="array" ref="H28">IFERROR(INDEX($Y$10:$Y$28,MATCH(IFERROR(INDEX($AC$10:$AC$419,MATCH(1,IF($C28&amp;"-"&amp;H$10=$AA$10:$AA$419&amp;"-"&amp;$AB$10:$AB$419,1,0),0)),""),$X$10:$X$28,0)),"")</f>
        <v/>
      </c>
      <c r="I28" s="90" t="str" cm="1">
        <f t="array" ref="I28">IFERROR(INDEX($Y$10:$Y$28,MATCH(IFERROR(INDEX($AC$10:$AC$419,MATCH(1,IF($C28&amp;"-"&amp;I$10=$AA$10:$AA$419&amp;"-"&amp;$AB$10:$AB$419,1,0),0)),""),$X$10:$X$28,0)),"")</f>
        <v/>
      </c>
      <c r="J28" s="90" t="str" cm="1">
        <f t="array" ref="J28">IFERROR(INDEX($Y$10:$Y$28,MATCH(IFERROR(INDEX($AC$10:$AC$419,MATCH(1,IF($C28&amp;"-"&amp;J$10=$AA$10:$AA$419&amp;"-"&amp;$AB$10:$AB$419,1,0),0)),""),$X$10:$X$28,0)),"")</f>
        <v/>
      </c>
      <c r="K28" s="90" t="str" cm="1">
        <f t="array" ref="K28">IFERROR(INDEX($Y$10:$Y$28,MATCH(IFERROR(INDEX($AC$10:$AC$419,MATCH(1,IF($C28&amp;"-"&amp;K$10=$AA$10:$AA$419&amp;"-"&amp;$AB$10:$AB$419,1,0),0)),""),$X$10:$X$28,0)),"")</f>
        <v/>
      </c>
      <c r="L28" s="90" cm="1">
        <f t="array" ref="L28">IFERROR(INDEX($Y$10:$Y$28,MATCH(IFERROR(INDEX($AC$10:$AC$419,MATCH(1,IF($C28&amp;"-"&amp;L$10=$AA$10:$AA$419&amp;"-"&amp;$AB$10:$AB$419,1,0),0)),""),$X$10:$X$28,0)),"")</f>
        <v>321</v>
      </c>
      <c r="M28" s="90" cm="1">
        <f t="array" ref="M28">IFERROR(INDEX($Y$10:$Y$28,MATCH(IFERROR(INDEX($AC$10:$AC$419,MATCH(1,IF($C28&amp;"-"&amp;M$10=$AA$10:$AA$419&amp;"-"&amp;$AB$10:$AB$419,1,0),0)),""),$X$10:$X$28,0)),"")</f>
        <v>321</v>
      </c>
      <c r="N28" s="90" cm="1">
        <f t="array" ref="N28">IFERROR(INDEX($Y$10:$Y$28,MATCH(IFERROR(INDEX($AC$10:$AC$419,MATCH(1,IF($C28&amp;"-"&amp;N$10=$AA$10:$AA$419&amp;"-"&amp;$AB$10:$AB$419,1,0),0)),""),$X$10:$X$28,0)),"")</f>
        <v>67</v>
      </c>
      <c r="O28" s="90" cm="1">
        <f t="array" ref="O28">IFERROR(INDEX($Y$10:$Y$28,MATCH(IFERROR(INDEX($AC$10:$AC$419,MATCH(1,IF($C28&amp;"-"&amp;O$10=$AA$10:$AA$419&amp;"-"&amp;$AB$10:$AB$419,1,0),0)),""),$X$10:$X$28,0)),"")</f>
        <v>67</v>
      </c>
      <c r="P28" s="90" cm="1">
        <f t="array" ref="P28">IFERROR(INDEX($Y$10:$Y$28,MATCH(IFERROR(INDEX($AC$10:$AC$419,MATCH(1,IF($C28&amp;"-"&amp;P$10=$AA$10:$AA$419&amp;"-"&amp;$AB$10:$AB$419,1,0),0)),""),$X$10:$X$28,0)),"")</f>
        <v>67</v>
      </c>
      <c r="Q28" s="90" cm="1">
        <f t="array" ref="Q28">IFERROR(INDEX($Y$10:$Y$28,MATCH(IFERROR(INDEX($AC$10:$AC$419,MATCH(1,IF($C28&amp;"-"&amp;Q$10=$AA$10:$AA$419&amp;"-"&amp;$AB$10:$AB$419,1,0),0)),""),$X$10:$X$28,0)),"")</f>
        <v>67</v>
      </c>
      <c r="R28" s="90" cm="1">
        <f t="array" ref="R28">IFERROR(INDEX($Y$10:$Y$28,MATCH(IFERROR(INDEX($AC$10:$AC$419,MATCH(1,IF($C28&amp;"-"&amp;R$10=$AA$10:$AA$419&amp;"-"&amp;$AB$10:$AB$419,1,0),0)),""),$X$10:$X$28,0)),"")</f>
        <v>189</v>
      </c>
      <c r="S28" s="90" cm="1">
        <f t="array" ref="S28">IFERROR(INDEX($Y$10:$Y$28,MATCH(IFERROR(INDEX($AC$10:$AC$419,MATCH(1,IF($C28&amp;"-"&amp;S$10=$AA$10:$AA$419&amp;"-"&amp;$AB$10:$AB$419,1,0),0)),""),$X$10:$X$28,0)),"")</f>
        <v>189</v>
      </c>
      <c r="T28" s="90" t="str" cm="1">
        <f t="array" ref="T28">IFERROR(INDEX($Y$10:$Y$28,MATCH(IFERROR(INDEX($AC$10:$AC$419,MATCH(1,IF($C28&amp;"-"&amp;T$10=$AA$10:$AA$419&amp;"-"&amp;$AB$10:$AB$419,1,0),0)),""),$X$10:$X$28,0)),"")</f>
        <v/>
      </c>
      <c r="X28" s="11" t="s">
        <v>222</v>
      </c>
      <c r="Y28" s="11">
        <v>167</v>
      </c>
      <c r="Z28" s="8"/>
      <c r="AA28" s="11">
        <v>4</v>
      </c>
      <c r="AB28" s="11">
        <v>10</v>
      </c>
      <c r="AC28" s="11" t="s">
        <v>205</v>
      </c>
      <c r="AD28" t="e">
        <v>#VALUE!</v>
      </c>
    </row>
    <row r="29" spans="2:30" x14ac:dyDescent="0.25">
      <c r="B29" s="207"/>
      <c r="C29">
        <v>19</v>
      </c>
      <c r="D29" s="90" t="str" cm="1">
        <f t="array" ref="D29">IFERROR(INDEX($Y$10:$Y$28,MATCH(IFERROR(INDEX($AC$10:$AC$419,MATCH(1,IF($C29&amp;"-"&amp;D$10=$AA$10:$AA$419&amp;"-"&amp;$AB$10:$AB$419,1,0),0)),""),$X$10:$X$28,0)),"")</f>
        <v/>
      </c>
      <c r="E29" s="90" t="str" cm="1">
        <f t="array" ref="E29">IFERROR(INDEX($Y$10:$Y$28,MATCH(IFERROR(INDEX($AC$10:$AC$419,MATCH(1,IF($C29&amp;"-"&amp;E$10=$AA$10:$AA$419&amp;"-"&amp;$AB$10:$AB$419,1,0),0)),""),$X$10:$X$28,0)),"")</f>
        <v/>
      </c>
      <c r="F29" s="90" t="str" cm="1">
        <f t="array" ref="F29">IFERROR(INDEX($Y$10:$Y$28,MATCH(IFERROR(INDEX($AC$10:$AC$419,MATCH(1,IF($C29&amp;"-"&amp;F$10=$AA$10:$AA$419&amp;"-"&amp;$AB$10:$AB$419,1,0),0)),""),$X$10:$X$28,0)),"")</f>
        <v/>
      </c>
      <c r="G29" s="90" t="str" cm="1">
        <f t="array" ref="G29">IFERROR(INDEX($Y$10:$Y$28,MATCH(IFERROR(INDEX($AC$10:$AC$419,MATCH(1,IF($C29&amp;"-"&amp;G$10=$AA$10:$AA$419&amp;"-"&amp;$AB$10:$AB$419,1,0),0)),""),$X$10:$X$28,0)),"")</f>
        <v/>
      </c>
      <c r="H29" s="90" t="str" cm="1">
        <f t="array" ref="H29">IFERROR(INDEX($Y$10:$Y$28,MATCH(IFERROR(INDEX($AC$10:$AC$419,MATCH(1,IF($C29&amp;"-"&amp;H$10=$AA$10:$AA$419&amp;"-"&amp;$AB$10:$AB$419,1,0),0)),""),$X$10:$X$28,0)),"")</f>
        <v/>
      </c>
      <c r="I29" s="90" t="str" cm="1">
        <f t="array" ref="I29">IFERROR(INDEX($Y$10:$Y$28,MATCH(IFERROR(INDEX($AC$10:$AC$419,MATCH(1,IF($C29&amp;"-"&amp;I$10=$AA$10:$AA$419&amp;"-"&amp;$AB$10:$AB$419,1,0),0)),""),$X$10:$X$28,0)),"")</f>
        <v/>
      </c>
      <c r="J29" s="90" t="str" cm="1">
        <f t="array" ref="J29">IFERROR(INDEX($Y$10:$Y$28,MATCH(IFERROR(INDEX($AC$10:$AC$419,MATCH(1,IF($C29&amp;"-"&amp;J$10=$AA$10:$AA$419&amp;"-"&amp;$AB$10:$AB$419,1,0),0)),""),$X$10:$X$28,0)),"")</f>
        <v/>
      </c>
      <c r="K29" s="90" cm="1">
        <f t="array" ref="K29">IFERROR(INDEX($Y$10:$Y$28,MATCH(IFERROR(INDEX($AC$10:$AC$419,MATCH(1,IF($C29&amp;"-"&amp;K$10=$AA$10:$AA$419&amp;"-"&amp;$AB$10:$AB$419,1,0),0)),""),$X$10:$X$28,0)),"")</f>
        <v>305</v>
      </c>
      <c r="L29" s="90" cm="1">
        <f t="array" ref="L29">IFERROR(INDEX($Y$10:$Y$28,MATCH(IFERROR(INDEX($AC$10:$AC$419,MATCH(1,IF($C29&amp;"-"&amp;L$10=$AA$10:$AA$419&amp;"-"&amp;$AB$10:$AB$419,1,0),0)),""),$X$10:$X$28,0)),"")</f>
        <v>321</v>
      </c>
      <c r="M29" s="90" cm="1">
        <f t="array" ref="M29">IFERROR(INDEX($Y$10:$Y$28,MATCH(IFERROR(INDEX($AC$10:$AC$419,MATCH(1,IF($C29&amp;"-"&amp;M$10=$AA$10:$AA$419&amp;"-"&amp;$AB$10:$AB$419,1,0),0)),""),$X$10:$X$28,0)),"")</f>
        <v>321</v>
      </c>
      <c r="N29" s="90" cm="1">
        <f t="array" ref="N29">IFERROR(INDEX($Y$10:$Y$28,MATCH(IFERROR(INDEX($AC$10:$AC$419,MATCH(1,IF($C29&amp;"-"&amp;N$10=$AA$10:$AA$419&amp;"-"&amp;$AB$10:$AB$419,1,0),0)),""),$X$10:$X$28,0)),"")</f>
        <v>321</v>
      </c>
      <c r="O29" s="90" cm="1">
        <f t="array" ref="O29">IFERROR(INDEX($Y$10:$Y$28,MATCH(IFERROR(INDEX($AC$10:$AC$419,MATCH(1,IF($C29&amp;"-"&amp;O$10=$AA$10:$AA$419&amp;"-"&amp;$AB$10:$AB$419,1,0),0)),""),$X$10:$X$28,0)),"")</f>
        <v>67</v>
      </c>
      <c r="P29" s="90" cm="1">
        <f t="array" ref="P29">IFERROR(INDEX($Y$10:$Y$28,MATCH(IFERROR(INDEX($AC$10:$AC$419,MATCH(1,IF($C29&amp;"-"&amp;P$10=$AA$10:$AA$419&amp;"-"&amp;$AB$10:$AB$419,1,0),0)),""),$X$10:$X$28,0)),"")</f>
        <v>67</v>
      </c>
      <c r="Q29" s="90" cm="1">
        <f t="array" ref="Q29">IFERROR(INDEX($Y$10:$Y$28,MATCH(IFERROR(INDEX($AC$10:$AC$419,MATCH(1,IF($C29&amp;"-"&amp;Q$10=$AA$10:$AA$419&amp;"-"&amp;$AB$10:$AB$419,1,0),0)),""),$X$10:$X$28,0)),"")</f>
        <v>67</v>
      </c>
      <c r="R29" s="90" cm="1">
        <f t="array" ref="R29">IFERROR(INDEX($Y$10:$Y$28,MATCH(IFERROR(INDEX($AC$10:$AC$419,MATCH(1,IF($C29&amp;"-"&amp;R$10=$AA$10:$AA$419&amp;"-"&amp;$AB$10:$AB$419,1,0),0)),""),$X$10:$X$28,0)),"")</f>
        <v>189</v>
      </c>
      <c r="S29" s="90" cm="1">
        <f t="array" ref="S29">IFERROR(INDEX($Y$10:$Y$28,MATCH(IFERROR(INDEX($AC$10:$AC$419,MATCH(1,IF($C29&amp;"-"&amp;S$10=$AA$10:$AA$419&amp;"-"&amp;$AB$10:$AB$419,1,0),0)),""),$X$10:$X$28,0)),"")</f>
        <v>189</v>
      </c>
      <c r="T29" s="90" t="str" cm="1">
        <f t="array" ref="T29">IFERROR(INDEX($Y$10:$Y$28,MATCH(IFERROR(INDEX($AC$10:$AC$419,MATCH(1,IF($C29&amp;"-"&amp;T$10=$AA$10:$AA$419&amp;"-"&amp;$AB$10:$AB$419,1,0),0)),""),$X$10:$X$28,0)),"")</f>
        <v/>
      </c>
      <c r="Z29" s="8"/>
      <c r="AA29" s="11">
        <v>4</v>
      </c>
      <c r="AB29" s="11">
        <v>11</v>
      </c>
      <c r="AC29" s="11" t="s">
        <v>205</v>
      </c>
      <c r="AD29" t="e">
        <v>#VALUE!</v>
      </c>
    </row>
    <row r="30" spans="2:30" x14ac:dyDescent="0.25">
      <c r="B30" s="207"/>
      <c r="C30">
        <v>20</v>
      </c>
      <c r="D30" s="90" t="str" cm="1">
        <f t="array" ref="D30">IFERROR(INDEX($Y$10:$Y$28,MATCH(IFERROR(INDEX($AC$10:$AC$419,MATCH(1,IF($C30&amp;"-"&amp;D$10=$AA$10:$AA$419&amp;"-"&amp;$AB$10:$AB$419,1,0),0)),""),$X$10:$X$28,0)),"")</f>
        <v/>
      </c>
      <c r="E30" s="90" t="str" cm="1">
        <f t="array" ref="E30">IFERROR(INDEX($Y$10:$Y$28,MATCH(IFERROR(INDEX($AC$10:$AC$419,MATCH(1,IF($C30&amp;"-"&amp;E$10=$AA$10:$AA$419&amp;"-"&amp;$AB$10:$AB$419,1,0),0)),""),$X$10:$X$28,0)),"")</f>
        <v/>
      </c>
      <c r="F30" s="90" t="str" cm="1">
        <f t="array" ref="F30">IFERROR(INDEX($Y$10:$Y$28,MATCH(IFERROR(INDEX($AC$10:$AC$419,MATCH(1,IF($C30&amp;"-"&amp;F$10=$AA$10:$AA$419&amp;"-"&amp;$AB$10:$AB$419,1,0),0)),""),$X$10:$X$28,0)),"")</f>
        <v/>
      </c>
      <c r="G30" s="90" t="str" cm="1">
        <f t="array" ref="G30">IFERROR(INDEX($Y$10:$Y$28,MATCH(IFERROR(INDEX($AC$10:$AC$419,MATCH(1,IF($C30&amp;"-"&amp;G$10=$AA$10:$AA$419&amp;"-"&amp;$AB$10:$AB$419,1,0),0)),""),$X$10:$X$28,0)),"")</f>
        <v/>
      </c>
      <c r="H30" s="90" t="str" cm="1">
        <f t="array" ref="H30">IFERROR(INDEX($Y$10:$Y$28,MATCH(IFERROR(INDEX($AC$10:$AC$419,MATCH(1,IF($C30&amp;"-"&amp;H$10=$AA$10:$AA$419&amp;"-"&amp;$AB$10:$AB$419,1,0),0)),""),$X$10:$X$28,0)),"")</f>
        <v/>
      </c>
      <c r="I30" s="90" t="str" cm="1">
        <f t="array" ref="I30">IFERROR(INDEX($Y$10:$Y$28,MATCH(IFERROR(INDEX($AC$10:$AC$419,MATCH(1,IF($C30&amp;"-"&amp;I$10=$AA$10:$AA$419&amp;"-"&amp;$AB$10:$AB$419,1,0),0)),""),$X$10:$X$28,0)),"")</f>
        <v/>
      </c>
      <c r="J30" s="90" t="str" cm="1">
        <f t="array" ref="J30">IFERROR(INDEX($Y$10:$Y$28,MATCH(IFERROR(INDEX($AC$10:$AC$419,MATCH(1,IF($C30&amp;"-"&amp;J$10=$AA$10:$AA$419&amp;"-"&amp;$AB$10:$AB$419,1,0),0)),""),$X$10:$X$28,0)),"")</f>
        <v/>
      </c>
      <c r="K30" s="90" cm="1">
        <f t="array" ref="K30">IFERROR(INDEX($Y$10:$Y$28,MATCH(IFERROR(INDEX($AC$10:$AC$419,MATCH(1,IF($C30&amp;"-"&amp;K$10=$AA$10:$AA$419&amp;"-"&amp;$AB$10:$AB$419,1,0),0)),""),$X$10:$X$28,0)),"")</f>
        <v>305</v>
      </c>
      <c r="L30" s="90" cm="1">
        <f t="array" ref="L30">IFERROR(INDEX($Y$10:$Y$28,MATCH(IFERROR(INDEX($AC$10:$AC$419,MATCH(1,IF($C30&amp;"-"&amp;L$10=$AA$10:$AA$419&amp;"-"&amp;$AB$10:$AB$419,1,0),0)),""),$X$10:$X$28,0)),"")</f>
        <v>305</v>
      </c>
      <c r="M30" s="90" cm="1">
        <f t="array" ref="M30">IFERROR(INDEX($Y$10:$Y$28,MATCH(IFERROR(INDEX($AC$10:$AC$419,MATCH(1,IF($C30&amp;"-"&amp;M$10=$AA$10:$AA$419&amp;"-"&amp;$AB$10:$AB$419,1,0),0)),""),$X$10:$X$28,0)),"")</f>
        <v>26</v>
      </c>
      <c r="N30" s="90" cm="1">
        <f t="array" ref="N30">IFERROR(INDEX($Y$10:$Y$28,MATCH(IFERROR(INDEX($AC$10:$AC$419,MATCH(1,IF($C30&amp;"-"&amp;N$10=$AA$10:$AA$419&amp;"-"&amp;$AB$10:$AB$419,1,0),0)),""),$X$10:$X$28,0)),"")</f>
        <v>26</v>
      </c>
      <c r="O30" s="90" cm="1">
        <f t="array" ref="O30">IFERROR(INDEX($Y$10:$Y$28,MATCH(IFERROR(INDEX($AC$10:$AC$419,MATCH(1,IF($C30&amp;"-"&amp;O$10=$AA$10:$AA$419&amp;"-"&amp;$AB$10:$AB$419,1,0),0)),""),$X$10:$X$28,0)),"")</f>
        <v>67</v>
      </c>
      <c r="P30" s="90" cm="1">
        <f t="array" ref="P30">IFERROR(INDEX($Y$10:$Y$28,MATCH(IFERROR(INDEX($AC$10:$AC$419,MATCH(1,IF($C30&amp;"-"&amp;P$10=$AA$10:$AA$419&amp;"-"&amp;$AB$10:$AB$419,1,0),0)),""),$X$10:$X$28,0)),"")</f>
        <v>67</v>
      </c>
      <c r="Q30" s="90" cm="1">
        <f t="array" ref="Q30">IFERROR(INDEX($Y$10:$Y$28,MATCH(IFERROR(INDEX($AC$10:$AC$419,MATCH(1,IF($C30&amp;"-"&amp;Q$10=$AA$10:$AA$419&amp;"-"&amp;$AB$10:$AB$419,1,0),0)),""),$X$10:$X$28,0)),"")</f>
        <v>67</v>
      </c>
      <c r="R30" s="90" cm="1">
        <f t="array" ref="R30">IFERROR(INDEX($Y$10:$Y$28,MATCH(IFERROR(INDEX($AC$10:$AC$419,MATCH(1,IF($C30&amp;"-"&amp;R$10=$AA$10:$AA$419&amp;"-"&amp;$AB$10:$AB$419,1,0),0)),""),$X$10:$X$28,0)),"")</f>
        <v>189</v>
      </c>
      <c r="S30" s="90" cm="1">
        <f t="array" ref="S30">IFERROR(INDEX($Y$10:$Y$28,MATCH(IFERROR(INDEX($AC$10:$AC$419,MATCH(1,IF($C30&amp;"-"&amp;S$10=$AA$10:$AA$419&amp;"-"&amp;$AB$10:$AB$419,1,0),0)),""),$X$10:$X$28,0)),"")</f>
        <v>189</v>
      </c>
      <c r="T30" s="90" t="str" cm="1">
        <f t="array" ref="T30">IFERROR(INDEX($Y$10:$Y$28,MATCH(IFERROR(INDEX($AC$10:$AC$419,MATCH(1,IF($C30&amp;"-"&amp;T$10=$AA$10:$AA$419&amp;"-"&amp;$AB$10:$AB$419,1,0),0)),""),$X$10:$X$28,0)),"")</f>
        <v/>
      </c>
      <c r="Z30" s="8"/>
      <c r="AA30" s="11">
        <v>4</v>
      </c>
      <c r="AB30" s="11">
        <v>13</v>
      </c>
      <c r="AC30" s="11" t="s">
        <v>205</v>
      </c>
      <c r="AD30" t="e">
        <v>#VALUE!</v>
      </c>
    </row>
    <row r="31" spans="2:30" x14ac:dyDescent="0.25">
      <c r="B31" s="207"/>
      <c r="C31">
        <v>21</v>
      </c>
      <c r="D31" s="90" t="str" cm="1">
        <f t="array" ref="D31">IFERROR(INDEX($Y$10:$Y$28,MATCH(IFERROR(INDEX($AC$10:$AC$419,MATCH(1,IF($C31&amp;"-"&amp;D$10=$AA$10:$AA$419&amp;"-"&amp;$AB$10:$AB$419,1,0),0)),""),$X$10:$X$28,0)),"")</f>
        <v/>
      </c>
      <c r="E31" s="90" t="str" cm="1">
        <f t="array" ref="E31">IFERROR(INDEX($Y$10:$Y$28,MATCH(IFERROR(INDEX($AC$10:$AC$419,MATCH(1,IF($C31&amp;"-"&amp;E$10=$AA$10:$AA$419&amp;"-"&amp;$AB$10:$AB$419,1,0),0)),""),$X$10:$X$28,0)),"")</f>
        <v/>
      </c>
      <c r="F31" s="90" t="str" cm="1">
        <f t="array" ref="F31">IFERROR(INDEX($Y$10:$Y$28,MATCH(IFERROR(INDEX($AC$10:$AC$419,MATCH(1,IF($C31&amp;"-"&amp;F$10=$AA$10:$AA$419&amp;"-"&amp;$AB$10:$AB$419,1,0),0)),""),$X$10:$X$28,0)),"")</f>
        <v/>
      </c>
      <c r="G31" s="90" cm="1">
        <f t="array" ref="G31">IFERROR(INDEX($Y$10:$Y$28,MATCH(IFERROR(INDEX($AC$10:$AC$419,MATCH(1,IF($C31&amp;"-"&amp;G$10=$AA$10:$AA$419&amp;"-"&amp;$AB$10:$AB$419,1,0),0)),""),$X$10:$X$28,0)),"")</f>
        <v>305</v>
      </c>
      <c r="H31" s="90" cm="1">
        <f t="array" ref="H31">IFERROR(INDEX($Y$10:$Y$28,MATCH(IFERROR(INDEX($AC$10:$AC$419,MATCH(1,IF($C31&amp;"-"&amp;H$10=$AA$10:$AA$419&amp;"-"&amp;$AB$10:$AB$419,1,0),0)),""),$X$10:$X$28,0)),"")</f>
        <v>305</v>
      </c>
      <c r="I31" s="90" t="str" cm="1">
        <f t="array" ref="I31">IFERROR(INDEX($Y$10:$Y$28,MATCH(IFERROR(INDEX($AC$10:$AC$419,MATCH(1,IF($C31&amp;"-"&amp;I$10=$AA$10:$AA$419&amp;"-"&amp;$AB$10:$AB$419,1,0),0)),""),$X$10:$X$28,0)),"")</f>
        <v/>
      </c>
      <c r="J31" s="90" t="str" cm="1">
        <f t="array" ref="J31">IFERROR(INDEX($Y$10:$Y$28,MATCH(IFERROR(INDEX($AC$10:$AC$419,MATCH(1,IF($C31&amp;"-"&amp;J$10=$AA$10:$AA$419&amp;"-"&amp;$AB$10:$AB$419,1,0),0)),""),$X$10:$X$28,0)),"")</f>
        <v/>
      </c>
      <c r="K31" s="90" cm="1">
        <f t="array" ref="K31">IFERROR(INDEX($Y$10:$Y$28,MATCH(IFERROR(INDEX($AC$10:$AC$419,MATCH(1,IF($C31&amp;"-"&amp;K$10=$AA$10:$AA$419&amp;"-"&amp;$AB$10:$AB$419,1,0),0)),""),$X$10:$X$28,0)),"")</f>
        <v>305</v>
      </c>
      <c r="L31" s="90" cm="1">
        <f t="array" ref="L31">IFERROR(INDEX($Y$10:$Y$28,MATCH(IFERROR(INDEX($AC$10:$AC$419,MATCH(1,IF($C31&amp;"-"&amp;L$10=$AA$10:$AA$419&amp;"-"&amp;$AB$10:$AB$419,1,0),0)),""),$X$10:$X$28,0)),"")</f>
        <v>305</v>
      </c>
      <c r="M31" s="90" cm="1">
        <f t="array" ref="M31">IFERROR(INDEX($Y$10:$Y$28,MATCH(IFERROR(INDEX($AC$10:$AC$419,MATCH(1,IF($C31&amp;"-"&amp;M$10=$AA$10:$AA$419&amp;"-"&amp;$AB$10:$AB$419,1,0),0)),""),$X$10:$X$28,0)),"")</f>
        <v>26</v>
      </c>
      <c r="N31" s="90" cm="1">
        <f t="array" ref="N31">IFERROR(INDEX($Y$10:$Y$28,MATCH(IFERROR(INDEX($AC$10:$AC$419,MATCH(1,IF($C31&amp;"-"&amp;N$10=$AA$10:$AA$419&amp;"-"&amp;$AB$10:$AB$419,1,0),0)),""),$X$10:$X$28,0)),"")</f>
        <v>26</v>
      </c>
      <c r="O31" s="90" cm="1">
        <f t="array" ref="O31">IFERROR(INDEX($Y$10:$Y$28,MATCH(IFERROR(INDEX($AC$10:$AC$419,MATCH(1,IF($C31&amp;"-"&amp;O$10=$AA$10:$AA$419&amp;"-"&amp;$AB$10:$AB$419,1,0),0)),""),$X$10:$X$28,0)),"")</f>
        <v>26</v>
      </c>
      <c r="P31" s="90" cm="1">
        <f t="array" ref="P31">IFERROR(INDEX($Y$10:$Y$28,MATCH(IFERROR(INDEX($AC$10:$AC$419,MATCH(1,IF($C31&amp;"-"&amp;P$10=$AA$10:$AA$419&amp;"-"&amp;$AB$10:$AB$419,1,0),0)),""),$X$10:$X$28,0)),"")</f>
        <v>67</v>
      </c>
      <c r="Q31" s="90" cm="1">
        <f t="array" ref="Q31">IFERROR(INDEX($Y$10:$Y$28,MATCH(IFERROR(INDEX($AC$10:$AC$419,MATCH(1,IF($C31&amp;"-"&amp;Q$10=$AA$10:$AA$419&amp;"-"&amp;$AB$10:$AB$419,1,0),0)),""),$X$10:$X$28,0)),"")</f>
        <v>67</v>
      </c>
      <c r="R31" s="90" cm="1">
        <f t="array" ref="R31">IFERROR(INDEX($Y$10:$Y$28,MATCH(IFERROR(INDEX($AC$10:$AC$419,MATCH(1,IF($C31&amp;"-"&amp;R$10=$AA$10:$AA$419&amp;"-"&amp;$AB$10:$AB$419,1,0),0)),""),$X$10:$X$28,0)),"")</f>
        <v>189</v>
      </c>
      <c r="S31" s="90" t="str" cm="1">
        <f t="array" ref="S31">IFERROR(INDEX($Y$10:$Y$28,MATCH(IFERROR(INDEX($AC$10:$AC$419,MATCH(1,IF($C31&amp;"-"&amp;S$10=$AA$10:$AA$419&amp;"-"&amp;$AB$10:$AB$419,1,0),0)),""),$X$10:$X$28,0)),"")</f>
        <v/>
      </c>
      <c r="T31" s="90" t="str" cm="1">
        <f t="array" ref="T31">IFERROR(INDEX($Y$10:$Y$28,MATCH(IFERROR(INDEX($AC$10:$AC$419,MATCH(1,IF($C31&amp;"-"&amp;T$10=$AA$10:$AA$419&amp;"-"&amp;$AB$10:$AB$419,1,0),0)),""),$X$10:$X$28,0)),"")</f>
        <v/>
      </c>
      <c r="Z31" s="8"/>
      <c r="AA31" s="11">
        <v>4</v>
      </c>
      <c r="AB31" s="11">
        <v>14</v>
      </c>
      <c r="AC31" s="11" t="s">
        <v>205</v>
      </c>
      <c r="AD31" t="e">
        <v>#VALUE!</v>
      </c>
    </row>
    <row r="32" spans="2:30" x14ac:dyDescent="0.25">
      <c r="B32" s="207"/>
      <c r="C32">
        <v>22</v>
      </c>
      <c r="D32" s="90" t="str" cm="1">
        <f t="array" ref="D32">IFERROR(INDEX($Y$10:$Y$28,MATCH(IFERROR(INDEX($AC$10:$AC$419,MATCH(1,IF($C32&amp;"-"&amp;D$10=$AA$10:$AA$419&amp;"-"&amp;$AB$10:$AB$419,1,0),0)),""),$X$10:$X$28,0)),"")</f>
        <v/>
      </c>
      <c r="E32" s="90" t="str" cm="1">
        <f t="array" ref="E32">IFERROR(INDEX($Y$10:$Y$28,MATCH(IFERROR(INDEX($AC$10:$AC$419,MATCH(1,IF($C32&amp;"-"&amp;E$10=$AA$10:$AA$419&amp;"-"&amp;$AB$10:$AB$419,1,0),0)),""),$X$10:$X$28,0)),"")</f>
        <v/>
      </c>
      <c r="F32" s="90" t="str" cm="1">
        <f t="array" ref="F32">IFERROR(INDEX($Y$10:$Y$28,MATCH(IFERROR(INDEX($AC$10:$AC$419,MATCH(1,IF($C32&amp;"-"&amp;F$10=$AA$10:$AA$419&amp;"-"&amp;$AB$10:$AB$419,1,0),0)),""),$X$10:$X$28,0)),"")</f>
        <v/>
      </c>
      <c r="G32" s="90" cm="1">
        <f t="array" ref="G32">IFERROR(INDEX($Y$10:$Y$28,MATCH(IFERROR(INDEX($AC$10:$AC$419,MATCH(1,IF($C32&amp;"-"&amp;G$10=$AA$10:$AA$419&amp;"-"&amp;$AB$10:$AB$419,1,0),0)),""),$X$10:$X$28,0)),"")</f>
        <v>305</v>
      </c>
      <c r="H32" s="90" cm="1">
        <f t="array" ref="H32">IFERROR(INDEX($Y$10:$Y$28,MATCH(IFERROR(INDEX($AC$10:$AC$419,MATCH(1,IF($C32&amp;"-"&amp;H$10=$AA$10:$AA$419&amp;"-"&amp;$AB$10:$AB$419,1,0),0)),""),$X$10:$X$28,0)),"")</f>
        <v>305</v>
      </c>
      <c r="I32" s="90" cm="1">
        <f t="array" ref="I32">IFERROR(INDEX($Y$10:$Y$28,MATCH(IFERROR(INDEX($AC$10:$AC$419,MATCH(1,IF($C32&amp;"-"&amp;I$10=$AA$10:$AA$419&amp;"-"&amp;$AB$10:$AB$419,1,0),0)),""),$X$10:$X$28,0)),"")</f>
        <v>305</v>
      </c>
      <c r="J32" s="90" cm="1">
        <f t="array" ref="J32">IFERROR(INDEX($Y$10:$Y$28,MATCH(IFERROR(INDEX($AC$10:$AC$419,MATCH(1,IF($C32&amp;"-"&amp;J$10=$AA$10:$AA$419&amp;"-"&amp;$AB$10:$AB$419,1,0),0)),""),$X$10:$X$28,0)),"")</f>
        <v>305</v>
      </c>
      <c r="K32" s="90" cm="1">
        <f t="array" ref="K32">IFERROR(INDEX($Y$10:$Y$28,MATCH(IFERROR(INDEX($AC$10:$AC$419,MATCH(1,IF($C32&amp;"-"&amp;K$10=$AA$10:$AA$419&amp;"-"&amp;$AB$10:$AB$419,1,0),0)),""),$X$10:$X$28,0)),"")</f>
        <v>305</v>
      </c>
      <c r="L32" s="90" cm="1">
        <f t="array" ref="L32">IFERROR(INDEX($Y$10:$Y$28,MATCH(IFERROR(INDEX($AC$10:$AC$419,MATCH(1,IF($C32&amp;"-"&amp;L$10=$AA$10:$AA$419&amp;"-"&amp;$AB$10:$AB$419,1,0),0)),""),$X$10:$X$28,0)),"")</f>
        <v>305</v>
      </c>
      <c r="M32" s="90" cm="1">
        <f t="array" ref="M32">IFERROR(INDEX($Y$10:$Y$28,MATCH(IFERROR(INDEX($AC$10:$AC$419,MATCH(1,IF($C32&amp;"-"&amp;M$10=$AA$10:$AA$419&amp;"-"&amp;$AB$10:$AB$419,1,0),0)),""),$X$10:$X$28,0)),"")</f>
        <v>26</v>
      </c>
      <c r="N32" s="90" cm="1">
        <f t="array" ref="N32">IFERROR(INDEX($Y$10:$Y$28,MATCH(IFERROR(INDEX($AC$10:$AC$419,MATCH(1,IF($C32&amp;"-"&amp;N$10=$AA$10:$AA$419&amp;"-"&amp;$AB$10:$AB$419,1,0),0)),""),$X$10:$X$28,0)),"")</f>
        <v>26</v>
      </c>
      <c r="O32" s="90" cm="1">
        <f t="array" ref="O32">IFERROR(INDEX($Y$10:$Y$28,MATCH(IFERROR(INDEX($AC$10:$AC$419,MATCH(1,IF($C32&amp;"-"&amp;O$10=$AA$10:$AA$419&amp;"-"&amp;$AB$10:$AB$419,1,0),0)),""),$X$10:$X$28,0)),"")</f>
        <v>26</v>
      </c>
      <c r="P32" s="90" cm="1">
        <f t="array" ref="P32">IFERROR(INDEX($Y$10:$Y$28,MATCH(IFERROR(INDEX($AC$10:$AC$419,MATCH(1,IF($C32&amp;"-"&amp;P$10=$AA$10:$AA$419&amp;"-"&amp;$AB$10:$AB$419,1,0),0)),""),$X$10:$X$28,0)),"")</f>
        <v>27</v>
      </c>
      <c r="Q32" s="90" cm="1">
        <f t="array" ref="Q32">IFERROR(INDEX($Y$10:$Y$28,MATCH(IFERROR(INDEX($AC$10:$AC$419,MATCH(1,IF($C32&amp;"-"&amp;Q$10=$AA$10:$AA$419&amp;"-"&amp;$AB$10:$AB$419,1,0),0)),""),$X$10:$X$28,0)),"")</f>
        <v>9</v>
      </c>
      <c r="R32" s="90" cm="1">
        <f t="array" ref="R32">IFERROR(INDEX($Y$10:$Y$28,MATCH(IFERROR(INDEX($AC$10:$AC$419,MATCH(1,IF($C32&amp;"-"&amp;R$10=$AA$10:$AA$419&amp;"-"&amp;$AB$10:$AB$419,1,0),0)),""),$X$10:$X$28,0)),"")</f>
        <v>9</v>
      </c>
      <c r="S32" s="90" t="str" cm="1">
        <f t="array" ref="S32">IFERROR(INDEX($Y$10:$Y$28,MATCH(IFERROR(INDEX($AC$10:$AC$419,MATCH(1,IF($C32&amp;"-"&amp;S$10=$AA$10:$AA$419&amp;"-"&amp;$AB$10:$AB$419,1,0),0)),""),$X$10:$X$28,0)),"")</f>
        <v/>
      </c>
      <c r="T32" s="90" t="str" cm="1">
        <f t="array" ref="T32">IFERROR(INDEX($Y$10:$Y$28,MATCH(IFERROR(INDEX($AC$10:$AC$419,MATCH(1,IF($C32&amp;"-"&amp;T$10=$AA$10:$AA$419&amp;"-"&amp;$AB$10:$AB$419,1,0),0)),""),$X$10:$X$28,0)),"")</f>
        <v/>
      </c>
      <c r="Z32" s="8"/>
      <c r="AA32" s="11">
        <v>4</v>
      </c>
      <c r="AB32" s="11">
        <v>15</v>
      </c>
      <c r="AC32" s="11" t="s">
        <v>210</v>
      </c>
      <c r="AD32" t="e">
        <v>#VALUE!</v>
      </c>
    </row>
    <row r="33" spans="2:30" x14ac:dyDescent="0.25">
      <c r="B33" s="207"/>
      <c r="C33">
        <v>23</v>
      </c>
      <c r="D33" s="90" t="str" cm="1">
        <f t="array" ref="D33">IFERROR(INDEX($Y$10:$Y$28,MATCH(IFERROR(INDEX($AC$10:$AC$419,MATCH(1,IF($C33&amp;"-"&amp;D$10=$AA$10:$AA$419&amp;"-"&amp;$AB$10:$AB$419,1,0),0)),""),$X$10:$X$28,0)),"")</f>
        <v/>
      </c>
      <c r="E33" s="90" cm="1">
        <f t="array" ref="E33">IFERROR(INDEX($Y$10:$Y$28,MATCH(IFERROR(INDEX($AC$10:$AC$419,MATCH(1,IF($C33&amp;"-"&amp;E$10=$AA$10:$AA$419&amp;"-"&amp;$AB$10:$AB$419,1,0),0)),""),$X$10:$X$28,0)),"")</f>
        <v>38</v>
      </c>
      <c r="F33" s="90" t="str" cm="1">
        <f t="array" ref="F33">IFERROR(INDEX($Y$10:$Y$28,MATCH(IFERROR(INDEX($AC$10:$AC$419,MATCH(1,IF($C33&amp;"-"&amp;F$10=$AA$10:$AA$419&amp;"-"&amp;$AB$10:$AB$419,1,0),0)),""),$X$10:$X$28,0)),"")</f>
        <v/>
      </c>
      <c r="G33" s="90" t="str" cm="1">
        <f t="array" ref="G33">IFERROR(INDEX($Y$10:$Y$28,MATCH(IFERROR(INDEX($AC$10:$AC$419,MATCH(1,IF($C33&amp;"-"&amp;G$10=$AA$10:$AA$419&amp;"-"&amp;$AB$10:$AB$419,1,0),0)),""),$X$10:$X$28,0)),"")</f>
        <v/>
      </c>
      <c r="H33" s="90" cm="1">
        <f t="array" ref="H33">IFERROR(INDEX($Y$10:$Y$28,MATCH(IFERROR(INDEX($AC$10:$AC$419,MATCH(1,IF($C33&amp;"-"&amp;H$10=$AA$10:$AA$419&amp;"-"&amp;$AB$10:$AB$419,1,0),0)),""),$X$10:$X$28,0)),"")</f>
        <v>305</v>
      </c>
      <c r="I33" s="90" cm="1">
        <f t="array" ref="I33">IFERROR(INDEX($Y$10:$Y$28,MATCH(IFERROR(INDEX($AC$10:$AC$419,MATCH(1,IF($C33&amp;"-"&amp;I$10=$AA$10:$AA$419&amp;"-"&amp;$AB$10:$AB$419,1,0),0)),""),$X$10:$X$28,0)),"")</f>
        <v>305</v>
      </c>
      <c r="J33" s="90" cm="1">
        <f t="array" ref="J33">IFERROR(INDEX($Y$10:$Y$28,MATCH(IFERROR(INDEX($AC$10:$AC$419,MATCH(1,IF($C33&amp;"-"&amp;J$10=$AA$10:$AA$419&amp;"-"&amp;$AB$10:$AB$419,1,0),0)),""),$X$10:$X$28,0)),"")</f>
        <v>305</v>
      </c>
      <c r="K33" s="90" cm="1">
        <f t="array" ref="K33">IFERROR(INDEX($Y$10:$Y$28,MATCH(IFERROR(INDEX($AC$10:$AC$419,MATCH(1,IF($C33&amp;"-"&amp;K$10=$AA$10:$AA$419&amp;"-"&amp;$AB$10:$AB$419,1,0),0)),""),$X$10:$X$28,0)),"")</f>
        <v>305</v>
      </c>
      <c r="L33" s="90" cm="1">
        <f t="array" ref="L33">IFERROR(INDEX($Y$10:$Y$28,MATCH(IFERROR(INDEX($AC$10:$AC$419,MATCH(1,IF($C33&amp;"-"&amp;L$10=$AA$10:$AA$419&amp;"-"&amp;$AB$10:$AB$419,1,0),0)),""),$X$10:$X$28,0)),"")</f>
        <v>305</v>
      </c>
      <c r="M33" s="90" cm="1">
        <f t="array" ref="M33">IFERROR(INDEX($Y$10:$Y$28,MATCH(IFERROR(INDEX($AC$10:$AC$419,MATCH(1,IF($C33&amp;"-"&amp;M$10=$AA$10:$AA$419&amp;"-"&amp;$AB$10:$AB$419,1,0),0)),""),$X$10:$X$28,0)),"")</f>
        <v>26</v>
      </c>
      <c r="N33" s="90" cm="1">
        <f t="array" ref="N33">IFERROR(INDEX($Y$10:$Y$28,MATCH(IFERROR(INDEX($AC$10:$AC$419,MATCH(1,IF($C33&amp;"-"&amp;N$10=$AA$10:$AA$419&amp;"-"&amp;$AB$10:$AB$419,1,0),0)),""),$X$10:$X$28,0)),"")</f>
        <v>26</v>
      </c>
      <c r="O33" s="90" cm="1">
        <f t="array" ref="O33">IFERROR(INDEX($Y$10:$Y$28,MATCH(IFERROR(INDEX($AC$10:$AC$419,MATCH(1,IF($C33&amp;"-"&amp;O$10=$AA$10:$AA$419&amp;"-"&amp;$AB$10:$AB$419,1,0),0)),""),$X$10:$X$28,0)),"")</f>
        <v>26</v>
      </c>
      <c r="P33" s="90" cm="1">
        <f t="array" ref="P33">IFERROR(INDEX($Y$10:$Y$28,MATCH(IFERROR(INDEX($AC$10:$AC$419,MATCH(1,IF($C33&amp;"-"&amp;P$10=$AA$10:$AA$419&amp;"-"&amp;$AB$10:$AB$419,1,0),0)),""),$X$10:$X$28,0)),"")</f>
        <v>27</v>
      </c>
      <c r="Q33" s="90" cm="1">
        <f t="array" ref="Q33">IFERROR(INDEX($Y$10:$Y$28,MATCH(IFERROR(INDEX($AC$10:$AC$419,MATCH(1,IF($C33&amp;"-"&amp;Q$10=$AA$10:$AA$419&amp;"-"&amp;$AB$10:$AB$419,1,0),0)),""),$X$10:$X$28,0)),"")</f>
        <v>27</v>
      </c>
      <c r="R33" s="90" cm="1">
        <f t="array" ref="R33">IFERROR(INDEX($Y$10:$Y$28,MATCH(IFERROR(INDEX($AC$10:$AC$419,MATCH(1,IF($C33&amp;"-"&amp;R$10=$AA$10:$AA$419&amp;"-"&amp;$AB$10:$AB$419,1,0),0)),""),$X$10:$X$28,0)),"")</f>
        <v>9</v>
      </c>
      <c r="S33" s="90" t="str" cm="1">
        <f t="array" ref="S33">IFERROR(INDEX($Y$10:$Y$28,MATCH(IFERROR(INDEX($AC$10:$AC$419,MATCH(1,IF($C33&amp;"-"&amp;S$10=$AA$10:$AA$419&amp;"-"&amp;$AB$10:$AB$419,1,0),0)),""),$X$10:$X$28,0)),"")</f>
        <v/>
      </c>
      <c r="T33" s="90" t="str" cm="1">
        <f t="array" ref="T33">IFERROR(INDEX($Y$10:$Y$28,MATCH(IFERROR(INDEX($AC$10:$AC$419,MATCH(1,IF($C33&amp;"-"&amp;T$10=$AA$10:$AA$419&amp;"-"&amp;$AB$10:$AB$419,1,0),0)),""),$X$10:$X$28,0)),"")</f>
        <v/>
      </c>
      <c r="Z33" s="8"/>
      <c r="AA33" s="11">
        <v>4</v>
      </c>
      <c r="AB33" s="11">
        <v>16</v>
      </c>
      <c r="AC33" s="11" t="s">
        <v>210</v>
      </c>
      <c r="AD33" t="e">
        <v>#VALUE!</v>
      </c>
    </row>
    <row r="34" spans="2:30" x14ac:dyDescent="0.25">
      <c r="B34" s="207"/>
      <c r="C34">
        <v>24</v>
      </c>
      <c r="D34" s="90" t="str" cm="1">
        <f t="array" ref="D34">IFERROR(INDEX($Y$10:$Y$28,MATCH(IFERROR(INDEX($AC$10:$AC$419,MATCH(1,IF($C34&amp;"-"&amp;D$10=$AA$10:$AA$419&amp;"-"&amp;$AB$10:$AB$419,1,0),0)),""),$X$10:$X$28,0)),"")</f>
        <v/>
      </c>
      <c r="E34" s="90" cm="1">
        <f t="array" ref="E34">IFERROR(INDEX($Y$10:$Y$28,MATCH(IFERROR(INDEX($AC$10:$AC$419,MATCH(1,IF($C34&amp;"-"&amp;E$10=$AA$10:$AA$419&amp;"-"&amp;$AB$10:$AB$419,1,0),0)),""),$X$10:$X$28,0)),"")</f>
        <v>38</v>
      </c>
      <c r="F34" s="90" cm="1">
        <f t="array" ref="F34">IFERROR(INDEX($Y$10:$Y$28,MATCH(IFERROR(INDEX($AC$10:$AC$419,MATCH(1,IF($C34&amp;"-"&amp;F$10=$AA$10:$AA$419&amp;"-"&amp;$AB$10:$AB$419,1,0),0)),""),$X$10:$X$28,0)),"")</f>
        <v>38</v>
      </c>
      <c r="G34" s="90" cm="1">
        <f t="array" ref="G34">IFERROR(INDEX($Y$10:$Y$28,MATCH(IFERROR(INDEX($AC$10:$AC$419,MATCH(1,IF($C34&amp;"-"&amp;G$10=$AA$10:$AA$419&amp;"-"&amp;$AB$10:$AB$419,1,0),0)),""),$X$10:$X$28,0)),"")</f>
        <v>38</v>
      </c>
      <c r="H34" s="90" cm="1">
        <f t="array" ref="H34">IFERROR(INDEX($Y$10:$Y$28,MATCH(IFERROR(INDEX($AC$10:$AC$419,MATCH(1,IF($C34&amp;"-"&amp;H$10=$AA$10:$AA$419&amp;"-"&amp;$AB$10:$AB$419,1,0),0)),""),$X$10:$X$28,0)),"")</f>
        <v>305</v>
      </c>
      <c r="I34" s="90" cm="1">
        <f t="array" ref="I34">IFERROR(INDEX($Y$10:$Y$28,MATCH(IFERROR(INDEX($AC$10:$AC$419,MATCH(1,IF($C34&amp;"-"&amp;I$10=$AA$10:$AA$419&amp;"-"&amp;$AB$10:$AB$419,1,0),0)),""),$X$10:$X$28,0)),"")</f>
        <v>305</v>
      </c>
      <c r="J34" s="90" cm="1">
        <f t="array" ref="J34">IFERROR(INDEX($Y$10:$Y$28,MATCH(IFERROR(INDEX($AC$10:$AC$419,MATCH(1,IF($C34&amp;"-"&amp;J$10=$AA$10:$AA$419&amp;"-"&amp;$AB$10:$AB$419,1,0),0)),""),$X$10:$X$28,0)),"")</f>
        <v>305</v>
      </c>
      <c r="K34" s="90" cm="1">
        <f t="array" ref="K34">IFERROR(INDEX($Y$10:$Y$28,MATCH(IFERROR(INDEX($AC$10:$AC$419,MATCH(1,IF($C34&amp;"-"&amp;K$10=$AA$10:$AA$419&amp;"-"&amp;$AB$10:$AB$419,1,0),0)),""),$X$10:$X$28,0)),"")</f>
        <v>305</v>
      </c>
      <c r="L34" s="90" cm="1">
        <f t="array" ref="L34">IFERROR(INDEX($Y$10:$Y$28,MATCH(IFERROR(INDEX($AC$10:$AC$419,MATCH(1,IF($C34&amp;"-"&amp;L$10=$AA$10:$AA$419&amp;"-"&amp;$AB$10:$AB$419,1,0),0)),""),$X$10:$X$28,0)),"")</f>
        <v>305</v>
      </c>
      <c r="M34" s="90" cm="1">
        <f t="array" ref="M34">IFERROR(INDEX($Y$10:$Y$28,MATCH(IFERROR(INDEX($AC$10:$AC$419,MATCH(1,IF($C34&amp;"-"&amp;M$10=$AA$10:$AA$419&amp;"-"&amp;$AB$10:$AB$419,1,0),0)),""),$X$10:$X$28,0)),"")</f>
        <v>26</v>
      </c>
      <c r="N34" s="90" cm="1">
        <f t="array" ref="N34">IFERROR(INDEX($Y$10:$Y$28,MATCH(IFERROR(INDEX($AC$10:$AC$419,MATCH(1,IF($C34&amp;"-"&amp;N$10=$AA$10:$AA$419&amp;"-"&amp;$AB$10:$AB$419,1,0),0)),""),$X$10:$X$28,0)),"")</f>
        <v>26</v>
      </c>
      <c r="O34" s="90" cm="1">
        <f t="array" ref="O34">IFERROR(INDEX($Y$10:$Y$28,MATCH(IFERROR(INDEX($AC$10:$AC$419,MATCH(1,IF($C34&amp;"-"&amp;O$10=$AA$10:$AA$419&amp;"-"&amp;$AB$10:$AB$419,1,0),0)),""),$X$10:$X$28,0)),"")</f>
        <v>27</v>
      </c>
      <c r="P34" s="90" cm="1">
        <f t="array" ref="P34">IFERROR(INDEX($Y$10:$Y$28,MATCH(IFERROR(INDEX($AC$10:$AC$419,MATCH(1,IF($C34&amp;"-"&amp;P$10=$AA$10:$AA$419&amp;"-"&amp;$AB$10:$AB$419,1,0),0)),""),$X$10:$X$28,0)),"")</f>
        <v>27</v>
      </c>
      <c r="Q34" s="90" cm="1">
        <f t="array" ref="Q34">IFERROR(INDEX($Y$10:$Y$28,MATCH(IFERROR(INDEX($AC$10:$AC$419,MATCH(1,IF($C34&amp;"-"&amp;Q$10=$AA$10:$AA$419&amp;"-"&amp;$AB$10:$AB$419,1,0),0)),""),$X$10:$X$28,0)),"")</f>
        <v>9</v>
      </c>
      <c r="R34" s="90" cm="1">
        <f t="array" ref="R34">IFERROR(INDEX($Y$10:$Y$28,MATCH(IFERROR(INDEX($AC$10:$AC$419,MATCH(1,IF($C34&amp;"-"&amp;R$10=$AA$10:$AA$419&amp;"-"&amp;$AB$10:$AB$419,1,0),0)),""),$X$10:$X$28,0)),"")</f>
        <v>9</v>
      </c>
      <c r="S34" s="90" t="str" cm="1">
        <f t="array" ref="S34">IFERROR(INDEX($Y$10:$Y$28,MATCH(IFERROR(INDEX($AC$10:$AC$419,MATCH(1,IF($C34&amp;"-"&amp;S$10=$AA$10:$AA$419&amp;"-"&amp;$AB$10:$AB$419,1,0),0)),""),$X$10:$X$28,0)),"")</f>
        <v/>
      </c>
      <c r="T34" s="90" t="str" cm="1">
        <f t="array" ref="T34">IFERROR(INDEX($Y$10:$Y$28,MATCH(IFERROR(INDEX($AC$10:$AC$419,MATCH(1,IF($C34&amp;"-"&amp;T$10=$AA$10:$AA$419&amp;"-"&amp;$AB$10:$AB$419,1,0),0)),""),$X$10:$X$28,0)),"")</f>
        <v/>
      </c>
      <c r="Z34" s="8"/>
      <c r="AA34" s="11">
        <v>5</v>
      </c>
      <c r="AB34" s="11">
        <v>8</v>
      </c>
      <c r="AC34" s="11" t="s">
        <v>205</v>
      </c>
      <c r="AD34" t="e">
        <v>#VALUE!</v>
      </c>
    </row>
    <row r="35" spans="2:30" x14ac:dyDescent="0.25">
      <c r="B35" s="207"/>
      <c r="C35">
        <v>25</v>
      </c>
      <c r="D35" s="90" cm="1">
        <f t="array" ref="D35">IFERROR(INDEX($Y$10:$Y$28,MATCH(IFERROR(INDEX($AC$10:$AC$419,MATCH(1,IF($C35&amp;"-"&amp;D$10=$AA$10:$AA$419&amp;"-"&amp;$AB$10:$AB$419,1,0),0)),""),$X$10:$X$28,0)),"")</f>
        <v>38</v>
      </c>
      <c r="E35" s="90" cm="1">
        <f t="array" ref="E35">IFERROR(INDEX($Y$10:$Y$28,MATCH(IFERROR(INDEX($AC$10:$AC$419,MATCH(1,IF($C35&amp;"-"&amp;E$10=$AA$10:$AA$419&amp;"-"&amp;$AB$10:$AB$419,1,0),0)),""),$X$10:$X$28,0)),"")</f>
        <v>38</v>
      </c>
      <c r="F35" s="90" cm="1">
        <f t="array" ref="F35">IFERROR(INDEX($Y$10:$Y$28,MATCH(IFERROR(INDEX($AC$10:$AC$419,MATCH(1,IF($C35&amp;"-"&amp;F$10=$AA$10:$AA$419&amp;"-"&amp;$AB$10:$AB$419,1,0),0)),""),$X$10:$X$28,0)),"")</f>
        <v>38</v>
      </c>
      <c r="G35" s="90" cm="1">
        <f t="array" ref="G35">IFERROR(INDEX($Y$10:$Y$28,MATCH(IFERROR(INDEX($AC$10:$AC$419,MATCH(1,IF($C35&amp;"-"&amp;G$10=$AA$10:$AA$419&amp;"-"&amp;$AB$10:$AB$419,1,0),0)),""),$X$10:$X$28,0)),"")</f>
        <v>305</v>
      </c>
      <c r="H35" s="90" cm="1">
        <f t="array" ref="H35">IFERROR(INDEX($Y$10:$Y$28,MATCH(IFERROR(INDEX($AC$10:$AC$419,MATCH(1,IF($C35&amp;"-"&amp;H$10=$AA$10:$AA$419&amp;"-"&amp;$AB$10:$AB$419,1,0),0)),""),$X$10:$X$28,0)),"")</f>
        <v>305</v>
      </c>
      <c r="I35" s="90" cm="1">
        <f t="array" ref="I35">IFERROR(INDEX($Y$10:$Y$28,MATCH(IFERROR(INDEX($AC$10:$AC$419,MATCH(1,IF($C35&amp;"-"&amp;I$10=$AA$10:$AA$419&amp;"-"&amp;$AB$10:$AB$419,1,0),0)),""),$X$10:$X$28,0)),"")</f>
        <v>305</v>
      </c>
      <c r="J35" s="90" cm="1">
        <f t="array" ref="J35">IFERROR(INDEX($Y$10:$Y$28,MATCH(IFERROR(INDEX($AC$10:$AC$419,MATCH(1,IF($C35&amp;"-"&amp;J$10=$AA$10:$AA$419&amp;"-"&amp;$AB$10:$AB$419,1,0),0)),""),$X$10:$X$28,0)),"")</f>
        <v>305</v>
      </c>
      <c r="K35" s="90" cm="1">
        <f t="array" ref="K35">IFERROR(INDEX($Y$10:$Y$28,MATCH(IFERROR(INDEX($AC$10:$AC$419,MATCH(1,IF($C35&amp;"-"&amp;K$10=$AA$10:$AA$419&amp;"-"&amp;$AB$10:$AB$419,1,0),0)),""),$X$10:$X$28,0)),"")</f>
        <v>305</v>
      </c>
      <c r="L35" s="90" cm="1">
        <f t="array" ref="L35">IFERROR(INDEX($Y$10:$Y$28,MATCH(IFERROR(INDEX($AC$10:$AC$419,MATCH(1,IF($C35&amp;"-"&amp;L$10=$AA$10:$AA$419&amp;"-"&amp;$AB$10:$AB$419,1,0),0)),""),$X$10:$X$28,0)),"")</f>
        <v>305</v>
      </c>
      <c r="M35" s="90" cm="1">
        <f t="array" ref="M35">IFERROR(INDEX($Y$10:$Y$28,MATCH(IFERROR(INDEX($AC$10:$AC$419,MATCH(1,IF($C35&amp;"-"&amp;M$10=$AA$10:$AA$419&amp;"-"&amp;$AB$10:$AB$419,1,0),0)),""),$X$10:$X$28,0)),"")</f>
        <v>26</v>
      </c>
      <c r="N35" s="90" cm="1">
        <f t="array" ref="N35">IFERROR(INDEX($Y$10:$Y$28,MATCH(IFERROR(INDEX($AC$10:$AC$419,MATCH(1,IF($C35&amp;"-"&amp;N$10=$AA$10:$AA$419&amp;"-"&amp;$AB$10:$AB$419,1,0),0)),""),$X$10:$X$28,0)),"")</f>
        <v>26</v>
      </c>
      <c r="O35" s="90" cm="1">
        <f t="array" ref="O35">IFERROR(INDEX($Y$10:$Y$28,MATCH(IFERROR(INDEX($AC$10:$AC$419,MATCH(1,IF($C35&amp;"-"&amp;O$10=$AA$10:$AA$419&amp;"-"&amp;$AB$10:$AB$419,1,0),0)),""),$X$10:$X$28,0)),"")</f>
        <v>27</v>
      </c>
      <c r="P35" s="90" cm="1">
        <f t="array" ref="P35">IFERROR(INDEX($Y$10:$Y$28,MATCH(IFERROR(INDEX($AC$10:$AC$419,MATCH(1,IF($C35&amp;"-"&amp;P$10=$AA$10:$AA$419&amp;"-"&amp;$AB$10:$AB$419,1,0),0)),""),$X$10:$X$28,0)),"")</f>
        <v>27</v>
      </c>
      <c r="Q35" s="90" cm="1">
        <f t="array" ref="Q35">IFERROR(INDEX($Y$10:$Y$28,MATCH(IFERROR(INDEX($AC$10:$AC$419,MATCH(1,IF($C35&amp;"-"&amp;Q$10=$AA$10:$AA$419&amp;"-"&amp;$AB$10:$AB$419,1,0),0)),""),$X$10:$X$28,0)),"")</f>
        <v>9</v>
      </c>
      <c r="R35" s="90" cm="1">
        <f t="array" ref="R35">IFERROR(INDEX($Y$10:$Y$28,MATCH(IFERROR(INDEX($AC$10:$AC$419,MATCH(1,IF($C35&amp;"-"&amp;R$10=$AA$10:$AA$419&amp;"-"&amp;$AB$10:$AB$419,1,0),0)),""),$X$10:$X$28,0)),"")</f>
        <v>12</v>
      </c>
      <c r="S35" s="90" cm="1">
        <f t="array" ref="S35">IFERROR(INDEX($Y$10:$Y$28,MATCH(IFERROR(INDEX($AC$10:$AC$419,MATCH(1,IF($C35&amp;"-"&amp;S$10=$AA$10:$AA$419&amp;"-"&amp;$AB$10:$AB$419,1,0),0)),""),$X$10:$X$28,0)),"")</f>
        <v>12</v>
      </c>
      <c r="T35" s="90" t="str" cm="1">
        <f t="array" ref="T35">IFERROR(INDEX($Y$10:$Y$28,MATCH(IFERROR(INDEX($AC$10:$AC$419,MATCH(1,IF($C35&amp;"-"&amp;T$10=$AA$10:$AA$419&amp;"-"&amp;$AB$10:$AB$419,1,0),0)),""),$X$10:$X$28,0)),"")</f>
        <v/>
      </c>
      <c r="Z35" s="8"/>
      <c r="AA35" s="11">
        <v>5</v>
      </c>
      <c r="AB35" s="11">
        <v>9</v>
      </c>
      <c r="AC35" s="11" t="s">
        <v>205</v>
      </c>
      <c r="AD35" t="e">
        <v>#VALUE!</v>
      </c>
    </row>
    <row r="36" spans="2:30" x14ac:dyDescent="0.25">
      <c r="B36" s="207"/>
      <c r="C36">
        <v>26</v>
      </c>
      <c r="D36" s="90" t="str" cm="1">
        <f t="array" ref="D36">IFERROR(INDEX($Y$10:$Y$28,MATCH(IFERROR(INDEX($AC$10:$AC$419,MATCH(1,IF($C36&amp;"-"&amp;D$10=$AA$10:$AA$419&amp;"-"&amp;$AB$10:$AB$419,1,0),0)),""),$X$10:$X$28,0)),"")</f>
        <v/>
      </c>
      <c r="E36" s="90" cm="1">
        <f t="array" ref="E36">IFERROR(INDEX($Y$10:$Y$28,MATCH(IFERROR(INDEX($AC$10:$AC$419,MATCH(1,IF($C36&amp;"-"&amp;E$10=$AA$10:$AA$419&amp;"-"&amp;$AB$10:$AB$419,1,0),0)),""),$X$10:$X$28,0)),"")</f>
        <v>38</v>
      </c>
      <c r="F36" s="90" cm="1">
        <f t="array" ref="F36">IFERROR(INDEX($Y$10:$Y$28,MATCH(IFERROR(INDEX($AC$10:$AC$419,MATCH(1,IF($C36&amp;"-"&amp;F$10=$AA$10:$AA$419&amp;"-"&amp;$AB$10:$AB$419,1,0),0)),""),$X$10:$X$28,0)),"")</f>
        <v>305</v>
      </c>
      <c r="G36" s="90" cm="1">
        <f t="array" ref="G36">IFERROR(INDEX($Y$10:$Y$28,MATCH(IFERROR(INDEX($AC$10:$AC$419,MATCH(1,IF($C36&amp;"-"&amp;G$10=$AA$10:$AA$419&amp;"-"&amp;$AB$10:$AB$419,1,0),0)),""),$X$10:$X$28,0)),"")</f>
        <v>305</v>
      </c>
      <c r="H36" s="90" cm="1">
        <f t="array" ref="H36">IFERROR(INDEX($Y$10:$Y$28,MATCH(IFERROR(INDEX($AC$10:$AC$419,MATCH(1,IF($C36&amp;"-"&amp;H$10=$AA$10:$AA$419&amp;"-"&amp;$AB$10:$AB$419,1,0),0)),""),$X$10:$X$28,0)),"")</f>
        <v>305</v>
      </c>
      <c r="I36" s="90" cm="1">
        <f t="array" ref="I36">IFERROR(INDEX($Y$10:$Y$28,MATCH(IFERROR(INDEX($AC$10:$AC$419,MATCH(1,IF($C36&amp;"-"&amp;I$10=$AA$10:$AA$419&amp;"-"&amp;$AB$10:$AB$419,1,0),0)),""),$X$10:$X$28,0)),"")</f>
        <v>305</v>
      </c>
      <c r="J36" s="90" cm="1">
        <f t="array" ref="J36">IFERROR(INDEX($Y$10:$Y$28,MATCH(IFERROR(INDEX($AC$10:$AC$419,MATCH(1,IF($C36&amp;"-"&amp;J$10=$AA$10:$AA$419&amp;"-"&amp;$AB$10:$AB$419,1,0),0)),""),$X$10:$X$28,0)),"")</f>
        <v>305</v>
      </c>
      <c r="K36" s="90" cm="1">
        <f t="array" ref="K36">IFERROR(INDEX($Y$10:$Y$28,MATCH(IFERROR(INDEX($AC$10:$AC$419,MATCH(1,IF($C36&amp;"-"&amp;K$10=$AA$10:$AA$419&amp;"-"&amp;$AB$10:$AB$419,1,0),0)),""),$X$10:$X$28,0)),"")</f>
        <v>305</v>
      </c>
      <c r="L36" s="90" cm="1">
        <f t="array" ref="L36">IFERROR(INDEX($Y$10:$Y$28,MATCH(IFERROR(INDEX($AC$10:$AC$419,MATCH(1,IF($C36&amp;"-"&amp;L$10=$AA$10:$AA$419&amp;"-"&amp;$AB$10:$AB$419,1,0),0)),""),$X$10:$X$28,0)),"")</f>
        <v>26</v>
      </c>
      <c r="M36" s="90" cm="1">
        <f t="array" ref="M36">IFERROR(INDEX($Y$10:$Y$28,MATCH(IFERROR(INDEX($AC$10:$AC$419,MATCH(1,IF($C36&amp;"-"&amp;M$10=$AA$10:$AA$419&amp;"-"&amp;$AB$10:$AB$419,1,0),0)),""),$X$10:$X$28,0)),"")</f>
        <v>26</v>
      </c>
      <c r="N36" s="90" cm="1">
        <f t="array" ref="N36">IFERROR(INDEX($Y$10:$Y$28,MATCH(IFERROR(INDEX($AC$10:$AC$419,MATCH(1,IF($C36&amp;"-"&amp;N$10=$AA$10:$AA$419&amp;"-"&amp;$AB$10:$AB$419,1,0),0)),""),$X$10:$X$28,0)),"")</f>
        <v>47</v>
      </c>
      <c r="O36" s="90" cm="1">
        <f t="array" ref="O36">IFERROR(INDEX($Y$10:$Y$28,MATCH(IFERROR(INDEX($AC$10:$AC$419,MATCH(1,IF($C36&amp;"-"&amp;O$10=$AA$10:$AA$419&amp;"-"&amp;$AB$10:$AB$419,1,0),0)),""),$X$10:$X$28,0)),"")</f>
        <v>47</v>
      </c>
      <c r="P36" s="90" cm="1">
        <f t="array" ref="P36">IFERROR(INDEX($Y$10:$Y$28,MATCH(IFERROR(INDEX($AC$10:$AC$419,MATCH(1,IF($C36&amp;"-"&amp;P$10=$AA$10:$AA$419&amp;"-"&amp;$AB$10:$AB$419,1,0),0)),""),$X$10:$X$28,0)),"")</f>
        <v>27</v>
      </c>
      <c r="Q36" s="90" cm="1">
        <f t="array" ref="Q36">IFERROR(INDEX($Y$10:$Y$28,MATCH(IFERROR(INDEX($AC$10:$AC$419,MATCH(1,IF($C36&amp;"-"&amp;Q$10=$AA$10:$AA$419&amp;"-"&amp;$AB$10:$AB$419,1,0),0)),""),$X$10:$X$28,0)),"")</f>
        <v>9</v>
      </c>
      <c r="R36" s="90" cm="1">
        <f t="array" ref="R36">IFERROR(INDEX($Y$10:$Y$28,MATCH(IFERROR(INDEX($AC$10:$AC$419,MATCH(1,IF($C36&amp;"-"&amp;R$10=$AA$10:$AA$419&amp;"-"&amp;$AB$10:$AB$419,1,0),0)),""),$X$10:$X$28,0)),"")</f>
        <v>12</v>
      </c>
      <c r="S36" s="90" cm="1">
        <f t="array" ref="S36">IFERROR(INDEX($Y$10:$Y$28,MATCH(IFERROR(INDEX($AC$10:$AC$419,MATCH(1,IF($C36&amp;"-"&amp;S$10=$AA$10:$AA$419&amp;"-"&amp;$AB$10:$AB$419,1,0),0)),""),$X$10:$X$28,0)),"")</f>
        <v>12</v>
      </c>
      <c r="T36" s="90" t="str" cm="1">
        <f t="array" ref="T36">IFERROR(INDEX($Y$10:$Y$28,MATCH(IFERROR(INDEX($AC$10:$AC$419,MATCH(1,IF($C36&amp;"-"&amp;T$10=$AA$10:$AA$419&amp;"-"&amp;$AB$10:$AB$419,1,0),0)),""),$X$10:$X$28,0)),"")</f>
        <v/>
      </c>
      <c r="Z36" s="8"/>
      <c r="AA36" s="11">
        <v>5</v>
      </c>
      <c r="AB36" s="11">
        <v>10</v>
      </c>
      <c r="AC36" s="11" t="s">
        <v>205</v>
      </c>
      <c r="AD36" t="e">
        <v>#VALUE!</v>
      </c>
    </row>
    <row r="37" spans="2:30" x14ac:dyDescent="0.25">
      <c r="B37" s="207"/>
      <c r="C37">
        <v>27</v>
      </c>
      <c r="D37" s="90" t="str" cm="1">
        <f t="array" ref="D37">IFERROR(INDEX($Y$10:$Y$28,MATCH(IFERROR(INDEX($AC$10:$AC$419,MATCH(1,IF($C37&amp;"-"&amp;D$10=$AA$10:$AA$419&amp;"-"&amp;$AB$10:$AB$419,1,0),0)),""),$X$10:$X$28,0)),"")</f>
        <v/>
      </c>
      <c r="E37" s="90" cm="1">
        <f t="array" ref="E37">IFERROR(INDEX($Y$10:$Y$28,MATCH(IFERROR(INDEX($AC$10:$AC$419,MATCH(1,IF($C37&amp;"-"&amp;E$10=$AA$10:$AA$419&amp;"-"&amp;$AB$10:$AB$419,1,0),0)),""),$X$10:$X$28,0)),"")</f>
        <v>38</v>
      </c>
      <c r="F37" s="90" cm="1">
        <f t="array" ref="F37">IFERROR(INDEX($Y$10:$Y$28,MATCH(IFERROR(INDEX($AC$10:$AC$419,MATCH(1,IF($C37&amp;"-"&amp;F$10=$AA$10:$AA$419&amp;"-"&amp;$AB$10:$AB$419,1,0),0)),""),$X$10:$X$28,0)),"")</f>
        <v>38</v>
      </c>
      <c r="G37" s="90" cm="1">
        <f t="array" ref="G37">IFERROR(INDEX($Y$10:$Y$28,MATCH(IFERROR(INDEX($AC$10:$AC$419,MATCH(1,IF($C37&amp;"-"&amp;G$10=$AA$10:$AA$419&amp;"-"&amp;$AB$10:$AB$419,1,0),0)),""),$X$10:$X$28,0)),"")</f>
        <v>305</v>
      </c>
      <c r="H37" s="90" cm="1">
        <f t="array" ref="H37">IFERROR(INDEX($Y$10:$Y$28,MATCH(IFERROR(INDEX($AC$10:$AC$419,MATCH(1,IF($C37&amp;"-"&amp;H$10=$AA$10:$AA$419&amp;"-"&amp;$AB$10:$AB$419,1,0),0)),""),$X$10:$X$28,0)),"")</f>
        <v>305</v>
      </c>
      <c r="I37" s="90" cm="1">
        <f t="array" ref="I37">IFERROR(INDEX($Y$10:$Y$28,MATCH(IFERROR(INDEX($AC$10:$AC$419,MATCH(1,IF($C37&amp;"-"&amp;I$10=$AA$10:$AA$419&amp;"-"&amp;$AB$10:$AB$419,1,0),0)),""),$X$10:$X$28,0)),"")</f>
        <v>305</v>
      </c>
      <c r="J37" s="90" cm="1">
        <f t="array" ref="J37">IFERROR(INDEX($Y$10:$Y$28,MATCH(IFERROR(INDEX($AC$10:$AC$419,MATCH(1,IF($C37&amp;"-"&amp;J$10=$AA$10:$AA$419&amp;"-"&amp;$AB$10:$AB$419,1,0),0)),""),$X$10:$X$28,0)),"")</f>
        <v>305</v>
      </c>
      <c r="K37" s="90" cm="1">
        <f t="array" ref="K37">IFERROR(INDEX($Y$10:$Y$28,MATCH(IFERROR(INDEX($AC$10:$AC$419,MATCH(1,IF($C37&amp;"-"&amp;K$10=$AA$10:$AA$419&amp;"-"&amp;$AB$10:$AB$419,1,0),0)),""),$X$10:$X$28,0)),"")</f>
        <v>305</v>
      </c>
      <c r="L37" s="90" cm="1">
        <f t="array" ref="L37">IFERROR(INDEX($Y$10:$Y$28,MATCH(IFERROR(INDEX($AC$10:$AC$419,MATCH(1,IF($C37&amp;"-"&amp;L$10=$AA$10:$AA$419&amp;"-"&amp;$AB$10:$AB$419,1,0),0)),""),$X$10:$X$28,0)),"")</f>
        <v>26</v>
      </c>
      <c r="M37" s="90" cm="1">
        <f t="array" ref="M37">IFERROR(INDEX($Y$10:$Y$28,MATCH(IFERROR(INDEX($AC$10:$AC$419,MATCH(1,IF($C37&amp;"-"&amp;M$10=$AA$10:$AA$419&amp;"-"&amp;$AB$10:$AB$419,1,0),0)),""),$X$10:$X$28,0)),"")</f>
        <v>26</v>
      </c>
      <c r="N37" s="90" cm="1">
        <f t="array" ref="N37">IFERROR(INDEX($Y$10:$Y$28,MATCH(IFERROR(INDEX($AC$10:$AC$419,MATCH(1,IF($C37&amp;"-"&amp;N$10=$AA$10:$AA$419&amp;"-"&amp;$AB$10:$AB$419,1,0),0)),""),$X$10:$X$28,0)),"")</f>
        <v>47</v>
      </c>
      <c r="O37" s="90" cm="1">
        <f t="array" ref="O37">IFERROR(INDEX($Y$10:$Y$28,MATCH(IFERROR(INDEX($AC$10:$AC$419,MATCH(1,IF($C37&amp;"-"&amp;O$10=$AA$10:$AA$419&amp;"-"&amp;$AB$10:$AB$419,1,0),0)),""),$X$10:$X$28,0)),"")</f>
        <v>47</v>
      </c>
      <c r="P37" s="90" cm="1">
        <f t="array" ref="P37">IFERROR(INDEX($Y$10:$Y$28,MATCH(IFERROR(INDEX($AC$10:$AC$419,MATCH(1,IF($C37&amp;"-"&amp;P$10=$AA$10:$AA$419&amp;"-"&amp;$AB$10:$AB$419,1,0),0)),""),$X$10:$X$28,0)),"")</f>
        <v>9</v>
      </c>
      <c r="Q37" s="90" cm="1">
        <f t="array" ref="Q37">IFERROR(INDEX($Y$10:$Y$28,MATCH(IFERROR(INDEX($AC$10:$AC$419,MATCH(1,IF($C37&amp;"-"&amp;Q$10=$AA$10:$AA$419&amp;"-"&amp;$AB$10:$AB$419,1,0),0)),""),$X$10:$X$28,0)),"")</f>
        <v>9</v>
      </c>
      <c r="R37" s="90" cm="1">
        <f t="array" ref="R37">IFERROR(INDEX($Y$10:$Y$28,MATCH(IFERROR(INDEX($AC$10:$AC$419,MATCH(1,IF($C37&amp;"-"&amp;R$10=$AA$10:$AA$419&amp;"-"&amp;$AB$10:$AB$419,1,0),0)),""),$X$10:$X$28,0)),"")</f>
        <v>9</v>
      </c>
      <c r="S37" s="90" cm="1">
        <f t="array" ref="S37">IFERROR(INDEX($Y$10:$Y$28,MATCH(IFERROR(INDEX($AC$10:$AC$419,MATCH(1,IF($C37&amp;"-"&amp;S$10=$AA$10:$AA$419&amp;"-"&amp;$AB$10:$AB$419,1,0),0)),""),$X$10:$X$28,0)),"")</f>
        <v>12</v>
      </c>
      <c r="T37" s="90" t="str" cm="1">
        <f t="array" ref="T37">IFERROR(INDEX($Y$10:$Y$28,MATCH(IFERROR(INDEX($AC$10:$AC$419,MATCH(1,IF($C37&amp;"-"&amp;T$10=$AA$10:$AA$419&amp;"-"&amp;$AB$10:$AB$419,1,0),0)),""),$X$10:$X$28,0)),"")</f>
        <v/>
      </c>
      <c r="Z37" s="8"/>
      <c r="AA37" s="11">
        <v>5</v>
      </c>
      <c r="AB37" s="11">
        <v>11</v>
      </c>
      <c r="AC37" s="11" t="s">
        <v>205</v>
      </c>
      <c r="AD37" t="e">
        <v>#VALUE!</v>
      </c>
    </row>
    <row r="38" spans="2:30" x14ac:dyDescent="0.25">
      <c r="B38" s="207"/>
      <c r="C38">
        <v>28</v>
      </c>
      <c r="D38" s="90" t="str" cm="1">
        <f t="array" ref="D38">IFERROR(INDEX($Y$10:$Y$28,MATCH(IFERROR(INDEX($AC$10:$AC$419,MATCH(1,IF($C38&amp;"-"&amp;D$10=$AA$10:$AA$419&amp;"-"&amp;$AB$10:$AB$419,1,0),0)),""),$X$10:$X$28,0)),"")</f>
        <v/>
      </c>
      <c r="E38" s="90" cm="1">
        <f t="array" ref="E38">IFERROR(INDEX($Y$10:$Y$28,MATCH(IFERROR(INDEX($AC$10:$AC$419,MATCH(1,IF($C38&amp;"-"&amp;E$10=$AA$10:$AA$419&amp;"-"&amp;$AB$10:$AB$419,1,0),0)),""),$X$10:$X$28,0)),"")</f>
        <v>38</v>
      </c>
      <c r="F38" s="90" cm="1">
        <f t="array" ref="F38">IFERROR(INDEX($Y$10:$Y$28,MATCH(IFERROR(INDEX($AC$10:$AC$419,MATCH(1,IF($C38&amp;"-"&amp;F$10=$AA$10:$AA$419&amp;"-"&amp;$AB$10:$AB$419,1,0),0)),""),$X$10:$X$28,0)),"")</f>
        <v>38</v>
      </c>
      <c r="G38" s="90" cm="1">
        <f t="array" ref="G38">IFERROR(INDEX($Y$10:$Y$28,MATCH(IFERROR(INDEX($AC$10:$AC$419,MATCH(1,IF($C38&amp;"-"&amp;G$10=$AA$10:$AA$419&amp;"-"&amp;$AB$10:$AB$419,1,0),0)),""),$X$10:$X$28,0)),"")</f>
        <v>38</v>
      </c>
      <c r="H38" s="90" cm="1">
        <f t="array" ref="H38">IFERROR(INDEX($Y$10:$Y$28,MATCH(IFERROR(INDEX($AC$10:$AC$419,MATCH(1,IF($C38&amp;"-"&amp;H$10=$AA$10:$AA$419&amp;"-"&amp;$AB$10:$AB$419,1,0),0)),""),$X$10:$X$28,0)),"")</f>
        <v>38</v>
      </c>
      <c r="I38" s="90" cm="1">
        <f t="array" ref="I38">IFERROR(INDEX($Y$10:$Y$28,MATCH(IFERROR(INDEX($AC$10:$AC$419,MATCH(1,IF($C38&amp;"-"&amp;I$10=$AA$10:$AA$419&amp;"-"&amp;$AB$10:$AB$419,1,0),0)),""),$X$10:$X$28,0)),"")</f>
        <v>38</v>
      </c>
      <c r="J38" s="90" cm="1">
        <f t="array" ref="J38">IFERROR(INDEX($Y$10:$Y$28,MATCH(IFERROR(INDEX($AC$10:$AC$419,MATCH(1,IF($C38&amp;"-"&amp;J$10=$AA$10:$AA$419&amp;"-"&amp;$AB$10:$AB$419,1,0),0)),""),$X$10:$X$28,0)),"")</f>
        <v>305</v>
      </c>
      <c r="K38" s="90" cm="1">
        <f t="array" ref="K38">IFERROR(INDEX($Y$10:$Y$28,MATCH(IFERROR(INDEX($AC$10:$AC$419,MATCH(1,IF($C38&amp;"-"&amp;K$10=$AA$10:$AA$419&amp;"-"&amp;$AB$10:$AB$419,1,0),0)),""),$X$10:$X$28,0)),"")</f>
        <v>305</v>
      </c>
      <c r="L38" s="90" cm="1">
        <f t="array" ref="L38">IFERROR(INDEX($Y$10:$Y$28,MATCH(IFERROR(INDEX($AC$10:$AC$419,MATCH(1,IF($C38&amp;"-"&amp;L$10=$AA$10:$AA$419&amp;"-"&amp;$AB$10:$AB$419,1,0),0)),""),$X$10:$X$28,0)),"")</f>
        <v>58</v>
      </c>
      <c r="M38" s="90" cm="1">
        <f t="array" ref="M38">IFERROR(INDEX($Y$10:$Y$28,MATCH(IFERROR(INDEX($AC$10:$AC$419,MATCH(1,IF($C38&amp;"-"&amp;M$10=$AA$10:$AA$419&amp;"-"&amp;$AB$10:$AB$419,1,0),0)),""),$X$10:$X$28,0)),"")</f>
        <v>47</v>
      </c>
      <c r="N38" s="90" cm="1">
        <f t="array" ref="N38">IFERROR(INDEX($Y$10:$Y$28,MATCH(IFERROR(INDEX($AC$10:$AC$419,MATCH(1,IF($C38&amp;"-"&amp;N$10=$AA$10:$AA$419&amp;"-"&amp;$AB$10:$AB$419,1,0),0)),""),$X$10:$X$28,0)),"")</f>
        <v>47</v>
      </c>
      <c r="O38" s="90" cm="1">
        <f t="array" ref="O38">IFERROR(INDEX($Y$10:$Y$28,MATCH(IFERROR(INDEX($AC$10:$AC$419,MATCH(1,IF($C38&amp;"-"&amp;O$10=$AA$10:$AA$419&amp;"-"&amp;$AB$10:$AB$419,1,0),0)),""),$X$10:$X$28,0)),"")</f>
        <v>47</v>
      </c>
      <c r="P38" s="90" cm="1">
        <f t="array" ref="P38">IFERROR(INDEX($Y$10:$Y$28,MATCH(IFERROR(INDEX($AC$10:$AC$419,MATCH(1,IF($C38&amp;"-"&amp;P$10=$AA$10:$AA$419&amp;"-"&amp;$AB$10:$AB$419,1,0),0)),""),$X$10:$X$28,0)),"")</f>
        <v>14</v>
      </c>
      <c r="Q38" s="90" cm="1">
        <f t="array" ref="Q38">IFERROR(INDEX($Y$10:$Y$28,MATCH(IFERROR(INDEX($AC$10:$AC$419,MATCH(1,IF($C38&amp;"-"&amp;Q$10=$AA$10:$AA$419&amp;"-"&amp;$AB$10:$AB$419,1,0),0)),""),$X$10:$X$28,0)),"")</f>
        <v>9</v>
      </c>
      <c r="R38" s="90" cm="1">
        <f t="array" ref="R38">IFERROR(INDEX($Y$10:$Y$28,MATCH(IFERROR(INDEX($AC$10:$AC$419,MATCH(1,IF($C38&amp;"-"&amp;R$10=$AA$10:$AA$419&amp;"-"&amp;$AB$10:$AB$419,1,0),0)),""),$X$10:$X$28,0)),"")</f>
        <v>9</v>
      </c>
      <c r="S38" s="90" cm="1">
        <f t="array" ref="S38">IFERROR(INDEX($Y$10:$Y$28,MATCH(IFERROR(INDEX($AC$10:$AC$419,MATCH(1,IF($C38&amp;"-"&amp;S$10=$AA$10:$AA$419&amp;"-"&amp;$AB$10:$AB$419,1,0),0)),""),$X$10:$X$28,0)),"")</f>
        <v>12</v>
      </c>
      <c r="T38" s="90" t="str" cm="1">
        <f t="array" ref="T38">IFERROR(INDEX($Y$10:$Y$28,MATCH(IFERROR(INDEX($AC$10:$AC$419,MATCH(1,IF($C38&amp;"-"&amp;T$10=$AA$10:$AA$419&amp;"-"&amp;$AB$10:$AB$419,1,0),0)),""),$X$10:$X$28,0)),"")</f>
        <v/>
      </c>
      <c r="Z38" s="8"/>
      <c r="AA38" s="11">
        <v>5</v>
      </c>
      <c r="AB38" s="11">
        <v>12</v>
      </c>
      <c r="AC38" s="11" t="s">
        <v>205</v>
      </c>
      <c r="AD38" t="e">
        <v>#VALUE!</v>
      </c>
    </row>
    <row r="39" spans="2:30" x14ac:dyDescent="0.25">
      <c r="B39" s="207"/>
      <c r="C39">
        <v>29</v>
      </c>
      <c r="D39" s="90" t="str" cm="1">
        <f t="array" ref="D39">IFERROR(INDEX($Y$10:$Y$28,MATCH(IFERROR(INDEX($AC$10:$AC$419,MATCH(1,IF($C39&amp;"-"&amp;D$10=$AA$10:$AA$419&amp;"-"&amp;$AB$10:$AB$419,1,0),0)),""),$X$10:$X$28,0)),"")</f>
        <v/>
      </c>
      <c r="E39" s="90" cm="1">
        <f t="array" ref="E39">IFERROR(INDEX($Y$10:$Y$28,MATCH(IFERROR(INDEX($AC$10:$AC$419,MATCH(1,IF($C39&amp;"-"&amp;E$10=$AA$10:$AA$419&amp;"-"&amp;$AB$10:$AB$419,1,0),0)),""),$X$10:$X$28,0)),"")</f>
        <v>38</v>
      </c>
      <c r="F39" s="90" t="str" cm="1">
        <f t="array" ref="F39">IFERROR(INDEX($Y$10:$Y$28,MATCH(IFERROR(INDEX($AC$10:$AC$419,MATCH(1,IF($C39&amp;"-"&amp;F$10=$AA$10:$AA$419&amp;"-"&amp;$AB$10:$AB$419,1,0),0)),""),$X$10:$X$28,0)),"")</f>
        <v/>
      </c>
      <c r="G39" s="90" cm="1">
        <f t="array" ref="G39">IFERROR(INDEX($Y$10:$Y$28,MATCH(IFERROR(INDEX($AC$10:$AC$419,MATCH(1,IF($C39&amp;"-"&amp;G$10=$AA$10:$AA$419&amp;"-"&amp;$AB$10:$AB$419,1,0),0)),""),$X$10:$X$28,0)),"")</f>
        <v>16</v>
      </c>
      <c r="H39" s="90" cm="1">
        <f t="array" ref="H39">IFERROR(INDEX($Y$10:$Y$28,MATCH(IFERROR(INDEX($AC$10:$AC$419,MATCH(1,IF($C39&amp;"-"&amp;H$10=$AA$10:$AA$419&amp;"-"&amp;$AB$10:$AB$419,1,0),0)),""),$X$10:$X$28,0)),"")</f>
        <v>16</v>
      </c>
      <c r="I39" s="90" cm="1">
        <f t="array" ref="I39">IFERROR(INDEX($Y$10:$Y$28,MATCH(IFERROR(INDEX($AC$10:$AC$419,MATCH(1,IF($C39&amp;"-"&amp;I$10=$AA$10:$AA$419&amp;"-"&amp;$AB$10:$AB$419,1,0),0)),""),$X$10:$X$28,0)),"")</f>
        <v>16</v>
      </c>
      <c r="J39" s="90" cm="1">
        <f t="array" ref="J39">IFERROR(INDEX($Y$10:$Y$28,MATCH(IFERROR(INDEX($AC$10:$AC$419,MATCH(1,IF($C39&amp;"-"&amp;J$10=$AA$10:$AA$419&amp;"-"&amp;$AB$10:$AB$419,1,0),0)),""),$X$10:$X$28,0)),"")</f>
        <v>58</v>
      </c>
      <c r="K39" s="90" cm="1">
        <f t="array" ref="K39">IFERROR(INDEX($Y$10:$Y$28,MATCH(IFERROR(INDEX($AC$10:$AC$419,MATCH(1,IF($C39&amp;"-"&amp;K$10=$AA$10:$AA$419&amp;"-"&amp;$AB$10:$AB$419,1,0),0)),""),$X$10:$X$28,0)),"")</f>
        <v>58</v>
      </c>
      <c r="L39" s="90" cm="1">
        <f t="array" ref="L39">IFERROR(INDEX($Y$10:$Y$28,MATCH(IFERROR(INDEX($AC$10:$AC$419,MATCH(1,IF($C39&amp;"-"&amp;L$10=$AA$10:$AA$419&amp;"-"&amp;$AB$10:$AB$419,1,0),0)),""),$X$10:$X$28,0)),"")</f>
        <v>58</v>
      </c>
      <c r="M39" s="90" cm="1">
        <f t="array" ref="M39">IFERROR(INDEX($Y$10:$Y$28,MATCH(IFERROR(INDEX($AC$10:$AC$419,MATCH(1,IF($C39&amp;"-"&amp;M$10=$AA$10:$AA$419&amp;"-"&amp;$AB$10:$AB$419,1,0),0)),""),$X$10:$X$28,0)),"")</f>
        <v>52</v>
      </c>
      <c r="N39" s="90" cm="1">
        <f t="array" ref="N39">IFERROR(INDEX($Y$10:$Y$28,MATCH(IFERROR(INDEX($AC$10:$AC$419,MATCH(1,IF($C39&amp;"-"&amp;N$10=$AA$10:$AA$419&amp;"-"&amp;$AB$10:$AB$419,1,0),0)),""),$X$10:$X$28,0)),"")</f>
        <v>52</v>
      </c>
      <c r="O39" s="90" cm="1">
        <f t="array" ref="O39">IFERROR(INDEX($Y$10:$Y$28,MATCH(IFERROR(INDEX($AC$10:$AC$419,MATCH(1,IF($C39&amp;"-"&amp;O$10=$AA$10:$AA$419&amp;"-"&amp;$AB$10:$AB$419,1,0),0)),""),$X$10:$X$28,0)),"")</f>
        <v>47</v>
      </c>
      <c r="P39" s="90" cm="1">
        <f t="array" ref="P39">IFERROR(INDEX($Y$10:$Y$28,MATCH(IFERROR(INDEX($AC$10:$AC$419,MATCH(1,IF($C39&amp;"-"&amp;P$10=$AA$10:$AA$419&amp;"-"&amp;$AB$10:$AB$419,1,0),0)),""),$X$10:$X$28,0)),"")</f>
        <v>14</v>
      </c>
      <c r="Q39" s="90" cm="1">
        <f t="array" ref="Q39">IFERROR(INDEX($Y$10:$Y$28,MATCH(IFERROR(INDEX($AC$10:$AC$419,MATCH(1,IF($C39&amp;"-"&amp;Q$10=$AA$10:$AA$419&amp;"-"&amp;$AB$10:$AB$419,1,0),0)),""),$X$10:$X$28,0)),"")</f>
        <v>14</v>
      </c>
      <c r="R39" s="90" cm="1">
        <f t="array" ref="R39">IFERROR(INDEX($Y$10:$Y$28,MATCH(IFERROR(INDEX($AC$10:$AC$419,MATCH(1,IF($C39&amp;"-"&amp;R$10=$AA$10:$AA$419&amp;"-"&amp;$AB$10:$AB$419,1,0),0)),""),$X$10:$X$28,0)),"")</f>
        <v>14</v>
      </c>
      <c r="S39" s="90" t="str" cm="1">
        <f t="array" ref="S39">IFERROR(INDEX($Y$10:$Y$28,MATCH(IFERROR(INDEX($AC$10:$AC$419,MATCH(1,IF($C39&amp;"-"&amp;S$10=$AA$10:$AA$419&amp;"-"&amp;$AB$10:$AB$419,1,0),0)),""),$X$10:$X$28,0)),"")</f>
        <v/>
      </c>
      <c r="T39" s="90" t="str" cm="1">
        <f t="array" ref="T39">IFERROR(INDEX($Y$10:$Y$28,MATCH(IFERROR(INDEX($AC$10:$AC$419,MATCH(1,IF($C39&amp;"-"&amp;T$10=$AA$10:$AA$419&amp;"-"&amp;$AB$10:$AB$419,1,0),0)),""),$X$10:$X$28,0)),"")</f>
        <v/>
      </c>
      <c r="Z39" s="8"/>
      <c r="AA39" s="11">
        <v>5</v>
      </c>
      <c r="AB39" s="11">
        <v>13</v>
      </c>
      <c r="AC39" s="11" t="s">
        <v>205</v>
      </c>
      <c r="AD39" t="e">
        <v>#VALUE!</v>
      </c>
    </row>
    <row r="40" spans="2:30" x14ac:dyDescent="0.25">
      <c r="B40" s="207"/>
      <c r="C40">
        <v>30</v>
      </c>
      <c r="D40" s="90" t="str" cm="1">
        <f t="array" ref="D40">IFERROR(INDEX($Y$10:$Y$28,MATCH(IFERROR(INDEX($AC$10:$AC$419,MATCH(1,IF($C40&amp;"-"&amp;D$10=$AA$10:$AA$419&amp;"-"&amp;$AB$10:$AB$419,1,0),0)),""),$X$10:$X$28,0)),"")</f>
        <v/>
      </c>
      <c r="E40" s="90" t="str" cm="1">
        <f t="array" ref="E40">IFERROR(INDEX($Y$10:$Y$28,MATCH(IFERROR(INDEX($AC$10:$AC$419,MATCH(1,IF($C40&amp;"-"&amp;E$10=$AA$10:$AA$419&amp;"-"&amp;$AB$10:$AB$419,1,0),0)),""),$X$10:$X$28,0)),"")</f>
        <v/>
      </c>
      <c r="F40" s="90" t="str" cm="1">
        <f t="array" ref="F40">IFERROR(INDEX($Y$10:$Y$28,MATCH(IFERROR(INDEX($AC$10:$AC$419,MATCH(1,IF($C40&amp;"-"&amp;F$10=$AA$10:$AA$419&amp;"-"&amp;$AB$10:$AB$419,1,0),0)),""),$X$10:$X$28,0)),"")</f>
        <v/>
      </c>
      <c r="G40" s="90" t="str" cm="1">
        <f t="array" ref="G40">IFERROR(INDEX($Y$10:$Y$28,MATCH(IFERROR(INDEX($AC$10:$AC$419,MATCH(1,IF($C40&amp;"-"&amp;G$10=$AA$10:$AA$419&amp;"-"&amp;$AB$10:$AB$419,1,0),0)),""),$X$10:$X$28,0)),"")</f>
        <v/>
      </c>
      <c r="H40" s="90" cm="1">
        <f t="array" ref="H40">IFERROR(INDEX($Y$10:$Y$28,MATCH(IFERROR(INDEX($AC$10:$AC$419,MATCH(1,IF($C40&amp;"-"&amp;H$10=$AA$10:$AA$419&amp;"-"&amp;$AB$10:$AB$419,1,0),0)),""),$X$10:$X$28,0)),"")</f>
        <v>16</v>
      </c>
      <c r="I40" s="90" cm="1">
        <f t="array" ref="I40">IFERROR(INDEX($Y$10:$Y$28,MATCH(IFERROR(INDEX($AC$10:$AC$419,MATCH(1,IF($C40&amp;"-"&amp;I$10=$AA$10:$AA$419&amp;"-"&amp;$AB$10:$AB$419,1,0),0)),""),$X$10:$X$28,0)),"")</f>
        <v>16</v>
      </c>
      <c r="J40" s="90" cm="1">
        <f t="array" ref="J40">IFERROR(INDEX($Y$10:$Y$28,MATCH(IFERROR(INDEX($AC$10:$AC$419,MATCH(1,IF($C40&amp;"-"&amp;J$10=$AA$10:$AA$419&amp;"-"&amp;$AB$10:$AB$419,1,0),0)),""),$X$10:$X$28,0)),"")</f>
        <v>16</v>
      </c>
      <c r="K40" s="90" cm="1">
        <f t="array" ref="K40">IFERROR(INDEX($Y$10:$Y$28,MATCH(IFERROR(INDEX($AC$10:$AC$419,MATCH(1,IF($C40&amp;"-"&amp;K$10=$AA$10:$AA$419&amp;"-"&amp;$AB$10:$AB$419,1,0),0)),""),$X$10:$X$28,0)),"")</f>
        <v>58</v>
      </c>
      <c r="L40" s="90" cm="1">
        <f t="array" ref="L40">IFERROR(INDEX($Y$10:$Y$28,MATCH(IFERROR(INDEX($AC$10:$AC$419,MATCH(1,IF($C40&amp;"-"&amp;L$10=$AA$10:$AA$419&amp;"-"&amp;$AB$10:$AB$419,1,0),0)),""),$X$10:$X$28,0)),"")</f>
        <v>58</v>
      </c>
      <c r="M40" s="90" cm="1">
        <f t="array" ref="M40">IFERROR(INDEX($Y$10:$Y$28,MATCH(IFERROR(INDEX($AC$10:$AC$419,MATCH(1,IF($C40&amp;"-"&amp;M$10=$AA$10:$AA$419&amp;"-"&amp;$AB$10:$AB$419,1,0),0)),""),$X$10:$X$28,0)),"")</f>
        <v>52</v>
      </c>
      <c r="N40" s="90" cm="1">
        <f t="array" ref="N40">IFERROR(INDEX($Y$10:$Y$28,MATCH(IFERROR(INDEX($AC$10:$AC$419,MATCH(1,IF($C40&amp;"-"&amp;N$10=$AA$10:$AA$419&amp;"-"&amp;$AB$10:$AB$419,1,0),0)),""),$X$10:$X$28,0)),"")</f>
        <v>52</v>
      </c>
      <c r="O40" s="90" cm="1">
        <f t="array" ref="O40">IFERROR(INDEX($Y$10:$Y$28,MATCH(IFERROR(INDEX($AC$10:$AC$419,MATCH(1,IF($C40&amp;"-"&amp;O$10=$AA$10:$AA$419&amp;"-"&amp;$AB$10:$AB$419,1,0),0)),""),$X$10:$X$28,0)),"")</f>
        <v>52</v>
      </c>
      <c r="P40" s="90" cm="1">
        <f t="array" ref="P40">IFERROR(INDEX($Y$10:$Y$28,MATCH(IFERROR(INDEX($AC$10:$AC$419,MATCH(1,IF($C40&amp;"-"&amp;P$10=$AA$10:$AA$419&amp;"-"&amp;$AB$10:$AB$419,1,0),0)),""),$X$10:$X$28,0)),"")</f>
        <v>14</v>
      </c>
      <c r="Q40" s="90" cm="1">
        <f t="array" ref="Q40">IFERROR(INDEX($Y$10:$Y$28,MATCH(IFERROR(INDEX($AC$10:$AC$419,MATCH(1,IF($C40&amp;"-"&amp;Q$10=$AA$10:$AA$419&amp;"-"&amp;$AB$10:$AB$419,1,0),0)),""),$X$10:$X$28,0)),"")</f>
        <v>14</v>
      </c>
      <c r="R40" s="90" cm="1">
        <f t="array" ref="R40">IFERROR(INDEX($Y$10:$Y$28,MATCH(IFERROR(INDEX($AC$10:$AC$419,MATCH(1,IF($C40&amp;"-"&amp;R$10=$AA$10:$AA$419&amp;"-"&amp;$AB$10:$AB$419,1,0),0)),""),$X$10:$X$28,0)),"")</f>
        <v>14</v>
      </c>
      <c r="S40" s="90" t="str" cm="1">
        <f t="array" ref="S40">IFERROR(INDEX($Y$10:$Y$28,MATCH(IFERROR(INDEX($AC$10:$AC$419,MATCH(1,IF($C40&amp;"-"&amp;S$10=$AA$10:$AA$419&amp;"-"&amp;$AB$10:$AB$419,1,0),0)),""),$X$10:$X$28,0)),"")</f>
        <v/>
      </c>
      <c r="T40" s="90" t="str" cm="1">
        <f t="array" ref="T40">IFERROR(INDEX($Y$10:$Y$28,MATCH(IFERROR(INDEX($AC$10:$AC$419,MATCH(1,IF($C40&amp;"-"&amp;T$10=$AA$10:$AA$419&amp;"-"&amp;$AB$10:$AB$419,1,0),0)),""),$X$10:$X$28,0)),"")</f>
        <v/>
      </c>
      <c r="Z40" s="8"/>
      <c r="AA40" s="11">
        <v>5</v>
      </c>
      <c r="AB40" s="11">
        <v>14</v>
      </c>
      <c r="AC40" s="11" t="s">
        <v>205</v>
      </c>
      <c r="AD40" t="e">
        <v>#VALUE!</v>
      </c>
    </row>
    <row r="41" spans="2:30" x14ac:dyDescent="0.25">
      <c r="B41" s="207"/>
      <c r="C41">
        <v>31</v>
      </c>
      <c r="D41" s="90" t="str" cm="1">
        <f t="array" ref="D41">IFERROR(INDEX($Y$10:$Y$28,MATCH(IFERROR(INDEX($AC$10:$AC$419,MATCH(1,IF($C41&amp;"-"&amp;D$10=$AA$10:$AA$419&amp;"-"&amp;$AB$10:$AB$419,1,0),0)),""),$X$10:$X$28,0)),"")</f>
        <v/>
      </c>
      <c r="E41" s="90" t="str" cm="1">
        <f t="array" ref="E41">IFERROR(INDEX($Y$10:$Y$28,MATCH(IFERROR(INDEX($AC$10:$AC$419,MATCH(1,IF($C41&amp;"-"&amp;E$10=$AA$10:$AA$419&amp;"-"&amp;$AB$10:$AB$419,1,0),0)),""),$X$10:$X$28,0)),"")</f>
        <v/>
      </c>
      <c r="F41" s="90" t="str" cm="1">
        <f t="array" ref="F41">IFERROR(INDEX($Y$10:$Y$28,MATCH(IFERROR(INDEX($AC$10:$AC$419,MATCH(1,IF($C41&amp;"-"&amp;F$10=$AA$10:$AA$419&amp;"-"&amp;$AB$10:$AB$419,1,0),0)),""),$X$10:$X$28,0)),"")</f>
        <v/>
      </c>
      <c r="G41" s="90" t="str" cm="1">
        <f t="array" ref="G41">IFERROR(INDEX($Y$10:$Y$28,MATCH(IFERROR(INDEX($AC$10:$AC$419,MATCH(1,IF($C41&amp;"-"&amp;G$10=$AA$10:$AA$419&amp;"-"&amp;$AB$10:$AB$419,1,0),0)),""),$X$10:$X$28,0)),"")</f>
        <v/>
      </c>
      <c r="H41" s="90" cm="1">
        <f t="array" ref="H41">IFERROR(INDEX($Y$10:$Y$28,MATCH(IFERROR(INDEX($AC$10:$AC$419,MATCH(1,IF($C41&amp;"-"&amp;H$10=$AA$10:$AA$419&amp;"-"&amp;$AB$10:$AB$419,1,0),0)),""),$X$10:$X$28,0)),"")</f>
        <v>16</v>
      </c>
      <c r="I41" s="90" cm="1">
        <f t="array" ref="I41">IFERROR(INDEX($Y$10:$Y$28,MATCH(IFERROR(INDEX($AC$10:$AC$419,MATCH(1,IF($C41&amp;"-"&amp;I$10=$AA$10:$AA$419&amp;"-"&amp;$AB$10:$AB$419,1,0),0)),""),$X$10:$X$28,0)),"")</f>
        <v>16</v>
      </c>
      <c r="J41" s="90" cm="1">
        <f t="array" ref="J41">IFERROR(INDEX($Y$10:$Y$28,MATCH(IFERROR(INDEX($AC$10:$AC$419,MATCH(1,IF($C41&amp;"-"&amp;J$10=$AA$10:$AA$419&amp;"-"&amp;$AB$10:$AB$419,1,0),0)),""),$X$10:$X$28,0)),"")</f>
        <v>16</v>
      </c>
      <c r="K41" s="90" cm="1">
        <f t="array" ref="K41">IFERROR(INDEX($Y$10:$Y$28,MATCH(IFERROR(INDEX($AC$10:$AC$419,MATCH(1,IF($C41&amp;"-"&amp;K$10=$AA$10:$AA$419&amp;"-"&amp;$AB$10:$AB$419,1,0),0)),""),$X$10:$X$28,0)),"")</f>
        <v>58</v>
      </c>
      <c r="L41" s="90" cm="1">
        <f t="array" ref="L41">IFERROR(INDEX($Y$10:$Y$28,MATCH(IFERROR(INDEX($AC$10:$AC$419,MATCH(1,IF($C41&amp;"-"&amp;L$10=$AA$10:$AA$419&amp;"-"&amp;$AB$10:$AB$419,1,0),0)),""),$X$10:$X$28,0)),"")</f>
        <v>58</v>
      </c>
      <c r="M41" s="90" cm="1">
        <f t="array" ref="M41">IFERROR(INDEX($Y$10:$Y$28,MATCH(IFERROR(INDEX($AC$10:$AC$419,MATCH(1,IF($C41&amp;"-"&amp;M$10=$AA$10:$AA$419&amp;"-"&amp;$AB$10:$AB$419,1,0),0)),""),$X$10:$X$28,0)),"")</f>
        <v>52</v>
      </c>
      <c r="N41" s="90" cm="1">
        <f t="array" ref="N41">IFERROR(INDEX($Y$10:$Y$28,MATCH(IFERROR(INDEX($AC$10:$AC$419,MATCH(1,IF($C41&amp;"-"&amp;N$10=$AA$10:$AA$419&amp;"-"&amp;$AB$10:$AB$419,1,0),0)),""),$X$10:$X$28,0)),"")</f>
        <v>52</v>
      </c>
      <c r="O41" s="90" cm="1">
        <f t="array" ref="O41">IFERROR(INDEX($Y$10:$Y$28,MATCH(IFERROR(INDEX($AC$10:$AC$419,MATCH(1,IF($C41&amp;"-"&amp;O$10=$AA$10:$AA$419&amp;"-"&amp;$AB$10:$AB$419,1,0),0)),""),$X$10:$X$28,0)),"")</f>
        <v>14</v>
      </c>
      <c r="P41" s="90" cm="1">
        <f t="array" ref="P41">IFERROR(INDEX($Y$10:$Y$28,MATCH(IFERROR(INDEX($AC$10:$AC$419,MATCH(1,IF($C41&amp;"-"&amp;P$10=$AA$10:$AA$419&amp;"-"&amp;$AB$10:$AB$419,1,0),0)),""),$X$10:$X$28,0)),"")</f>
        <v>14</v>
      </c>
      <c r="Q41" s="90" cm="1">
        <f t="array" ref="Q41">IFERROR(INDEX($Y$10:$Y$28,MATCH(IFERROR(INDEX($AC$10:$AC$419,MATCH(1,IF($C41&amp;"-"&amp;Q$10=$AA$10:$AA$419&amp;"-"&amp;$AB$10:$AB$419,1,0),0)),""),$X$10:$X$28,0)),"")</f>
        <v>14</v>
      </c>
      <c r="R41" s="90" cm="1">
        <f t="array" ref="R41">IFERROR(INDEX($Y$10:$Y$28,MATCH(IFERROR(INDEX($AC$10:$AC$419,MATCH(1,IF($C41&amp;"-"&amp;R$10=$AA$10:$AA$419&amp;"-"&amp;$AB$10:$AB$419,1,0),0)),""),$X$10:$X$28,0)),"")</f>
        <v>14</v>
      </c>
      <c r="S41" s="90" t="str" cm="1">
        <f t="array" ref="S41">IFERROR(INDEX($Y$10:$Y$28,MATCH(IFERROR(INDEX($AC$10:$AC$419,MATCH(1,IF($C41&amp;"-"&amp;S$10=$AA$10:$AA$419&amp;"-"&amp;$AB$10:$AB$419,1,0),0)),""),$X$10:$X$28,0)),"")</f>
        <v/>
      </c>
      <c r="T41" s="90" t="str" cm="1">
        <f t="array" ref="T41">IFERROR(INDEX($Y$10:$Y$28,MATCH(IFERROR(INDEX($AC$10:$AC$419,MATCH(1,IF($C41&amp;"-"&amp;T$10=$AA$10:$AA$419&amp;"-"&amp;$AB$10:$AB$419,1,0),0)),""),$X$10:$X$28,0)),"")</f>
        <v/>
      </c>
      <c r="Z41" s="8"/>
      <c r="AA41" s="11">
        <v>5</v>
      </c>
      <c r="AB41" s="11">
        <v>15</v>
      </c>
      <c r="AC41" s="11" t="s">
        <v>210</v>
      </c>
      <c r="AD41" t="e">
        <v>#VALUE!</v>
      </c>
    </row>
    <row r="42" spans="2:30" x14ac:dyDescent="0.25">
      <c r="B42" s="207"/>
      <c r="C42">
        <v>32</v>
      </c>
      <c r="D42" s="90" t="str" cm="1">
        <f t="array" ref="D42">IFERROR(INDEX($Y$10:$Y$28,MATCH(IFERROR(INDEX($AC$10:$AC$419,MATCH(1,IF($C42&amp;"-"&amp;D$10=$AA$10:$AA$419&amp;"-"&amp;$AB$10:$AB$419,1,0),0)),""),$X$10:$X$28,0)),"")</f>
        <v/>
      </c>
      <c r="E42" s="90" t="str" cm="1">
        <f t="array" ref="E42">IFERROR(INDEX($Y$10:$Y$28,MATCH(IFERROR(INDEX($AC$10:$AC$419,MATCH(1,IF($C42&amp;"-"&amp;E$10=$AA$10:$AA$419&amp;"-"&amp;$AB$10:$AB$419,1,0),0)),""),$X$10:$X$28,0)),"")</f>
        <v/>
      </c>
      <c r="F42" s="90" t="str" cm="1">
        <f t="array" ref="F42">IFERROR(INDEX($Y$10:$Y$28,MATCH(IFERROR(INDEX($AC$10:$AC$419,MATCH(1,IF($C42&amp;"-"&amp;F$10=$AA$10:$AA$419&amp;"-"&amp;$AB$10:$AB$419,1,0),0)),""),$X$10:$X$28,0)),"")</f>
        <v/>
      </c>
      <c r="G42" s="90" t="str" cm="1">
        <f t="array" ref="G42">IFERROR(INDEX($Y$10:$Y$28,MATCH(IFERROR(INDEX($AC$10:$AC$419,MATCH(1,IF($C42&amp;"-"&amp;G$10=$AA$10:$AA$419&amp;"-"&amp;$AB$10:$AB$419,1,0),0)),""),$X$10:$X$28,0)),"")</f>
        <v/>
      </c>
      <c r="H42" s="90" t="str" cm="1">
        <f t="array" ref="H42">IFERROR(INDEX($Y$10:$Y$28,MATCH(IFERROR(INDEX($AC$10:$AC$419,MATCH(1,IF($C42&amp;"-"&amp;H$10=$AA$10:$AA$419&amp;"-"&amp;$AB$10:$AB$419,1,0),0)),""),$X$10:$X$28,0)),"")</f>
        <v/>
      </c>
      <c r="I42" s="90" cm="1">
        <f t="array" ref="I42">IFERROR(INDEX($Y$10:$Y$28,MATCH(IFERROR(INDEX($AC$10:$AC$419,MATCH(1,IF($C42&amp;"-"&amp;I$10=$AA$10:$AA$419&amp;"-"&amp;$AB$10:$AB$419,1,0),0)),""),$X$10:$X$28,0)),"")</f>
        <v>16</v>
      </c>
      <c r="J42" s="90" cm="1">
        <f t="array" ref="J42">IFERROR(INDEX($Y$10:$Y$28,MATCH(IFERROR(INDEX($AC$10:$AC$419,MATCH(1,IF($C42&amp;"-"&amp;J$10=$AA$10:$AA$419&amp;"-"&amp;$AB$10:$AB$419,1,0),0)),""),$X$10:$X$28,0)),"")</f>
        <v>16</v>
      </c>
      <c r="K42" s="90" cm="1">
        <f t="array" ref="K42">IFERROR(INDEX($Y$10:$Y$28,MATCH(IFERROR(INDEX($AC$10:$AC$419,MATCH(1,IF($C42&amp;"-"&amp;K$10=$AA$10:$AA$419&amp;"-"&amp;$AB$10:$AB$419,1,0),0)),""),$X$10:$X$28,0)),"")</f>
        <v>16</v>
      </c>
      <c r="L42" s="90" cm="1">
        <f t="array" ref="L42">IFERROR(INDEX($Y$10:$Y$28,MATCH(IFERROR(INDEX($AC$10:$AC$419,MATCH(1,IF($C42&amp;"-"&amp;L$10=$AA$10:$AA$419&amp;"-"&amp;$AB$10:$AB$419,1,0),0)),""),$X$10:$X$28,0)),"")</f>
        <v>58</v>
      </c>
      <c r="M42" s="90" cm="1">
        <f t="array" ref="M42">IFERROR(INDEX($Y$10:$Y$28,MATCH(IFERROR(INDEX($AC$10:$AC$419,MATCH(1,IF($C42&amp;"-"&amp;M$10=$AA$10:$AA$419&amp;"-"&amp;$AB$10:$AB$419,1,0),0)),""),$X$10:$X$28,0)),"")</f>
        <v>52</v>
      </c>
      <c r="N42" s="90" cm="1">
        <f t="array" ref="N42">IFERROR(INDEX($Y$10:$Y$28,MATCH(IFERROR(INDEX($AC$10:$AC$419,MATCH(1,IF($C42&amp;"-"&amp;N$10=$AA$10:$AA$419&amp;"-"&amp;$AB$10:$AB$419,1,0),0)),""),$X$10:$X$28,0)),"")</f>
        <v>52</v>
      </c>
      <c r="O42" s="90" cm="1">
        <f t="array" ref="O42">IFERROR(INDEX($Y$10:$Y$28,MATCH(IFERROR(INDEX($AC$10:$AC$419,MATCH(1,IF($C42&amp;"-"&amp;O$10=$AA$10:$AA$419&amp;"-"&amp;$AB$10:$AB$419,1,0),0)),""),$X$10:$X$28,0)),"")</f>
        <v>14</v>
      </c>
      <c r="P42" s="90" cm="1">
        <f t="array" ref="P42">IFERROR(INDEX($Y$10:$Y$28,MATCH(IFERROR(INDEX($AC$10:$AC$419,MATCH(1,IF($C42&amp;"-"&amp;P$10=$AA$10:$AA$419&amp;"-"&amp;$AB$10:$AB$419,1,0),0)),""),$X$10:$X$28,0)),"")</f>
        <v>14</v>
      </c>
      <c r="Q42" s="90" t="str" cm="1">
        <f t="array" ref="Q42">IFERROR(INDEX($Y$10:$Y$28,MATCH(IFERROR(INDEX($AC$10:$AC$419,MATCH(1,IF($C42&amp;"-"&amp;Q$10=$AA$10:$AA$419&amp;"-"&amp;$AB$10:$AB$419,1,0),0)),""),$X$10:$X$28,0)),"")</f>
        <v/>
      </c>
      <c r="R42" s="90" t="str" cm="1">
        <f t="array" ref="R42">IFERROR(INDEX($Y$10:$Y$28,MATCH(IFERROR(INDEX($AC$10:$AC$419,MATCH(1,IF($C42&amp;"-"&amp;R$10=$AA$10:$AA$419&amp;"-"&amp;$AB$10:$AB$419,1,0),0)),""),$X$10:$X$28,0)),"")</f>
        <v/>
      </c>
      <c r="S42" s="90" t="str" cm="1">
        <f t="array" ref="S42">IFERROR(INDEX($Y$10:$Y$28,MATCH(IFERROR(INDEX($AC$10:$AC$419,MATCH(1,IF($C42&amp;"-"&amp;S$10=$AA$10:$AA$419&amp;"-"&amp;$AB$10:$AB$419,1,0),0)),""),$X$10:$X$28,0)),"")</f>
        <v/>
      </c>
      <c r="T42" s="90" t="str" cm="1">
        <f t="array" ref="T42">IFERROR(INDEX($Y$10:$Y$28,MATCH(IFERROR(INDEX($AC$10:$AC$419,MATCH(1,IF($C42&amp;"-"&amp;T$10=$AA$10:$AA$419&amp;"-"&amp;$AB$10:$AB$419,1,0),0)),""),$X$10:$X$28,0)),"")</f>
        <v/>
      </c>
      <c r="Z42" s="8"/>
      <c r="AA42" s="11">
        <v>5</v>
      </c>
      <c r="AB42" s="11">
        <v>16</v>
      </c>
      <c r="AC42" s="11" t="s">
        <v>210</v>
      </c>
      <c r="AD42" t="e">
        <v>#VALUE!</v>
      </c>
    </row>
    <row r="43" spans="2:30" x14ac:dyDescent="0.25">
      <c r="B43" s="207"/>
      <c r="C43">
        <v>33</v>
      </c>
      <c r="D43" s="90" t="str" cm="1">
        <f t="array" ref="D43">IFERROR(INDEX($Y$10:$Y$28,MATCH(IFERROR(INDEX($AC$10:$AC$419,MATCH(1,IF($C43&amp;"-"&amp;D$10=$AA$10:$AA$419&amp;"-"&amp;$AB$10:$AB$419,1,0),0)),""),$X$10:$X$28,0)),"")</f>
        <v/>
      </c>
      <c r="E43" s="90" t="str" cm="1">
        <f t="array" ref="E43">IFERROR(INDEX($Y$10:$Y$28,MATCH(IFERROR(INDEX($AC$10:$AC$419,MATCH(1,IF($C43&amp;"-"&amp;E$10=$AA$10:$AA$419&amp;"-"&amp;$AB$10:$AB$419,1,0),0)),""),$X$10:$X$28,0)),"")</f>
        <v/>
      </c>
      <c r="F43" s="90" t="str" cm="1">
        <f t="array" ref="F43">IFERROR(INDEX($Y$10:$Y$28,MATCH(IFERROR(INDEX($AC$10:$AC$419,MATCH(1,IF($C43&amp;"-"&amp;F$10=$AA$10:$AA$419&amp;"-"&amp;$AB$10:$AB$419,1,0),0)),""),$X$10:$X$28,0)),"")</f>
        <v/>
      </c>
      <c r="G43" s="90" t="str" cm="1">
        <f t="array" ref="G43">IFERROR(INDEX($Y$10:$Y$28,MATCH(IFERROR(INDEX($AC$10:$AC$419,MATCH(1,IF($C43&amp;"-"&amp;G$10=$AA$10:$AA$419&amp;"-"&amp;$AB$10:$AB$419,1,0),0)),""),$X$10:$X$28,0)),"")</f>
        <v/>
      </c>
      <c r="H43" s="90" t="str" cm="1">
        <f t="array" ref="H43">IFERROR(INDEX($Y$10:$Y$28,MATCH(IFERROR(INDEX($AC$10:$AC$419,MATCH(1,IF($C43&amp;"-"&amp;H$10=$AA$10:$AA$419&amp;"-"&amp;$AB$10:$AB$419,1,0),0)),""),$X$10:$X$28,0)),"")</f>
        <v/>
      </c>
      <c r="I43" s="90" cm="1">
        <f t="array" ref="I43">IFERROR(INDEX($Y$10:$Y$28,MATCH(IFERROR(INDEX($AC$10:$AC$419,MATCH(1,IF($C43&amp;"-"&amp;I$10=$AA$10:$AA$419&amp;"-"&amp;$AB$10:$AB$419,1,0),0)),""),$X$10:$X$28,0)),"")</f>
        <v>16</v>
      </c>
      <c r="J43" s="90" cm="1">
        <f t="array" ref="J43">IFERROR(INDEX($Y$10:$Y$28,MATCH(IFERROR(INDEX($AC$10:$AC$419,MATCH(1,IF($C43&amp;"-"&amp;J$10=$AA$10:$AA$419&amp;"-"&amp;$AB$10:$AB$419,1,0),0)),""),$X$10:$X$28,0)),"")</f>
        <v>16</v>
      </c>
      <c r="K43" s="90" cm="1">
        <f t="array" ref="K43">IFERROR(INDEX($Y$10:$Y$28,MATCH(IFERROR(INDEX($AC$10:$AC$419,MATCH(1,IF($C43&amp;"-"&amp;K$10=$AA$10:$AA$419&amp;"-"&amp;$AB$10:$AB$419,1,0),0)),""),$X$10:$X$28,0)),"")</f>
        <v>16</v>
      </c>
      <c r="L43" s="90" cm="1">
        <f t="array" ref="L43">IFERROR(INDEX($Y$10:$Y$28,MATCH(IFERROR(INDEX($AC$10:$AC$419,MATCH(1,IF($C43&amp;"-"&amp;L$10=$AA$10:$AA$419&amp;"-"&amp;$AB$10:$AB$419,1,0),0)),""),$X$10:$X$28,0)),"")</f>
        <v>58</v>
      </c>
      <c r="M43" s="90" cm="1">
        <f t="array" ref="M43">IFERROR(INDEX($Y$10:$Y$28,MATCH(IFERROR(INDEX($AC$10:$AC$419,MATCH(1,IF($C43&amp;"-"&amp;M$10=$AA$10:$AA$419&amp;"-"&amp;$AB$10:$AB$419,1,0),0)),""),$X$10:$X$28,0)),"")</f>
        <v>58</v>
      </c>
      <c r="N43" s="90" cm="1">
        <f t="array" ref="N43">IFERROR(INDEX($Y$10:$Y$28,MATCH(IFERROR(INDEX($AC$10:$AC$419,MATCH(1,IF($C43&amp;"-"&amp;N$10=$AA$10:$AA$419&amp;"-"&amp;$AB$10:$AB$419,1,0),0)),""),$X$10:$X$28,0)),"")</f>
        <v>52</v>
      </c>
      <c r="O43" s="90" cm="1">
        <f t="array" ref="O43">IFERROR(INDEX($Y$10:$Y$28,MATCH(IFERROR(INDEX($AC$10:$AC$419,MATCH(1,IF($C43&amp;"-"&amp;O$10=$AA$10:$AA$419&amp;"-"&amp;$AB$10:$AB$419,1,0),0)),""),$X$10:$X$28,0)),"")</f>
        <v>14</v>
      </c>
      <c r="P43" s="90" cm="1">
        <f t="array" ref="P43">IFERROR(INDEX($Y$10:$Y$28,MATCH(IFERROR(INDEX($AC$10:$AC$419,MATCH(1,IF($C43&amp;"-"&amp;P$10=$AA$10:$AA$419&amp;"-"&amp;$AB$10:$AB$419,1,0),0)),""),$X$10:$X$28,0)),"")</f>
        <v>14</v>
      </c>
      <c r="Q43" s="90" cm="1">
        <f t="array" ref="Q43">IFERROR(INDEX($Y$10:$Y$28,MATCH(IFERROR(INDEX($AC$10:$AC$419,MATCH(1,IF($C43&amp;"-"&amp;Q$10=$AA$10:$AA$419&amp;"-"&amp;$AB$10:$AB$419,1,0),0)),""),$X$10:$X$28,0)),"")</f>
        <v>14</v>
      </c>
      <c r="R43" s="90" t="str" cm="1">
        <f t="array" ref="R43">IFERROR(INDEX($Y$10:$Y$28,MATCH(IFERROR(INDEX($AC$10:$AC$419,MATCH(1,IF($C43&amp;"-"&amp;R$10=$AA$10:$AA$419&amp;"-"&amp;$AB$10:$AB$419,1,0),0)),""),$X$10:$X$28,0)),"")</f>
        <v/>
      </c>
      <c r="S43" s="90" t="str" cm="1">
        <f t="array" ref="S43">IFERROR(INDEX($Y$10:$Y$28,MATCH(IFERROR(INDEX($AC$10:$AC$419,MATCH(1,IF($C43&amp;"-"&amp;S$10=$AA$10:$AA$419&amp;"-"&amp;$AB$10:$AB$419,1,0),0)),""),$X$10:$X$28,0)),"")</f>
        <v/>
      </c>
      <c r="T43" s="90" t="str" cm="1">
        <f t="array" ref="T43">IFERROR(INDEX($Y$10:$Y$28,MATCH(IFERROR(INDEX($AC$10:$AC$419,MATCH(1,IF($C43&amp;"-"&amp;T$10=$AA$10:$AA$419&amp;"-"&amp;$AB$10:$AB$419,1,0),0)),""),$X$10:$X$28,0)),"")</f>
        <v/>
      </c>
      <c r="Z43" s="8"/>
      <c r="AA43" s="11">
        <v>6</v>
      </c>
      <c r="AB43" s="11">
        <v>8</v>
      </c>
      <c r="AC43" s="11" t="s">
        <v>212</v>
      </c>
      <c r="AD43" t="e">
        <v>#VALUE!</v>
      </c>
    </row>
    <row r="44" spans="2:30" x14ac:dyDescent="0.25">
      <c r="B44" s="207"/>
      <c r="C44">
        <v>34</v>
      </c>
      <c r="D44" s="90" t="str" cm="1">
        <f t="array" ref="D44">IFERROR(INDEX($Y$10:$Y$28,MATCH(IFERROR(INDEX($AC$10:$AC$419,MATCH(1,IF($C44&amp;"-"&amp;D$10=$AA$10:$AA$419&amp;"-"&amp;$AB$10:$AB$419,1,0),0)),""),$X$10:$X$28,0)),"")</f>
        <v/>
      </c>
      <c r="E44" s="90" t="str" cm="1">
        <f t="array" ref="E44">IFERROR(INDEX($Y$10:$Y$28,MATCH(IFERROR(INDEX($AC$10:$AC$419,MATCH(1,IF($C44&amp;"-"&amp;E$10=$AA$10:$AA$419&amp;"-"&amp;$AB$10:$AB$419,1,0),0)),""),$X$10:$X$28,0)),"")</f>
        <v/>
      </c>
      <c r="F44" s="90" t="str" cm="1">
        <f t="array" ref="F44">IFERROR(INDEX($Y$10:$Y$28,MATCH(IFERROR(INDEX($AC$10:$AC$419,MATCH(1,IF($C44&amp;"-"&amp;F$10=$AA$10:$AA$419&amp;"-"&amp;$AB$10:$AB$419,1,0),0)),""),$X$10:$X$28,0)),"")</f>
        <v/>
      </c>
      <c r="G44" s="90" t="str" cm="1">
        <f t="array" ref="G44">IFERROR(INDEX($Y$10:$Y$28,MATCH(IFERROR(INDEX($AC$10:$AC$419,MATCH(1,IF($C44&amp;"-"&amp;G$10=$AA$10:$AA$419&amp;"-"&amp;$AB$10:$AB$419,1,0),0)),""),$X$10:$X$28,0)),"")</f>
        <v/>
      </c>
      <c r="H44" s="90" t="str" cm="1">
        <f t="array" ref="H44">IFERROR(INDEX($Y$10:$Y$28,MATCH(IFERROR(INDEX($AC$10:$AC$419,MATCH(1,IF($C44&amp;"-"&amp;H$10=$AA$10:$AA$419&amp;"-"&amp;$AB$10:$AB$419,1,0),0)),""),$X$10:$X$28,0)),"")</f>
        <v/>
      </c>
      <c r="I44" s="90" t="str" cm="1">
        <f t="array" ref="I44">IFERROR(INDEX($Y$10:$Y$28,MATCH(IFERROR(INDEX($AC$10:$AC$419,MATCH(1,IF($C44&amp;"-"&amp;I$10=$AA$10:$AA$419&amp;"-"&amp;$AB$10:$AB$419,1,0),0)),""),$X$10:$X$28,0)),"")</f>
        <v/>
      </c>
      <c r="J44" s="90" cm="1">
        <f t="array" ref="J44">IFERROR(INDEX($Y$10:$Y$28,MATCH(IFERROR(INDEX($AC$10:$AC$419,MATCH(1,IF($C44&amp;"-"&amp;J$10=$AA$10:$AA$419&amp;"-"&amp;$AB$10:$AB$419,1,0),0)),""),$X$10:$X$28,0)),"")</f>
        <v>16</v>
      </c>
      <c r="K44" s="90" cm="1">
        <f t="array" ref="K44">IFERROR(INDEX($Y$10:$Y$28,MATCH(IFERROR(INDEX($AC$10:$AC$419,MATCH(1,IF($C44&amp;"-"&amp;K$10=$AA$10:$AA$419&amp;"-"&amp;$AB$10:$AB$419,1,0),0)),""),$X$10:$X$28,0)),"")</f>
        <v>16</v>
      </c>
      <c r="L44" s="90" cm="1">
        <f t="array" ref="L44">IFERROR(INDEX($Y$10:$Y$28,MATCH(IFERROR(INDEX($AC$10:$AC$419,MATCH(1,IF($C44&amp;"-"&amp;L$10=$AA$10:$AA$419&amp;"-"&amp;$AB$10:$AB$419,1,0),0)),""),$X$10:$X$28,0)),"")</f>
        <v>16</v>
      </c>
      <c r="M44" s="90" cm="1">
        <f t="array" ref="M44">IFERROR(INDEX($Y$10:$Y$28,MATCH(IFERROR(INDEX($AC$10:$AC$419,MATCH(1,IF($C44&amp;"-"&amp;M$10=$AA$10:$AA$419&amp;"-"&amp;$AB$10:$AB$419,1,0),0)),""),$X$10:$X$28,0)),"")</f>
        <v>58</v>
      </c>
      <c r="N44" s="90" cm="1">
        <f t="array" ref="N44">IFERROR(INDEX($Y$10:$Y$28,MATCH(IFERROR(INDEX($AC$10:$AC$419,MATCH(1,IF($C44&amp;"-"&amp;N$10=$AA$10:$AA$419&amp;"-"&amp;$AB$10:$AB$419,1,0),0)),""),$X$10:$X$28,0)),"")</f>
        <v>167</v>
      </c>
      <c r="O44" s="90" cm="1">
        <f t="array" ref="O44">IFERROR(INDEX($Y$10:$Y$28,MATCH(IFERROR(INDEX($AC$10:$AC$419,MATCH(1,IF($C44&amp;"-"&amp;O$10=$AA$10:$AA$419&amp;"-"&amp;$AB$10:$AB$419,1,0),0)),""),$X$10:$X$28,0)),"")</f>
        <v>167</v>
      </c>
      <c r="P44" s="90" cm="1">
        <f t="array" ref="P44">IFERROR(INDEX($Y$10:$Y$28,MATCH(IFERROR(INDEX($AC$10:$AC$419,MATCH(1,IF($C44&amp;"-"&amp;P$10=$AA$10:$AA$419&amp;"-"&amp;$AB$10:$AB$419,1,0),0)),""),$X$10:$X$28,0)),"")</f>
        <v>14</v>
      </c>
      <c r="Q44" s="90" cm="1">
        <f t="array" ref="Q44">IFERROR(INDEX($Y$10:$Y$28,MATCH(IFERROR(INDEX($AC$10:$AC$419,MATCH(1,IF($C44&amp;"-"&amp;Q$10=$AA$10:$AA$419&amp;"-"&amp;$AB$10:$AB$419,1,0),0)),""),$X$10:$X$28,0)),"")</f>
        <v>14</v>
      </c>
      <c r="R44" s="90" t="str" cm="1">
        <f t="array" ref="R44">IFERROR(INDEX($Y$10:$Y$28,MATCH(IFERROR(INDEX($AC$10:$AC$419,MATCH(1,IF($C44&amp;"-"&amp;R$10=$AA$10:$AA$419&amp;"-"&amp;$AB$10:$AB$419,1,0),0)),""),$X$10:$X$28,0)),"")</f>
        <v/>
      </c>
      <c r="S44" s="90" t="str" cm="1">
        <f t="array" ref="S44">IFERROR(INDEX($Y$10:$Y$28,MATCH(IFERROR(INDEX($AC$10:$AC$419,MATCH(1,IF($C44&amp;"-"&amp;S$10=$AA$10:$AA$419&amp;"-"&amp;$AB$10:$AB$419,1,0),0)),""),$X$10:$X$28,0)),"")</f>
        <v/>
      </c>
      <c r="T44" s="90" t="str" cm="1">
        <f t="array" ref="T44">IFERROR(INDEX($Y$10:$Y$28,MATCH(IFERROR(INDEX($AC$10:$AC$419,MATCH(1,IF($C44&amp;"-"&amp;T$10=$AA$10:$AA$419&amp;"-"&amp;$AB$10:$AB$419,1,0),0)),""),$X$10:$X$28,0)),"")</f>
        <v/>
      </c>
      <c r="Z44" s="8"/>
      <c r="AA44" s="11">
        <v>6</v>
      </c>
      <c r="AB44" s="11">
        <v>9</v>
      </c>
      <c r="AC44" s="11" t="s">
        <v>205</v>
      </c>
      <c r="AD44" t="e">
        <v>#VALUE!</v>
      </c>
    </row>
    <row r="45" spans="2:30" x14ac:dyDescent="0.25">
      <c r="B45" s="207"/>
      <c r="C45">
        <v>35</v>
      </c>
      <c r="D45" s="90" t="str" cm="1">
        <f t="array" ref="D45">IFERROR(INDEX($Y$10:$Y$28,MATCH(IFERROR(INDEX($AC$10:$AC$419,MATCH(1,IF($C45&amp;"-"&amp;D$10=$AA$10:$AA$419&amp;"-"&amp;$AB$10:$AB$419,1,0),0)),""),$X$10:$X$28,0)),"")</f>
        <v/>
      </c>
      <c r="E45" s="90" t="str" cm="1">
        <f t="array" ref="E45">IFERROR(INDEX($Y$10:$Y$28,MATCH(IFERROR(INDEX($AC$10:$AC$419,MATCH(1,IF($C45&amp;"-"&amp;E$10=$AA$10:$AA$419&amp;"-"&amp;$AB$10:$AB$419,1,0),0)),""),$X$10:$X$28,0)),"")</f>
        <v/>
      </c>
      <c r="F45" s="90" t="str" cm="1">
        <f t="array" ref="F45">IFERROR(INDEX($Y$10:$Y$28,MATCH(IFERROR(INDEX($AC$10:$AC$419,MATCH(1,IF($C45&amp;"-"&amp;F$10=$AA$10:$AA$419&amp;"-"&amp;$AB$10:$AB$419,1,0),0)),""),$X$10:$X$28,0)),"")</f>
        <v/>
      </c>
      <c r="G45" s="90" t="str" cm="1">
        <f t="array" ref="G45">IFERROR(INDEX($Y$10:$Y$28,MATCH(IFERROR(INDEX($AC$10:$AC$419,MATCH(1,IF($C45&amp;"-"&amp;G$10=$AA$10:$AA$419&amp;"-"&amp;$AB$10:$AB$419,1,0),0)),""),$X$10:$X$28,0)),"")</f>
        <v/>
      </c>
      <c r="H45" s="90" t="str" cm="1">
        <f t="array" ref="H45">IFERROR(INDEX($Y$10:$Y$28,MATCH(IFERROR(INDEX($AC$10:$AC$419,MATCH(1,IF($C45&amp;"-"&amp;H$10=$AA$10:$AA$419&amp;"-"&amp;$AB$10:$AB$419,1,0),0)),""),$X$10:$X$28,0)),"")</f>
        <v/>
      </c>
      <c r="I45" s="90" t="str" cm="1">
        <f t="array" ref="I45">IFERROR(INDEX($Y$10:$Y$28,MATCH(IFERROR(INDEX($AC$10:$AC$419,MATCH(1,IF($C45&amp;"-"&amp;I$10=$AA$10:$AA$419&amp;"-"&amp;$AB$10:$AB$419,1,0),0)),""),$X$10:$X$28,0)),"")</f>
        <v/>
      </c>
      <c r="J45" s="90" cm="1">
        <f t="array" ref="J45">IFERROR(INDEX($Y$10:$Y$28,MATCH(IFERROR(INDEX($AC$10:$AC$419,MATCH(1,IF($C45&amp;"-"&amp;J$10=$AA$10:$AA$419&amp;"-"&amp;$AB$10:$AB$419,1,0),0)),""),$X$10:$X$28,0)),"")</f>
        <v>16</v>
      </c>
      <c r="K45" s="90" cm="1">
        <f t="array" ref="K45">IFERROR(INDEX($Y$10:$Y$28,MATCH(IFERROR(INDEX($AC$10:$AC$419,MATCH(1,IF($C45&amp;"-"&amp;K$10=$AA$10:$AA$419&amp;"-"&amp;$AB$10:$AB$419,1,0),0)),""),$X$10:$X$28,0)),"")</f>
        <v>16</v>
      </c>
      <c r="L45" s="90" cm="1">
        <f t="array" ref="L45">IFERROR(INDEX($Y$10:$Y$28,MATCH(IFERROR(INDEX($AC$10:$AC$419,MATCH(1,IF($C45&amp;"-"&amp;L$10=$AA$10:$AA$419&amp;"-"&amp;$AB$10:$AB$419,1,0),0)),""),$X$10:$X$28,0)),"")</f>
        <v>16</v>
      </c>
      <c r="M45" s="90" cm="1">
        <f t="array" ref="M45">IFERROR(INDEX($Y$10:$Y$28,MATCH(IFERROR(INDEX($AC$10:$AC$419,MATCH(1,IF($C45&amp;"-"&amp;M$10=$AA$10:$AA$419&amp;"-"&amp;$AB$10:$AB$419,1,0),0)),""),$X$10:$X$28,0)),"")</f>
        <v>58</v>
      </c>
      <c r="N45" s="90" cm="1">
        <f t="array" ref="N45">IFERROR(INDEX($Y$10:$Y$28,MATCH(IFERROR(INDEX($AC$10:$AC$419,MATCH(1,IF($C45&amp;"-"&amp;N$10=$AA$10:$AA$419&amp;"-"&amp;$AB$10:$AB$419,1,0),0)),""),$X$10:$X$28,0)),"")</f>
        <v>167</v>
      </c>
      <c r="O45" s="90" cm="1">
        <f t="array" ref="O45">IFERROR(INDEX($Y$10:$Y$28,MATCH(IFERROR(INDEX($AC$10:$AC$419,MATCH(1,IF($C45&amp;"-"&amp;O$10=$AA$10:$AA$419&amp;"-"&amp;$AB$10:$AB$419,1,0),0)),""),$X$10:$X$28,0)),"")</f>
        <v>167</v>
      </c>
      <c r="P45" s="90" cm="1">
        <f t="array" ref="P45">IFERROR(INDEX($Y$10:$Y$28,MATCH(IFERROR(INDEX($AC$10:$AC$419,MATCH(1,IF($C45&amp;"-"&amp;P$10=$AA$10:$AA$419&amp;"-"&amp;$AB$10:$AB$419,1,0),0)),""),$X$10:$X$28,0)),"")</f>
        <v>14</v>
      </c>
      <c r="Q45" s="90" cm="1">
        <f t="array" ref="Q45">IFERROR(INDEX($Y$10:$Y$28,MATCH(IFERROR(INDEX($AC$10:$AC$419,MATCH(1,IF($C45&amp;"-"&amp;Q$10=$AA$10:$AA$419&amp;"-"&amp;$AB$10:$AB$419,1,0),0)),""),$X$10:$X$28,0)),"")</f>
        <v>14</v>
      </c>
      <c r="R45" s="90" t="str" cm="1">
        <f t="array" ref="R45">IFERROR(INDEX($Y$10:$Y$28,MATCH(IFERROR(INDEX($AC$10:$AC$419,MATCH(1,IF($C45&amp;"-"&amp;R$10=$AA$10:$AA$419&amp;"-"&amp;$AB$10:$AB$419,1,0),0)),""),$X$10:$X$28,0)),"")</f>
        <v/>
      </c>
      <c r="S45" s="90" t="str" cm="1">
        <f t="array" ref="S45">IFERROR(INDEX($Y$10:$Y$28,MATCH(IFERROR(INDEX($AC$10:$AC$419,MATCH(1,IF($C45&amp;"-"&amp;S$10=$AA$10:$AA$419&amp;"-"&amp;$AB$10:$AB$419,1,0),0)),""),$X$10:$X$28,0)),"")</f>
        <v/>
      </c>
      <c r="T45" s="90" t="str" cm="1">
        <f t="array" ref="T45">IFERROR(INDEX($Y$10:$Y$28,MATCH(IFERROR(INDEX($AC$10:$AC$419,MATCH(1,IF($C45&amp;"-"&amp;T$10=$AA$10:$AA$419&amp;"-"&amp;$AB$10:$AB$419,1,0),0)),""),$X$10:$X$28,0)),"")</f>
        <v/>
      </c>
      <c r="Z45" s="8"/>
      <c r="AA45" s="11">
        <v>6</v>
      </c>
      <c r="AB45" s="11">
        <v>10</v>
      </c>
      <c r="AC45" s="11" t="s">
        <v>205</v>
      </c>
      <c r="AD45" t="e">
        <v>#VALUE!</v>
      </c>
    </row>
    <row r="46" spans="2:30" x14ac:dyDescent="0.25">
      <c r="B46" s="207"/>
      <c r="C46">
        <v>36</v>
      </c>
      <c r="D46" s="90" t="str" cm="1">
        <f t="array" ref="D46">IFERROR(INDEX($Y$10:$Y$28,MATCH(IFERROR(INDEX($AC$10:$AC$419,MATCH(1,IF($C46&amp;"-"&amp;D$10=$AA$10:$AA$419&amp;"-"&amp;$AB$10:$AB$419,1,0),0)),""),$X$10:$X$28,0)),"")</f>
        <v/>
      </c>
      <c r="E46" s="90" t="str" cm="1">
        <f t="array" ref="E46">IFERROR(INDEX($Y$10:$Y$28,MATCH(IFERROR(INDEX($AC$10:$AC$419,MATCH(1,IF($C46&amp;"-"&amp;E$10=$AA$10:$AA$419&amp;"-"&amp;$AB$10:$AB$419,1,0),0)),""),$X$10:$X$28,0)),"")</f>
        <v/>
      </c>
      <c r="F46" s="90" t="str" cm="1">
        <f t="array" ref="F46">IFERROR(INDEX($Y$10:$Y$28,MATCH(IFERROR(INDEX($AC$10:$AC$419,MATCH(1,IF($C46&amp;"-"&amp;F$10=$AA$10:$AA$419&amp;"-"&amp;$AB$10:$AB$419,1,0),0)),""),$X$10:$X$28,0)),"")</f>
        <v/>
      </c>
      <c r="G46" s="90" t="str" cm="1">
        <f t="array" ref="G46">IFERROR(INDEX($Y$10:$Y$28,MATCH(IFERROR(INDEX($AC$10:$AC$419,MATCH(1,IF($C46&amp;"-"&amp;G$10=$AA$10:$AA$419&amp;"-"&amp;$AB$10:$AB$419,1,0),0)),""),$X$10:$X$28,0)),"")</f>
        <v/>
      </c>
      <c r="H46" s="90" t="str" cm="1">
        <f t="array" ref="H46">IFERROR(INDEX($Y$10:$Y$28,MATCH(IFERROR(INDEX($AC$10:$AC$419,MATCH(1,IF($C46&amp;"-"&amp;H$10=$AA$10:$AA$419&amp;"-"&amp;$AB$10:$AB$419,1,0),0)),""),$X$10:$X$28,0)),"")</f>
        <v/>
      </c>
      <c r="I46" s="90" t="str" cm="1">
        <f t="array" ref="I46">IFERROR(INDEX($Y$10:$Y$28,MATCH(IFERROR(INDEX($AC$10:$AC$419,MATCH(1,IF($C46&amp;"-"&amp;I$10=$AA$10:$AA$419&amp;"-"&amp;$AB$10:$AB$419,1,0),0)),""),$X$10:$X$28,0)),"")</f>
        <v/>
      </c>
      <c r="J46" s="90" cm="1">
        <f t="array" ref="J46">IFERROR(INDEX($Y$10:$Y$28,MATCH(IFERROR(INDEX($AC$10:$AC$419,MATCH(1,IF($C46&amp;"-"&amp;J$10=$AA$10:$AA$419&amp;"-"&amp;$AB$10:$AB$419,1,0),0)),""),$X$10:$X$28,0)),"")</f>
        <v>16</v>
      </c>
      <c r="K46" s="90" cm="1">
        <f t="array" ref="K46">IFERROR(INDEX($Y$10:$Y$28,MATCH(IFERROR(INDEX($AC$10:$AC$419,MATCH(1,IF($C46&amp;"-"&amp;K$10=$AA$10:$AA$419&amp;"-"&amp;$AB$10:$AB$419,1,0),0)),""),$X$10:$X$28,0)),"")</f>
        <v>16</v>
      </c>
      <c r="L46" s="90" cm="1">
        <f t="array" ref="L46">IFERROR(INDEX($Y$10:$Y$28,MATCH(IFERROR(INDEX($AC$10:$AC$419,MATCH(1,IF($C46&amp;"-"&amp;L$10=$AA$10:$AA$419&amp;"-"&amp;$AB$10:$AB$419,1,0),0)),""),$X$10:$X$28,0)),"")</f>
        <v>16</v>
      </c>
      <c r="M46" s="90" cm="1">
        <f t="array" ref="M46">IFERROR(INDEX($Y$10:$Y$28,MATCH(IFERROR(INDEX($AC$10:$AC$419,MATCH(1,IF($C46&amp;"-"&amp;M$10=$AA$10:$AA$419&amp;"-"&amp;$AB$10:$AB$419,1,0),0)),""),$X$10:$X$28,0)),"")</f>
        <v>16</v>
      </c>
      <c r="N46" s="90" cm="1">
        <f t="array" ref="N46">IFERROR(INDEX($Y$10:$Y$28,MATCH(IFERROR(INDEX($AC$10:$AC$419,MATCH(1,IF($C46&amp;"-"&amp;N$10=$AA$10:$AA$419&amp;"-"&amp;$AB$10:$AB$419,1,0),0)),""),$X$10:$X$28,0)),"")</f>
        <v>167</v>
      </c>
      <c r="O46" s="90" cm="1">
        <f t="array" ref="O46">IFERROR(INDEX($Y$10:$Y$28,MATCH(IFERROR(INDEX($AC$10:$AC$419,MATCH(1,IF($C46&amp;"-"&amp;O$10=$AA$10:$AA$419&amp;"-"&amp;$AB$10:$AB$419,1,0),0)),""),$X$10:$X$28,0)),"")</f>
        <v>167</v>
      </c>
      <c r="P46" s="90" cm="1">
        <f t="array" ref="P46">IFERROR(INDEX($Y$10:$Y$28,MATCH(IFERROR(INDEX($AC$10:$AC$419,MATCH(1,IF($C46&amp;"-"&amp;P$10=$AA$10:$AA$419&amp;"-"&amp;$AB$10:$AB$419,1,0),0)),""),$X$10:$X$28,0)),"")</f>
        <v>167</v>
      </c>
      <c r="Q46" s="90" cm="1">
        <f t="array" ref="Q46">IFERROR(INDEX($Y$10:$Y$28,MATCH(IFERROR(INDEX($AC$10:$AC$419,MATCH(1,IF($C46&amp;"-"&amp;Q$10=$AA$10:$AA$419&amp;"-"&amp;$AB$10:$AB$419,1,0),0)),""),$X$10:$X$28,0)),"")</f>
        <v>14</v>
      </c>
      <c r="R46" s="90" t="str" cm="1">
        <f t="array" ref="R46">IFERROR(INDEX($Y$10:$Y$28,MATCH(IFERROR(INDEX($AC$10:$AC$419,MATCH(1,IF($C46&amp;"-"&amp;R$10=$AA$10:$AA$419&amp;"-"&amp;$AB$10:$AB$419,1,0),0)),""),$X$10:$X$28,0)),"")</f>
        <v/>
      </c>
      <c r="S46" s="90" t="str" cm="1">
        <f t="array" ref="S46">IFERROR(INDEX($Y$10:$Y$28,MATCH(IFERROR(INDEX($AC$10:$AC$419,MATCH(1,IF($C46&amp;"-"&amp;S$10=$AA$10:$AA$419&amp;"-"&amp;$AB$10:$AB$419,1,0),0)),""),$X$10:$X$28,0)),"")</f>
        <v/>
      </c>
      <c r="T46" s="90" t="str" cm="1">
        <f t="array" ref="T46">IFERROR(INDEX($Y$10:$Y$28,MATCH(IFERROR(INDEX($AC$10:$AC$419,MATCH(1,IF($C46&amp;"-"&amp;T$10=$AA$10:$AA$419&amp;"-"&amp;$AB$10:$AB$419,1,0),0)),""),$X$10:$X$28,0)),"")</f>
        <v/>
      </c>
      <c r="Z46" s="8"/>
      <c r="AA46" s="11">
        <v>6</v>
      </c>
      <c r="AB46" s="11">
        <v>11</v>
      </c>
      <c r="AC46" s="11" t="s">
        <v>205</v>
      </c>
      <c r="AD46" t="e">
        <v>#VALUE!</v>
      </c>
    </row>
    <row r="47" spans="2:30" x14ac:dyDescent="0.25">
      <c r="B47" s="207"/>
      <c r="C47">
        <v>37</v>
      </c>
      <c r="D47" s="90" t="str" cm="1">
        <f t="array" ref="D47">IFERROR(INDEX($Y$10:$Y$28,MATCH(IFERROR(INDEX($AC$10:$AC$419,MATCH(1,IF($C47&amp;"-"&amp;D$10=$AA$10:$AA$419&amp;"-"&amp;$AB$10:$AB$419,1,0),0)),""),$X$10:$X$28,0)),"")</f>
        <v/>
      </c>
      <c r="E47" s="90" t="str" cm="1">
        <f t="array" ref="E47">IFERROR(INDEX($Y$10:$Y$28,MATCH(IFERROR(INDEX($AC$10:$AC$419,MATCH(1,IF($C47&amp;"-"&amp;E$10=$AA$10:$AA$419&amp;"-"&amp;$AB$10:$AB$419,1,0),0)),""),$X$10:$X$28,0)),"")</f>
        <v/>
      </c>
      <c r="F47" s="90" t="str" cm="1">
        <f t="array" ref="F47">IFERROR(INDEX($Y$10:$Y$28,MATCH(IFERROR(INDEX($AC$10:$AC$419,MATCH(1,IF($C47&amp;"-"&amp;F$10=$AA$10:$AA$419&amp;"-"&amp;$AB$10:$AB$419,1,0),0)),""),$X$10:$X$28,0)),"")</f>
        <v/>
      </c>
      <c r="G47" s="90" t="str" cm="1">
        <f t="array" ref="G47">IFERROR(INDEX($Y$10:$Y$28,MATCH(IFERROR(INDEX($AC$10:$AC$419,MATCH(1,IF($C47&amp;"-"&amp;G$10=$AA$10:$AA$419&amp;"-"&amp;$AB$10:$AB$419,1,0),0)),""),$X$10:$X$28,0)),"")</f>
        <v/>
      </c>
      <c r="H47" s="90" t="str" cm="1">
        <f t="array" ref="H47">IFERROR(INDEX($Y$10:$Y$28,MATCH(IFERROR(INDEX($AC$10:$AC$419,MATCH(1,IF($C47&amp;"-"&amp;H$10=$AA$10:$AA$419&amp;"-"&amp;$AB$10:$AB$419,1,0),0)),""),$X$10:$X$28,0)),"")</f>
        <v/>
      </c>
      <c r="I47" s="90" t="str" cm="1">
        <f t="array" ref="I47">IFERROR(INDEX($Y$10:$Y$28,MATCH(IFERROR(INDEX($AC$10:$AC$419,MATCH(1,IF($C47&amp;"-"&amp;I$10=$AA$10:$AA$419&amp;"-"&amp;$AB$10:$AB$419,1,0),0)),""),$X$10:$X$28,0)),"")</f>
        <v/>
      </c>
      <c r="J47" s="90" t="str" cm="1">
        <f t="array" ref="J47">IFERROR(INDEX($Y$10:$Y$28,MATCH(IFERROR(INDEX($AC$10:$AC$419,MATCH(1,IF($C47&amp;"-"&amp;J$10=$AA$10:$AA$419&amp;"-"&amp;$AB$10:$AB$419,1,0),0)),""),$X$10:$X$28,0)),"")</f>
        <v/>
      </c>
      <c r="K47" s="90" cm="1">
        <f t="array" ref="K47">IFERROR(INDEX($Y$10:$Y$28,MATCH(IFERROR(INDEX($AC$10:$AC$419,MATCH(1,IF($C47&amp;"-"&amp;K$10=$AA$10:$AA$419&amp;"-"&amp;$AB$10:$AB$419,1,0),0)),""),$X$10:$X$28,0)),"")</f>
        <v>16</v>
      </c>
      <c r="L47" s="90" cm="1">
        <f t="array" ref="L47">IFERROR(INDEX($Y$10:$Y$28,MATCH(IFERROR(INDEX($AC$10:$AC$419,MATCH(1,IF($C47&amp;"-"&amp;L$10=$AA$10:$AA$419&amp;"-"&amp;$AB$10:$AB$419,1,0),0)),""),$X$10:$X$28,0)),"")</f>
        <v>16</v>
      </c>
      <c r="M47" s="90" t="str" cm="1">
        <f t="array" ref="M47">IFERROR(INDEX($Y$10:$Y$28,MATCH(IFERROR(INDEX($AC$10:$AC$419,MATCH(1,IF($C47&amp;"-"&amp;M$10=$AA$10:$AA$419&amp;"-"&amp;$AB$10:$AB$419,1,0),0)),""),$X$10:$X$28,0)),"")</f>
        <v/>
      </c>
      <c r="N47" s="90" cm="1">
        <f t="array" ref="N47">IFERROR(INDEX($Y$10:$Y$28,MATCH(IFERROR(INDEX($AC$10:$AC$419,MATCH(1,IF($C47&amp;"-"&amp;N$10=$AA$10:$AA$419&amp;"-"&amp;$AB$10:$AB$419,1,0),0)),""),$X$10:$X$28,0)),"")</f>
        <v>167</v>
      </c>
      <c r="O47" s="90" cm="1">
        <f t="array" ref="O47">IFERROR(INDEX($Y$10:$Y$28,MATCH(IFERROR(INDEX($AC$10:$AC$419,MATCH(1,IF($C47&amp;"-"&amp;O$10=$AA$10:$AA$419&amp;"-"&amp;$AB$10:$AB$419,1,0),0)),""),$X$10:$X$28,0)),"")</f>
        <v>167</v>
      </c>
      <c r="P47" s="90" cm="1">
        <f t="array" ref="P47">IFERROR(INDEX($Y$10:$Y$28,MATCH(IFERROR(INDEX($AC$10:$AC$419,MATCH(1,IF($C47&amp;"-"&amp;P$10=$AA$10:$AA$419&amp;"-"&amp;$AB$10:$AB$419,1,0),0)),""),$X$10:$X$28,0)),"")</f>
        <v>167</v>
      </c>
      <c r="Q47" s="90" t="str" cm="1">
        <f t="array" ref="Q47">IFERROR(INDEX($Y$10:$Y$28,MATCH(IFERROR(INDEX($AC$10:$AC$419,MATCH(1,IF($C47&amp;"-"&amp;Q$10=$AA$10:$AA$419&amp;"-"&amp;$AB$10:$AB$419,1,0),0)),""),$X$10:$X$28,0)),"")</f>
        <v/>
      </c>
      <c r="R47" s="90" t="str" cm="1">
        <f t="array" ref="R47">IFERROR(INDEX($Y$10:$Y$28,MATCH(IFERROR(INDEX($AC$10:$AC$419,MATCH(1,IF($C47&amp;"-"&amp;R$10=$AA$10:$AA$419&amp;"-"&amp;$AB$10:$AB$419,1,0),0)),""),$X$10:$X$28,0)),"")</f>
        <v/>
      </c>
      <c r="S47" s="90" t="str" cm="1">
        <f t="array" ref="S47">IFERROR(INDEX($Y$10:$Y$28,MATCH(IFERROR(INDEX($AC$10:$AC$419,MATCH(1,IF($C47&amp;"-"&amp;S$10=$AA$10:$AA$419&amp;"-"&amp;$AB$10:$AB$419,1,0),0)),""),$X$10:$X$28,0)),"")</f>
        <v/>
      </c>
      <c r="T47" s="90" t="str" cm="1">
        <f t="array" ref="T47">IFERROR(INDEX($Y$10:$Y$28,MATCH(IFERROR(INDEX($AC$10:$AC$419,MATCH(1,IF($C47&amp;"-"&amp;T$10=$AA$10:$AA$419&amp;"-"&amp;$AB$10:$AB$419,1,0),0)),""),$X$10:$X$28,0)),"")</f>
        <v/>
      </c>
      <c r="Z47" s="8"/>
      <c r="AA47" s="11">
        <v>6</v>
      </c>
      <c r="AB47" s="11">
        <v>12</v>
      </c>
      <c r="AC47" s="11" t="s">
        <v>205</v>
      </c>
      <c r="AD47" t="e">
        <v>#VALUE!</v>
      </c>
    </row>
    <row r="48" spans="2:30" x14ac:dyDescent="0.25">
      <c r="B48" s="207"/>
      <c r="C48">
        <v>38</v>
      </c>
      <c r="D48" s="90" t="str" cm="1">
        <f t="array" ref="D48">IFERROR(INDEX($Y$10:$Y$28,MATCH(IFERROR(INDEX($AC$10:$AC$419,MATCH(1,IF($C48&amp;"-"&amp;D$10=$AA$10:$AA$419&amp;"-"&amp;$AB$10:$AB$419,1,0),0)),""),$X$10:$X$28,0)),"")</f>
        <v/>
      </c>
      <c r="E48" s="90" t="str" cm="1">
        <f t="array" ref="E48">IFERROR(INDEX($Y$10:$Y$28,MATCH(IFERROR(INDEX($AC$10:$AC$419,MATCH(1,IF($C48&amp;"-"&amp;E$10=$AA$10:$AA$419&amp;"-"&amp;$AB$10:$AB$419,1,0),0)),""),$X$10:$X$28,0)),"")</f>
        <v/>
      </c>
      <c r="F48" s="90" t="str" cm="1">
        <f t="array" ref="F48">IFERROR(INDEX($Y$10:$Y$28,MATCH(IFERROR(INDEX($AC$10:$AC$419,MATCH(1,IF($C48&amp;"-"&amp;F$10=$AA$10:$AA$419&amp;"-"&amp;$AB$10:$AB$419,1,0),0)),""),$X$10:$X$28,0)),"")</f>
        <v/>
      </c>
      <c r="G48" s="90" t="str" cm="1">
        <f t="array" ref="G48">IFERROR(INDEX($Y$10:$Y$28,MATCH(IFERROR(INDEX($AC$10:$AC$419,MATCH(1,IF($C48&amp;"-"&amp;G$10=$AA$10:$AA$419&amp;"-"&amp;$AB$10:$AB$419,1,0),0)),""),$X$10:$X$28,0)),"")</f>
        <v/>
      </c>
      <c r="H48" s="90" t="str" cm="1">
        <f t="array" ref="H48">IFERROR(INDEX($Y$10:$Y$28,MATCH(IFERROR(INDEX($AC$10:$AC$419,MATCH(1,IF($C48&amp;"-"&amp;H$10=$AA$10:$AA$419&amp;"-"&amp;$AB$10:$AB$419,1,0),0)),""),$X$10:$X$28,0)),"")</f>
        <v/>
      </c>
      <c r="I48" s="90" t="str" cm="1">
        <f t="array" ref="I48">IFERROR(INDEX($Y$10:$Y$28,MATCH(IFERROR(INDEX($AC$10:$AC$419,MATCH(1,IF($C48&amp;"-"&amp;I$10=$AA$10:$AA$419&amp;"-"&amp;$AB$10:$AB$419,1,0),0)),""),$X$10:$X$28,0)),"")</f>
        <v/>
      </c>
      <c r="J48" s="90" t="str" cm="1">
        <f t="array" ref="J48">IFERROR(INDEX($Y$10:$Y$28,MATCH(IFERROR(INDEX($AC$10:$AC$419,MATCH(1,IF($C48&amp;"-"&amp;J$10=$AA$10:$AA$419&amp;"-"&amp;$AB$10:$AB$419,1,0),0)),""),$X$10:$X$28,0)),"")</f>
        <v/>
      </c>
      <c r="K48" s="90" cm="1">
        <f t="array" ref="K48">IFERROR(INDEX($Y$10:$Y$28,MATCH(IFERROR(INDEX($AC$10:$AC$419,MATCH(1,IF($C48&amp;"-"&amp;K$10=$AA$10:$AA$419&amp;"-"&amp;$AB$10:$AB$419,1,0),0)),""),$X$10:$X$28,0)),"")</f>
        <v>16</v>
      </c>
      <c r="L48" s="90" t="str" cm="1">
        <f t="array" ref="L48">IFERROR(INDEX($Y$10:$Y$28,MATCH(IFERROR(INDEX($AC$10:$AC$419,MATCH(1,IF($C48&amp;"-"&amp;L$10=$AA$10:$AA$419&amp;"-"&amp;$AB$10:$AB$419,1,0),0)),""),$X$10:$X$28,0)),"")</f>
        <v/>
      </c>
      <c r="M48" s="90" t="str" cm="1">
        <f t="array" ref="M48">IFERROR(INDEX($Y$10:$Y$28,MATCH(IFERROR(INDEX($AC$10:$AC$419,MATCH(1,IF($C48&amp;"-"&amp;M$10=$AA$10:$AA$419&amp;"-"&amp;$AB$10:$AB$419,1,0),0)),""),$X$10:$X$28,0)),"")</f>
        <v/>
      </c>
      <c r="N48" s="90" cm="1">
        <f t="array" ref="N48">IFERROR(INDEX($Y$10:$Y$28,MATCH(IFERROR(INDEX($AC$10:$AC$419,MATCH(1,IF($C48&amp;"-"&amp;N$10=$AA$10:$AA$419&amp;"-"&amp;$AB$10:$AB$419,1,0),0)),""),$X$10:$X$28,0)),"")</f>
        <v>167</v>
      </c>
      <c r="O48" s="90" cm="1">
        <f t="array" ref="O48">IFERROR(INDEX($Y$10:$Y$28,MATCH(IFERROR(INDEX($AC$10:$AC$419,MATCH(1,IF($C48&amp;"-"&amp;O$10=$AA$10:$AA$419&amp;"-"&amp;$AB$10:$AB$419,1,0),0)),""),$X$10:$X$28,0)),"")</f>
        <v>167</v>
      </c>
      <c r="P48" s="90" cm="1">
        <f t="array" ref="P48">IFERROR(INDEX($Y$10:$Y$28,MATCH(IFERROR(INDEX($AC$10:$AC$419,MATCH(1,IF($C48&amp;"-"&amp;P$10=$AA$10:$AA$419&amp;"-"&amp;$AB$10:$AB$419,1,0),0)),""),$X$10:$X$28,0)),"")</f>
        <v>167</v>
      </c>
      <c r="Q48" s="90" cm="1">
        <f t="array" ref="Q48">IFERROR(INDEX($Y$10:$Y$28,MATCH(IFERROR(INDEX($AC$10:$AC$419,MATCH(1,IF($C48&amp;"-"&amp;Q$10=$AA$10:$AA$419&amp;"-"&amp;$AB$10:$AB$419,1,0),0)),""),$X$10:$X$28,0)),"")</f>
        <v>167</v>
      </c>
      <c r="R48" s="90" t="str" cm="1">
        <f t="array" ref="R48">IFERROR(INDEX($Y$10:$Y$28,MATCH(IFERROR(INDEX($AC$10:$AC$419,MATCH(1,IF($C48&amp;"-"&amp;R$10=$AA$10:$AA$419&amp;"-"&amp;$AB$10:$AB$419,1,0),0)),""),$X$10:$X$28,0)),"")</f>
        <v/>
      </c>
      <c r="S48" s="90" t="str" cm="1">
        <f t="array" ref="S48">IFERROR(INDEX($Y$10:$Y$28,MATCH(IFERROR(INDEX($AC$10:$AC$419,MATCH(1,IF($C48&amp;"-"&amp;S$10=$AA$10:$AA$419&amp;"-"&amp;$AB$10:$AB$419,1,0),0)),""),$X$10:$X$28,0)),"")</f>
        <v/>
      </c>
      <c r="T48" s="90" t="str" cm="1">
        <f t="array" ref="T48">IFERROR(INDEX($Y$10:$Y$28,MATCH(IFERROR(INDEX($AC$10:$AC$419,MATCH(1,IF($C48&amp;"-"&amp;T$10=$AA$10:$AA$419&amp;"-"&amp;$AB$10:$AB$419,1,0),0)),""),$X$10:$X$28,0)),"")</f>
        <v/>
      </c>
      <c r="Z48" s="8"/>
      <c r="AA48" s="11">
        <v>6</v>
      </c>
      <c r="AB48" s="11">
        <v>13</v>
      </c>
      <c r="AC48" s="11" t="s">
        <v>205</v>
      </c>
      <c r="AD48" t="e">
        <v>#VALUE!</v>
      </c>
    </row>
    <row r="49" spans="2:30" x14ac:dyDescent="0.25">
      <c r="B49" s="207"/>
      <c r="C49">
        <v>39</v>
      </c>
      <c r="D49" s="90" t="str" cm="1">
        <f t="array" ref="D49">IFERROR(INDEX($Y$10:$Y$28,MATCH(IFERROR(INDEX($AC$10:$AC$419,MATCH(1,IF($C49&amp;"-"&amp;D$10=$AA$10:$AA$419&amp;"-"&amp;$AB$10:$AB$419,1,0),0)),""),$X$10:$X$28,0)),"")</f>
        <v/>
      </c>
      <c r="E49" s="90" t="str" cm="1">
        <f t="array" ref="E49">IFERROR(INDEX($Y$10:$Y$28,MATCH(IFERROR(INDEX($AC$10:$AC$419,MATCH(1,IF($C49&amp;"-"&amp;E$10=$AA$10:$AA$419&amp;"-"&amp;$AB$10:$AB$419,1,0),0)),""),$X$10:$X$28,0)),"")</f>
        <v/>
      </c>
      <c r="F49" s="90" t="str" cm="1">
        <f t="array" ref="F49">IFERROR(INDEX($Y$10:$Y$28,MATCH(IFERROR(INDEX($AC$10:$AC$419,MATCH(1,IF($C49&amp;"-"&amp;F$10=$AA$10:$AA$419&amp;"-"&amp;$AB$10:$AB$419,1,0),0)),""),$X$10:$X$28,0)),"")</f>
        <v/>
      </c>
      <c r="G49" s="90" t="str" cm="1">
        <f t="array" ref="G49">IFERROR(INDEX($Y$10:$Y$28,MATCH(IFERROR(INDEX($AC$10:$AC$419,MATCH(1,IF($C49&amp;"-"&amp;G$10=$AA$10:$AA$419&amp;"-"&amp;$AB$10:$AB$419,1,0),0)),""),$X$10:$X$28,0)),"")</f>
        <v/>
      </c>
      <c r="H49" s="90" t="str" cm="1">
        <f t="array" ref="H49">IFERROR(INDEX($Y$10:$Y$28,MATCH(IFERROR(INDEX($AC$10:$AC$419,MATCH(1,IF($C49&amp;"-"&amp;H$10=$AA$10:$AA$419&amp;"-"&amp;$AB$10:$AB$419,1,0),0)),""),$X$10:$X$28,0)),"")</f>
        <v/>
      </c>
      <c r="I49" s="90" t="str" cm="1">
        <f t="array" ref="I49">IFERROR(INDEX($Y$10:$Y$28,MATCH(IFERROR(INDEX($AC$10:$AC$419,MATCH(1,IF($C49&amp;"-"&amp;I$10=$AA$10:$AA$419&amp;"-"&amp;$AB$10:$AB$419,1,0),0)),""),$X$10:$X$28,0)),"")</f>
        <v/>
      </c>
      <c r="J49" s="90" t="str" cm="1">
        <f t="array" ref="J49">IFERROR(INDEX($Y$10:$Y$28,MATCH(IFERROR(INDEX($AC$10:$AC$419,MATCH(1,IF($C49&amp;"-"&amp;J$10=$AA$10:$AA$419&amp;"-"&amp;$AB$10:$AB$419,1,0),0)),""),$X$10:$X$28,0)),"")</f>
        <v/>
      </c>
      <c r="K49" s="90" t="str" cm="1">
        <f t="array" ref="K49">IFERROR(INDEX($Y$10:$Y$28,MATCH(IFERROR(INDEX($AC$10:$AC$419,MATCH(1,IF($C49&amp;"-"&amp;K$10=$AA$10:$AA$419&amp;"-"&amp;$AB$10:$AB$419,1,0),0)),""),$X$10:$X$28,0)),"")</f>
        <v/>
      </c>
      <c r="L49" s="90" t="str" cm="1">
        <f t="array" ref="L49">IFERROR(INDEX($Y$10:$Y$28,MATCH(IFERROR(INDEX($AC$10:$AC$419,MATCH(1,IF($C49&amp;"-"&amp;L$10=$AA$10:$AA$419&amp;"-"&amp;$AB$10:$AB$419,1,0),0)),""),$X$10:$X$28,0)),"")</f>
        <v/>
      </c>
      <c r="M49" s="90" t="str" cm="1">
        <f t="array" ref="M49">IFERROR(INDEX($Y$10:$Y$28,MATCH(IFERROR(INDEX($AC$10:$AC$419,MATCH(1,IF($C49&amp;"-"&amp;M$10=$AA$10:$AA$419&amp;"-"&amp;$AB$10:$AB$419,1,0),0)),""),$X$10:$X$28,0)),"")</f>
        <v/>
      </c>
      <c r="N49" s="90" cm="1">
        <f t="array" ref="N49">IFERROR(INDEX($Y$10:$Y$28,MATCH(IFERROR(INDEX($AC$10:$AC$419,MATCH(1,IF($C49&amp;"-"&amp;N$10=$AA$10:$AA$419&amp;"-"&amp;$AB$10:$AB$419,1,0),0)),""),$X$10:$X$28,0)),"")</f>
        <v>167</v>
      </c>
      <c r="O49" s="90" cm="1">
        <f t="array" ref="O49">IFERROR(INDEX($Y$10:$Y$28,MATCH(IFERROR(INDEX($AC$10:$AC$419,MATCH(1,IF($C49&amp;"-"&amp;O$10=$AA$10:$AA$419&amp;"-"&amp;$AB$10:$AB$419,1,0),0)),""),$X$10:$X$28,0)),"")</f>
        <v>167</v>
      </c>
      <c r="P49" s="90" cm="1">
        <f t="array" ref="P49">IFERROR(INDEX($Y$10:$Y$28,MATCH(IFERROR(INDEX($AC$10:$AC$419,MATCH(1,IF($C49&amp;"-"&amp;P$10=$AA$10:$AA$419&amp;"-"&amp;$AB$10:$AB$419,1,0),0)),""),$X$10:$X$28,0)),"")</f>
        <v>167</v>
      </c>
      <c r="Q49" s="90" t="str" cm="1">
        <f t="array" ref="Q49">IFERROR(INDEX($Y$10:$Y$28,MATCH(IFERROR(INDEX($AC$10:$AC$419,MATCH(1,IF($C49&amp;"-"&amp;Q$10=$AA$10:$AA$419&amp;"-"&amp;$AB$10:$AB$419,1,0),0)),""),$X$10:$X$28,0)),"")</f>
        <v/>
      </c>
      <c r="R49" s="90" t="str" cm="1">
        <f t="array" ref="R49">IFERROR(INDEX($Y$10:$Y$28,MATCH(IFERROR(INDEX($AC$10:$AC$419,MATCH(1,IF($C49&amp;"-"&amp;R$10=$AA$10:$AA$419&amp;"-"&amp;$AB$10:$AB$419,1,0),0)),""),$X$10:$X$28,0)),"")</f>
        <v/>
      </c>
      <c r="S49" s="90" t="str" cm="1">
        <f t="array" ref="S49">IFERROR(INDEX($Y$10:$Y$28,MATCH(IFERROR(INDEX($AC$10:$AC$419,MATCH(1,IF($C49&amp;"-"&amp;S$10=$AA$10:$AA$419&amp;"-"&amp;$AB$10:$AB$419,1,0),0)),""),$X$10:$X$28,0)),"")</f>
        <v/>
      </c>
      <c r="T49" s="90" t="str" cm="1">
        <f t="array" ref="T49">IFERROR(INDEX($Y$10:$Y$28,MATCH(IFERROR(INDEX($AC$10:$AC$419,MATCH(1,IF($C49&amp;"-"&amp;T$10=$AA$10:$AA$419&amp;"-"&amp;$AB$10:$AB$419,1,0),0)),""),$X$10:$X$28,0)),"")</f>
        <v/>
      </c>
      <c r="Z49" s="8"/>
      <c r="AA49" s="11">
        <v>6</v>
      </c>
      <c r="AB49" s="11">
        <v>14</v>
      </c>
      <c r="AC49" s="11" t="s">
        <v>205</v>
      </c>
      <c r="AD49" t="e">
        <v>#VALUE!</v>
      </c>
    </row>
    <row r="50" spans="2:30" x14ac:dyDescent="0.25">
      <c r="B50" s="207"/>
      <c r="C50">
        <v>40</v>
      </c>
      <c r="D50" s="90" t="str" cm="1">
        <f t="array" ref="D50">IFERROR(INDEX($Y$10:$Y$28,MATCH(IFERROR(INDEX($AC$10:$AC$419,MATCH(1,IF($C50&amp;"-"&amp;D$10=$AA$10:$AA$419&amp;"-"&amp;$AB$10:$AB$419,1,0),0)),""),$X$10:$X$28,0)),"")</f>
        <v/>
      </c>
      <c r="E50" s="90" t="str" cm="1">
        <f t="array" ref="E50">IFERROR(INDEX($Y$10:$Y$28,MATCH(IFERROR(INDEX($AC$10:$AC$419,MATCH(1,IF($C50&amp;"-"&amp;E$10=$AA$10:$AA$419&amp;"-"&amp;$AB$10:$AB$419,1,0),0)),""),$X$10:$X$28,0)),"")</f>
        <v/>
      </c>
      <c r="F50" s="90" t="str" cm="1">
        <f t="array" ref="F50">IFERROR(INDEX($Y$10:$Y$28,MATCH(IFERROR(INDEX($AC$10:$AC$419,MATCH(1,IF($C50&amp;"-"&amp;F$10=$AA$10:$AA$419&amp;"-"&amp;$AB$10:$AB$419,1,0),0)),""),$X$10:$X$28,0)),"")</f>
        <v/>
      </c>
      <c r="G50" s="90" t="str" cm="1">
        <f t="array" ref="G50">IFERROR(INDEX($Y$10:$Y$28,MATCH(IFERROR(INDEX($AC$10:$AC$419,MATCH(1,IF($C50&amp;"-"&amp;G$10=$AA$10:$AA$419&amp;"-"&amp;$AB$10:$AB$419,1,0),0)),""),$X$10:$X$28,0)),"")</f>
        <v/>
      </c>
      <c r="H50" s="90" t="str" cm="1">
        <f t="array" ref="H50">IFERROR(INDEX($Y$10:$Y$28,MATCH(IFERROR(INDEX($AC$10:$AC$419,MATCH(1,IF($C50&amp;"-"&amp;H$10=$AA$10:$AA$419&amp;"-"&amp;$AB$10:$AB$419,1,0),0)),""),$X$10:$X$28,0)),"")</f>
        <v/>
      </c>
      <c r="I50" s="90" t="str" cm="1">
        <f t="array" ref="I50">IFERROR(INDEX($Y$10:$Y$28,MATCH(IFERROR(INDEX($AC$10:$AC$419,MATCH(1,IF($C50&amp;"-"&amp;I$10=$AA$10:$AA$419&amp;"-"&amp;$AB$10:$AB$419,1,0),0)),""),$X$10:$X$28,0)),"")</f>
        <v/>
      </c>
      <c r="J50" s="90" t="str" cm="1">
        <f t="array" ref="J50">IFERROR(INDEX($Y$10:$Y$28,MATCH(IFERROR(INDEX($AC$10:$AC$419,MATCH(1,IF($C50&amp;"-"&amp;J$10=$AA$10:$AA$419&amp;"-"&amp;$AB$10:$AB$419,1,0),0)),""),$X$10:$X$28,0)),"")</f>
        <v/>
      </c>
      <c r="K50" s="90" t="str" cm="1">
        <f t="array" ref="K50">IFERROR(INDEX($Y$10:$Y$28,MATCH(IFERROR(INDEX($AC$10:$AC$419,MATCH(1,IF($C50&amp;"-"&amp;K$10=$AA$10:$AA$419&amp;"-"&amp;$AB$10:$AB$419,1,0),0)),""),$X$10:$X$28,0)),"")</f>
        <v/>
      </c>
      <c r="L50" s="90" t="str" cm="1">
        <f t="array" ref="L50">IFERROR(INDEX($Y$10:$Y$28,MATCH(IFERROR(INDEX($AC$10:$AC$419,MATCH(1,IF($C50&amp;"-"&amp;L$10=$AA$10:$AA$419&amp;"-"&amp;$AB$10:$AB$419,1,0),0)),""),$X$10:$X$28,0)),"")</f>
        <v/>
      </c>
      <c r="M50" s="90" t="str" cm="1">
        <f t="array" ref="M50">IFERROR(INDEX($Y$10:$Y$28,MATCH(IFERROR(INDEX($AC$10:$AC$419,MATCH(1,IF($C50&amp;"-"&amp;M$10=$AA$10:$AA$419&amp;"-"&amp;$AB$10:$AB$419,1,0),0)),""),$X$10:$X$28,0)),"")</f>
        <v/>
      </c>
      <c r="N50" s="90" cm="1">
        <f t="array" ref="N50">IFERROR(INDEX($Y$10:$Y$28,MATCH(IFERROR(INDEX($AC$10:$AC$419,MATCH(1,IF($C50&amp;"-"&amp;N$10=$AA$10:$AA$419&amp;"-"&amp;$AB$10:$AB$419,1,0),0)),""),$X$10:$X$28,0)),"")</f>
        <v>167</v>
      </c>
      <c r="O50" s="90" cm="1">
        <f t="array" ref="O50">IFERROR(INDEX($Y$10:$Y$28,MATCH(IFERROR(INDEX($AC$10:$AC$419,MATCH(1,IF($C50&amp;"-"&amp;O$10=$AA$10:$AA$419&amp;"-"&amp;$AB$10:$AB$419,1,0),0)),""),$X$10:$X$28,0)),"")</f>
        <v>167</v>
      </c>
      <c r="P50" s="90" cm="1">
        <f t="array" ref="P50">IFERROR(INDEX($Y$10:$Y$28,MATCH(IFERROR(INDEX($AC$10:$AC$419,MATCH(1,IF($C50&amp;"-"&amp;P$10=$AA$10:$AA$419&amp;"-"&amp;$AB$10:$AB$419,1,0),0)),""),$X$10:$X$28,0)),"")</f>
        <v>167</v>
      </c>
      <c r="Q50" s="90" t="str" cm="1">
        <f t="array" ref="Q50">IFERROR(INDEX($Y$10:$Y$28,MATCH(IFERROR(INDEX($AC$10:$AC$419,MATCH(1,IF($C50&amp;"-"&amp;Q$10=$AA$10:$AA$419&amp;"-"&amp;$AB$10:$AB$419,1,0),0)),""),$X$10:$X$28,0)),"")</f>
        <v/>
      </c>
      <c r="R50" s="90" t="str" cm="1">
        <f t="array" ref="R50">IFERROR(INDEX($Y$10:$Y$28,MATCH(IFERROR(INDEX($AC$10:$AC$419,MATCH(1,IF($C50&amp;"-"&amp;R$10=$AA$10:$AA$419&amp;"-"&amp;$AB$10:$AB$419,1,0),0)),""),$X$10:$X$28,0)),"")</f>
        <v/>
      </c>
      <c r="S50" s="90" t="str" cm="1">
        <f t="array" ref="S50">IFERROR(INDEX($Y$10:$Y$28,MATCH(IFERROR(INDEX($AC$10:$AC$419,MATCH(1,IF($C50&amp;"-"&amp;S$10=$AA$10:$AA$419&amp;"-"&amp;$AB$10:$AB$419,1,0),0)),""),$X$10:$X$28,0)),"")</f>
        <v/>
      </c>
      <c r="T50" s="90" t="str" cm="1">
        <f t="array" ref="T50">IFERROR(INDEX($Y$10:$Y$28,MATCH(IFERROR(INDEX($AC$10:$AC$419,MATCH(1,IF($C50&amp;"-"&amp;T$10=$AA$10:$AA$419&amp;"-"&amp;$AB$10:$AB$419,1,0),0)),""),$X$10:$X$28,0)),"")</f>
        <v/>
      </c>
      <c r="Z50" s="8"/>
      <c r="AA50" s="11">
        <v>6</v>
      </c>
      <c r="AB50" s="11">
        <v>15</v>
      </c>
      <c r="AC50" s="11" t="s">
        <v>210</v>
      </c>
      <c r="AD50" t="e">
        <v>#VALUE!</v>
      </c>
    </row>
    <row r="51" spans="2:30" x14ac:dyDescent="0.25">
      <c r="B51" s="207"/>
      <c r="C51">
        <v>41</v>
      </c>
      <c r="D51" s="90" t="str" cm="1">
        <f t="array" ref="D51">IFERROR(INDEX($Y$10:$Y$28,MATCH(IFERROR(INDEX($AC$10:$AC$419,MATCH(1,IF($C51&amp;"-"&amp;D$10=$AA$10:$AA$419&amp;"-"&amp;$AB$10:$AB$419,1,0),0)),""),$X$10:$X$28,0)),"")</f>
        <v/>
      </c>
      <c r="E51" s="90" t="str" cm="1">
        <f t="array" ref="E51">IFERROR(INDEX($Y$10:$Y$28,MATCH(IFERROR(INDEX($AC$10:$AC$419,MATCH(1,IF($C51&amp;"-"&amp;E$10=$AA$10:$AA$419&amp;"-"&amp;$AB$10:$AB$419,1,0),0)),""),$X$10:$X$28,0)),"")</f>
        <v/>
      </c>
      <c r="F51" s="90" t="str" cm="1">
        <f t="array" ref="F51">IFERROR(INDEX($Y$10:$Y$28,MATCH(IFERROR(INDEX($AC$10:$AC$419,MATCH(1,IF($C51&amp;"-"&amp;F$10=$AA$10:$AA$419&amp;"-"&amp;$AB$10:$AB$419,1,0),0)),""),$X$10:$X$28,0)),"")</f>
        <v/>
      </c>
      <c r="G51" s="90" t="str" cm="1">
        <f t="array" ref="G51">IFERROR(INDEX($Y$10:$Y$28,MATCH(IFERROR(INDEX($AC$10:$AC$419,MATCH(1,IF($C51&amp;"-"&amp;G$10=$AA$10:$AA$419&amp;"-"&amp;$AB$10:$AB$419,1,0),0)),""),$X$10:$X$28,0)),"")</f>
        <v/>
      </c>
      <c r="H51" s="90" t="str" cm="1">
        <f t="array" ref="H51">IFERROR(INDEX($Y$10:$Y$28,MATCH(IFERROR(INDEX($AC$10:$AC$419,MATCH(1,IF($C51&amp;"-"&amp;H$10=$AA$10:$AA$419&amp;"-"&amp;$AB$10:$AB$419,1,0),0)),""),$X$10:$X$28,0)),"")</f>
        <v/>
      </c>
      <c r="I51" s="90" t="str" cm="1">
        <f t="array" ref="I51">IFERROR(INDEX($Y$10:$Y$28,MATCH(IFERROR(INDEX($AC$10:$AC$419,MATCH(1,IF($C51&amp;"-"&amp;I$10=$AA$10:$AA$419&amp;"-"&amp;$AB$10:$AB$419,1,0),0)),""),$X$10:$X$28,0)),"")</f>
        <v/>
      </c>
      <c r="J51" s="90" t="str" cm="1">
        <f t="array" ref="J51">IFERROR(INDEX($Y$10:$Y$28,MATCH(IFERROR(INDEX($AC$10:$AC$419,MATCH(1,IF($C51&amp;"-"&amp;J$10=$AA$10:$AA$419&amp;"-"&amp;$AB$10:$AB$419,1,0),0)),""),$X$10:$X$28,0)),"")</f>
        <v/>
      </c>
      <c r="K51" s="90" t="str" cm="1">
        <f t="array" ref="K51">IFERROR(INDEX($Y$10:$Y$28,MATCH(IFERROR(INDEX($AC$10:$AC$419,MATCH(1,IF($C51&amp;"-"&amp;K$10=$AA$10:$AA$419&amp;"-"&amp;$AB$10:$AB$419,1,0),0)),""),$X$10:$X$28,0)),"")</f>
        <v/>
      </c>
      <c r="L51" s="90" t="str" cm="1">
        <f t="array" ref="L51">IFERROR(INDEX($Y$10:$Y$28,MATCH(IFERROR(INDEX($AC$10:$AC$419,MATCH(1,IF($C51&amp;"-"&amp;L$10=$AA$10:$AA$419&amp;"-"&amp;$AB$10:$AB$419,1,0),0)),""),$X$10:$X$28,0)),"")</f>
        <v/>
      </c>
      <c r="M51" s="90" t="str" cm="1">
        <f t="array" ref="M51">IFERROR(INDEX($Y$10:$Y$28,MATCH(IFERROR(INDEX($AC$10:$AC$419,MATCH(1,IF($C51&amp;"-"&amp;M$10=$AA$10:$AA$419&amp;"-"&amp;$AB$10:$AB$419,1,0),0)),""),$X$10:$X$28,0)),"")</f>
        <v/>
      </c>
      <c r="N51" s="90" cm="1">
        <f t="array" ref="N51">IFERROR(INDEX($Y$10:$Y$28,MATCH(IFERROR(INDEX($AC$10:$AC$419,MATCH(1,IF($C51&amp;"-"&amp;N$10=$AA$10:$AA$419&amp;"-"&amp;$AB$10:$AB$419,1,0),0)),""),$X$10:$X$28,0)),"")</f>
        <v>167</v>
      </c>
      <c r="O51" s="90" cm="1">
        <f t="array" ref="O51">IFERROR(INDEX($Y$10:$Y$28,MATCH(IFERROR(INDEX($AC$10:$AC$419,MATCH(1,IF($C51&amp;"-"&amp;O$10=$AA$10:$AA$419&amp;"-"&amp;$AB$10:$AB$419,1,0),0)),""),$X$10:$X$28,0)),"")</f>
        <v>167</v>
      </c>
      <c r="P51" s="90" cm="1">
        <f t="array" ref="P51">IFERROR(INDEX($Y$10:$Y$28,MATCH(IFERROR(INDEX($AC$10:$AC$419,MATCH(1,IF($C51&amp;"-"&amp;P$10=$AA$10:$AA$419&amp;"-"&amp;$AB$10:$AB$419,1,0),0)),""),$X$10:$X$28,0)),"")</f>
        <v>167</v>
      </c>
      <c r="Q51" s="90" t="str" cm="1">
        <f t="array" ref="Q51">IFERROR(INDEX($Y$10:$Y$28,MATCH(IFERROR(INDEX($AC$10:$AC$419,MATCH(1,IF($C51&amp;"-"&amp;Q$10=$AA$10:$AA$419&amp;"-"&amp;$AB$10:$AB$419,1,0),0)),""),$X$10:$X$28,0)),"")</f>
        <v/>
      </c>
      <c r="R51" s="90" t="str" cm="1">
        <f t="array" ref="R51">IFERROR(INDEX($Y$10:$Y$28,MATCH(IFERROR(INDEX($AC$10:$AC$419,MATCH(1,IF($C51&amp;"-"&amp;R$10=$AA$10:$AA$419&amp;"-"&amp;$AB$10:$AB$419,1,0),0)),""),$X$10:$X$28,0)),"")</f>
        <v/>
      </c>
      <c r="S51" s="90" t="str" cm="1">
        <f t="array" ref="S51">IFERROR(INDEX($Y$10:$Y$28,MATCH(IFERROR(INDEX($AC$10:$AC$419,MATCH(1,IF($C51&amp;"-"&amp;S$10=$AA$10:$AA$419&amp;"-"&amp;$AB$10:$AB$419,1,0),0)),""),$X$10:$X$28,0)),"")</f>
        <v/>
      </c>
      <c r="T51" s="90" t="str" cm="1">
        <f t="array" ref="T51">IFERROR(INDEX($Y$10:$Y$28,MATCH(IFERROR(INDEX($AC$10:$AC$419,MATCH(1,IF($C51&amp;"-"&amp;T$10=$AA$10:$AA$419&amp;"-"&amp;$AB$10:$AB$419,1,0),0)),""),$X$10:$X$28,0)),"")</f>
        <v/>
      </c>
      <c r="Z51" s="8"/>
      <c r="AA51" s="11">
        <v>6</v>
      </c>
      <c r="AB51" s="11">
        <v>16</v>
      </c>
      <c r="AC51" s="11" t="s">
        <v>210</v>
      </c>
      <c r="AD51" t="e">
        <v>#VALUE!</v>
      </c>
    </row>
    <row r="52" spans="2:30" x14ac:dyDescent="0.25">
      <c r="B52" s="207"/>
      <c r="C52">
        <v>42</v>
      </c>
      <c r="D52" s="90" t="str" cm="1">
        <f t="array" ref="D52">IFERROR(INDEX($Y$10:$Y$28,MATCH(IFERROR(INDEX($AC$10:$AC$419,MATCH(1,IF($C52&amp;"-"&amp;D$10=$AA$10:$AA$419&amp;"-"&amp;$AB$10:$AB$419,1,0),0)),""),$X$10:$X$28,0)),"")</f>
        <v/>
      </c>
      <c r="E52" s="90" t="str" cm="1">
        <f t="array" ref="E52">IFERROR(INDEX($Y$10:$Y$28,MATCH(IFERROR(INDEX($AC$10:$AC$419,MATCH(1,IF($C52&amp;"-"&amp;E$10=$AA$10:$AA$419&amp;"-"&amp;$AB$10:$AB$419,1,0),0)),""),$X$10:$X$28,0)),"")</f>
        <v/>
      </c>
      <c r="F52" s="90" t="str" cm="1">
        <f t="array" ref="F52">IFERROR(INDEX($Y$10:$Y$28,MATCH(IFERROR(INDEX($AC$10:$AC$419,MATCH(1,IF($C52&amp;"-"&amp;F$10=$AA$10:$AA$419&amp;"-"&amp;$AB$10:$AB$419,1,0),0)),""),$X$10:$X$28,0)),"")</f>
        <v/>
      </c>
      <c r="G52" s="90" t="str" cm="1">
        <f t="array" ref="G52">IFERROR(INDEX($Y$10:$Y$28,MATCH(IFERROR(INDEX($AC$10:$AC$419,MATCH(1,IF($C52&amp;"-"&amp;G$10=$AA$10:$AA$419&amp;"-"&amp;$AB$10:$AB$419,1,0),0)),""),$X$10:$X$28,0)),"")</f>
        <v/>
      </c>
      <c r="H52" s="90" t="str" cm="1">
        <f t="array" ref="H52">IFERROR(INDEX($Y$10:$Y$28,MATCH(IFERROR(INDEX($AC$10:$AC$419,MATCH(1,IF($C52&amp;"-"&amp;H$10=$AA$10:$AA$419&amp;"-"&amp;$AB$10:$AB$419,1,0),0)),""),$X$10:$X$28,0)),"")</f>
        <v/>
      </c>
      <c r="I52" s="90" t="str" cm="1">
        <f t="array" ref="I52">IFERROR(INDEX($Y$10:$Y$28,MATCH(IFERROR(INDEX($AC$10:$AC$419,MATCH(1,IF($C52&amp;"-"&amp;I$10=$AA$10:$AA$419&amp;"-"&amp;$AB$10:$AB$419,1,0),0)),""),$X$10:$X$28,0)),"")</f>
        <v/>
      </c>
      <c r="J52" s="90" t="str" cm="1">
        <f t="array" ref="J52">IFERROR(INDEX($Y$10:$Y$28,MATCH(IFERROR(INDEX($AC$10:$AC$419,MATCH(1,IF($C52&amp;"-"&amp;J$10=$AA$10:$AA$419&amp;"-"&amp;$AB$10:$AB$419,1,0),0)),""),$X$10:$X$28,0)),"")</f>
        <v/>
      </c>
      <c r="K52" s="90" t="str" cm="1">
        <f t="array" ref="K52">IFERROR(INDEX($Y$10:$Y$28,MATCH(IFERROR(INDEX($AC$10:$AC$419,MATCH(1,IF($C52&amp;"-"&amp;K$10=$AA$10:$AA$419&amp;"-"&amp;$AB$10:$AB$419,1,0),0)),""),$X$10:$X$28,0)),"")</f>
        <v/>
      </c>
      <c r="L52" s="90" t="str" cm="1">
        <f t="array" ref="L52">IFERROR(INDEX($Y$10:$Y$28,MATCH(IFERROR(INDEX($AC$10:$AC$419,MATCH(1,IF($C52&amp;"-"&amp;L$10=$AA$10:$AA$419&amp;"-"&amp;$AB$10:$AB$419,1,0),0)),""),$X$10:$X$28,0)),"")</f>
        <v/>
      </c>
      <c r="M52" s="90" t="str" cm="1">
        <f t="array" ref="M52">IFERROR(INDEX($Y$10:$Y$28,MATCH(IFERROR(INDEX($AC$10:$AC$419,MATCH(1,IF($C52&amp;"-"&amp;M$10=$AA$10:$AA$419&amp;"-"&amp;$AB$10:$AB$419,1,0),0)),""),$X$10:$X$28,0)),"")</f>
        <v/>
      </c>
      <c r="N52" s="90" t="str" cm="1">
        <f t="array" ref="N52">IFERROR(INDEX($Y$10:$Y$28,MATCH(IFERROR(INDEX($AC$10:$AC$419,MATCH(1,IF($C52&amp;"-"&amp;N$10=$AA$10:$AA$419&amp;"-"&amp;$AB$10:$AB$419,1,0),0)),""),$X$10:$X$28,0)),"")</f>
        <v/>
      </c>
      <c r="O52" s="90" cm="1">
        <f t="array" ref="O52">IFERROR(INDEX($Y$10:$Y$28,MATCH(IFERROR(INDEX($AC$10:$AC$419,MATCH(1,IF($C52&amp;"-"&amp;O$10=$AA$10:$AA$419&amp;"-"&amp;$AB$10:$AB$419,1,0),0)),""),$X$10:$X$28,0)),"")</f>
        <v>167</v>
      </c>
      <c r="P52" s="90" cm="1">
        <f t="array" ref="P52">IFERROR(INDEX($Y$10:$Y$28,MATCH(IFERROR(INDEX($AC$10:$AC$419,MATCH(1,IF($C52&amp;"-"&amp;P$10=$AA$10:$AA$419&amp;"-"&amp;$AB$10:$AB$419,1,0),0)),""),$X$10:$X$28,0)),"")</f>
        <v>167</v>
      </c>
      <c r="Q52" s="90" t="str" cm="1">
        <f t="array" ref="Q52">IFERROR(INDEX($Y$10:$Y$28,MATCH(IFERROR(INDEX($AC$10:$AC$419,MATCH(1,IF($C52&amp;"-"&amp;Q$10=$AA$10:$AA$419&amp;"-"&amp;$AB$10:$AB$419,1,0),0)),""),$X$10:$X$28,0)),"")</f>
        <v/>
      </c>
      <c r="R52" s="90" t="str" cm="1">
        <f t="array" ref="R52">IFERROR(INDEX($Y$10:$Y$28,MATCH(IFERROR(INDEX($AC$10:$AC$419,MATCH(1,IF($C52&amp;"-"&amp;R$10=$AA$10:$AA$419&amp;"-"&amp;$AB$10:$AB$419,1,0),0)),""),$X$10:$X$28,0)),"")</f>
        <v/>
      </c>
      <c r="S52" s="90" t="str" cm="1">
        <f t="array" ref="S52">IFERROR(INDEX($Y$10:$Y$28,MATCH(IFERROR(INDEX($AC$10:$AC$419,MATCH(1,IF($C52&amp;"-"&amp;S$10=$AA$10:$AA$419&amp;"-"&amp;$AB$10:$AB$419,1,0),0)),""),$X$10:$X$28,0)),"")</f>
        <v/>
      </c>
      <c r="T52" s="90" t="str" cm="1">
        <f t="array" ref="T52">IFERROR(INDEX($Y$10:$Y$28,MATCH(IFERROR(INDEX($AC$10:$AC$419,MATCH(1,IF($C52&amp;"-"&amp;T$10=$AA$10:$AA$419&amp;"-"&amp;$AB$10:$AB$419,1,0),0)),""),$X$10:$X$28,0)),"")</f>
        <v/>
      </c>
      <c r="Z52" s="8"/>
      <c r="AA52" s="11">
        <v>6</v>
      </c>
      <c r="AB52" s="11">
        <v>17</v>
      </c>
      <c r="AC52" s="11" t="s">
        <v>210</v>
      </c>
      <c r="AD52" t="e">
        <v>#VALUE!</v>
      </c>
    </row>
    <row r="53" spans="2:30" x14ac:dyDescent="0.25">
      <c r="B53" s="207"/>
      <c r="C53">
        <v>43</v>
      </c>
      <c r="D53" s="90" t="str" cm="1">
        <f t="array" ref="D53">IFERROR(INDEX($Y$10:$Y$28,MATCH(IFERROR(INDEX($AC$10:$AC$419,MATCH(1,IF($C53&amp;"-"&amp;D$10=$AA$10:$AA$419&amp;"-"&amp;$AB$10:$AB$419,1,0),0)),""),$X$10:$X$28,0)),"")</f>
        <v/>
      </c>
      <c r="E53" s="90" t="str" cm="1">
        <f t="array" ref="E53">IFERROR(INDEX($Y$10:$Y$28,MATCH(IFERROR(INDEX($AC$10:$AC$419,MATCH(1,IF($C53&amp;"-"&amp;E$10=$AA$10:$AA$419&amp;"-"&amp;$AB$10:$AB$419,1,0),0)),""),$X$10:$X$28,0)),"")</f>
        <v/>
      </c>
      <c r="F53" s="90" t="str" cm="1">
        <f t="array" ref="F53">IFERROR(INDEX($Y$10:$Y$28,MATCH(IFERROR(INDEX($AC$10:$AC$419,MATCH(1,IF($C53&amp;"-"&amp;F$10=$AA$10:$AA$419&amp;"-"&amp;$AB$10:$AB$419,1,0),0)),""),$X$10:$X$28,0)),"")</f>
        <v/>
      </c>
      <c r="G53" s="90" t="str" cm="1">
        <f t="array" ref="G53">IFERROR(INDEX($Y$10:$Y$28,MATCH(IFERROR(INDEX($AC$10:$AC$419,MATCH(1,IF($C53&amp;"-"&amp;G$10=$AA$10:$AA$419&amp;"-"&amp;$AB$10:$AB$419,1,0),0)),""),$X$10:$X$28,0)),"")</f>
        <v/>
      </c>
      <c r="H53" s="90" t="str" cm="1">
        <f t="array" ref="H53">IFERROR(INDEX($Y$10:$Y$28,MATCH(IFERROR(INDEX($AC$10:$AC$419,MATCH(1,IF($C53&amp;"-"&amp;H$10=$AA$10:$AA$419&amp;"-"&amp;$AB$10:$AB$419,1,0),0)),""),$X$10:$X$28,0)),"")</f>
        <v/>
      </c>
      <c r="I53" s="90" t="str" cm="1">
        <f t="array" ref="I53">IFERROR(INDEX($Y$10:$Y$28,MATCH(IFERROR(INDEX($AC$10:$AC$419,MATCH(1,IF($C53&amp;"-"&amp;I$10=$AA$10:$AA$419&amp;"-"&amp;$AB$10:$AB$419,1,0),0)),""),$X$10:$X$28,0)),"")</f>
        <v/>
      </c>
      <c r="J53" s="90" t="str" cm="1">
        <f t="array" ref="J53">IFERROR(INDEX($Y$10:$Y$28,MATCH(IFERROR(INDEX($AC$10:$AC$419,MATCH(1,IF($C53&amp;"-"&amp;J$10=$AA$10:$AA$419&amp;"-"&amp;$AB$10:$AB$419,1,0),0)),""),$X$10:$X$28,0)),"")</f>
        <v/>
      </c>
      <c r="K53" s="90" t="str" cm="1">
        <f t="array" ref="K53">IFERROR(INDEX($Y$10:$Y$28,MATCH(IFERROR(INDEX($AC$10:$AC$419,MATCH(1,IF($C53&amp;"-"&amp;K$10=$AA$10:$AA$419&amp;"-"&amp;$AB$10:$AB$419,1,0),0)),""),$X$10:$X$28,0)),"")</f>
        <v/>
      </c>
      <c r="L53" s="90" t="str" cm="1">
        <f t="array" ref="L53">IFERROR(INDEX($Y$10:$Y$28,MATCH(IFERROR(INDEX($AC$10:$AC$419,MATCH(1,IF($C53&amp;"-"&amp;L$10=$AA$10:$AA$419&amp;"-"&amp;$AB$10:$AB$419,1,0),0)),""),$X$10:$X$28,0)),"")</f>
        <v/>
      </c>
      <c r="M53" s="90" t="str" cm="1">
        <f t="array" ref="M53">IFERROR(INDEX($Y$10:$Y$28,MATCH(IFERROR(INDEX($AC$10:$AC$419,MATCH(1,IF($C53&amp;"-"&amp;M$10=$AA$10:$AA$419&amp;"-"&amp;$AB$10:$AB$419,1,0),0)),""),$X$10:$X$28,0)),"")</f>
        <v/>
      </c>
      <c r="N53" s="90" t="str" cm="1">
        <f t="array" ref="N53">IFERROR(INDEX($Y$10:$Y$28,MATCH(IFERROR(INDEX($AC$10:$AC$419,MATCH(1,IF($C53&amp;"-"&amp;N$10=$AA$10:$AA$419&amp;"-"&amp;$AB$10:$AB$419,1,0),0)),""),$X$10:$X$28,0)),"")</f>
        <v/>
      </c>
      <c r="O53" s="90" cm="1">
        <f t="array" ref="O53">IFERROR(INDEX($Y$10:$Y$28,MATCH(IFERROR(INDEX($AC$10:$AC$419,MATCH(1,IF($C53&amp;"-"&amp;O$10=$AA$10:$AA$419&amp;"-"&amp;$AB$10:$AB$419,1,0),0)),""),$X$10:$X$28,0)),"")</f>
        <v>167</v>
      </c>
      <c r="P53" s="90" cm="1">
        <f t="array" ref="P53">IFERROR(INDEX($Y$10:$Y$28,MATCH(IFERROR(INDEX($AC$10:$AC$419,MATCH(1,IF($C53&amp;"-"&amp;P$10=$AA$10:$AA$419&amp;"-"&amp;$AB$10:$AB$419,1,0),0)),""),$X$10:$X$28,0)),"")</f>
        <v>167</v>
      </c>
      <c r="Q53" s="90" t="str" cm="1">
        <f t="array" ref="Q53">IFERROR(INDEX($Y$10:$Y$28,MATCH(IFERROR(INDEX($AC$10:$AC$419,MATCH(1,IF($C53&amp;"-"&amp;Q$10=$AA$10:$AA$419&amp;"-"&amp;$AB$10:$AB$419,1,0),0)),""),$X$10:$X$28,0)),"")</f>
        <v/>
      </c>
      <c r="R53" s="90" t="str" cm="1">
        <f t="array" ref="R53">IFERROR(INDEX($Y$10:$Y$28,MATCH(IFERROR(INDEX($AC$10:$AC$419,MATCH(1,IF($C53&amp;"-"&amp;R$10=$AA$10:$AA$419&amp;"-"&amp;$AB$10:$AB$419,1,0),0)),""),$X$10:$X$28,0)),"")</f>
        <v/>
      </c>
      <c r="S53" s="90" t="str" cm="1">
        <f t="array" ref="S53">IFERROR(INDEX($Y$10:$Y$28,MATCH(IFERROR(INDEX($AC$10:$AC$419,MATCH(1,IF($C53&amp;"-"&amp;S$10=$AA$10:$AA$419&amp;"-"&amp;$AB$10:$AB$419,1,0),0)),""),$X$10:$X$28,0)),"")</f>
        <v/>
      </c>
      <c r="T53" s="90" t="str" cm="1">
        <f t="array" ref="T53">IFERROR(INDEX($Y$10:$Y$28,MATCH(IFERROR(INDEX($AC$10:$AC$419,MATCH(1,IF($C53&amp;"-"&amp;T$10=$AA$10:$AA$419&amp;"-"&amp;$AB$10:$AB$419,1,0),0)),""),$X$10:$X$28,0)),"")</f>
        <v/>
      </c>
      <c r="Z53" s="8"/>
      <c r="AA53" s="11">
        <v>7</v>
      </c>
      <c r="AB53" s="11">
        <v>7</v>
      </c>
      <c r="AC53" s="11" t="s">
        <v>212</v>
      </c>
      <c r="AD53" t="e">
        <v>#VALUE!</v>
      </c>
    </row>
    <row r="54" spans="2:30" x14ac:dyDescent="0.25">
      <c r="B54" s="89"/>
      <c r="Z54" s="8"/>
      <c r="AA54" s="11">
        <v>7</v>
      </c>
      <c r="AB54" s="11">
        <v>8</v>
      </c>
      <c r="AC54" s="11" t="s">
        <v>212</v>
      </c>
      <c r="AD54" t="e">
        <v>#VALUE!</v>
      </c>
    </row>
    <row r="55" spans="2:30" x14ac:dyDescent="0.25">
      <c r="Z55" s="8"/>
      <c r="AA55" s="11">
        <v>7</v>
      </c>
      <c r="AB55" s="11">
        <v>9</v>
      </c>
      <c r="AC55" s="11" t="s">
        <v>212</v>
      </c>
      <c r="AD55" t="e">
        <v>#VALUE!</v>
      </c>
    </row>
    <row r="56" spans="2:30" x14ac:dyDescent="0.25">
      <c r="Z56" s="8"/>
      <c r="AA56" s="11">
        <v>7</v>
      </c>
      <c r="AB56" s="11">
        <v>10</v>
      </c>
      <c r="AC56" s="11" t="s">
        <v>205</v>
      </c>
      <c r="AD56" t="e">
        <v>#VALUE!</v>
      </c>
    </row>
    <row r="57" spans="2:30" x14ac:dyDescent="0.25">
      <c r="Z57" s="8"/>
      <c r="AA57" s="11">
        <v>7</v>
      </c>
      <c r="AB57" s="11">
        <v>11</v>
      </c>
      <c r="AC57" s="11" t="s">
        <v>205</v>
      </c>
      <c r="AD57" t="e">
        <v>#VALUE!</v>
      </c>
    </row>
    <row r="58" spans="2:30" x14ac:dyDescent="0.25">
      <c r="Z58" s="8"/>
      <c r="AA58" s="11">
        <v>7</v>
      </c>
      <c r="AB58" s="11">
        <v>12</v>
      </c>
      <c r="AC58" s="11" t="s">
        <v>205</v>
      </c>
      <c r="AD58" t="e">
        <v>#VALUE!</v>
      </c>
    </row>
    <row r="59" spans="2:30" x14ac:dyDescent="0.25">
      <c r="Z59" s="8"/>
      <c r="AA59" s="11">
        <v>7</v>
      </c>
      <c r="AB59" s="11">
        <v>13</v>
      </c>
      <c r="AC59" s="11" t="s">
        <v>205</v>
      </c>
      <c r="AD59" t="e">
        <v>#VALUE!</v>
      </c>
    </row>
    <row r="60" spans="2:30" x14ac:dyDescent="0.25">
      <c r="Z60" s="8"/>
      <c r="AA60" s="11">
        <v>7</v>
      </c>
      <c r="AB60" s="11">
        <v>14</v>
      </c>
      <c r="AC60" s="11" t="s">
        <v>205</v>
      </c>
      <c r="AD60" t="e">
        <v>#VALUE!</v>
      </c>
    </row>
    <row r="61" spans="2:30" x14ac:dyDescent="0.25">
      <c r="Z61" s="8"/>
      <c r="AA61" s="11">
        <v>7</v>
      </c>
      <c r="AB61" s="11">
        <v>15</v>
      </c>
      <c r="AC61" s="11" t="s">
        <v>210</v>
      </c>
      <c r="AD61" t="e">
        <v>#VALUE!</v>
      </c>
    </row>
    <row r="62" spans="2:30" x14ac:dyDescent="0.25">
      <c r="Z62" s="8"/>
      <c r="AA62" s="11">
        <v>7</v>
      </c>
      <c r="AB62" s="11">
        <v>16</v>
      </c>
      <c r="AC62" s="11" t="s">
        <v>210</v>
      </c>
      <c r="AD62" t="e">
        <v>#VALUE!</v>
      </c>
    </row>
    <row r="63" spans="2:30" x14ac:dyDescent="0.25">
      <c r="Z63" s="8"/>
      <c r="AA63" s="11">
        <v>8</v>
      </c>
      <c r="AB63" s="11">
        <v>6</v>
      </c>
      <c r="AC63" s="11" t="s">
        <v>212</v>
      </c>
      <c r="AD63" t="e">
        <v>#VALUE!</v>
      </c>
    </row>
    <row r="64" spans="2:30" x14ac:dyDescent="0.25">
      <c r="Z64" s="8"/>
      <c r="AA64" s="11">
        <v>8</v>
      </c>
      <c r="AB64" s="11">
        <v>7</v>
      </c>
      <c r="AC64" s="11" t="s">
        <v>212</v>
      </c>
      <c r="AD64" t="e">
        <v>#VALUE!</v>
      </c>
    </row>
    <row r="65" spans="26:30" x14ac:dyDescent="0.25">
      <c r="Z65" s="8"/>
      <c r="AA65" s="11">
        <v>8</v>
      </c>
      <c r="AB65" s="11">
        <v>8</v>
      </c>
      <c r="AC65" s="11" t="s">
        <v>212</v>
      </c>
      <c r="AD65" t="e">
        <v>#VALUE!</v>
      </c>
    </row>
    <row r="66" spans="26:30" x14ac:dyDescent="0.25">
      <c r="Z66" s="8"/>
      <c r="AA66" s="11">
        <v>8</v>
      </c>
      <c r="AB66" s="11">
        <v>9</v>
      </c>
      <c r="AC66" s="11" t="s">
        <v>212</v>
      </c>
      <c r="AD66" t="e">
        <v>#VALUE!</v>
      </c>
    </row>
    <row r="67" spans="26:30" x14ac:dyDescent="0.25">
      <c r="Z67" s="8"/>
      <c r="AA67" s="11">
        <v>8</v>
      </c>
      <c r="AB67" s="11">
        <v>10</v>
      </c>
      <c r="AC67" s="11" t="s">
        <v>205</v>
      </c>
      <c r="AD67" t="e">
        <v>#VALUE!</v>
      </c>
    </row>
    <row r="68" spans="26:30" x14ac:dyDescent="0.25">
      <c r="Z68" s="8"/>
      <c r="AA68" s="11">
        <v>8</v>
      </c>
      <c r="AB68" s="11">
        <v>11</v>
      </c>
      <c r="AC68" s="11" t="s">
        <v>205</v>
      </c>
      <c r="AD68" t="e">
        <v>#VALUE!</v>
      </c>
    </row>
    <row r="69" spans="26:30" x14ac:dyDescent="0.25">
      <c r="Z69" s="8"/>
      <c r="AA69" s="11">
        <v>8</v>
      </c>
      <c r="AB69" s="11">
        <v>12</v>
      </c>
      <c r="AC69" s="11" t="s">
        <v>205</v>
      </c>
      <c r="AD69" t="e">
        <v>#VALUE!</v>
      </c>
    </row>
    <row r="70" spans="26:30" x14ac:dyDescent="0.25">
      <c r="Z70" s="8"/>
      <c r="AA70" s="11">
        <v>8</v>
      </c>
      <c r="AB70" s="11">
        <v>13</v>
      </c>
      <c r="AC70" s="11" t="s">
        <v>205</v>
      </c>
      <c r="AD70" t="e">
        <v>#VALUE!</v>
      </c>
    </row>
    <row r="71" spans="26:30" x14ac:dyDescent="0.25">
      <c r="Z71" s="8"/>
      <c r="AA71" s="11">
        <v>8</v>
      </c>
      <c r="AB71" s="11">
        <v>14</v>
      </c>
      <c r="AC71" s="11" t="s">
        <v>205</v>
      </c>
      <c r="AD71" t="e">
        <v>#VALUE!</v>
      </c>
    </row>
    <row r="72" spans="26:30" x14ac:dyDescent="0.25">
      <c r="Z72" s="8"/>
      <c r="AA72" s="11">
        <v>8</v>
      </c>
      <c r="AB72" s="11">
        <v>15</v>
      </c>
      <c r="AC72" s="11" t="s">
        <v>210</v>
      </c>
      <c r="AD72" t="e">
        <v>#VALUE!</v>
      </c>
    </row>
    <row r="73" spans="26:30" x14ac:dyDescent="0.25">
      <c r="Z73" s="8"/>
      <c r="AA73" s="11">
        <v>8</v>
      </c>
      <c r="AB73" s="11">
        <v>16</v>
      </c>
      <c r="AC73" s="11" t="s">
        <v>210</v>
      </c>
      <c r="AD73" t="e">
        <v>#VALUE!</v>
      </c>
    </row>
    <row r="74" spans="26:30" x14ac:dyDescent="0.25">
      <c r="Z74" s="8"/>
      <c r="AA74" s="11">
        <v>9</v>
      </c>
      <c r="AB74" s="11">
        <v>5</v>
      </c>
      <c r="AC74" s="11" t="s">
        <v>212</v>
      </c>
      <c r="AD74" t="e">
        <v>#VALUE!</v>
      </c>
    </row>
    <row r="75" spans="26:30" x14ac:dyDescent="0.25">
      <c r="Z75" s="8"/>
      <c r="AA75" s="11">
        <v>9</v>
      </c>
      <c r="AB75" s="11">
        <v>6</v>
      </c>
      <c r="AC75" s="11" t="s">
        <v>212</v>
      </c>
      <c r="AD75" t="e">
        <v>#VALUE!</v>
      </c>
    </row>
    <row r="76" spans="26:30" x14ac:dyDescent="0.25">
      <c r="Z76" s="8"/>
      <c r="AA76" s="11">
        <v>9</v>
      </c>
      <c r="AB76" s="11">
        <v>7</v>
      </c>
      <c r="AC76" s="11" t="s">
        <v>212</v>
      </c>
      <c r="AD76" t="e">
        <v>#VALUE!</v>
      </c>
    </row>
    <row r="77" spans="26:30" x14ac:dyDescent="0.25">
      <c r="Z77" s="8"/>
      <c r="AA77" s="11">
        <v>9</v>
      </c>
      <c r="AB77" s="11">
        <v>8</v>
      </c>
      <c r="AC77" s="11" t="s">
        <v>212</v>
      </c>
      <c r="AD77" t="e">
        <v>#VALUE!</v>
      </c>
    </row>
    <row r="78" spans="26:30" x14ac:dyDescent="0.25">
      <c r="Z78" s="8"/>
      <c r="AA78" s="11">
        <v>9</v>
      </c>
      <c r="AB78" s="11">
        <v>9</v>
      </c>
      <c r="AC78" s="11" t="s">
        <v>212</v>
      </c>
      <c r="AD78" t="e">
        <v>#VALUE!</v>
      </c>
    </row>
    <row r="79" spans="26:30" x14ac:dyDescent="0.25">
      <c r="Z79" s="8"/>
      <c r="AA79" s="11">
        <v>9</v>
      </c>
      <c r="AB79" s="11">
        <v>10</v>
      </c>
      <c r="AC79" s="11" t="s">
        <v>212</v>
      </c>
      <c r="AD79" t="e">
        <v>#VALUE!</v>
      </c>
    </row>
    <row r="80" spans="26:30" x14ac:dyDescent="0.25">
      <c r="Z80" s="8"/>
      <c r="AA80" s="11">
        <v>9</v>
      </c>
      <c r="AB80" s="11">
        <v>11</v>
      </c>
      <c r="AC80" s="11" t="s">
        <v>205</v>
      </c>
      <c r="AD80" t="e">
        <v>#VALUE!</v>
      </c>
    </row>
    <row r="81" spans="26:30" x14ac:dyDescent="0.25">
      <c r="Z81" s="8"/>
      <c r="AA81" s="11">
        <v>9</v>
      </c>
      <c r="AB81" s="11">
        <v>12</v>
      </c>
      <c r="AC81" s="11" t="s">
        <v>205</v>
      </c>
      <c r="AD81" t="e">
        <v>#VALUE!</v>
      </c>
    </row>
    <row r="82" spans="26:30" x14ac:dyDescent="0.25">
      <c r="Z82" s="8"/>
      <c r="AA82" s="11">
        <v>9</v>
      </c>
      <c r="AB82" s="11">
        <v>13</v>
      </c>
      <c r="AC82" s="11" t="s">
        <v>205</v>
      </c>
      <c r="AD82" t="e">
        <v>#VALUE!</v>
      </c>
    </row>
    <row r="83" spans="26:30" x14ac:dyDescent="0.25">
      <c r="Z83" s="8"/>
      <c r="AA83" s="11">
        <v>9</v>
      </c>
      <c r="AB83" s="11">
        <v>14</v>
      </c>
      <c r="AC83" s="11" t="s">
        <v>205</v>
      </c>
      <c r="AD83" t="e">
        <v>#VALUE!</v>
      </c>
    </row>
    <row r="84" spans="26:30" x14ac:dyDescent="0.25">
      <c r="Z84" s="8"/>
      <c r="AA84" s="11">
        <v>9</v>
      </c>
      <c r="AB84" s="11">
        <v>15</v>
      </c>
      <c r="AC84" s="11" t="s">
        <v>210</v>
      </c>
      <c r="AD84" t="e">
        <v>#VALUE!</v>
      </c>
    </row>
    <row r="85" spans="26:30" x14ac:dyDescent="0.25">
      <c r="Z85" s="8"/>
      <c r="AA85" s="11">
        <v>9</v>
      </c>
      <c r="AB85" s="11">
        <v>16</v>
      </c>
      <c r="AC85" s="11" t="s">
        <v>210</v>
      </c>
      <c r="AD85" t="e">
        <v>#VALUE!</v>
      </c>
    </row>
    <row r="86" spans="26:30" x14ac:dyDescent="0.25">
      <c r="Z86" s="8"/>
      <c r="AA86" s="11">
        <v>10</v>
      </c>
      <c r="AB86" s="11">
        <v>6</v>
      </c>
      <c r="AC86" s="11" t="s">
        <v>213</v>
      </c>
      <c r="AD86" t="e">
        <v>#VALUE!</v>
      </c>
    </row>
    <row r="87" spans="26:30" x14ac:dyDescent="0.25">
      <c r="Z87" s="8"/>
      <c r="AA87" s="11">
        <v>10</v>
      </c>
      <c r="AB87" s="11">
        <v>7</v>
      </c>
      <c r="AC87" s="11" t="s">
        <v>212</v>
      </c>
      <c r="AD87" t="e">
        <v>#VALUE!</v>
      </c>
    </row>
    <row r="88" spans="26:30" x14ac:dyDescent="0.25">
      <c r="Z88" s="8"/>
      <c r="AA88" s="11">
        <v>10</v>
      </c>
      <c r="AB88" s="11">
        <v>8</v>
      </c>
      <c r="AC88" s="11" t="s">
        <v>212</v>
      </c>
      <c r="AD88" t="e">
        <v>#VALUE!</v>
      </c>
    </row>
    <row r="89" spans="26:30" x14ac:dyDescent="0.25">
      <c r="Z89" s="8"/>
      <c r="AA89" s="11">
        <v>10</v>
      </c>
      <c r="AB89" s="11">
        <v>9</v>
      </c>
      <c r="AC89" s="11" t="s">
        <v>212</v>
      </c>
      <c r="AD89" t="e">
        <v>#VALUE!</v>
      </c>
    </row>
    <row r="90" spans="26:30" x14ac:dyDescent="0.25">
      <c r="Z90" s="8"/>
      <c r="AA90" s="11">
        <v>10</v>
      </c>
      <c r="AB90" s="11">
        <v>10</v>
      </c>
      <c r="AC90" s="11" t="s">
        <v>212</v>
      </c>
      <c r="AD90" t="e">
        <v>#VALUE!</v>
      </c>
    </row>
    <row r="91" spans="26:30" x14ac:dyDescent="0.25">
      <c r="Z91" s="8"/>
      <c r="AA91" s="11">
        <v>10</v>
      </c>
      <c r="AB91" s="11">
        <v>11</v>
      </c>
      <c r="AC91" s="11" t="s">
        <v>212</v>
      </c>
      <c r="AD91" t="e">
        <v>#VALUE!</v>
      </c>
    </row>
    <row r="92" spans="26:30" x14ac:dyDescent="0.25">
      <c r="Z92" s="8"/>
      <c r="AA92" s="11">
        <v>10</v>
      </c>
      <c r="AB92" s="11">
        <v>12</v>
      </c>
      <c r="AC92" s="11" t="s">
        <v>205</v>
      </c>
      <c r="AD92" t="e">
        <v>#VALUE!</v>
      </c>
    </row>
    <row r="93" spans="26:30" x14ac:dyDescent="0.25">
      <c r="Z93" s="8"/>
      <c r="AA93" s="11">
        <v>10</v>
      </c>
      <c r="AB93" s="11">
        <v>13</v>
      </c>
      <c r="AC93" s="11" t="s">
        <v>205</v>
      </c>
      <c r="AD93">
        <v>1</v>
      </c>
    </row>
    <row r="94" spans="26:30" x14ac:dyDescent="0.25">
      <c r="Z94" s="8"/>
      <c r="AA94" s="11">
        <v>10</v>
      </c>
      <c r="AB94" s="11">
        <v>14</v>
      </c>
      <c r="AC94" s="11" t="s">
        <v>205</v>
      </c>
      <c r="AD94" t="e">
        <v>#VALUE!</v>
      </c>
    </row>
    <row r="95" spans="26:30" x14ac:dyDescent="0.25">
      <c r="Z95" s="8"/>
      <c r="AA95" s="11">
        <v>10</v>
      </c>
      <c r="AB95" s="11">
        <v>15</v>
      </c>
      <c r="AC95" s="11" t="s">
        <v>210</v>
      </c>
      <c r="AD95" t="e">
        <v>#VALUE!</v>
      </c>
    </row>
    <row r="96" spans="26:30" x14ac:dyDescent="0.25">
      <c r="Z96" s="8"/>
      <c r="AA96" s="11">
        <v>10</v>
      </c>
      <c r="AB96" s="11">
        <v>16</v>
      </c>
      <c r="AC96" s="11" t="s">
        <v>210</v>
      </c>
      <c r="AD96" t="e">
        <v>#VALUE!</v>
      </c>
    </row>
    <row r="97" spans="26:30" x14ac:dyDescent="0.25">
      <c r="Z97" s="8"/>
      <c r="AA97" s="11">
        <v>10</v>
      </c>
      <c r="AB97" s="11">
        <v>17</v>
      </c>
      <c r="AC97" s="11" t="s">
        <v>210</v>
      </c>
      <c r="AD97" t="e">
        <v>#VALUE!</v>
      </c>
    </row>
    <row r="98" spans="26:30" x14ac:dyDescent="0.25">
      <c r="Z98" s="8"/>
      <c r="AA98" s="11">
        <v>11</v>
      </c>
      <c r="AB98" s="11">
        <v>5</v>
      </c>
      <c r="AC98" s="11" t="s">
        <v>213</v>
      </c>
      <c r="AD98" t="e">
        <v>#VALUE!</v>
      </c>
    </row>
    <row r="99" spans="26:30" x14ac:dyDescent="0.25">
      <c r="Z99" s="8"/>
      <c r="AA99" s="11">
        <v>11</v>
      </c>
      <c r="AB99" s="11">
        <v>6</v>
      </c>
      <c r="AC99" s="11" t="s">
        <v>213</v>
      </c>
      <c r="AD99" t="e">
        <v>#VALUE!</v>
      </c>
    </row>
    <row r="100" spans="26:30" x14ac:dyDescent="0.25">
      <c r="Z100" s="8"/>
      <c r="AA100" s="11">
        <v>11</v>
      </c>
      <c r="AB100" s="11">
        <v>7</v>
      </c>
      <c r="AC100" s="11" t="s">
        <v>213</v>
      </c>
      <c r="AD100" t="e">
        <v>#VALUE!</v>
      </c>
    </row>
    <row r="101" spans="26:30" x14ac:dyDescent="0.25">
      <c r="Z101" s="8"/>
      <c r="AA101" s="11">
        <v>11</v>
      </c>
      <c r="AB101" s="11">
        <v>8</v>
      </c>
      <c r="AC101" s="11" t="s">
        <v>212</v>
      </c>
      <c r="AD101" t="e">
        <v>#VALUE!</v>
      </c>
    </row>
    <row r="102" spans="26:30" x14ac:dyDescent="0.25">
      <c r="Z102" s="8"/>
      <c r="AA102" s="11">
        <v>11</v>
      </c>
      <c r="AB102" s="11">
        <v>9</v>
      </c>
      <c r="AC102" s="11" t="s">
        <v>212</v>
      </c>
      <c r="AD102" t="e">
        <v>#VALUE!</v>
      </c>
    </row>
    <row r="103" spans="26:30" x14ac:dyDescent="0.25">
      <c r="Z103" s="8"/>
      <c r="AA103" s="11">
        <v>11</v>
      </c>
      <c r="AB103" s="11">
        <v>10</v>
      </c>
      <c r="AC103" s="11" t="s">
        <v>212</v>
      </c>
      <c r="AD103" t="e">
        <v>#VALUE!</v>
      </c>
    </row>
    <row r="104" spans="26:30" x14ac:dyDescent="0.25">
      <c r="Z104" s="8"/>
      <c r="AA104" s="11">
        <v>11</v>
      </c>
      <c r="AB104" s="11">
        <v>11</v>
      </c>
      <c r="AC104" s="11" t="s">
        <v>212</v>
      </c>
      <c r="AD104" t="e">
        <v>#VALUE!</v>
      </c>
    </row>
    <row r="105" spans="26:30" x14ac:dyDescent="0.25">
      <c r="Z105" s="8"/>
      <c r="AA105" s="11">
        <v>11</v>
      </c>
      <c r="AB105" s="11">
        <v>12</v>
      </c>
      <c r="AC105" s="11" t="s">
        <v>205</v>
      </c>
      <c r="AD105" t="e">
        <v>#VALUE!</v>
      </c>
    </row>
    <row r="106" spans="26:30" x14ac:dyDescent="0.25">
      <c r="Z106" s="8"/>
      <c r="AA106" s="11">
        <v>11</v>
      </c>
      <c r="AB106" s="11">
        <v>13</v>
      </c>
      <c r="AC106" s="11" t="s">
        <v>205</v>
      </c>
      <c r="AD106">
        <v>1</v>
      </c>
    </row>
    <row r="107" spans="26:30" x14ac:dyDescent="0.25">
      <c r="Z107" s="8"/>
      <c r="AA107" s="11">
        <v>11</v>
      </c>
      <c r="AB107" s="11">
        <v>14</v>
      </c>
      <c r="AC107" s="11" t="s">
        <v>205</v>
      </c>
      <c r="AD107" t="e">
        <v>#VALUE!</v>
      </c>
    </row>
    <row r="108" spans="26:30" x14ac:dyDescent="0.25">
      <c r="Z108" s="8"/>
      <c r="AA108" s="11">
        <v>11</v>
      </c>
      <c r="AB108" s="11">
        <v>15</v>
      </c>
      <c r="AC108" s="11" t="s">
        <v>210</v>
      </c>
      <c r="AD108" t="e">
        <v>#VALUE!</v>
      </c>
    </row>
    <row r="109" spans="26:30" x14ac:dyDescent="0.25">
      <c r="Z109" s="8"/>
      <c r="AA109" s="11">
        <v>11</v>
      </c>
      <c r="AB109" s="11">
        <v>16</v>
      </c>
      <c r="AC109" s="11" t="s">
        <v>210</v>
      </c>
      <c r="AD109" t="e">
        <v>#VALUE!</v>
      </c>
    </row>
    <row r="110" spans="26:30" x14ac:dyDescent="0.25">
      <c r="Z110" s="8"/>
      <c r="AA110" s="11">
        <v>12</v>
      </c>
      <c r="AB110" s="11">
        <v>4</v>
      </c>
      <c r="AC110" s="11" t="s">
        <v>213</v>
      </c>
      <c r="AD110" t="e">
        <v>#VALUE!</v>
      </c>
    </row>
    <row r="111" spans="26:30" x14ac:dyDescent="0.25">
      <c r="Z111" s="8"/>
      <c r="AA111" s="11">
        <v>12</v>
      </c>
      <c r="AB111" s="11">
        <v>5</v>
      </c>
      <c r="AC111" s="11" t="s">
        <v>213</v>
      </c>
      <c r="AD111" t="e">
        <v>#VALUE!</v>
      </c>
    </row>
    <row r="112" spans="26:30" x14ac:dyDescent="0.25">
      <c r="Z112" s="8"/>
      <c r="AA112" s="11">
        <v>12</v>
      </c>
      <c r="AB112" s="11">
        <v>6</v>
      </c>
      <c r="AC112" s="11" t="s">
        <v>213</v>
      </c>
      <c r="AD112" t="e">
        <v>#VALUE!</v>
      </c>
    </row>
    <row r="113" spans="26:30" x14ac:dyDescent="0.25">
      <c r="Z113" s="8"/>
      <c r="AA113" s="11">
        <v>12</v>
      </c>
      <c r="AB113" s="11">
        <v>7</v>
      </c>
      <c r="AC113" s="11" t="s">
        <v>213</v>
      </c>
      <c r="AD113" t="e">
        <v>#VALUE!</v>
      </c>
    </row>
    <row r="114" spans="26:30" x14ac:dyDescent="0.25">
      <c r="Z114" s="8"/>
      <c r="AA114" s="11">
        <v>12</v>
      </c>
      <c r="AB114" s="11">
        <v>8</v>
      </c>
      <c r="AC114" s="11" t="s">
        <v>213</v>
      </c>
      <c r="AD114" t="e">
        <v>#VALUE!</v>
      </c>
    </row>
    <row r="115" spans="26:30" x14ac:dyDescent="0.25">
      <c r="Z115" s="8"/>
      <c r="AA115" s="11">
        <v>12</v>
      </c>
      <c r="AB115" s="11">
        <v>9</v>
      </c>
      <c r="AC115" s="11" t="s">
        <v>212</v>
      </c>
      <c r="AD115" t="e">
        <v>#VALUE!</v>
      </c>
    </row>
    <row r="116" spans="26:30" x14ac:dyDescent="0.25">
      <c r="Z116" s="8"/>
      <c r="AA116" s="11">
        <v>12</v>
      </c>
      <c r="AB116" s="11">
        <v>10</v>
      </c>
      <c r="AC116" s="11" t="s">
        <v>212</v>
      </c>
      <c r="AD116" t="e">
        <v>#VALUE!</v>
      </c>
    </row>
    <row r="117" spans="26:30" x14ac:dyDescent="0.25">
      <c r="Z117" s="8"/>
      <c r="AA117" s="11">
        <v>12</v>
      </c>
      <c r="AB117" s="11">
        <v>11</v>
      </c>
      <c r="AC117" s="11" t="s">
        <v>212</v>
      </c>
      <c r="AD117" t="e">
        <v>#VALUE!</v>
      </c>
    </row>
    <row r="118" spans="26:30" x14ac:dyDescent="0.25">
      <c r="Z118" s="8"/>
      <c r="AA118" s="11">
        <v>12</v>
      </c>
      <c r="AB118" s="11">
        <v>12</v>
      </c>
      <c r="AC118" s="11" t="s">
        <v>212</v>
      </c>
      <c r="AD118" t="e">
        <v>#VALUE!</v>
      </c>
    </row>
    <row r="119" spans="26:30" x14ac:dyDescent="0.25">
      <c r="Z119" s="8"/>
      <c r="AA119" s="11">
        <v>12</v>
      </c>
      <c r="AB119" s="11">
        <v>13</v>
      </c>
      <c r="AC119" s="11" t="s">
        <v>206</v>
      </c>
      <c r="AD119">
        <v>1</v>
      </c>
    </row>
    <row r="120" spans="26:30" x14ac:dyDescent="0.25">
      <c r="Z120" s="8"/>
      <c r="AA120" s="11">
        <v>12</v>
      </c>
      <c r="AB120" s="11">
        <v>14</v>
      </c>
      <c r="AC120" s="11" t="s">
        <v>206</v>
      </c>
      <c r="AD120" t="e">
        <v>#VALUE!</v>
      </c>
    </row>
    <row r="121" spans="26:30" x14ac:dyDescent="0.25">
      <c r="Z121" s="8"/>
      <c r="AA121" s="11">
        <v>12</v>
      </c>
      <c r="AB121" s="11">
        <v>15</v>
      </c>
      <c r="AC121" s="11" t="s">
        <v>210</v>
      </c>
      <c r="AD121" t="e">
        <v>#VALUE!</v>
      </c>
    </row>
    <row r="122" spans="26:30" x14ac:dyDescent="0.25">
      <c r="Z122" s="8"/>
      <c r="AA122" s="11">
        <v>12</v>
      </c>
      <c r="AB122" s="11">
        <v>16</v>
      </c>
      <c r="AC122" s="11" t="s">
        <v>210</v>
      </c>
      <c r="AD122" t="e">
        <v>#VALUE!</v>
      </c>
    </row>
    <row r="123" spans="26:30" x14ac:dyDescent="0.25">
      <c r="Z123" s="8"/>
      <c r="AA123" s="11">
        <v>13</v>
      </c>
      <c r="AB123" s="11">
        <v>4</v>
      </c>
      <c r="AC123" s="11" t="s">
        <v>213</v>
      </c>
      <c r="AD123" t="e">
        <v>#VALUE!</v>
      </c>
    </row>
    <row r="124" spans="26:30" x14ac:dyDescent="0.25">
      <c r="Z124" s="8"/>
      <c r="AA124" s="11">
        <v>13</v>
      </c>
      <c r="AB124" s="11">
        <v>5</v>
      </c>
      <c r="AC124" s="11" t="s">
        <v>213</v>
      </c>
      <c r="AD124" t="e">
        <v>#VALUE!</v>
      </c>
    </row>
    <row r="125" spans="26:30" x14ac:dyDescent="0.25">
      <c r="Z125" s="8"/>
      <c r="AA125" s="11">
        <v>13</v>
      </c>
      <c r="AB125" s="11">
        <v>6</v>
      </c>
      <c r="AC125" s="11" t="s">
        <v>213</v>
      </c>
      <c r="AD125" t="e">
        <v>#VALUE!</v>
      </c>
    </row>
    <row r="126" spans="26:30" x14ac:dyDescent="0.25">
      <c r="Z126" s="8"/>
      <c r="AA126" s="11">
        <v>13</v>
      </c>
      <c r="AB126" s="11">
        <v>7</v>
      </c>
      <c r="AC126" s="11" t="s">
        <v>213</v>
      </c>
      <c r="AD126" t="e">
        <v>#VALUE!</v>
      </c>
    </row>
    <row r="127" spans="26:30" x14ac:dyDescent="0.25">
      <c r="Z127" s="8"/>
      <c r="AA127" s="11">
        <v>13</v>
      </c>
      <c r="AB127" s="11">
        <v>8</v>
      </c>
      <c r="AC127" s="11" t="s">
        <v>213</v>
      </c>
      <c r="AD127" t="e">
        <v>#VALUE!</v>
      </c>
    </row>
    <row r="128" spans="26:30" x14ac:dyDescent="0.25">
      <c r="Z128" s="8"/>
      <c r="AA128" s="11">
        <v>13</v>
      </c>
      <c r="AB128" s="11">
        <v>9</v>
      </c>
      <c r="AC128" s="11" t="s">
        <v>212</v>
      </c>
      <c r="AD128" t="e">
        <v>#VALUE!</v>
      </c>
    </row>
    <row r="129" spans="26:30" x14ac:dyDescent="0.25">
      <c r="Z129" s="8"/>
      <c r="AA129" s="11">
        <v>13</v>
      </c>
      <c r="AB129" s="11">
        <v>10</v>
      </c>
      <c r="AC129" s="11" t="s">
        <v>212</v>
      </c>
      <c r="AD129" t="e">
        <v>#VALUE!</v>
      </c>
    </row>
    <row r="130" spans="26:30" x14ac:dyDescent="0.25">
      <c r="Z130" s="8"/>
      <c r="AA130" s="11">
        <v>13</v>
      </c>
      <c r="AB130" s="11">
        <v>11</v>
      </c>
      <c r="AC130" s="11" t="s">
        <v>212</v>
      </c>
      <c r="AD130" t="e">
        <v>#VALUE!</v>
      </c>
    </row>
    <row r="131" spans="26:30" x14ac:dyDescent="0.25">
      <c r="Z131" s="8"/>
      <c r="AA131" s="11">
        <v>13</v>
      </c>
      <c r="AB131" s="11">
        <v>12</v>
      </c>
      <c r="AC131" s="11" t="s">
        <v>212</v>
      </c>
      <c r="AD131" t="e">
        <v>#VALUE!</v>
      </c>
    </row>
    <row r="132" spans="26:30" x14ac:dyDescent="0.25">
      <c r="Z132" s="8"/>
      <c r="AA132" s="11">
        <v>13</v>
      </c>
      <c r="AB132" s="11">
        <v>13</v>
      </c>
      <c r="AC132" s="11" t="s">
        <v>206</v>
      </c>
      <c r="AD132">
        <v>1</v>
      </c>
    </row>
    <row r="133" spans="26:30" x14ac:dyDescent="0.25">
      <c r="Z133" s="8"/>
      <c r="AA133" s="11">
        <v>13</v>
      </c>
      <c r="AB133" s="11">
        <v>14</v>
      </c>
      <c r="AC133" s="11" t="s">
        <v>206</v>
      </c>
      <c r="AD133" t="e">
        <v>#VALUE!</v>
      </c>
    </row>
    <row r="134" spans="26:30" x14ac:dyDescent="0.25">
      <c r="Z134" s="8"/>
      <c r="AA134" s="11">
        <v>13</v>
      </c>
      <c r="AB134" s="11">
        <v>15</v>
      </c>
      <c r="AC134" s="11" t="s">
        <v>210</v>
      </c>
      <c r="AD134" t="e">
        <v>#VALUE!</v>
      </c>
    </row>
    <row r="135" spans="26:30" x14ac:dyDescent="0.25">
      <c r="Z135" s="8"/>
      <c r="AA135" s="11">
        <v>13</v>
      </c>
      <c r="AB135" s="11">
        <v>16</v>
      </c>
      <c r="AC135" s="11" t="s">
        <v>210</v>
      </c>
      <c r="AD135" t="e">
        <v>#VALUE!</v>
      </c>
    </row>
    <row r="136" spans="26:30" x14ac:dyDescent="0.25">
      <c r="Z136" s="8"/>
      <c r="AA136" s="11">
        <v>14</v>
      </c>
      <c r="AB136" s="11">
        <v>5</v>
      </c>
      <c r="AC136" s="11" t="s">
        <v>213</v>
      </c>
      <c r="AD136" t="e">
        <v>#VALUE!</v>
      </c>
    </row>
    <row r="137" spans="26:30" x14ac:dyDescent="0.25">
      <c r="Z137" s="8"/>
      <c r="AA137" s="11">
        <v>14</v>
      </c>
      <c r="AB137" s="11">
        <v>6</v>
      </c>
      <c r="AC137" s="11" t="s">
        <v>213</v>
      </c>
      <c r="AD137" t="e">
        <v>#VALUE!</v>
      </c>
    </row>
    <row r="138" spans="26:30" x14ac:dyDescent="0.25">
      <c r="Z138" s="8"/>
      <c r="AA138" s="11">
        <v>14</v>
      </c>
      <c r="AB138" s="11">
        <v>7</v>
      </c>
      <c r="AC138" s="11" t="s">
        <v>213</v>
      </c>
      <c r="AD138" t="e">
        <v>#VALUE!</v>
      </c>
    </row>
    <row r="139" spans="26:30" x14ac:dyDescent="0.25">
      <c r="Z139" s="8"/>
      <c r="AA139" s="11">
        <v>14</v>
      </c>
      <c r="AB139" s="11">
        <v>8</v>
      </c>
      <c r="AC139" s="11" t="s">
        <v>213</v>
      </c>
      <c r="AD139" t="e">
        <v>#VALUE!</v>
      </c>
    </row>
    <row r="140" spans="26:30" x14ac:dyDescent="0.25">
      <c r="Z140" s="8"/>
      <c r="AA140" s="11">
        <v>14</v>
      </c>
      <c r="AB140" s="11">
        <v>9</v>
      </c>
      <c r="AC140" s="11" t="s">
        <v>212</v>
      </c>
      <c r="AD140" t="e">
        <v>#VALUE!</v>
      </c>
    </row>
    <row r="141" spans="26:30" x14ac:dyDescent="0.25">
      <c r="Z141" s="8"/>
      <c r="AA141" s="11">
        <v>14</v>
      </c>
      <c r="AB141" s="11">
        <v>10</v>
      </c>
      <c r="AC141" s="11" t="s">
        <v>212</v>
      </c>
      <c r="AD141" t="e">
        <v>#VALUE!</v>
      </c>
    </row>
    <row r="142" spans="26:30" x14ac:dyDescent="0.25">
      <c r="Z142" s="8"/>
      <c r="AA142" s="11">
        <v>14</v>
      </c>
      <c r="AB142" s="11">
        <v>11</v>
      </c>
      <c r="AC142" s="11" t="s">
        <v>212</v>
      </c>
      <c r="AD142" t="e">
        <v>#VALUE!</v>
      </c>
    </row>
    <row r="143" spans="26:30" x14ac:dyDescent="0.25">
      <c r="Z143" s="8"/>
      <c r="AA143" s="11">
        <v>14</v>
      </c>
      <c r="AB143" s="11">
        <v>12</v>
      </c>
      <c r="AC143" s="11" t="s">
        <v>212</v>
      </c>
      <c r="AD143" t="e">
        <v>#VALUE!</v>
      </c>
    </row>
    <row r="144" spans="26:30" x14ac:dyDescent="0.25">
      <c r="Z144" s="8"/>
      <c r="AA144" s="11">
        <v>14</v>
      </c>
      <c r="AB144" s="11">
        <v>13</v>
      </c>
      <c r="AC144" s="11" t="s">
        <v>206</v>
      </c>
      <c r="AD144">
        <v>1</v>
      </c>
    </row>
    <row r="145" spans="26:30" x14ac:dyDescent="0.25">
      <c r="Z145" s="8"/>
      <c r="AA145" s="11">
        <v>14</v>
      </c>
      <c r="AB145" s="11">
        <v>14</v>
      </c>
      <c r="AC145" s="11" t="s">
        <v>206</v>
      </c>
      <c r="AD145" t="e">
        <v>#VALUE!</v>
      </c>
    </row>
    <row r="146" spans="26:30" x14ac:dyDescent="0.25">
      <c r="Z146" s="8"/>
      <c r="AA146" s="11">
        <v>14</v>
      </c>
      <c r="AB146" s="11">
        <v>15</v>
      </c>
      <c r="AC146" s="11" t="s">
        <v>209</v>
      </c>
      <c r="AD146" t="e">
        <v>#VALUE!</v>
      </c>
    </row>
    <row r="147" spans="26:30" x14ac:dyDescent="0.25">
      <c r="Z147" s="8"/>
      <c r="AA147" s="11">
        <v>14</v>
      </c>
      <c r="AB147" s="11">
        <v>16</v>
      </c>
      <c r="AC147" s="11" t="s">
        <v>209</v>
      </c>
      <c r="AD147" t="e">
        <v>#VALUE!</v>
      </c>
    </row>
    <row r="148" spans="26:30" x14ac:dyDescent="0.25">
      <c r="Z148" s="8"/>
      <c r="AA148" s="11">
        <v>15</v>
      </c>
      <c r="AB148" s="11">
        <v>4</v>
      </c>
      <c r="AC148" s="11" t="s">
        <v>213</v>
      </c>
      <c r="AD148" t="e">
        <v>#VALUE!</v>
      </c>
    </row>
    <row r="149" spans="26:30" x14ac:dyDescent="0.25">
      <c r="Z149" s="8"/>
      <c r="AA149" s="11">
        <v>15</v>
      </c>
      <c r="AB149" s="11">
        <v>5</v>
      </c>
      <c r="AC149" s="11" t="s">
        <v>213</v>
      </c>
      <c r="AD149" t="e">
        <v>#VALUE!</v>
      </c>
    </row>
    <row r="150" spans="26:30" x14ac:dyDescent="0.25">
      <c r="Z150" s="8"/>
      <c r="AA150" s="11">
        <v>15</v>
      </c>
      <c r="AB150" s="11">
        <v>6</v>
      </c>
      <c r="AC150" s="11" t="s">
        <v>213</v>
      </c>
      <c r="AD150" t="e">
        <v>#VALUE!</v>
      </c>
    </row>
    <row r="151" spans="26:30" x14ac:dyDescent="0.25">
      <c r="Z151" s="8"/>
      <c r="AA151" s="11">
        <v>15</v>
      </c>
      <c r="AB151" s="11">
        <v>7</v>
      </c>
      <c r="AC151" s="11" t="s">
        <v>213</v>
      </c>
      <c r="AD151" t="e">
        <v>#VALUE!</v>
      </c>
    </row>
    <row r="152" spans="26:30" x14ac:dyDescent="0.25">
      <c r="Z152" s="8"/>
      <c r="AA152" s="11">
        <v>15</v>
      </c>
      <c r="AB152" s="11">
        <v>8</v>
      </c>
      <c r="AC152" s="11" t="s">
        <v>213</v>
      </c>
      <c r="AD152" t="e">
        <v>#VALUE!</v>
      </c>
    </row>
    <row r="153" spans="26:30" x14ac:dyDescent="0.25">
      <c r="Z153" s="8"/>
      <c r="AA153" s="11">
        <v>15</v>
      </c>
      <c r="AB153" s="11">
        <v>9</v>
      </c>
      <c r="AC153" s="11" t="s">
        <v>213</v>
      </c>
      <c r="AD153" t="e">
        <v>#VALUE!</v>
      </c>
    </row>
    <row r="154" spans="26:30" x14ac:dyDescent="0.25">
      <c r="Z154" s="8"/>
      <c r="AA154" s="11">
        <v>15</v>
      </c>
      <c r="AB154" s="11">
        <v>10</v>
      </c>
      <c r="AC154" s="11" t="s">
        <v>212</v>
      </c>
      <c r="AD154" t="e">
        <v>#VALUE!</v>
      </c>
    </row>
    <row r="155" spans="26:30" x14ac:dyDescent="0.25">
      <c r="Z155" s="8"/>
      <c r="AA155" s="11">
        <v>15</v>
      </c>
      <c r="AB155" s="11">
        <v>11</v>
      </c>
      <c r="AC155" s="11" t="s">
        <v>212</v>
      </c>
      <c r="AD155" t="e">
        <v>#VALUE!</v>
      </c>
    </row>
    <row r="156" spans="26:30" x14ac:dyDescent="0.25">
      <c r="Z156" s="8"/>
      <c r="AA156" s="11">
        <v>15</v>
      </c>
      <c r="AB156" s="11">
        <v>12</v>
      </c>
      <c r="AC156" s="11" t="s">
        <v>206</v>
      </c>
      <c r="AD156" t="e">
        <v>#VALUE!</v>
      </c>
    </row>
    <row r="157" spans="26:30" x14ac:dyDescent="0.25">
      <c r="Z157" s="8"/>
      <c r="AA157" s="11">
        <v>15</v>
      </c>
      <c r="AB157" s="11">
        <v>13</v>
      </c>
      <c r="AC157" s="11" t="s">
        <v>206</v>
      </c>
      <c r="AD157">
        <v>1</v>
      </c>
    </row>
    <row r="158" spans="26:30" x14ac:dyDescent="0.25">
      <c r="Z158" s="8"/>
      <c r="AA158" s="11">
        <v>15</v>
      </c>
      <c r="AB158" s="11">
        <v>14</v>
      </c>
      <c r="AC158" s="11" t="s">
        <v>206</v>
      </c>
      <c r="AD158" t="e">
        <v>#VALUE!</v>
      </c>
    </row>
    <row r="159" spans="26:30" x14ac:dyDescent="0.25">
      <c r="Z159" s="8"/>
      <c r="AA159" s="11">
        <v>15</v>
      </c>
      <c r="AB159" s="11">
        <v>15</v>
      </c>
      <c r="AC159" s="11" t="s">
        <v>209</v>
      </c>
      <c r="AD159" t="e">
        <v>#VALUE!</v>
      </c>
    </row>
    <row r="160" spans="26:30" x14ac:dyDescent="0.25">
      <c r="Z160" s="8"/>
      <c r="AA160" s="11">
        <v>15</v>
      </c>
      <c r="AB160" s="11">
        <v>16</v>
      </c>
      <c r="AC160" s="11" t="s">
        <v>209</v>
      </c>
      <c r="AD160" t="e">
        <v>#VALUE!</v>
      </c>
    </row>
    <row r="161" spans="26:30" x14ac:dyDescent="0.25">
      <c r="Z161" s="8"/>
      <c r="AA161" s="11">
        <v>15</v>
      </c>
      <c r="AB161" s="11">
        <v>17</v>
      </c>
      <c r="AC161" s="11" t="s">
        <v>209</v>
      </c>
      <c r="AD161" t="e">
        <v>#VALUE!</v>
      </c>
    </row>
    <row r="162" spans="26:30" x14ac:dyDescent="0.25">
      <c r="Z162" s="8"/>
      <c r="AA162" s="11">
        <v>16</v>
      </c>
      <c r="AB162" s="11">
        <v>4</v>
      </c>
      <c r="AC162" s="11" t="s">
        <v>213</v>
      </c>
      <c r="AD162" t="e">
        <v>#VALUE!</v>
      </c>
    </row>
    <row r="163" spans="26:30" x14ac:dyDescent="0.25">
      <c r="Z163" s="8"/>
      <c r="AA163" s="11">
        <v>16</v>
      </c>
      <c r="AB163" s="11">
        <v>5</v>
      </c>
      <c r="AC163" s="11" t="s">
        <v>213</v>
      </c>
      <c r="AD163" t="e">
        <v>#VALUE!</v>
      </c>
    </row>
    <row r="164" spans="26:30" x14ac:dyDescent="0.25">
      <c r="Z164" s="8"/>
      <c r="AA164" s="11">
        <v>16</v>
      </c>
      <c r="AB164" s="11">
        <v>6</v>
      </c>
      <c r="AC164" s="11" t="s">
        <v>213</v>
      </c>
      <c r="AD164" t="e">
        <v>#VALUE!</v>
      </c>
    </row>
    <row r="165" spans="26:30" x14ac:dyDescent="0.25">
      <c r="Z165" s="8"/>
      <c r="AA165" s="11">
        <v>16</v>
      </c>
      <c r="AB165" s="11">
        <v>7</v>
      </c>
      <c r="AC165" s="11" t="s">
        <v>213</v>
      </c>
      <c r="AD165" t="e">
        <v>#VALUE!</v>
      </c>
    </row>
    <row r="166" spans="26:30" x14ac:dyDescent="0.25">
      <c r="Z166" s="8"/>
      <c r="AA166" s="11">
        <v>16</v>
      </c>
      <c r="AB166" s="11">
        <v>8</v>
      </c>
      <c r="AC166" s="11" t="s">
        <v>213</v>
      </c>
      <c r="AD166" t="e">
        <v>#VALUE!</v>
      </c>
    </row>
    <row r="167" spans="26:30" x14ac:dyDescent="0.25">
      <c r="Z167" s="8"/>
      <c r="AA167" s="11">
        <v>16</v>
      </c>
      <c r="AB167" s="11">
        <v>9</v>
      </c>
      <c r="AC167" s="11" t="s">
        <v>213</v>
      </c>
      <c r="AD167" t="e">
        <v>#VALUE!</v>
      </c>
    </row>
    <row r="168" spans="26:30" x14ac:dyDescent="0.25">
      <c r="Z168" s="8"/>
      <c r="AA168" s="11">
        <v>16</v>
      </c>
      <c r="AB168" s="11">
        <v>10</v>
      </c>
      <c r="AC168" s="11" t="s">
        <v>212</v>
      </c>
      <c r="AD168" t="e">
        <v>#VALUE!</v>
      </c>
    </row>
    <row r="169" spans="26:30" x14ac:dyDescent="0.25">
      <c r="Z169" s="8"/>
      <c r="AA169" s="11">
        <v>16</v>
      </c>
      <c r="AB169" s="11">
        <v>11</v>
      </c>
      <c r="AC169" s="11" t="s">
        <v>212</v>
      </c>
      <c r="AD169" t="e">
        <v>#VALUE!</v>
      </c>
    </row>
    <row r="170" spans="26:30" x14ac:dyDescent="0.25">
      <c r="Z170" s="8"/>
      <c r="AA170" s="11">
        <v>16</v>
      </c>
      <c r="AB170" s="11">
        <v>12</v>
      </c>
      <c r="AC170" s="11" t="s">
        <v>220</v>
      </c>
      <c r="AD170" t="e">
        <v>#VALUE!</v>
      </c>
    </row>
    <row r="171" spans="26:30" x14ac:dyDescent="0.25">
      <c r="Z171" s="8"/>
      <c r="AA171" s="11">
        <v>16</v>
      </c>
      <c r="AB171" s="11">
        <v>13</v>
      </c>
      <c r="AC171" s="11" t="s">
        <v>206</v>
      </c>
      <c r="AD171">
        <v>1</v>
      </c>
    </row>
    <row r="172" spans="26:30" x14ac:dyDescent="0.25">
      <c r="Z172" s="8"/>
      <c r="AA172" s="11">
        <v>16</v>
      </c>
      <c r="AB172" s="11">
        <v>14</v>
      </c>
      <c r="AC172" s="11" t="s">
        <v>206</v>
      </c>
      <c r="AD172" t="e">
        <v>#VALUE!</v>
      </c>
    </row>
    <row r="173" spans="26:30" x14ac:dyDescent="0.25">
      <c r="Z173" s="8"/>
      <c r="AA173" s="11">
        <v>16</v>
      </c>
      <c r="AB173" s="11">
        <v>15</v>
      </c>
      <c r="AC173" s="11" t="s">
        <v>209</v>
      </c>
      <c r="AD173" t="e">
        <v>#VALUE!</v>
      </c>
    </row>
    <row r="174" spans="26:30" x14ac:dyDescent="0.25">
      <c r="Z174" s="8"/>
      <c r="AA174" s="11">
        <v>16</v>
      </c>
      <c r="AB174" s="11">
        <v>16</v>
      </c>
      <c r="AC174" s="11" t="s">
        <v>209</v>
      </c>
      <c r="AD174" t="e">
        <v>#VALUE!</v>
      </c>
    </row>
    <row r="175" spans="26:30" x14ac:dyDescent="0.25">
      <c r="Z175" s="8"/>
      <c r="AA175" s="11">
        <v>17</v>
      </c>
      <c r="AB175" s="11">
        <v>6</v>
      </c>
      <c r="AC175" s="11" t="s">
        <v>213</v>
      </c>
      <c r="AD175" t="e">
        <v>#VALUE!</v>
      </c>
    </row>
    <row r="176" spans="26:30" x14ac:dyDescent="0.25">
      <c r="Z176" s="8"/>
      <c r="AA176" s="11">
        <v>17</v>
      </c>
      <c r="AB176" s="11">
        <v>7</v>
      </c>
      <c r="AC176" s="11" t="s">
        <v>213</v>
      </c>
      <c r="AD176" t="e">
        <v>#VALUE!</v>
      </c>
    </row>
    <row r="177" spans="26:30" x14ac:dyDescent="0.25">
      <c r="Z177" s="8"/>
      <c r="AA177" s="11">
        <v>17</v>
      </c>
      <c r="AB177" s="11">
        <v>8</v>
      </c>
      <c r="AC177" s="11" t="s">
        <v>213</v>
      </c>
      <c r="AD177" t="e">
        <v>#VALUE!</v>
      </c>
    </row>
    <row r="178" spans="26:30" x14ac:dyDescent="0.25">
      <c r="Z178" s="8"/>
      <c r="AA178" s="11">
        <v>17</v>
      </c>
      <c r="AB178" s="11">
        <v>9</v>
      </c>
      <c r="AC178" s="11" t="s">
        <v>213</v>
      </c>
      <c r="AD178" t="e">
        <v>#VALUE!</v>
      </c>
    </row>
    <row r="179" spans="26:30" x14ac:dyDescent="0.25">
      <c r="Z179" s="8"/>
      <c r="AA179" s="11">
        <v>17</v>
      </c>
      <c r="AB179" s="11">
        <v>10</v>
      </c>
      <c r="AC179" s="11" t="s">
        <v>213</v>
      </c>
      <c r="AD179" t="e">
        <v>#VALUE!</v>
      </c>
    </row>
    <row r="180" spans="26:30" x14ac:dyDescent="0.25">
      <c r="Z180" s="8"/>
      <c r="AA180" s="11">
        <v>17</v>
      </c>
      <c r="AB180" s="11">
        <v>11</v>
      </c>
      <c r="AC180" s="11" t="s">
        <v>212</v>
      </c>
      <c r="AD180" t="e">
        <v>#VALUE!</v>
      </c>
    </row>
    <row r="181" spans="26:30" x14ac:dyDescent="0.25">
      <c r="Z181" s="8"/>
      <c r="AA181" s="11">
        <v>17</v>
      </c>
      <c r="AB181" s="11">
        <v>12</v>
      </c>
      <c r="AC181" s="11" t="s">
        <v>220</v>
      </c>
      <c r="AD181" t="e">
        <v>#VALUE!</v>
      </c>
    </row>
    <row r="182" spans="26:30" x14ac:dyDescent="0.25">
      <c r="Z182" s="8"/>
      <c r="AA182" s="11">
        <v>17</v>
      </c>
      <c r="AB182" s="11">
        <v>13</v>
      </c>
      <c r="AC182" s="11" t="s">
        <v>206</v>
      </c>
      <c r="AD182">
        <v>1</v>
      </c>
    </row>
    <row r="183" spans="26:30" x14ac:dyDescent="0.25">
      <c r="Z183" s="8"/>
      <c r="AA183" s="11">
        <v>17</v>
      </c>
      <c r="AB183" s="11">
        <v>14</v>
      </c>
      <c r="AC183" s="11" t="s">
        <v>206</v>
      </c>
      <c r="AD183" t="e">
        <v>#VALUE!</v>
      </c>
    </row>
    <row r="184" spans="26:30" x14ac:dyDescent="0.25">
      <c r="Z184" s="8"/>
      <c r="AA184" s="11">
        <v>17</v>
      </c>
      <c r="AB184" s="11">
        <v>15</v>
      </c>
      <c r="AC184" s="11" t="s">
        <v>209</v>
      </c>
      <c r="AD184" t="e">
        <v>#VALUE!</v>
      </c>
    </row>
    <row r="185" spans="26:30" x14ac:dyDescent="0.25">
      <c r="Z185" s="8"/>
      <c r="AA185" s="11">
        <v>17</v>
      </c>
      <c r="AB185" s="11">
        <v>16</v>
      </c>
      <c r="AC185" s="11" t="s">
        <v>209</v>
      </c>
      <c r="AD185" t="e">
        <v>#VALUE!</v>
      </c>
    </row>
    <row r="186" spans="26:30" x14ac:dyDescent="0.25">
      <c r="Z186" s="8"/>
      <c r="AA186" s="11">
        <v>18</v>
      </c>
      <c r="AB186" s="11">
        <v>9</v>
      </c>
      <c r="AC186" s="11" t="s">
        <v>213</v>
      </c>
      <c r="AD186" t="e">
        <v>#VALUE!</v>
      </c>
    </row>
    <row r="187" spans="26:30" x14ac:dyDescent="0.25">
      <c r="Z187" s="8"/>
      <c r="AA187" s="11">
        <v>18</v>
      </c>
      <c r="AB187" s="11">
        <v>10</v>
      </c>
      <c r="AC187" s="11" t="s">
        <v>213</v>
      </c>
      <c r="AD187" t="e">
        <v>#VALUE!</v>
      </c>
    </row>
    <row r="188" spans="26:30" x14ac:dyDescent="0.25">
      <c r="Z188" s="8"/>
      <c r="AA188" s="11">
        <v>18</v>
      </c>
      <c r="AB188" s="11">
        <v>11</v>
      </c>
      <c r="AC188" s="11" t="s">
        <v>220</v>
      </c>
      <c r="AD188" t="e">
        <v>#VALUE!</v>
      </c>
    </row>
    <row r="189" spans="26:30" x14ac:dyDescent="0.25">
      <c r="Z189" s="8"/>
      <c r="AA189" s="11">
        <v>18</v>
      </c>
      <c r="AB189" s="11">
        <v>12</v>
      </c>
      <c r="AC189" s="11" t="s">
        <v>220</v>
      </c>
      <c r="AD189" t="e">
        <v>#VALUE!</v>
      </c>
    </row>
    <row r="190" spans="26:30" x14ac:dyDescent="0.25">
      <c r="Z190" s="8"/>
      <c r="AA190" s="11">
        <v>18</v>
      </c>
      <c r="AB190" s="11">
        <v>13</v>
      </c>
      <c r="AC190" s="11" t="s">
        <v>220</v>
      </c>
      <c r="AD190">
        <v>1</v>
      </c>
    </row>
    <row r="191" spans="26:30" x14ac:dyDescent="0.25">
      <c r="Z191" s="8"/>
      <c r="AA191" s="11">
        <v>18</v>
      </c>
      <c r="AB191" s="11">
        <v>14</v>
      </c>
      <c r="AC191" s="11" t="s">
        <v>220</v>
      </c>
      <c r="AD191" t="e">
        <v>#VALUE!</v>
      </c>
    </row>
    <row r="192" spans="26:30" x14ac:dyDescent="0.25">
      <c r="Z192" s="8"/>
      <c r="AA192" s="11">
        <v>18</v>
      </c>
      <c r="AB192" s="11">
        <v>15</v>
      </c>
      <c r="AC192" s="11" t="s">
        <v>209</v>
      </c>
      <c r="AD192" t="e">
        <v>#VALUE!</v>
      </c>
    </row>
    <row r="193" spans="26:30" x14ac:dyDescent="0.25">
      <c r="Z193" s="8"/>
      <c r="AA193" s="11">
        <v>18</v>
      </c>
      <c r="AB193" s="11">
        <v>16</v>
      </c>
      <c r="AC193" s="11" t="s">
        <v>209</v>
      </c>
      <c r="AD193" t="e">
        <v>#VALUE!</v>
      </c>
    </row>
    <row r="194" spans="26:30" x14ac:dyDescent="0.25">
      <c r="Z194" s="8"/>
      <c r="AA194" s="11">
        <v>19</v>
      </c>
      <c r="AB194" s="11">
        <v>8</v>
      </c>
      <c r="AC194" s="11" t="s">
        <v>214</v>
      </c>
      <c r="AD194" t="e">
        <v>#VALUE!</v>
      </c>
    </row>
    <row r="195" spans="26:30" x14ac:dyDescent="0.25">
      <c r="Z195" s="8"/>
      <c r="AA195" s="11">
        <v>19</v>
      </c>
      <c r="AB195" s="11">
        <v>9</v>
      </c>
      <c r="AC195" s="11" t="s">
        <v>213</v>
      </c>
      <c r="AD195" t="e">
        <v>#VALUE!</v>
      </c>
    </row>
    <row r="196" spans="26:30" x14ac:dyDescent="0.25">
      <c r="Z196" s="8"/>
      <c r="AA196" s="11">
        <v>19</v>
      </c>
      <c r="AB196" s="11">
        <v>10</v>
      </c>
      <c r="AC196" s="11" t="s">
        <v>213</v>
      </c>
      <c r="AD196" t="e">
        <v>#VALUE!</v>
      </c>
    </row>
    <row r="197" spans="26:30" x14ac:dyDescent="0.25">
      <c r="Z197" s="8"/>
      <c r="AA197" s="11">
        <v>19</v>
      </c>
      <c r="AB197" s="11">
        <v>11</v>
      </c>
      <c r="AC197" s="11" t="s">
        <v>213</v>
      </c>
      <c r="AD197" t="e">
        <v>#VALUE!</v>
      </c>
    </row>
    <row r="198" spans="26:30" x14ac:dyDescent="0.25">
      <c r="Z198" s="8"/>
      <c r="AA198" s="11">
        <v>19</v>
      </c>
      <c r="AB198" s="11">
        <v>12</v>
      </c>
      <c r="AC198" s="11" t="s">
        <v>220</v>
      </c>
      <c r="AD198" t="e">
        <v>#VALUE!</v>
      </c>
    </row>
    <row r="199" spans="26:30" x14ac:dyDescent="0.25">
      <c r="Z199" s="8"/>
      <c r="AA199" s="11">
        <v>19</v>
      </c>
      <c r="AB199" s="11">
        <v>13</v>
      </c>
      <c r="AC199" s="11" t="s">
        <v>220</v>
      </c>
      <c r="AD199">
        <v>1</v>
      </c>
    </row>
    <row r="200" spans="26:30" x14ac:dyDescent="0.25">
      <c r="Z200" s="8"/>
      <c r="AA200" s="11">
        <v>19</v>
      </c>
      <c r="AB200" s="11">
        <v>14</v>
      </c>
      <c r="AC200" s="11" t="s">
        <v>220</v>
      </c>
      <c r="AD200" t="e">
        <v>#VALUE!</v>
      </c>
    </row>
    <row r="201" spans="26:30" x14ac:dyDescent="0.25">
      <c r="Z201" s="8"/>
      <c r="AA201" s="11">
        <v>19</v>
      </c>
      <c r="AB201" s="11">
        <v>15</v>
      </c>
      <c r="AC201" s="11" t="s">
        <v>209</v>
      </c>
      <c r="AD201" t="e">
        <v>#VALUE!</v>
      </c>
    </row>
    <row r="202" spans="26:30" x14ac:dyDescent="0.25">
      <c r="Z202" s="8"/>
      <c r="AA202" s="11">
        <v>19</v>
      </c>
      <c r="AB202" s="11">
        <v>16</v>
      </c>
      <c r="AC202" s="11" t="s">
        <v>209</v>
      </c>
      <c r="AD202" t="e">
        <v>#VALUE!</v>
      </c>
    </row>
    <row r="203" spans="26:30" x14ac:dyDescent="0.25">
      <c r="Z203" s="8"/>
      <c r="AA203" s="11">
        <v>20</v>
      </c>
      <c r="AB203" s="11">
        <v>8</v>
      </c>
      <c r="AC203" s="11" t="s">
        <v>214</v>
      </c>
      <c r="AD203" t="e">
        <v>#VALUE!</v>
      </c>
    </row>
    <row r="204" spans="26:30" x14ac:dyDescent="0.25">
      <c r="Z204" s="8"/>
      <c r="AA204" s="11">
        <v>20</v>
      </c>
      <c r="AB204" s="11">
        <v>9</v>
      </c>
      <c r="AC204" s="11" t="s">
        <v>214</v>
      </c>
      <c r="AD204" t="e">
        <v>#VALUE!</v>
      </c>
    </row>
    <row r="205" spans="26:30" x14ac:dyDescent="0.25">
      <c r="Z205" s="8"/>
      <c r="AA205" s="11">
        <v>20</v>
      </c>
      <c r="AB205" s="11">
        <v>10</v>
      </c>
      <c r="AC205" s="11" t="s">
        <v>216</v>
      </c>
      <c r="AD205" t="e">
        <v>#VALUE!</v>
      </c>
    </row>
    <row r="206" spans="26:30" x14ac:dyDescent="0.25">
      <c r="Z206" s="8"/>
      <c r="AA206" s="11">
        <v>20</v>
      </c>
      <c r="AB206" s="11">
        <v>11</v>
      </c>
      <c r="AC206" s="11" t="s">
        <v>216</v>
      </c>
      <c r="AD206" t="e">
        <v>#VALUE!</v>
      </c>
    </row>
    <row r="207" spans="26:30" x14ac:dyDescent="0.25">
      <c r="Z207" s="8"/>
      <c r="AA207" s="11">
        <v>20</v>
      </c>
      <c r="AB207" s="11">
        <v>12</v>
      </c>
      <c r="AC207" s="11" t="s">
        <v>220</v>
      </c>
      <c r="AD207" t="e">
        <v>#VALUE!</v>
      </c>
    </row>
    <row r="208" spans="26:30" x14ac:dyDescent="0.25">
      <c r="Z208" s="8"/>
      <c r="AA208" s="11">
        <v>20</v>
      </c>
      <c r="AB208" s="11">
        <v>13</v>
      </c>
      <c r="AC208" s="11" t="s">
        <v>220</v>
      </c>
      <c r="AD208" t="e">
        <v>#VALUE!</v>
      </c>
    </row>
    <row r="209" spans="26:30" x14ac:dyDescent="0.25">
      <c r="Z209" s="8"/>
      <c r="AA209" s="11">
        <v>20</v>
      </c>
      <c r="AB209" s="11">
        <v>14</v>
      </c>
      <c r="AC209" s="11" t="s">
        <v>220</v>
      </c>
      <c r="AD209" t="e">
        <v>#VALUE!</v>
      </c>
    </row>
    <row r="210" spans="26:30" x14ac:dyDescent="0.25">
      <c r="Z210" s="8"/>
      <c r="AA210" s="11">
        <v>20</v>
      </c>
      <c r="AB210" s="11">
        <v>15</v>
      </c>
      <c r="AC210" s="11" t="s">
        <v>209</v>
      </c>
      <c r="AD210" t="e">
        <v>#VALUE!</v>
      </c>
    </row>
    <row r="211" spans="26:30" x14ac:dyDescent="0.25">
      <c r="Z211" s="8"/>
      <c r="AA211" s="11">
        <v>20</v>
      </c>
      <c r="AB211" s="11">
        <v>16</v>
      </c>
      <c r="AC211" s="11" t="s">
        <v>209</v>
      </c>
      <c r="AD211" t="e">
        <v>#VALUE!</v>
      </c>
    </row>
    <row r="212" spans="26:30" x14ac:dyDescent="0.25">
      <c r="Z212" s="8"/>
      <c r="AA212" s="11">
        <v>21</v>
      </c>
      <c r="AB212" s="11">
        <v>4</v>
      </c>
      <c r="AC212" s="11" t="s">
        <v>214</v>
      </c>
      <c r="AD212" t="e">
        <v>#VALUE!</v>
      </c>
    </row>
    <row r="213" spans="26:30" x14ac:dyDescent="0.25">
      <c r="Z213" s="8"/>
      <c r="AA213" s="11">
        <v>21</v>
      </c>
      <c r="AB213" s="11">
        <v>5</v>
      </c>
      <c r="AC213" s="11" t="s">
        <v>214</v>
      </c>
      <c r="AD213" t="e">
        <v>#VALUE!</v>
      </c>
    </row>
    <row r="214" spans="26:30" x14ac:dyDescent="0.25">
      <c r="Z214" s="8"/>
      <c r="AA214" s="11">
        <v>21</v>
      </c>
      <c r="AB214" s="11">
        <v>8</v>
      </c>
      <c r="AC214" s="11" t="s">
        <v>214</v>
      </c>
      <c r="AD214" t="e">
        <v>#VALUE!</v>
      </c>
    </row>
    <row r="215" spans="26:30" x14ac:dyDescent="0.25">
      <c r="Z215" s="8"/>
      <c r="AA215" s="11">
        <v>21</v>
      </c>
      <c r="AB215" s="11">
        <v>9</v>
      </c>
      <c r="AC215" s="11" t="s">
        <v>214</v>
      </c>
      <c r="AD215" t="e">
        <v>#VALUE!</v>
      </c>
    </row>
    <row r="216" spans="26:30" x14ac:dyDescent="0.25">
      <c r="Z216" s="8"/>
      <c r="AA216" s="11">
        <v>21</v>
      </c>
      <c r="AB216" s="11">
        <v>10</v>
      </c>
      <c r="AC216" s="11" t="s">
        <v>216</v>
      </c>
      <c r="AD216" t="e">
        <v>#VALUE!</v>
      </c>
    </row>
    <row r="217" spans="26:30" x14ac:dyDescent="0.25">
      <c r="Z217" s="8"/>
      <c r="AA217" s="11">
        <v>21</v>
      </c>
      <c r="AB217" s="11">
        <v>11</v>
      </c>
      <c r="AC217" s="11" t="s">
        <v>216</v>
      </c>
      <c r="AD217" t="e">
        <v>#VALUE!</v>
      </c>
    </row>
    <row r="218" spans="26:30" x14ac:dyDescent="0.25">
      <c r="Z218" s="8"/>
      <c r="AA218" s="11">
        <v>21</v>
      </c>
      <c r="AB218" s="11">
        <v>12</v>
      </c>
      <c r="AC218" s="11" t="s">
        <v>216</v>
      </c>
      <c r="AD218" t="e">
        <v>#VALUE!</v>
      </c>
    </row>
    <row r="219" spans="26:30" x14ac:dyDescent="0.25">
      <c r="Z219" s="8"/>
      <c r="AA219" s="11">
        <v>21</v>
      </c>
      <c r="AB219" s="11">
        <v>13</v>
      </c>
      <c r="AC219" s="11" t="s">
        <v>220</v>
      </c>
      <c r="AD219">
        <v>1</v>
      </c>
    </row>
    <row r="220" spans="26:30" x14ac:dyDescent="0.25">
      <c r="Z220" s="8"/>
      <c r="AA220" s="11">
        <v>21</v>
      </c>
      <c r="AB220" s="11">
        <v>14</v>
      </c>
      <c r="AC220" s="11" t="s">
        <v>220</v>
      </c>
      <c r="AD220" t="e">
        <v>#VALUE!</v>
      </c>
    </row>
    <row r="221" spans="26:30" x14ac:dyDescent="0.25">
      <c r="Z221" s="8"/>
      <c r="AA221" s="11">
        <v>21</v>
      </c>
      <c r="AB221" s="11">
        <v>15</v>
      </c>
      <c r="AC221" s="11" t="s">
        <v>209</v>
      </c>
      <c r="AD221" t="e">
        <v>#VALUE!</v>
      </c>
    </row>
    <row r="222" spans="26:30" x14ac:dyDescent="0.25">
      <c r="Z222" s="8"/>
      <c r="AA222" s="11">
        <v>22</v>
      </c>
      <c r="AB222" s="11">
        <v>4</v>
      </c>
      <c r="AC222" s="11" t="s">
        <v>214</v>
      </c>
      <c r="AD222" t="e">
        <v>#VALUE!</v>
      </c>
    </row>
    <row r="223" spans="26:30" x14ac:dyDescent="0.25">
      <c r="Z223" s="8"/>
      <c r="AA223" s="11">
        <v>22</v>
      </c>
      <c r="AB223" s="11">
        <v>5</v>
      </c>
      <c r="AC223" s="11" t="s">
        <v>214</v>
      </c>
      <c r="AD223" t="e">
        <v>#VALUE!</v>
      </c>
    </row>
    <row r="224" spans="26:30" x14ac:dyDescent="0.25">
      <c r="Z224" s="8"/>
      <c r="AA224" s="11">
        <v>22</v>
      </c>
      <c r="AB224" s="11">
        <v>6</v>
      </c>
      <c r="AC224" s="11" t="s">
        <v>214</v>
      </c>
      <c r="AD224" t="e">
        <v>#VALUE!</v>
      </c>
    </row>
    <row r="225" spans="26:30" x14ac:dyDescent="0.25">
      <c r="Z225" s="8"/>
      <c r="AA225" s="11">
        <v>22</v>
      </c>
      <c r="AB225" s="11">
        <v>7</v>
      </c>
      <c r="AC225" s="11" t="s">
        <v>214</v>
      </c>
      <c r="AD225" t="e">
        <v>#VALUE!</v>
      </c>
    </row>
    <row r="226" spans="26:30" x14ac:dyDescent="0.25">
      <c r="Z226" s="8"/>
      <c r="AA226" s="11">
        <v>22</v>
      </c>
      <c r="AB226" s="11">
        <v>8</v>
      </c>
      <c r="AC226" s="11" t="s">
        <v>214</v>
      </c>
      <c r="AD226" t="e">
        <v>#VALUE!</v>
      </c>
    </row>
    <row r="227" spans="26:30" x14ac:dyDescent="0.25">
      <c r="Z227" s="8"/>
      <c r="AA227" s="11">
        <v>22</v>
      </c>
      <c r="AB227" s="11">
        <v>9</v>
      </c>
      <c r="AC227" s="11" t="s">
        <v>214</v>
      </c>
      <c r="AD227" t="e">
        <v>#VALUE!</v>
      </c>
    </row>
    <row r="228" spans="26:30" x14ac:dyDescent="0.25">
      <c r="Z228" s="8"/>
      <c r="AA228" s="11">
        <v>22</v>
      </c>
      <c r="AB228" s="11">
        <v>10</v>
      </c>
      <c r="AC228" s="11" t="s">
        <v>216</v>
      </c>
      <c r="AD228" t="e">
        <v>#VALUE!</v>
      </c>
    </row>
    <row r="229" spans="26:30" x14ac:dyDescent="0.25">
      <c r="Z229" s="8"/>
      <c r="AA229" s="11">
        <v>22</v>
      </c>
      <c r="AB229" s="11">
        <v>11</v>
      </c>
      <c r="AC229" s="11" t="s">
        <v>216</v>
      </c>
      <c r="AD229" t="e">
        <v>#VALUE!</v>
      </c>
    </row>
    <row r="230" spans="26:30" x14ac:dyDescent="0.25">
      <c r="Z230" s="8"/>
      <c r="AA230" s="11">
        <v>22</v>
      </c>
      <c r="AB230" s="11">
        <v>12</v>
      </c>
      <c r="AC230" s="11" t="s">
        <v>216</v>
      </c>
      <c r="AD230" t="e">
        <v>#VALUE!</v>
      </c>
    </row>
    <row r="231" spans="26:30" x14ac:dyDescent="0.25">
      <c r="Z231" s="8"/>
      <c r="AA231" s="11">
        <v>22</v>
      </c>
      <c r="AB231" s="11">
        <v>13</v>
      </c>
      <c r="AC231" s="11" t="s">
        <v>215</v>
      </c>
      <c r="AD231" t="e">
        <v>#VALUE!</v>
      </c>
    </row>
    <row r="232" spans="26:30" x14ac:dyDescent="0.25">
      <c r="Z232" s="8"/>
      <c r="AA232" s="11">
        <v>22</v>
      </c>
      <c r="AB232" s="11">
        <v>14</v>
      </c>
      <c r="AC232" s="11" t="s">
        <v>219</v>
      </c>
      <c r="AD232" t="e">
        <v>#VALUE!</v>
      </c>
    </row>
    <row r="233" spans="26:30" x14ac:dyDescent="0.25">
      <c r="Z233" s="8"/>
      <c r="AA233" s="11">
        <v>22</v>
      </c>
      <c r="AB233" s="11">
        <v>15</v>
      </c>
      <c r="AC233" s="11" t="s">
        <v>219</v>
      </c>
      <c r="AD233" t="e">
        <v>#VALUE!</v>
      </c>
    </row>
    <row r="234" spans="26:30" x14ac:dyDescent="0.25">
      <c r="Z234" s="8"/>
      <c r="AA234" s="11">
        <v>23</v>
      </c>
      <c r="AB234" s="11">
        <v>2</v>
      </c>
      <c r="AC234" s="11" t="s">
        <v>207</v>
      </c>
      <c r="AD234" t="e">
        <v>#VALUE!</v>
      </c>
    </row>
    <row r="235" spans="26:30" x14ac:dyDescent="0.25">
      <c r="Z235" s="8"/>
      <c r="AA235" s="11">
        <v>23</v>
      </c>
      <c r="AB235" s="11">
        <v>5</v>
      </c>
      <c r="AC235" s="11" t="s">
        <v>214</v>
      </c>
      <c r="AD235" t="e">
        <v>#VALUE!</v>
      </c>
    </row>
    <row r="236" spans="26:30" x14ac:dyDescent="0.25">
      <c r="Z236" s="8"/>
      <c r="AA236" s="11">
        <v>23</v>
      </c>
      <c r="AB236" s="11">
        <v>6</v>
      </c>
      <c r="AC236" s="11" t="s">
        <v>214</v>
      </c>
      <c r="AD236" t="e">
        <v>#VALUE!</v>
      </c>
    </row>
    <row r="237" spans="26:30" x14ac:dyDescent="0.25">
      <c r="Z237" s="8"/>
      <c r="AA237" s="11">
        <v>23</v>
      </c>
      <c r="AB237" s="11">
        <v>7</v>
      </c>
      <c r="AC237" s="11" t="s">
        <v>214</v>
      </c>
      <c r="AD237" t="e">
        <v>#VALUE!</v>
      </c>
    </row>
    <row r="238" spans="26:30" x14ac:dyDescent="0.25">
      <c r="Z238" s="8"/>
      <c r="AA238" s="11">
        <v>23</v>
      </c>
      <c r="AB238" s="11">
        <v>8</v>
      </c>
      <c r="AC238" s="11" t="s">
        <v>214</v>
      </c>
      <c r="AD238" t="e">
        <v>#VALUE!</v>
      </c>
    </row>
    <row r="239" spans="26:30" x14ac:dyDescent="0.25">
      <c r="Z239" s="8"/>
      <c r="AA239" s="11">
        <v>23</v>
      </c>
      <c r="AB239" s="11">
        <v>9</v>
      </c>
      <c r="AC239" s="11" t="s">
        <v>214</v>
      </c>
      <c r="AD239" t="e">
        <v>#VALUE!</v>
      </c>
    </row>
    <row r="240" spans="26:30" x14ac:dyDescent="0.25">
      <c r="Z240" s="8"/>
      <c r="AA240" s="11">
        <v>23</v>
      </c>
      <c r="AB240" s="11">
        <v>10</v>
      </c>
      <c r="AC240" s="11" t="s">
        <v>216</v>
      </c>
      <c r="AD240" t="e">
        <v>#VALUE!</v>
      </c>
    </row>
    <row r="241" spans="26:30" x14ac:dyDescent="0.25">
      <c r="Z241" s="8"/>
      <c r="AA241" s="11">
        <v>23</v>
      </c>
      <c r="AB241" s="11">
        <v>11</v>
      </c>
      <c r="AC241" s="11" t="s">
        <v>216</v>
      </c>
      <c r="AD241" t="e">
        <v>#VALUE!</v>
      </c>
    </row>
    <row r="242" spans="26:30" x14ac:dyDescent="0.25">
      <c r="Z242" s="8"/>
      <c r="AA242" s="11">
        <v>23</v>
      </c>
      <c r="AB242" s="11">
        <v>12</v>
      </c>
      <c r="AC242" s="11" t="s">
        <v>216</v>
      </c>
      <c r="AD242" t="e">
        <v>#VALUE!</v>
      </c>
    </row>
    <row r="243" spans="26:30" x14ac:dyDescent="0.25">
      <c r="Z243" s="8"/>
      <c r="AA243" s="11">
        <v>23</v>
      </c>
      <c r="AB243" s="11">
        <v>13</v>
      </c>
      <c r="AC243" s="11" t="s">
        <v>215</v>
      </c>
      <c r="AD243" t="e">
        <v>#VALUE!</v>
      </c>
    </row>
    <row r="244" spans="26:30" x14ac:dyDescent="0.25">
      <c r="Z244" s="8"/>
      <c r="AA244" s="11">
        <v>23</v>
      </c>
      <c r="AB244" s="11">
        <v>14</v>
      </c>
      <c r="AC244" s="11" t="s">
        <v>215</v>
      </c>
      <c r="AD244" t="e">
        <v>#VALUE!</v>
      </c>
    </row>
    <row r="245" spans="26:30" x14ac:dyDescent="0.25">
      <c r="Z245" s="8"/>
      <c r="AA245" s="11">
        <v>23</v>
      </c>
      <c r="AB245" s="11">
        <v>15</v>
      </c>
      <c r="AC245" s="11" t="s">
        <v>219</v>
      </c>
      <c r="AD245" t="e">
        <v>#VALUE!</v>
      </c>
    </row>
    <row r="246" spans="26:30" x14ac:dyDescent="0.25">
      <c r="Z246" s="8"/>
      <c r="AA246" s="11">
        <v>24</v>
      </c>
      <c r="AB246" s="11">
        <v>2</v>
      </c>
      <c r="AC246" s="11" t="s">
        <v>207</v>
      </c>
      <c r="AD246" t="e">
        <v>#VALUE!</v>
      </c>
    </row>
    <row r="247" spans="26:30" x14ac:dyDescent="0.25">
      <c r="Z247" s="8"/>
      <c r="AA247" s="11">
        <v>24</v>
      </c>
      <c r="AB247" s="11">
        <v>3</v>
      </c>
      <c r="AC247" s="11" t="s">
        <v>207</v>
      </c>
      <c r="AD247" t="e">
        <v>#VALUE!</v>
      </c>
    </row>
    <row r="248" spans="26:30" x14ac:dyDescent="0.25">
      <c r="Z248" s="8"/>
      <c r="AA248" s="11">
        <v>24</v>
      </c>
      <c r="AB248" s="11">
        <v>4</v>
      </c>
      <c r="AC248" s="11" t="s">
        <v>207</v>
      </c>
      <c r="AD248" t="e">
        <v>#VALUE!</v>
      </c>
    </row>
    <row r="249" spans="26:30" x14ac:dyDescent="0.25">
      <c r="Z249" s="8"/>
      <c r="AA249" s="11">
        <v>24</v>
      </c>
      <c r="AB249" s="11">
        <v>5</v>
      </c>
      <c r="AC249" s="11" t="s">
        <v>214</v>
      </c>
      <c r="AD249" t="e">
        <v>#VALUE!</v>
      </c>
    </row>
    <row r="250" spans="26:30" x14ac:dyDescent="0.25">
      <c r="Z250" s="8"/>
      <c r="AA250" s="11">
        <v>24</v>
      </c>
      <c r="AB250" s="11">
        <v>6</v>
      </c>
      <c r="AC250" s="11" t="s">
        <v>214</v>
      </c>
      <c r="AD250" t="e">
        <v>#VALUE!</v>
      </c>
    </row>
    <row r="251" spans="26:30" x14ac:dyDescent="0.25">
      <c r="Z251" s="8"/>
      <c r="AA251" s="11">
        <v>24</v>
      </c>
      <c r="AB251" s="11">
        <v>7</v>
      </c>
      <c r="AC251" s="11" t="s">
        <v>214</v>
      </c>
      <c r="AD251" t="e">
        <v>#VALUE!</v>
      </c>
    </row>
    <row r="252" spans="26:30" x14ac:dyDescent="0.25">
      <c r="Z252" s="8"/>
      <c r="AA252" s="11">
        <v>24</v>
      </c>
      <c r="AB252" s="11">
        <v>8</v>
      </c>
      <c r="AC252" s="11" t="s">
        <v>214</v>
      </c>
      <c r="AD252" t="e">
        <v>#VALUE!</v>
      </c>
    </row>
    <row r="253" spans="26:30" x14ac:dyDescent="0.25">
      <c r="Z253" s="8"/>
      <c r="AA253" s="11">
        <v>24</v>
      </c>
      <c r="AB253" s="11">
        <v>9</v>
      </c>
      <c r="AC253" s="11" t="s">
        <v>214</v>
      </c>
      <c r="AD253" t="e">
        <v>#VALUE!</v>
      </c>
    </row>
    <row r="254" spans="26:30" x14ac:dyDescent="0.25">
      <c r="Z254" s="8"/>
      <c r="AA254" s="11">
        <v>24</v>
      </c>
      <c r="AB254" s="11">
        <v>10</v>
      </c>
      <c r="AC254" s="11" t="s">
        <v>216</v>
      </c>
      <c r="AD254" t="e">
        <v>#VALUE!</v>
      </c>
    </row>
    <row r="255" spans="26:30" x14ac:dyDescent="0.25">
      <c r="Z255" s="8"/>
      <c r="AA255" s="11">
        <v>24</v>
      </c>
      <c r="AB255" s="11">
        <v>11</v>
      </c>
      <c r="AC255" s="11" t="s">
        <v>216</v>
      </c>
      <c r="AD255" t="e">
        <v>#VALUE!</v>
      </c>
    </row>
    <row r="256" spans="26:30" x14ac:dyDescent="0.25">
      <c r="Z256" s="8"/>
      <c r="AA256" s="11">
        <v>24</v>
      </c>
      <c r="AB256" s="11">
        <v>12</v>
      </c>
      <c r="AC256" s="11" t="s">
        <v>215</v>
      </c>
      <c r="AD256" t="e">
        <v>#VALUE!</v>
      </c>
    </row>
    <row r="257" spans="26:30" x14ac:dyDescent="0.25">
      <c r="Z257" s="8"/>
      <c r="AA257" s="11">
        <v>24</v>
      </c>
      <c r="AB257" s="11">
        <v>13</v>
      </c>
      <c r="AC257" s="11" t="s">
        <v>215</v>
      </c>
      <c r="AD257" t="e">
        <v>#VALUE!</v>
      </c>
    </row>
    <row r="258" spans="26:30" x14ac:dyDescent="0.25">
      <c r="Z258" s="8"/>
      <c r="AA258" s="11">
        <v>24</v>
      </c>
      <c r="AB258" s="11">
        <v>14</v>
      </c>
      <c r="AC258" s="11" t="s">
        <v>219</v>
      </c>
      <c r="AD258" t="e">
        <v>#VALUE!</v>
      </c>
    </row>
    <row r="259" spans="26:30" x14ac:dyDescent="0.25">
      <c r="Z259" s="8"/>
      <c r="AA259" s="11">
        <v>24</v>
      </c>
      <c r="AB259" s="11">
        <v>15</v>
      </c>
      <c r="AC259" s="11" t="s">
        <v>219</v>
      </c>
      <c r="AD259" t="e">
        <v>#VALUE!</v>
      </c>
    </row>
    <row r="260" spans="26:30" x14ac:dyDescent="0.25">
      <c r="Z260" s="8"/>
      <c r="AA260" s="11">
        <v>25</v>
      </c>
      <c r="AB260" s="11">
        <v>1</v>
      </c>
      <c r="AC260" s="11" t="s">
        <v>207</v>
      </c>
      <c r="AD260" t="e">
        <v>#VALUE!</v>
      </c>
    </row>
    <row r="261" spans="26:30" x14ac:dyDescent="0.25">
      <c r="Z261" s="8"/>
      <c r="AA261" s="11">
        <v>25</v>
      </c>
      <c r="AB261" s="11">
        <v>2</v>
      </c>
      <c r="AC261" s="11" t="s">
        <v>207</v>
      </c>
      <c r="AD261" t="e">
        <v>#VALUE!</v>
      </c>
    </row>
    <row r="262" spans="26:30" x14ac:dyDescent="0.25">
      <c r="Z262" s="8"/>
      <c r="AA262" s="11">
        <v>25</v>
      </c>
      <c r="AB262" s="11">
        <v>3</v>
      </c>
      <c r="AC262" s="11" t="s">
        <v>207</v>
      </c>
      <c r="AD262" t="e">
        <v>#VALUE!</v>
      </c>
    </row>
    <row r="263" spans="26:30" x14ac:dyDescent="0.25">
      <c r="Z263" s="8"/>
      <c r="AA263" s="11">
        <v>25</v>
      </c>
      <c r="AB263" s="11">
        <v>4</v>
      </c>
      <c r="AC263" s="11" t="s">
        <v>214</v>
      </c>
      <c r="AD263" t="e">
        <v>#VALUE!</v>
      </c>
    </row>
    <row r="264" spans="26:30" x14ac:dyDescent="0.25">
      <c r="Z264" s="8"/>
      <c r="AA264" s="11">
        <v>25</v>
      </c>
      <c r="AB264" s="11">
        <v>5</v>
      </c>
      <c r="AC264" s="11" t="s">
        <v>214</v>
      </c>
      <c r="AD264" t="e">
        <v>#VALUE!</v>
      </c>
    </row>
    <row r="265" spans="26:30" x14ac:dyDescent="0.25">
      <c r="Z265" s="8"/>
      <c r="AA265" s="11">
        <v>25</v>
      </c>
      <c r="AB265" s="11">
        <v>6</v>
      </c>
      <c r="AC265" s="11" t="s">
        <v>214</v>
      </c>
      <c r="AD265" t="e">
        <v>#VALUE!</v>
      </c>
    </row>
    <row r="266" spans="26:30" x14ac:dyDescent="0.25">
      <c r="Z266" s="8"/>
      <c r="AA266" s="11">
        <v>25</v>
      </c>
      <c r="AB266" s="11">
        <v>7</v>
      </c>
      <c r="AC266" s="11" t="s">
        <v>214</v>
      </c>
      <c r="AD266" t="e">
        <v>#VALUE!</v>
      </c>
    </row>
    <row r="267" spans="26:30" x14ac:dyDescent="0.25">
      <c r="Z267" s="8"/>
      <c r="AA267" s="11">
        <v>25</v>
      </c>
      <c r="AB267" s="11">
        <v>8</v>
      </c>
      <c r="AC267" s="11" t="s">
        <v>214</v>
      </c>
      <c r="AD267" t="e">
        <v>#VALUE!</v>
      </c>
    </row>
    <row r="268" spans="26:30" x14ac:dyDescent="0.25">
      <c r="Z268" s="8"/>
      <c r="AA268" s="11">
        <v>25</v>
      </c>
      <c r="AB268" s="11">
        <v>9</v>
      </c>
      <c r="AC268" s="11" t="s">
        <v>214</v>
      </c>
      <c r="AD268" t="e">
        <v>#VALUE!</v>
      </c>
    </row>
    <row r="269" spans="26:30" x14ac:dyDescent="0.25">
      <c r="Z269" s="8"/>
      <c r="AA269" s="11">
        <v>25</v>
      </c>
      <c r="AB269" s="11">
        <v>10</v>
      </c>
      <c r="AC269" s="11" t="s">
        <v>216</v>
      </c>
      <c r="AD269" t="e">
        <v>#VALUE!</v>
      </c>
    </row>
    <row r="270" spans="26:30" x14ac:dyDescent="0.25">
      <c r="Z270" s="8"/>
      <c r="AA270" s="11">
        <v>25</v>
      </c>
      <c r="AB270" s="11">
        <v>11</v>
      </c>
      <c r="AC270" s="11" t="s">
        <v>216</v>
      </c>
      <c r="AD270" t="e">
        <v>#VALUE!</v>
      </c>
    </row>
    <row r="271" spans="26:30" x14ac:dyDescent="0.25">
      <c r="Z271" s="8"/>
      <c r="AA271" s="11">
        <v>25</v>
      </c>
      <c r="AB271" s="11">
        <v>12</v>
      </c>
      <c r="AC271" s="11" t="s">
        <v>215</v>
      </c>
      <c r="AD271" t="e">
        <v>#VALUE!</v>
      </c>
    </row>
    <row r="272" spans="26:30" x14ac:dyDescent="0.25">
      <c r="Z272" s="8"/>
      <c r="AA272" s="11">
        <v>25</v>
      </c>
      <c r="AB272" s="11">
        <v>13</v>
      </c>
      <c r="AC272" s="11" t="s">
        <v>215</v>
      </c>
      <c r="AD272" t="e">
        <v>#VALUE!</v>
      </c>
    </row>
    <row r="273" spans="26:30" x14ac:dyDescent="0.25">
      <c r="Z273" s="8"/>
      <c r="AA273" s="11">
        <v>25</v>
      </c>
      <c r="AB273" s="11">
        <v>14</v>
      </c>
      <c r="AC273" s="11" t="s">
        <v>219</v>
      </c>
      <c r="AD273" t="e">
        <v>#VALUE!</v>
      </c>
    </row>
    <row r="274" spans="26:30" x14ac:dyDescent="0.25">
      <c r="Z274" s="8"/>
      <c r="AA274" s="11">
        <v>25</v>
      </c>
      <c r="AB274" s="11">
        <v>15</v>
      </c>
      <c r="AC274" s="11" t="s">
        <v>208</v>
      </c>
      <c r="AD274" t="e">
        <v>#VALUE!</v>
      </c>
    </row>
    <row r="275" spans="26:30" x14ac:dyDescent="0.25">
      <c r="Z275" s="8"/>
      <c r="AA275" s="11">
        <v>25</v>
      </c>
      <c r="AB275" s="11">
        <v>16</v>
      </c>
      <c r="AC275" s="11" t="s">
        <v>208</v>
      </c>
      <c r="AD275" t="e">
        <v>#VALUE!</v>
      </c>
    </row>
    <row r="276" spans="26:30" x14ac:dyDescent="0.25">
      <c r="Z276" s="8"/>
      <c r="AA276" s="11">
        <v>26</v>
      </c>
      <c r="AB276" s="11">
        <v>2</v>
      </c>
      <c r="AC276" s="11" t="s">
        <v>207</v>
      </c>
      <c r="AD276" t="e">
        <v>#VALUE!</v>
      </c>
    </row>
    <row r="277" spans="26:30" x14ac:dyDescent="0.25">
      <c r="Z277" s="8"/>
      <c r="AA277" s="11">
        <v>26</v>
      </c>
      <c r="AB277" s="11">
        <v>3</v>
      </c>
      <c r="AC277" s="11" t="s">
        <v>214</v>
      </c>
      <c r="AD277" t="e">
        <v>#VALUE!</v>
      </c>
    </row>
    <row r="278" spans="26:30" x14ac:dyDescent="0.25">
      <c r="Z278" s="8"/>
      <c r="AA278" s="11">
        <v>26</v>
      </c>
      <c r="AB278" s="11">
        <v>4</v>
      </c>
      <c r="AC278" s="11" t="s">
        <v>214</v>
      </c>
      <c r="AD278" t="e">
        <v>#VALUE!</v>
      </c>
    </row>
    <row r="279" spans="26:30" x14ac:dyDescent="0.25">
      <c r="Z279" s="8"/>
      <c r="AA279" s="11">
        <v>26</v>
      </c>
      <c r="AB279" s="11">
        <v>5</v>
      </c>
      <c r="AC279" s="11" t="s">
        <v>214</v>
      </c>
      <c r="AD279" t="e">
        <v>#VALUE!</v>
      </c>
    </row>
    <row r="280" spans="26:30" x14ac:dyDescent="0.25">
      <c r="Z280" s="8"/>
      <c r="AA280" s="11">
        <v>26</v>
      </c>
      <c r="AB280" s="11">
        <v>6</v>
      </c>
      <c r="AC280" s="11" t="s">
        <v>214</v>
      </c>
      <c r="AD280" t="e">
        <v>#VALUE!</v>
      </c>
    </row>
    <row r="281" spans="26:30" x14ac:dyDescent="0.25">
      <c r="Z281" s="8"/>
      <c r="AA281" s="11">
        <v>26</v>
      </c>
      <c r="AB281" s="11">
        <v>7</v>
      </c>
      <c r="AC281" s="11" t="s">
        <v>214</v>
      </c>
      <c r="AD281" t="e">
        <v>#VALUE!</v>
      </c>
    </row>
    <row r="282" spans="26:30" x14ac:dyDescent="0.25">
      <c r="Z282" s="8"/>
      <c r="AA282" s="11">
        <v>26</v>
      </c>
      <c r="AB282" s="11">
        <v>8</v>
      </c>
      <c r="AC282" s="11" t="s">
        <v>214</v>
      </c>
      <c r="AD282" t="e">
        <v>#VALUE!</v>
      </c>
    </row>
    <row r="283" spans="26:30" x14ac:dyDescent="0.25">
      <c r="Z283" s="8"/>
      <c r="AA283" s="11">
        <v>26</v>
      </c>
      <c r="AB283" s="11">
        <v>9</v>
      </c>
      <c r="AC283" s="11" t="s">
        <v>216</v>
      </c>
      <c r="AD283" t="e">
        <v>#VALUE!</v>
      </c>
    </row>
    <row r="284" spans="26:30" x14ac:dyDescent="0.25">
      <c r="Z284" s="8"/>
      <c r="AA284" s="11">
        <v>26</v>
      </c>
      <c r="AB284" s="11">
        <v>10</v>
      </c>
      <c r="AC284" s="11" t="s">
        <v>216</v>
      </c>
      <c r="AD284" t="e">
        <v>#VALUE!</v>
      </c>
    </row>
    <row r="285" spans="26:30" x14ac:dyDescent="0.25">
      <c r="Z285" s="8"/>
      <c r="AA285" s="11">
        <v>26</v>
      </c>
      <c r="AB285" s="11">
        <v>11</v>
      </c>
      <c r="AC285" s="11" t="s">
        <v>204</v>
      </c>
      <c r="AD285" t="e">
        <v>#VALUE!</v>
      </c>
    </row>
    <row r="286" spans="26:30" x14ac:dyDescent="0.25">
      <c r="Z286" s="8"/>
      <c r="AA286" s="11">
        <v>26</v>
      </c>
      <c r="AB286" s="11">
        <v>12</v>
      </c>
      <c r="AC286" s="11" t="s">
        <v>204</v>
      </c>
      <c r="AD286" t="e">
        <v>#VALUE!</v>
      </c>
    </row>
    <row r="287" spans="26:30" x14ac:dyDescent="0.25">
      <c r="Z287" s="8"/>
      <c r="AA287" s="11">
        <v>26</v>
      </c>
      <c r="AB287" s="11">
        <v>13</v>
      </c>
      <c r="AC287" s="11" t="s">
        <v>215</v>
      </c>
      <c r="AD287" t="e">
        <v>#VALUE!</v>
      </c>
    </row>
    <row r="288" spans="26:30" x14ac:dyDescent="0.25">
      <c r="Z288" s="8"/>
      <c r="AA288" s="11">
        <v>26</v>
      </c>
      <c r="AB288" s="11">
        <v>14</v>
      </c>
      <c r="AC288" s="11" t="s">
        <v>219</v>
      </c>
      <c r="AD288" t="e">
        <v>#VALUE!</v>
      </c>
    </row>
    <row r="289" spans="26:30" x14ac:dyDescent="0.25">
      <c r="Z289" s="8"/>
      <c r="AA289" s="11">
        <v>26</v>
      </c>
      <c r="AB289" s="11">
        <v>15</v>
      </c>
      <c r="AC289" s="11" t="s">
        <v>208</v>
      </c>
      <c r="AD289" t="e">
        <v>#VALUE!</v>
      </c>
    </row>
    <row r="290" spans="26:30" x14ac:dyDescent="0.25">
      <c r="Z290" s="8"/>
      <c r="AA290" s="11">
        <v>26</v>
      </c>
      <c r="AB290" s="11">
        <v>16</v>
      </c>
      <c r="AC290" s="11" t="s">
        <v>208</v>
      </c>
      <c r="AD290" t="e">
        <v>#VALUE!</v>
      </c>
    </row>
    <row r="291" spans="26:30" x14ac:dyDescent="0.25">
      <c r="Z291" s="8"/>
      <c r="AA291" s="11">
        <v>27</v>
      </c>
      <c r="AB291" s="11">
        <v>2</v>
      </c>
      <c r="AC291" s="11" t="s">
        <v>207</v>
      </c>
      <c r="AD291" t="e">
        <v>#VALUE!</v>
      </c>
    </row>
    <row r="292" spans="26:30" x14ac:dyDescent="0.25">
      <c r="Z292" s="8"/>
      <c r="AA292" s="11">
        <v>27</v>
      </c>
      <c r="AB292" s="11">
        <v>3</v>
      </c>
      <c r="AC292" s="11" t="s">
        <v>207</v>
      </c>
      <c r="AD292" t="e">
        <v>#VALUE!</v>
      </c>
    </row>
    <row r="293" spans="26:30" x14ac:dyDescent="0.25">
      <c r="Z293" s="8"/>
      <c r="AA293" s="11">
        <v>27</v>
      </c>
      <c r="AB293" s="11">
        <v>4</v>
      </c>
      <c r="AC293" s="11" t="s">
        <v>214</v>
      </c>
      <c r="AD293" t="e">
        <v>#VALUE!</v>
      </c>
    </row>
    <row r="294" spans="26:30" x14ac:dyDescent="0.25">
      <c r="Z294" s="8"/>
      <c r="AA294" s="11">
        <v>27</v>
      </c>
      <c r="AB294" s="11">
        <v>5</v>
      </c>
      <c r="AC294" s="11" t="s">
        <v>214</v>
      </c>
      <c r="AD294" t="e">
        <v>#VALUE!</v>
      </c>
    </row>
    <row r="295" spans="26:30" x14ac:dyDescent="0.25">
      <c r="Z295" s="8"/>
      <c r="AA295" s="11">
        <v>27</v>
      </c>
      <c r="AB295" s="11">
        <v>6</v>
      </c>
      <c r="AC295" s="11" t="s">
        <v>214</v>
      </c>
      <c r="AD295" t="e">
        <v>#VALUE!</v>
      </c>
    </row>
    <row r="296" spans="26:30" x14ac:dyDescent="0.25">
      <c r="Z296" s="8"/>
      <c r="AA296" s="11">
        <v>27</v>
      </c>
      <c r="AB296" s="11">
        <v>7</v>
      </c>
      <c r="AC296" s="11" t="s">
        <v>214</v>
      </c>
      <c r="AD296" t="e">
        <v>#VALUE!</v>
      </c>
    </row>
    <row r="297" spans="26:30" x14ac:dyDescent="0.25">
      <c r="Z297" s="8"/>
      <c r="AA297" s="11">
        <v>27</v>
      </c>
      <c r="AB297" s="11">
        <v>8</v>
      </c>
      <c r="AC297" s="11" t="s">
        <v>214</v>
      </c>
      <c r="AD297" t="e">
        <v>#VALUE!</v>
      </c>
    </row>
    <row r="298" spans="26:30" x14ac:dyDescent="0.25">
      <c r="Z298" s="8"/>
      <c r="AA298" s="11">
        <v>27</v>
      </c>
      <c r="AB298" s="11">
        <v>9</v>
      </c>
      <c r="AC298" s="11" t="s">
        <v>216</v>
      </c>
      <c r="AD298" t="e">
        <v>#VALUE!</v>
      </c>
    </row>
    <row r="299" spans="26:30" x14ac:dyDescent="0.25">
      <c r="Z299" s="8"/>
      <c r="AA299" s="11">
        <v>27</v>
      </c>
      <c r="AB299" s="11">
        <v>10</v>
      </c>
      <c r="AC299" s="11" t="s">
        <v>216</v>
      </c>
      <c r="AD299" t="e">
        <v>#VALUE!</v>
      </c>
    </row>
    <row r="300" spans="26:30" x14ac:dyDescent="0.25">
      <c r="Z300" s="8"/>
      <c r="AA300" s="11">
        <v>27</v>
      </c>
      <c r="AB300" s="11">
        <v>11</v>
      </c>
      <c r="AC300" s="11" t="s">
        <v>204</v>
      </c>
      <c r="AD300" t="e">
        <v>#VALUE!</v>
      </c>
    </row>
    <row r="301" spans="26:30" x14ac:dyDescent="0.25">
      <c r="Z301" s="8"/>
      <c r="AA301" s="11">
        <v>27</v>
      </c>
      <c r="AB301" s="11">
        <v>12</v>
      </c>
      <c r="AC301" s="11" t="s">
        <v>204</v>
      </c>
      <c r="AD301" t="e">
        <v>#VALUE!</v>
      </c>
    </row>
    <row r="302" spans="26:30" x14ac:dyDescent="0.25">
      <c r="Z302" s="8"/>
      <c r="AA302" s="11">
        <v>27</v>
      </c>
      <c r="AB302" s="11">
        <v>13</v>
      </c>
      <c r="AC302" s="11" t="s">
        <v>219</v>
      </c>
      <c r="AD302" t="e">
        <v>#VALUE!</v>
      </c>
    </row>
    <row r="303" spans="26:30" x14ac:dyDescent="0.25">
      <c r="Z303" s="8"/>
      <c r="AA303" s="11">
        <v>27</v>
      </c>
      <c r="AB303" s="11">
        <v>14</v>
      </c>
      <c r="AC303" s="11" t="s">
        <v>219</v>
      </c>
      <c r="AD303" t="e">
        <v>#VALUE!</v>
      </c>
    </row>
    <row r="304" spans="26:30" x14ac:dyDescent="0.25">
      <c r="Z304" s="8"/>
      <c r="AA304" s="11">
        <v>27</v>
      </c>
      <c r="AB304" s="11">
        <v>15</v>
      </c>
      <c r="AC304" s="11" t="s">
        <v>219</v>
      </c>
      <c r="AD304" t="e">
        <v>#VALUE!</v>
      </c>
    </row>
    <row r="305" spans="26:30" x14ac:dyDescent="0.25">
      <c r="Z305" s="8"/>
      <c r="AA305" s="11">
        <v>27</v>
      </c>
      <c r="AB305" s="11">
        <v>16</v>
      </c>
      <c r="AC305" s="11" t="s">
        <v>208</v>
      </c>
      <c r="AD305" t="e">
        <v>#VALUE!</v>
      </c>
    </row>
    <row r="306" spans="26:30" x14ac:dyDescent="0.25">
      <c r="Z306" s="8"/>
      <c r="AA306" s="11">
        <v>28</v>
      </c>
      <c r="AB306" s="11">
        <v>2</v>
      </c>
      <c r="AC306" s="11" t="s">
        <v>207</v>
      </c>
      <c r="AD306" t="e">
        <v>#VALUE!</v>
      </c>
    </row>
    <row r="307" spans="26:30" x14ac:dyDescent="0.25">
      <c r="Z307" s="8"/>
      <c r="AA307" s="11">
        <v>28</v>
      </c>
      <c r="AB307" s="11">
        <v>3</v>
      </c>
      <c r="AC307" s="11" t="s">
        <v>207</v>
      </c>
      <c r="AD307" t="e">
        <v>#VALUE!</v>
      </c>
    </row>
    <row r="308" spans="26:30" x14ac:dyDescent="0.25">
      <c r="Z308" s="8"/>
      <c r="AA308" s="11">
        <v>28</v>
      </c>
      <c r="AB308" s="11">
        <v>4</v>
      </c>
      <c r="AC308" s="11" t="s">
        <v>207</v>
      </c>
      <c r="AD308" t="e">
        <v>#VALUE!</v>
      </c>
    </row>
    <row r="309" spans="26:30" x14ac:dyDescent="0.25">
      <c r="Z309" s="8"/>
      <c r="AA309" s="11">
        <v>28</v>
      </c>
      <c r="AB309" s="11">
        <v>5</v>
      </c>
      <c r="AC309" s="11" t="s">
        <v>207</v>
      </c>
      <c r="AD309" t="e">
        <v>#VALUE!</v>
      </c>
    </row>
    <row r="310" spans="26:30" x14ac:dyDescent="0.25">
      <c r="Z310" s="8"/>
      <c r="AA310" s="11">
        <v>28</v>
      </c>
      <c r="AB310" s="11">
        <v>6</v>
      </c>
      <c r="AC310" s="11" t="s">
        <v>207</v>
      </c>
      <c r="AD310" t="e">
        <v>#VALUE!</v>
      </c>
    </row>
    <row r="311" spans="26:30" x14ac:dyDescent="0.25">
      <c r="Z311" s="8"/>
      <c r="AA311" s="11">
        <v>28</v>
      </c>
      <c r="AB311" s="11">
        <v>7</v>
      </c>
      <c r="AC311" s="11" t="s">
        <v>214</v>
      </c>
      <c r="AD311" t="e">
        <v>#VALUE!</v>
      </c>
    </row>
    <row r="312" spans="26:30" x14ac:dyDescent="0.25">
      <c r="Z312" s="8"/>
      <c r="AA312" s="11">
        <v>28</v>
      </c>
      <c r="AB312" s="11">
        <v>8</v>
      </c>
      <c r="AC312" s="11" t="s">
        <v>214</v>
      </c>
      <c r="AD312" t="e">
        <v>#VALUE!</v>
      </c>
    </row>
    <row r="313" spans="26:30" x14ac:dyDescent="0.25">
      <c r="Z313" s="8"/>
      <c r="AA313" s="11">
        <v>28</v>
      </c>
      <c r="AB313" s="11">
        <v>9</v>
      </c>
      <c r="AC313" s="11" t="s">
        <v>221</v>
      </c>
      <c r="AD313" t="e">
        <v>#VALUE!</v>
      </c>
    </row>
    <row r="314" spans="26:30" x14ac:dyDescent="0.25">
      <c r="Z314" s="8"/>
      <c r="AA314" s="11">
        <v>28</v>
      </c>
      <c r="AB314" s="11">
        <v>10</v>
      </c>
      <c r="AC314" s="11" t="s">
        <v>204</v>
      </c>
      <c r="AD314" t="e">
        <v>#VALUE!</v>
      </c>
    </row>
    <row r="315" spans="26:30" x14ac:dyDescent="0.25">
      <c r="Z315" s="8"/>
      <c r="AA315" s="11">
        <v>28</v>
      </c>
      <c r="AB315" s="11">
        <v>11</v>
      </c>
      <c r="AC315" s="11" t="s">
        <v>204</v>
      </c>
      <c r="AD315" t="e">
        <v>#VALUE!</v>
      </c>
    </row>
    <row r="316" spans="26:30" x14ac:dyDescent="0.25">
      <c r="Z316" s="8"/>
      <c r="AA316" s="11">
        <v>28</v>
      </c>
      <c r="AB316" s="11">
        <v>12</v>
      </c>
      <c r="AC316" s="11" t="s">
        <v>204</v>
      </c>
      <c r="AD316" t="e">
        <v>#VALUE!</v>
      </c>
    </row>
    <row r="317" spans="26:30" x14ac:dyDescent="0.25">
      <c r="Z317" s="8"/>
      <c r="AA317" s="11">
        <v>28</v>
      </c>
      <c r="AB317" s="11">
        <v>13</v>
      </c>
      <c r="AC317" s="11" t="s">
        <v>218</v>
      </c>
      <c r="AD317" t="e">
        <v>#VALUE!</v>
      </c>
    </row>
    <row r="318" spans="26:30" x14ac:dyDescent="0.25">
      <c r="Z318" s="8"/>
      <c r="AA318" s="11">
        <v>28</v>
      </c>
      <c r="AB318" s="11">
        <v>14</v>
      </c>
      <c r="AC318" s="11" t="s">
        <v>219</v>
      </c>
      <c r="AD318" t="e">
        <v>#VALUE!</v>
      </c>
    </row>
    <row r="319" spans="26:30" x14ac:dyDescent="0.25">
      <c r="Z319" s="8"/>
      <c r="AA319" s="11">
        <v>28</v>
      </c>
      <c r="AB319" s="11">
        <v>15</v>
      </c>
      <c r="AC319" s="11" t="s">
        <v>219</v>
      </c>
      <c r="AD319" t="e">
        <v>#VALUE!</v>
      </c>
    </row>
    <row r="320" spans="26:30" x14ac:dyDescent="0.25">
      <c r="Z320" s="8"/>
      <c r="AA320" s="11">
        <v>28</v>
      </c>
      <c r="AB320" s="11">
        <v>16</v>
      </c>
      <c r="AC320" s="11" t="s">
        <v>208</v>
      </c>
      <c r="AD320" t="e">
        <v>#VALUE!</v>
      </c>
    </row>
    <row r="321" spans="26:30" x14ac:dyDescent="0.25">
      <c r="Z321" s="8"/>
      <c r="AA321" s="11">
        <v>29</v>
      </c>
      <c r="AB321" s="11">
        <v>2</v>
      </c>
      <c r="AC321" s="11" t="s">
        <v>207</v>
      </c>
      <c r="AD321" t="e">
        <v>#VALUE!</v>
      </c>
    </row>
    <row r="322" spans="26:30" x14ac:dyDescent="0.25">
      <c r="Z322" s="8"/>
      <c r="AA322" s="11">
        <v>29</v>
      </c>
      <c r="AB322" s="11">
        <v>4</v>
      </c>
      <c r="AC322" s="11" t="s">
        <v>211</v>
      </c>
      <c r="AD322" t="e">
        <v>#VALUE!</v>
      </c>
    </row>
    <row r="323" spans="26:30" x14ac:dyDescent="0.25">
      <c r="Z323" s="8"/>
      <c r="AA323" s="11">
        <v>29</v>
      </c>
      <c r="AB323" s="11">
        <v>5</v>
      </c>
      <c r="AC323" s="11" t="s">
        <v>211</v>
      </c>
      <c r="AD323" t="e">
        <v>#VALUE!</v>
      </c>
    </row>
    <row r="324" spans="26:30" x14ac:dyDescent="0.25">
      <c r="Z324" s="8"/>
      <c r="AA324" s="11">
        <v>29</v>
      </c>
      <c r="AB324" s="11">
        <v>6</v>
      </c>
      <c r="AC324" s="11" t="s">
        <v>211</v>
      </c>
      <c r="AD324" t="e">
        <v>#VALUE!</v>
      </c>
    </row>
    <row r="325" spans="26:30" x14ac:dyDescent="0.25">
      <c r="Z325" s="8"/>
      <c r="AA325" s="11">
        <v>29</v>
      </c>
      <c r="AB325" s="11">
        <v>7</v>
      </c>
      <c r="AC325" s="11" t="s">
        <v>221</v>
      </c>
      <c r="AD325" t="e">
        <v>#VALUE!</v>
      </c>
    </row>
    <row r="326" spans="26:30" x14ac:dyDescent="0.25">
      <c r="Z326" s="8"/>
      <c r="AA326" s="11">
        <v>29</v>
      </c>
      <c r="AB326" s="11">
        <v>8</v>
      </c>
      <c r="AC326" s="11" t="s">
        <v>221</v>
      </c>
      <c r="AD326" t="e">
        <v>#VALUE!</v>
      </c>
    </row>
    <row r="327" spans="26:30" x14ac:dyDescent="0.25">
      <c r="Z327" s="8"/>
      <c r="AA327" s="11">
        <v>29</v>
      </c>
      <c r="AB327" s="11">
        <v>9</v>
      </c>
      <c r="AC327" s="11" t="s">
        <v>221</v>
      </c>
      <c r="AD327" t="e">
        <v>#VALUE!</v>
      </c>
    </row>
    <row r="328" spans="26:30" x14ac:dyDescent="0.25">
      <c r="Z328" s="8"/>
      <c r="AA328" s="11">
        <v>29</v>
      </c>
      <c r="AB328" s="11">
        <v>10</v>
      </c>
      <c r="AC328" s="11" t="s">
        <v>217</v>
      </c>
      <c r="AD328" t="e">
        <v>#VALUE!</v>
      </c>
    </row>
    <row r="329" spans="26:30" x14ac:dyDescent="0.25">
      <c r="Z329" s="8"/>
      <c r="AA329" s="11">
        <v>29</v>
      </c>
      <c r="AB329" s="11">
        <v>11</v>
      </c>
      <c r="AC329" s="11" t="s">
        <v>217</v>
      </c>
      <c r="AD329" t="e">
        <v>#VALUE!</v>
      </c>
    </row>
    <row r="330" spans="26:30" x14ac:dyDescent="0.25">
      <c r="Z330" s="8"/>
      <c r="AA330" s="11">
        <v>29</v>
      </c>
      <c r="AB330" s="11">
        <v>12</v>
      </c>
      <c r="AC330" s="11" t="s">
        <v>204</v>
      </c>
      <c r="AD330" t="e">
        <v>#VALUE!</v>
      </c>
    </row>
    <row r="331" spans="26:30" x14ac:dyDescent="0.25">
      <c r="Z331" s="8"/>
      <c r="AA331" s="11">
        <v>29</v>
      </c>
      <c r="AB331" s="11">
        <v>13</v>
      </c>
      <c r="AC331" s="11" t="s">
        <v>218</v>
      </c>
      <c r="AD331" t="e">
        <v>#VALUE!</v>
      </c>
    </row>
    <row r="332" spans="26:30" x14ac:dyDescent="0.25">
      <c r="Z332" s="8"/>
      <c r="AA332" s="11">
        <v>29</v>
      </c>
      <c r="AB332" s="11">
        <v>14</v>
      </c>
      <c r="AC332" s="11" t="s">
        <v>218</v>
      </c>
      <c r="AD332" t="e">
        <v>#VALUE!</v>
      </c>
    </row>
    <row r="333" spans="26:30" x14ac:dyDescent="0.25">
      <c r="Z333" s="8"/>
      <c r="AA333" s="11">
        <v>29</v>
      </c>
      <c r="AB333" s="11">
        <v>15</v>
      </c>
      <c r="AC333" s="11" t="s">
        <v>218</v>
      </c>
      <c r="AD333" t="e">
        <v>#VALUE!</v>
      </c>
    </row>
    <row r="334" spans="26:30" x14ac:dyDescent="0.25">
      <c r="Z334" s="8"/>
      <c r="AA334" s="11">
        <v>30</v>
      </c>
      <c r="AB334" s="11">
        <v>5</v>
      </c>
      <c r="AC334" s="11" t="s">
        <v>211</v>
      </c>
      <c r="AD334" t="e">
        <v>#VALUE!</v>
      </c>
    </row>
    <row r="335" spans="26:30" x14ac:dyDescent="0.25">
      <c r="Z335" s="8"/>
      <c r="AA335" s="11">
        <v>30</v>
      </c>
      <c r="AB335" s="11">
        <v>6</v>
      </c>
      <c r="AC335" s="11" t="s">
        <v>211</v>
      </c>
      <c r="AD335" t="e">
        <v>#VALUE!</v>
      </c>
    </row>
    <row r="336" spans="26:30" x14ac:dyDescent="0.25">
      <c r="Z336" s="8"/>
      <c r="AA336" s="11">
        <v>30</v>
      </c>
      <c r="AB336" s="11">
        <v>7</v>
      </c>
      <c r="AC336" s="11" t="s">
        <v>211</v>
      </c>
      <c r="AD336" t="e">
        <v>#VALUE!</v>
      </c>
    </row>
    <row r="337" spans="26:30" x14ac:dyDescent="0.25">
      <c r="Z337" s="8"/>
      <c r="AA337" s="11">
        <v>30</v>
      </c>
      <c r="AB337" s="11">
        <v>8</v>
      </c>
      <c r="AC337" s="11" t="s">
        <v>221</v>
      </c>
      <c r="AD337" t="e">
        <v>#VALUE!</v>
      </c>
    </row>
    <row r="338" spans="26:30" x14ac:dyDescent="0.25">
      <c r="Z338" s="8"/>
      <c r="AA338" s="11">
        <v>30</v>
      </c>
      <c r="AB338" s="11">
        <v>9</v>
      </c>
      <c r="AC338" s="11" t="s">
        <v>221</v>
      </c>
      <c r="AD338" t="e">
        <v>#VALUE!</v>
      </c>
    </row>
    <row r="339" spans="26:30" x14ac:dyDescent="0.25">
      <c r="Z339" s="8"/>
      <c r="AA339" s="11">
        <v>30</v>
      </c>
      <c r="AB339" s="11">
        <v>10</v>
      </c>
      <c r="AC339" s="11" t="s">
        <v>217</v>
      </c>
      <c r="AD339" t="e">
        <v>#VALUE!</v>
      </c>
    </row>
    <row r="340" spans="26:30" x14ac:dyDescent="0.25">
      <c r="Z340" s="8"/>
      <c r="AA340" s="11">
        <v>30</v>
      </c>
      <c r="AB340" s="11">
        <v>11</v>
      </c>
      <c r="AC340" s="11" t="s">
        <v>217</v>
      </c>
      <c r="AD340" t="e">
        <v>#VALUE!</v>
      </c>
    </row>
    <row r="341" spans="26:30" x14ac:dyDescent="0.25">
      <c r="Z341" s="8"/>
      <c r="AA341" s="11">
        <v>30</v>
      </c>
      <c r="AB341" s="11">
        <v>12</v>
      </c>
      <c r="AC341" s="11" t="s">
        <v>217</v>
      </c>
      <c r="AD341" t="e">
        <v>#VALUE!</v>
      </c>
    </row>
    <row r="342" spans="26:30" x14ac:dyDescent="0.25">
      <c r="Z342" s="8"/>
      <c r="AA342" s="11">
        <v>30</v>
      </c>
      <c r="AB342" s="11">
        <v>13</v>
      </c>
      <c r="AC342" s="11" t="s">
        <v>218</v>
      </c>
      <c r="AD342" t="e">
        <v>#VALUE!</v>
      </c>
    </row>
    <row r="343" spans="26:30" x14ac:dyDescent="0.25">
      <c r="Z343" s="8"/>
      <c r="AA343" s="11">
        <v>30</v>
      </c>
      <c r="AB343" s="11">
        <v>14</v>
      </c>
      <c r="AC343" s="11" t="s">
        <v>218</v>
      </c>
      <c r="AD343" t="e">
        <v>#VALUE!</v>
      </c>
    </row>
    <row r="344" spans="26:30" x14ac:dyDescent="0.25">
      <c r="Z344" s="8"/>
      <c r="AA344" s="11">
        <v>30</v>
      </c>
      <c r="AB344" s="11">
        <v>15</v>
      </c>
      <c r="AC344" s="11" t="s">
        <v>218</v>
      </c>
      <c r="AD344" t="e">
        <v>#VALUE!</v>
      </c>
    </row>
    <row r="345" spans="26:30" x14ac:dyDescent="0.25">
      <c r="Z345" s="8"/>
      <c r="AA345" s="11">
        <v>31</v>
      </c>
      <c r="AB345" s="11">
        <v>5</v>
      </c>
      <c r="AC345" s="11" t="s">
        <v>211</v>
      </c>
      <c r="AD345" t="e">
        <v>#VALUE!</v>
      </c>
    </row>
    <row r="346" spans="26:30" x14ac:dyDescent="0.25">
      <c r="Z346" s="8"/>
      <c r="AA346" s="11">
        <v>31</v>
      </c>
      <c r="AB346" s="11">
        <v>6</v>
      </c>
      <c r="AC346" s="11" t="s">
        <v>211</v>
      </c>
      <c r="AD346" t="e">
        <v>#VALUE!</v>
      </c>
    </row>
    <row r="347" spans="26:30" x14ac:dyDescent="0.25">
      <c r="Z347" s="8"/>
      <c r="AA347" s="11">
        <v>31</v>
      </c>
      <c r="AB347" s="11">
        <v>7</v>
      </c>
      <c r="AC347" s="11" t="s">
        <v>211</v>
      </c>
      <c r="AD347" t="e">
        <v>#VALUE!</v>
      </c>
    </row>
    <row r="348" spans="26:30" x14ac:dyDescent="0.25">
      <c r="Z348" s="8"/>
      <c r="AA348" s="11">
        <v>31</v>
      </c>
      <c r="AB348" s="11">
        <v>8</v>
      </c>
      <c r="AC348" s="11" t="s">
        <v>221</v>
      </c>
      <c r="AD348" t="e">
        <v>#VALUE!</v>
      </c>
    </row>
    <row r="349" spans="26:30" x14ac:dyDescent="0.25">
      <c r="Z349" s="8"/>
      <c r="AA349" s="11">
        <v>31</v>
      </c>
      <c r="AB349" s="11">
        <v>9</v>
      </c>
      <c r="AC349" s="11" t="s">
        <v>221</v>
      </c>
      <c r="AD349" t="e">
        <v>#VALUE!</v>
      </c>
    </row>
    <row r="350" spans="26:30" x14ac:dyDescent="0.25">
      <c r="Z350" s="8"/>
      <c r="AA350" s="11">
        <v>31</v>
      </c>
      <c r="AB350" s="11">
        <v>10</v>
      </c>
      <c r="AC350" s="11" t="s">
        <v>217</v>
      </c>
      <c r="AD350" t="e">
        <v>#VALUE!</v>
      </c>
    </row>
    <row r="351" spans="26:30" x14ac:dyDescent="0.25">
      <c r="Z351" s="8"/>
      <c r="AA351" s="11">
        <v>31</v>
      </c>
      <c r="AB351" s="11">
        <v>11</v>
      </c>
      <c r="AC351" s="11" t="s">
        <v>217</v>
      </c>
      <c r="AD351" t="e">
        <v>#VALUE!</v>
      </c>
    </row>
    <row r="352" spans="26:30" x14ac:dyDescent="0.25">
      <c r="Z352" s="8"/>
      <c r="AA352" s="11">
        <v>31</v>
      </c>
      <c r="AB352" s="11">
        <v>12</v>
      </c>
      <c r="AC352" s="11" t="s">
        <v>218</v>
      </c>
      <c r="AD352" t="e">
        <v>#VALUE!</v>
      </c>
    </row>
    <row r="353" spans="26:30" x14ac:dyDescent="0.25">
      <c r="Z353" s="8"/>
      <c r="AA353" s="11">
        <v>31</v>
      </c>
      <c r="AB353" s="11">
        <v>13</v>
      </c>
      <c r="AC353" s="11" t="s">
        <v>218</v>
      </c>
      <c r="AD353">
        <v>1</v>
      </c>
    </row>
    <row r="354" spans="26:30" x14ac:dyDescent="0.25">
      <c r="Z354" s="8"/>
      <c r="AA354" s="11">
        <v>31</v>
      </c>
      <c r="AB354" s="11">
        <v>14</v>
      </c>
      <c r="AC354" s="11" t="s">
        <v>218</v>
      </c>
      <c r="AD354" t="e">
        <v>#VALUE!</v>
      </c>
    </row>
    <row r="355" spans="26:30" x14ac:dyDescent="0.25">
      <c r="Z355" s="8"/>
      <c r="AA355" s="11">
        <v>31</v>
      </c>
      <c r="AB355" s="11">
        <v>15</v>
      </c>
      <c r="AC355" s="11" t="s">
        <v>218</v>
      </c>
      <c r="AD355" t="e">
        <v>#VALUE!</v>
      </c>
    </row>
    <row r="356" spans="26:30" x14ac:dyDescent="0.25">
      <c r="Z356" s="8"/>
      <c r="AA356" s="11">
        <v>32</v>
      </c>
      <c r="AB356" s="11">
        <v>6</v>
      </c>
      <c r="AC356" s="11" t="s">
        <v>211</v>
      </c>
      <c r="AD356" t="e">
        <v>#VALUE!</v>
      </c>
    </row>
    <row r="357" spans="26:30" x14ac:dyDescent="0.25">
      <c r="Z357" s="8"/>
      <c r="AA357" s="11">
        <v>32</v>
      </c>
      <c r="AB357" s="11">
        <v>7</v>
      </c>
      <c r="AC357" s="11" t="s">
        <v>211</v>
      </c>
      <c r="AD357" t="e">
        <v>#VALUE!</v>
      </c>
    </row>
    <row r="358" spans="26:30" x14ac:dyDescent="0.25">
      <c r="Z358" s="8"/>
      <c r="AA358" s="11">
        <v>32</v>
      </c>
      <c r="AB358" s="11">
        <v>8</v>
      </c>
      <c r="AC358" s="11" t="s">
        <v>211</v>
      </c>
      <c r="AD358" t="e">
        <v>#VALUE!</v>
      </c>
    </row>
    <row r="359" spans="26:30" x14ac:dyDescent="0.25">
      <c r="Z359" s="8"/>
      <c r="AA359" s="11">
        <v>32</v>
      </c>
      <c r="AB359" s="11">
        <v>9</v>
      </c>
      <c r="AC359" s="11" t="s">
        <v>221</v>
      </c>
      <c r="AD359" t="e">
        <v>#VALUE!</v>
      </c>
    </row>
    <row r="360" spans="26:30" x14ac:dyDescent="0.25">
      <c r="Z360" s="8"/>
      <c r="AA360" s="11">
        <v>32</v>
      </c>
      <c r="AB360" s="11">
        <v>10</v>
      </c>
      <c r="AC360" s="11" t="s">
        <v>217</v>
      </c>
      <c r="AD360" t="e">
        <v>#VALUE!</v>
      </c>
    </row>
    <row r="361" spans="26:30" x14ac:dyDescent="0.25">
      <c r="Z361" s="8"/>
      <c r="AA361" s="11">
        <v>32</v>
      </c>
      <c r="AB361" s="11">
        <v>11</v>
      </c>
      <c r="AC361" s="11" t="s">
        <v>217</v>
      </c>
      <c r="AD361" t="e">
        <v>#VALUE!</v>
      </c>
    </row>
    <row r="362" spans="26:30" x14ac:dyDescent="0.25">
      <c r="Z362" s="8"/>
      <c r="AA362" s="11">
        <v>32</v>
      </c>
      <c r="AB362" s="11">
        <v>12</v>
      </c>
      <c r="AC362" s="11" t="s">
        <v>218</v>
      </c>
      <c r="AD362" t="e">
        <v>#VALUE!</v>
      </c>
    </row>
    <row r="363" spans="26:30" x14ac:dyDescent="0.25">
      <c r="Z363" s="8"/>
      <c r="AA363" s="11">
        <v>32</v>
      </c>
      <c r="AB363" s="11">
        <v>13</v>
      </c>
      <c r="AC363" s="11" t="s">
        <v>218</v>
      </c>
      <c r="AD363" t="e">
        <v>#VALUE!</v>
      </c>
    </row>
    <row r="364" spans="26:30" x14ac:dyDescent="0.25">
      <c r="Z364" s="8"/>
      <c r="AA364" s="11">
        <v>33</v>
      </c>
      <c r="AB364" s="11">
        <v>6</v>
      </c>
      <c r="AC364" s="11" t="s">
        <v>211</v>
      </c>
      <c r="AD364" t="e">
        <v>#VALUE!</v>
      </c>
    </row>
    <row r="365" spans="26:30" x14ac:dyDescent="0.25">
      <c r="Z365" s="8"/>
      <c r="AA365" s="11">
        <v>33</v>
      </c>
      <c r="AB365" s="11">
        <v>7</v>
      </c>
      <c r="AC365" s="11" t="s">
        <v>211</v>
      </c>
      <c r="AD365" t="e">
        <v>#VALUE!</v>
      </c>
    </row>
    <row r="366" spans="26:30" x14ac:dyDescent="0.25">
      <c r="Z366" s="8"/>
      <c r="AA366" s="11">
        <v>33</v>
      </c>
      <c r="AB366" s="11">
        <v>8</v>
      </c>
      <c r="AC366" s="11" t="s">
        <v>211</v>
      </c>
      <c r="AD366" t="e">
        <v>#VALUE!</v>
      </c>
    </row>
    <row r="367" spans="26:30" x14ac:dyDescent="0.25">
      <c r="Z367" s="8"/>
      <c r="AA367" s="11">
        <v>33</v>
      </c>
      <c r="AB367" s="11">
        <v>9</v>
      </c>
      <c r="AC367" s="11" t="s">
        <v>221</v>
      </c>
      <c r="AD367" t="e">
        <v>#VALUE!</v>
      </c>
    </row>
    <row r="368" spans="26:30" x14ac:dyDescent="0.25">
      <c r="Z368" s="8"/>
      <c r="AA368" s="11">
        <v>33</v>
      </c>
      <c r="AB368" s="11">
        <v>10</v>
      </c>
      <c r="AC368" s="11" t="s">
        <v>221</v>
      </c>
      <c r="AD368" t="e">
        <v>#VALUE!</v>
      </c>
    </row>
    <row r="369" spans="26:30" x14ac:dyDescent="0.25">
      <c r="Z369" s="8"/>
      <c r="AA369" s="11">
        <v>33</v>
      </c>
      <c r="AB369" s="11">
        <v>11</v>
      </c>
      <c r="AC369" s="11" t="s">
        <v>217</v>
      </c>
      <c r="AD369" t="e">
        <v>#VALUE!</v>
      </c>
    </row>
    <row r="370" spans="26:30" x14ac:dyDescent="0.25">
      <c r="Z370" s="8"/>
      <c r="AA370" s="11">
        <v>33</v>
      </c>
      <c r="AB370" s="11">
        <v>12</v>
      </c>
      <c r="AC370" s="11" t="s">
        <v>218</v>
      </c>
      <c r="AD370" t="e">
        <v>#VALUE!</v>
      </c>
    </row>
    <row r="371" spans="26:30" x14ac:dyDescent="0.25">
      <c r="Z371" s="8"/>
      <c r="AA371" s="11">
        <v>33</v>
      </c>
      <c r="AB371" s="11">
        <v>13</v>
      </c>
      <c r="AC371" s="11" t="s">
        <v>218</v>
      </c>
      <c r="AD371" t="e">
        <v>#VALUE!</v>
      </c>
    </row>
    <row r="372" spans="26:30" x14ac:dyDescent="0.25">
      <c r="Z372" s="8"/>
      <c r="AA372" s="11">
        <v>33</v>
      </c>
      <c r="AB372" s="11">
        <v>14</v>
      </c>
      <c r="AC372" s="11" t="s">
        <v>218</v>
      </c>
      <c r="AD372" t="e">
        <v>#VALUE!</v>
      </c>
    </row>
    <row r="373" spans="26:30" x14ac:dyDescent="0.25">
      <c r="Z373" s="8"/>
      <c r="AA373" s="11">
        <v>34</v>
      </c>
      <c r="AB373" s="11">
        <v>7</v>
      </c>
      <c r="AC373" s="11" t="s">
        <v>211</v>
      </c>
      <c r="AD373" t="e">
        <v>#VALUE!</v>
      </c>
    </row>
    <row r="374" spans="26:30" x14ac:dyDescent="0.25">
      <c r="Z374" s="8"/>
      <c r="AA374" s="11">
        <v>34</v>
      </c>
      <c r="AB374" s="11">
        <v>8</v>
      </c>
      <c r="AC374" s="11" t="s">
        <v>211</v>
      </c>
      <c r="AD374" t="e">
        <v>#VALUE!</v>
      </c>
    </row>
    <row r="375" spans="26:30" x14ac:dyDescent="0.25">
      <c r="Z375" s="8"/>
      <c r="AA375" s="11">
        <v>34</v>
      </c>
      <c r="AB375" s="11">
        <v>9</v>
      </c>
      <c r="AC375" s="11" t="s">
        <v>211</v>
      </c>
      <c r="AD375" t="e">
        <v>#VALUE!</v>
      </c>
    </row>
    <row r="376" spans="26:30" x14ac:dyDescent="0.25">
      <c r="Z376" s="8"/>
      <c r="AA376" s="11">
        <v>34</v>
      </c>
      <c r="AB376" s="11">
        <v>10</v>
      </c>
      <c r="AC376" s="11" t="s">
        <v>221</v>
      </c>
      <c r="AD376" t="e">
        <v>#VALUE!</v>
      </c>
    </row>
    <row r="377" spans="26:30" x14ac:dyDescent="0.25">
      <c r="Z377" s="8"/>
      <c r="AA377" s="11">
        <v>34</v>
      </c>
      <c r="AB377" s="11">
        <v>11</v>
      </c>
      <c r="AC377" s="11" t="s">
        <v>222</v>
      </c>
      <c r="AD377" t="e">
        <v>#VALUE!</v>
      </c>
    </row>
    <row r="378" spans="26:30" x14ac:dyDescent="0.25">
      <c r="Z378" s="8"/>
      <c r="AA378" s="11">
        <v>34</v>
      </c>
      <c r="AB378" s="11">
        <v>12</v>
      </c>
      <c r="AC378" s="11" t="s">
        <v>222</v>
      </c>
      <c r="AD378" t="e">
        <v>#VALUE!</v>
      </c>
    </row>
    <row r="379" spans="26:30" x14ac:dyDescent="0.25">
      <c r="Z379" s="8"/>
      <c r="AA379" s="11">
        <v>34</v>
      </c>
      <c r="AB379" s="11">
        <v>13</v>
      </c>
      <c r="AC379" s="11" t="s">
        <v>218</v>
      </c>
      <c r="AD379" t="e">
        <v>#VALUE!</v>
      </c>
    </row>
    <row r="380" spans="26:30" x14ac:dyDescent="0.25">
      <c r="Z380" s="8"/>
      <c r="AA380" s="11">
        <v>34</v>
      </c>
      <c r="AB380" s="11">
        <v>14</v>
      </c>
      <c r="AC380" s="11" t="s">
        <v>218</v>
      </c>
      <c r="AD380" t="e">
        <v>#VALUE!</v>
      </c>
    </row>
    <row r="381" spans="26:30" x14ac:dyDescent="0.25">
      <c r="Z381" s="8"/>
      <c r="AA381" s="11">
        <v>35</v>
      </c>
      <c r="AB381" s="11">
        <v>7</v>
      </c>
      <c r="AC381" s="11" t="s">
        <v>211</v>
      </c>
      <c r="AD381" t="e">
        <v>#VALUE!</v>
      </c>
    </row>
    <row r="382" spans="26:30" x14ac:dyDescent="0.25">
      <c r="Z382" s="8"/>
      <c r="AA382" s="11">
        <v>35</v>
      </c>
      <c r="AB382" s="11">
        <v>8</v>
      </c>
      <c r="AC382" s="11" t="s">
        <v>211</v>
      </c>
      <c r="AD382" t="e">
        <v>#VALUE!</v>
      </c>
    </row>
    <row r="383" spans="26:30" x14ac:dyDescent="0.25">
      <c r="Z383" s="8"/>
      <c r="AA383" s="11">
        <v>35</v>
      </c>
      <c r="AB383" s="11">
        <v>9</v>
      </c>
      <c r="AC383" s="11" t="s">
        <v>211</v>
      </c>
      <c r="AD383" t="e">
        <v>#VALUE!</v>
      </c>
    </row>
    <row r="384" spans="26:30" x14ac:dyDescent="0.25">
      <c r="Z384" s="8"/>
      <c r="AA384" s="11">
        <v>35</v>
      </c>
      <c r="AB384" s="11">
        <v>10</v>
      </c>
      <c r="AC384" s="11" t="s">
        <v>221</v>
      </c>
      <c r="AD384" t="e">
        <v>#VALUE!</v>
      </c>
    </row>
    <row r="385" spans="26:30" x14ac:dyDescent="0.25">
      <c r="Z385" s="8"/>
      <c r="AA385" s="11">
        <v>35</v>
      </c>
      <c r="AB385" s="11">
        <v>11</v>
      </c>
      <c r="AC385" s="11" t="s">
        <v>222</v>
      </c>
      <c r="AD385" t="e">
        <v>#VALUE!</v>
      </c>
    </row>
    <row r="386" spans="26:30" x14ac:dyDescent="0.25">
      <c r="Z386" s="8"/>
      <c r="AA386" s="11">
        <v>35</v>
      </c>
      <c r="AB386" s="11">
        <v>12</v>
      </c>
      <c r="AC386" s="11" t="s">
        <v>222</v>
      </c>
      <c r="AD386" t="e">
        <v>#VALUE!</v>
      </c>
    </row>
    <row r="387" spans="26:30" x14ac:dyDescent="0.25">
      <c r="Z387" s="8"/>
      <c r="AA387" s="11">
        <v>35</v>
      </c>
      <c r="AB387" s="11">
        <v>13</v>
      </c>
      <c r="AC387" s="11" t="s">
        <v>218</v>
      </c>
      <c r="AD387" t="e">
        <v>#VALUE!</v>
      </c>
    </row>
    <row r="388" spans="26:30" x14ac:dyDescent="0.25">
      <c r="Z388" s="8"/>
      <c r="AA388" s="11">
        <v>35</v>
      </c>
      <c r="AB388" s="11">
        <v>14</v>
      </c>
      <c r="AC388" s="11" t="s">
        <v>218</v>
      </c>
      <c r="AD388" t="e">
        <v>#VALUE!</v>
      </c>
    </row>
    <row r="389" spans="26:30" x14ac:dyDescent="0.25">
      <c r="Z389" s="8"/>
      <c r="AA389" s="11">
        <v>36</v>
      </c>
      <c r="AB389" s="11">
        <v>7</v>
      </c>
      <c r="AC389" s="11" t="s">
        <v>211</v>
      </c>
      <c r="AD389" t="e">
        <v>#VALUE!</v>
      </c>
    </row>
    <row r="390" spans="26:30" x14ac:dyDescent="0.25">
      <c r="Z390" s="8"/>
      <c r="AA390" s="11">
        <v>36</v>
      </c>
      <c r="AB390" s="11">
        <v>8</v>
      </c>
      <c r="AC390" s="11" t="s">
        <v>211</v>
      </c>
      <c r="AD390" t="e">
        <v>#VALUE!</v>
      </c>
    </row>
    <row r="391" spans="26:30" x14ac:dyDescent="0.25">
      <c r="Z391" s="8"/>
      <c r="AA391" s="11">
        <v>36</v>
      </c>
      <c r="AB391" s="11">
        <v>9</v>
      </c>
      <c r="AC391" s="11" t="s">
        <v>211</v>
      </c>
      <c r="AD391" t="e">
        <v>#VALUE!</v>
      </c>
    </row>
    <row r="392" spans="26:30" x14ac:dyDescent="0.25">
      <c r="Z392" s="8"/>
      <c r="AA392" s="11">
        <v>36</v>
      </c>
      <c r="AB392" s="11">
        <v>10</v>
      </c>
      <c r="AC392" s="11" t="s">
        <v>211</v>
      </c>
      <c r="AD392" t="e">
        <v>#VALUE!</v>
      </c>
    </row>
    <row r="393" spans="26:30" x14ac:dyDescent="0.25">
      <c r="Z393" s="8"/>
      <c r="AA393" s="11">
        <v>36</v>
      </c>
      <c r="AB393" s="11">
        <v>11</v>
      </c>
      <c r="AC393" s="11" t="s">
        <v>222</v>
      </c>
      <c r="AD393" t="e">
        <v>#VALUE!</v>
      </c>
    </row>
    <row r="394" spans="26:30" x14ac:dyDescent="0.25">
      <c r="Z394" s="8"/>
      <c r="AA394" s="11">
        <v>36</v>
      </c>
      <c r="AB394" s="11">
        <v>12</v>
      </c>
      <c r="AC394" s="11" t="s">
        <v>222</v>
      </c>
      <c r="AD394" t="e">
        <v>#VALUE!</v>
      </c>
    </row>
    <row r="395" spans="26:30" x14ac:dyDescent="0.25">
      <c r="Z395" s="8"/>
      <c r="AA395" s="11">
        <v>36</v>
      </c>
      <c r="AB395" s="11">
        <v>13</v>
      </c>
      <c r="AC395" s="11" t="s">
        <v>222</v>
      </c>
      <c r="AD395" t="e">
        <v>#VALUE!</v>
      </c>
    </row>
    <row r="396" spans="26:30" x14ac:dyDescent="0.25">
      <c r="Z396" s="8"/>
      <c r="AA396" s="11">
        <v>36</v>
      </c>
      <c r="AB396" s="11">
        <v>14</v>
      </c>
      <c r="AC396" s="11" t="s">
        <v>218</v>
      </c>
      <c r="AD396" t="e">
        <v>#VALUE!</v>
      </c>
    </row>
    <row r="397" spans="26:30" x14ac:dyDescent="0.25">
      <c r="Z397" s="8"/>
      <c r="AA397" s="11">
        <v>37</v>
      </c>
      <c r="AB397" s="11">
        <v>8</v>
      </c>
      <c r="AC397" s="11" t="s">
        <v>211</v>
      </c>
      <c r="AD397" t="e">
        <v>#VALUE!</v>
      </c>
    </row>
    <row r="398" spans="26:30" x14ac:dyDescent="0.25">
      <c r="Z398" s="8"/>
      <c r="AA398" s="11">
        <v>37</v>
      </c>
      <c r="AB398" s="11">
        <v>9</v>
      </c>
      <c r="AC398" s="11" t="s">
        <v>211</v>
      </c>
      <c r="AD398" t="e">
        <v>#VALUE!</v>
      </c>
    </row>
    <row r="399" spans="26:30" x14ac:dyDescent="0.25">
      <c r="Z399" s="8"/>
      <c r="AA399" s="11">
        <v>37</v>
      </c>
      <c r="AB399" s="11">
        <v>11</v>
      </c>
      <c r="AC399" s="11" t="s">
        <v>222</v>
      </c>
      <c r="AD399" t="e">
        <v>#VALUE!</v>
      </c>
    </row>
    <row r="400" spans="26:30" x14ac:dyDescent="0.25">
      <c r="Z400" s="8"/>
      <c r="AA400" s="11">
        <v>37</v>
      </c>
      <c r="AB400" s="11">
        <v>12</v>
      </c>
      <c r="AC400" s="11" t="s">
        <v>222</v>
      </c>
      <c r="AD400" t="e">
        <v>#VALUE!</v>
      </c>
    </row>
    <row r="401" spans="26:30" x14ac:dyDescent="0.25">
      <c r="Z401" s="8"/>
      <c r="AA401" s="11">
        <v>37</v>
      </c>
      <c r="AB401" s="11">
        <v>13</v>
      </c>
      <c r="AC401" s="11" t="s">
        <v>222</v>
      </c>
      <c r="AD401" t="e">
        <v>#VALUE!</v>
      </c>
    </row>
    <row r="402" spans="26:30" x14ac:dyDescent="0.25">
      <c r="Z402" s="8"/>
      <c r="AA402" s="11">
        <v>38</v>
      </c>
      <c r="AB402" s="11">
        <v>8</v>
      </c>
      <c r="AC402" s="11" t="s">
        <v>211</v>
      </c>
      <c r="AD402" t="e">
        <v>#VALUE!</v>
      </c>
    </row>
    <row r="403" spans="26:30" x14ac:dyDescent="0.25">
      <c r="Z403" s="8"/>
      <c r="AA403" s="11">
        <v>38</v>
      </c>
      <c r="AB403" s="11">
        <v>11</v>
      </c>
      <c r="AC403" s="11" t="s">
        <v>222</v>
      </c>
      <c r="AD403" t="e">
        <v>#VALUE!</v>
      </c>
    </row>
    <row r="404" spans="26:30" x14ac:dyDescent="0.25">
      <c r="Z404" s="8"/>
      <c r="AA404" s="11">
        <v>38</v>
      </c>
      <c r="AB404" s="11">
        <v>12</v>
      </c>
      <c r="AC404" s="11" t="s">
        <v>222</v>
      </c>
      <c r="AD404" t="e">
        <v>#VALUE!</v>
      </c>
    </row>
    <row r="405" spans="26:30" x14ac:dyDescent="0.25">
      <c r="Z405" s="8"/>
      <c r="AA405" s="11">
        <v>38</v>
      </c>
      <c r="AB405" s="11">
        <v>13</v>
      </c>
      <c r="AC405" s="11" t="s">
        <v>222</v>
      </c>
      <c r="AD405" t="e">
        <v>#VALUE!</v>
      </c>
    </row>
    <row r="406" spans="26:30" x14ac:dyDescent="0.25">
      <c r="Z406" s="8"/>
      <c r="AA406" s="11">
        <v>38</v>
      </c>
      <c r="AB406" s="11">
        <v>14</v>
      </c>
      <c r="AC406" s="11" t="s">
        <v>222</v>
      </c>
      <c r="AD406" t="e">
        <v>#VALUE!</v>
      </c>
    </row>
    <row r="407" spans="26:30" x14ac:dyDescent="0.25">
      <c r="Z407" s="8"/>
      <c r="AA407" s="11">
        <v>39</v>
      </c>
      <c r="AB407" s="11">
        <v>11</v>
      </c>
      <c r="AC407" s="11" t="s">
        <v>222</v>
      </c>
      <c r="AD407" t="e">
        <v>#VALUE!</v>
      </c>
    </row>
    <row r="408" spans="26:30" x14ac:dyDescent="0.25">
      <c r="Z408" s="8"/>
      <c r="AA408" s="11">
        <v>39</v>
      </c>
      <c r="AB408" s="11">
        <v>12</v>
      </c>
      <c r="AC408" s="11" t="s">
        <v>222</v>
      </c>
      <c r="AD408" t="e">
        <v>#VALUE!</v>
      </c>
    </row>
    <row r="409" spans="26:30" x14ac:dyDescent="0.25">
      <c r="Z409" s="8"/>
      <c r="AA409" s="11">
        <v>39</v>
      </c>
      <c r="AB409" s="11">
        <v>13</v>
      </c>
      <c r="AC409" s="11" t="s">
        <v>222</v>
      </c>
      <c r="AD409" t="e">
        <v>#VALUE!</v>
      </c>
    </row>
    <row r="410" spans="26:30" x14ac:dyDescent="0.25">
      <c r="Z410" s="8"/>
      <c r="AA410" s="11">
        <v>40</v>
      </c>
      <c r="AB410" s="11">
        <v>11</v>
      </c>
      <c r="AC410" s="11" t="s">
        <v>222</v>
      </c>
      <c r="AD410" t="e">
        <v>#VALUE!</v>
      </c>
    </row>
    <row r="411" spans="26:30" x14ac:dyDescent="0.25">
      <c r="Z411" s="8"/>
      <c r="AA411" s="11">
        <v>40</v>
      </c>
      <c r="AB411" s="11">
        <v>12</v>
      </c>
      <c r="AC411" s="11" t="s">
        <v>222</v>
      </c>
      <c r="AD411" t="e">
        <v>#VALUE!</v>
      </c>
    </row>
    <row r="412" spans="26:30" x14ac:dyDescent="0.25">
      <c r="Z412" s="8"/>
      <c r="AA412" s="11">
        <v>40</v>
      </c>
      <c r="AB412" s="11">
        <v>13</v>
      </c>
      <c r="AC412" s="11" t="s">
        <v>222</v>
      </c>
      <c r="AD412" t="e">
        <v>#VALUE!</v>
      </c>
    </row>
    <row r="413" spans="26:30" x14ac:dyDescent="0.25">
      <c r="Z413" s="8"/>
      <c r="AA413" s="11">
        <v>41</v>
      </c>
      <c r="AB413" s="11">
        <v>11</v>
      </c>
      <c r="AC413" s="11" t="s">
        <v>222</v>
      </c>
      <c r="AD413" t="e">
        <v>#VALUE!</v>
      </c>
    </row>
    <row r="414" spans="26:30" x14ac:dyDescent="0.25">
      <c r="Z414" s="8"/>
      <c r="AA414" s="11">
        <v>41</v>
      </c>
      <c r="AB414" s="11">
        <v>12</v>
      </c>
      <c r="AC414" s="11" t="s">
        <v>222</v>
      </c>
      <c r="AD414" t="e">
        <v>#VALUE!</v>
      </c>
    </row>
    <row r="415" spans="26:30" x14ac:dyDescent="0.25">
      <c r="Z415" s="8"/>
      <c r="AA415" s="11">
        <v>41</v>
      </c>
      <c r="AB415" s="11">
        <v>13</v>
      </c>
      <c r="AC415" s="11" t="s">
        <v>222</v>
      </c>
      <c r="AD415">
        <v>1</v>
      </c>
    </row>
    <row r="416" spans="26:30" x14ac:dyDescent="0.25">
      <c r="Z416" s="8"/>
      <c r="AA416" s="11">
        <v>42</v>
      </c>
      <c r="AB416" s="11">
        <v>12</v>
      </c>
      <c r="AC416" s="11" t="s">
        <v>222</v>
      </c>
      <c r="AD416" t="e">
        <v>#VALUE!</v>
      </c>
    </row>
    <row r="417" spans="26:30" x14ac:dyDescent="0.25">
      <c r="Z417" s="8"/>
      <c r="AA417" s="11">
        <v>42</v>
      </c>
      <c r="AB417" s="11">
        <v>13</v>
      </c>
      <c r="AC417" s="11" t="s">
        <v>222</v>
      </c>
      <c r="AD417" t="e">
        <v>#VALUE!</v>
      </c>
    </row>
    <row r="418" spans="26:30" x14ac:dyDescent="0.25">
      <c r="Z418" s="8"/>
      <c r="AA418" s="11">
        <v>43</v>
      </c>
      <c r="AB418" s="11">
        <v>12</v>
      </c>
      <c r="AC418" s="11" t="s">
        <v>222</v>
      </c>
      <c r="AD418" t="e">
        <v>#VALUE!</v>
      </c>
    </row>
    <row r="419" spans="26:30" x14ac:dyDescent="0.25">
      <c r="Z419" s="8"/>
      <c r="AA419" s="11">
        <v>43</v>
      </c>
      <c r="AB419" s="11">
        <v>13</v>
      </c>
      <c r="AC419" s="11" t="s">
        <v>222</v>
      </c>
      <c r="AD419" t="e">
        <v>#VALUE!</v>
      </c>
    </row>
  </sheetData>
  <mergeCells count="6">
    <mergeCell ref="AA8:AC8"/>
    <mergeCell ref="D9:T9"/>
    <mergeCell ref="B11:B53"/>
    <mergeCell ref="D2:I2"/>
    <mergeCell ref="D3:S6"/>
    <mergeCell ref="W3:Y6"/>
  </mergeCells>
  <conditionalFormatting sqref="D11:T53">
    <cfRule type="expression" dxfId="13" priority="4">
      <formula>IF(AND(D11&gt;247,D11&lt;=321),1,0)</formula>
    </cfRule>
    <cfRule type="expression" dxfId="12" priority="5">
      <formula>IF(AND(D11&gt;144,D11&lt;=246),1,0)</formula>
    </cfRule>
    <cfRule type="expression" dxfId="11" priority="6">
      <formula>IF(AND(D11&gt;9,D11&lt;=143),1,0)</formula>
    </cfRule>
  </conditionalFormatting>
  <conditionalFormatting sqref="D8">
    <cfRule type="expression" dxfId="10" priority="1">
      <formula>IF(AND(D8&gt;247,D8&lt;=321),1,0)</formula>
    </cfRule>
    <cfRule type="expression" dxfId="9" priority="2">
      <formula>IF(AND(D8&gt;144,D8&lt;=246),1,0)</formula>
    </cfRule>
    <cfRule type="expression" dxfId="8" priority="3">
      <formula>IF(AND(D8&gt;9,D8&lt;=143),1,0)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08FF-6A8F-48A8-BE1E-1B94AE96A912}">
  <dimension ref="B1:AI420"/>
  <sheetViews>
    <sheetView showGridLines="0" topLeftCell="B27" zoomScale="119" zoomScaleNormal="70" workbookViewId="0">
      <selection activeCell="D11" sqref="D11:T53"/>
    </sheetView>
  </sheetViews>
  <sheetFormatPr baseColWidth="10" defaultColWidth="11.42578125" defaultRowHeight="15" x14ac:dyDescent="0.25"/>
  <cols>
    <col min="1" max="1" width="4.140625" customWidth="1"/>
    <col min="2" max="2" width="7.42578125" bestFit="1" customWidth="1"/>
    <col min="3" max="3" width="4.140625" customWidth="1"/>
    <col min="4" max="4" width="11.28515625" bestFit="1" customWidth="1"/>
    <col min="5" max="22" width="4.140625" customWidth="1"/>
    <col min="23" max="23" width="24.42578125" customWidth="1"/>
    <col min="24" max="24" width="22.28515625" customWidth="1"/>
    <col min="25" max="25" width="14.5703125" customWidth="1"/>
    <col min="26" max="26" width="25" customWidth="1"/>
    <col min="27" max="27" width="7.28515625" customWidth="1"/>
    <col min="28" max="28" width="9.5703125" bestFit="1" customWidth="1"/>
    <col min="29" max="29" width="37.140625" customWidth="1"/>
    <col min="30" max="30" width="12.7109375" customWidth="1"/>
    <col min="32" max="32" width="15.5703125" customWidth="1"/>
  </cols>
  <sheetData>
    <row r="1" spans="2:35" ht="15.75" thickBot="1" x14ac:dyDescent="0.3"/>
    <row r="2" spans="2:35" ht="15.75" thickBot="1" x14ac:dyDescent="0.3">
      <c r="D2" s="208" t="s">
        <v>194</v>
      </c>
      <c r="E2" s="208"/>
      <c r="F2" s="208"/>
      <c r="G2" s="208"/>
      <c r="H2" s="208"/>
      <c r="I2" s="208"/>
      <c r="W2" s="12" t="s">
        <v>195</v>
      </c>
    </row>
    <row r="3" spans="2:35" ht="45.75" customHeight="1" x14ac:dyDescent="0.25">
      <c r="D3" s="173" t="s">
        <v>196</v>
      </c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5"/>
      <c r="T3" s="79"/>
      <c r="U3" s="23"/>
      <c r="V3" s="23"/>
      <c r="W3" s="173" t="s">
        <v>197</v>
      </c>
      <c r="X3" s="174"/>
      <c r="Y3" s="175"/>
      <c r="AA3" s="103"/>
      <c r="AB3" s="37"/>
    </row>
    <row r="4" spans="2:35" ht="27.75" customHeight="1" x14ac:dyDescent="0.25">
      <c r="D4" s="176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8"/>
      <c r="T4" s="23"/>
      <c r="U4" s="23"/>
      <c r="V4" s="23"/>
      <c r="W4" s="176"/>
      <c r="X4" s="177"/>
      <c r="Y4" s="178"/>
      <c r="Z4">
        <f>IF(AND(D11&gt;9,D11&lt;=143),1,0)</f>
        <v>0</v>
      </c>
      <c r="AA4" s="103"/>
      <c r="AB4" s="103"/>
    </row>
    <row r="5" spans="2:35" ht="33" customHeight="1" x14ac:dyDescent="0.25">
      <c r="D5" s="176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8"/>
      <c r="T5" s="23"/>
      <c r="U5" s="23"/>
      <c r="V5" s="23"/>
      <c r="W5" s="176"/>
      <c r="X5" s="177"/>
      <c r="Y5" s="178"/>
      <c r="Z5">
        <f>IF(AND(D11&gt;144,D11&lt;=246),1,0)</f>
        <v>0</v>
      </c>
    </row>
    <row r="6" spans="2:35" ht="60.95" customHeight="1" thickBot="1" x14ac:dyDescent="0.3">
      <c r="D6" s="179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1"/>
      <c r="T6" s="23"/>
      <c r="U6" s="23"/>
      <c r="V6" s="23"/>
      <c r="W6" s="179"/>
      <c r="X6" s="180"/>
      <c r="Y6" s="181"/>
      <c r="Z6">
        <f>IF(AND(D11&gt;247,D11&lt;=321),1,0)</f>
        <v>0</v>
      </c>
    </row>
    <row r="7" spans="2:35" ht="22.5" customHeight="1" x14ac:dyDescent="0.25"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AI7" s="16" t="s">
        <v>15</v>
      </c>
    </row>
    <row r="8" spans="2:35" ht="23.25" customHeight="1" x14ac:dyDescent="0.25">
      <c r="B8" s="89"/>
      <c r="X8" s="106" t="s">
        <v>198</v>
      </c>
      <c r="Y8" s="106"/>
      <c r="Z8" s="8"/>
      <c r="AA8" s="204" t="s">
        <v>199</v>
      </c>
      <c r="AB8" s="204"/>
      <c r="AC8" s="204"/>
    </row>
    <row r="9" spans="2:35" ht="15.75" x14ac:dyDescent="0.3">
      <c r="B9" s="89"/>
      <c r="D9" s="205" t="s">
        <v>200</v>
      </c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X9" s="107" t="s">
        <v>201</v>
      </c>
      <c r="Y9" s="107" t="s">
        <v>202</v>
      </c>
      <c r="Z9" s="8"/>
      <c r="AA9" s="107" t="s">
        <v>203</v>
      </c>
      <c r="AB9" s="107" t="s">
        <v>200</v>
      </c>
      <c r="AC9" s="107" t="s">
        <v>201</v>
      </c>
    </row>
    <row r="10" spans="2:35" x14ac:dyDescent="0.25">
      <c r="B10" s="89"/>
      <c r="C10" s="89"/>
      <c r="D10" s="28">
        <v>1</v>
      </c>
      <c r="E10" s="28">
        <v>2</v>
      </c>
      <c r="F10" s="28">
        <v>3</v>
      </c>
      <c r="G10" s="28">
        <v>4</v>
      </c>
      <c r="H10" s="28">
        <v>5</v>
      </c>
      <c r="I10" s="28">
        <v>6</v>
      </c>
      <c r="J10" s="28">
        <v>7</v>
      </c>
      <c r="K10" s="28">
        <v>8</v>
      </c>
      <c r="L10" s="28">
        <v>9</v>
      </c>
      <c r="M10" s="28">
        <v>10</v>
      </c>
      <c r="N10" s="28">
        <v>11</v>
      </c>
      <c r="O10" s="28">
        <v>12</v>
      </c>
      <c r="P10" s="28">
        <v>13</v>
      </c>
      <c r="Q10" s="28">
        <v>14</v>
      </c>
      <c r="R10" s="28">
        <v>15</v>
      </c>
      <c r="S10" s="28">
        <v>16</v>
      </c>
      <c r="T10" s="28">
        <v>17</v>
      </c>
      <c r="W10" t="str" cm="1">
        <f t="array" ref="W10">IFERROR(INDEX(Y10:Y28,MATCH(IFERROR(INDEX($AC$10:$AC$419,IF(AND(D$10=$AB10,C$11=$AA10),ROW($AB10)-ROW($AB$9),"")),0),$X$10:$X$28,0))," ")</f>
        <v xml:space="preserve"> </v>
      </c>
      <c r="X10" s="11" t="s">
        <v>204</v>
      </c>
      <c r="Y10" s="11">
        <v>47</v>
      </c>
      <c r="Z10" s="8">
        <f>MATCH(1,AA10:AA15,0)</f>
        <v>1</v>
      </c>
      <c r="AA10" s="11">
        <v>1</v>
      </c>
      <c r="AB10" s="11">
        <v>10</v>
      </c>
      <c r="AC10" s="11" t="s">
        <v>205</v>
      </c>
      <c r="AD10" t="e" cm="1">
        <f t="array" ref="AD10:AD419">IF(SEARCH(1,AA10:AA419)*SEARCH(13,AB10:AB419),1,0)</f>
        <v>#VALUE!</v>
      </c>
    </row>
    <row r="11" spans="2:35" x14ac:dyDescent="0.25">
      <c r="B11" s="206" t="s">
        <v>203</v>
      </c>
      <c r="C11">
        <v>1</v>
      </c>
      <c r="D11" s="90" t="str" cm="1">
        <f t="array" ref="D11">IFERROR(VLOOKUP(INDEX($AC$10:$AC$419,MATCH(1,IF(D$10&amp;"-"&amp;$C11=$AB$10:$AB$419&amp;"-"&amp;$AA$10:$AA$419,1,""),0)),$X$10:$Y$28,2,FALSE),"")</f>
        <v/>
      </c>
      <c r="E11" s="90" t="str" cm="1">
        <f t="array" ref="E11">IFERROR(VLOOKUP(INDEX($AC$10:$AC$419,MATCH(1,IF(E$10&amp;"-"&amp;$C11=$AB$10:$AB$419&amp;"-"&amp;$AA$10:$AA$419,1,""),0)),$X$10:$Y$28,2,FALSE),"")</f>
        <v/>
      </c>
      <c r="F11" s="90" t="str" cm="1">
        <f t="array" ref="F11">IFERROR(VLOOKUP(INDEX($AC$10:$AC$419,MATCH(1,IF(F$10&amp;"-"&amp;$C11=$AB$10:$AB$419&amp;"-"&amp;$AA$10:$AA$419,1,""),0)),$X$10:$Y$28,2,FALSE),"")</f>
        <v/>
      </c>
      <c r="G11" s="90" t="str" cm="1">
        <f t="array" ref="G11">IFERROR(VLOOKUP(INDEX($AC$10:$AC$419,MATCH(1,IF(G$10&amp;"-"&amp;$C11=$AB$10:$AB$419&amp;"-"&amp;$AA$10:$AA$419,1,""),0)),$X$10:$Y$28,2,FALSE),"")</f>
        <v/>
      </c>
      <c r="H11" s="90" t="str" cm="1">
        <f t="array" ref="H11">IFERROR(VLOOKUP(INDEX($AC$10:$AC$419,MATCH(1,IF(H$10&amp;"-"&amp;$C11=$AB$10:$AB$419&amp;"-"&amp;$AA$10:$AA$419,1,""),0)),$X$10:$Y$28,2,FALSE),"")</f>
        <v/>
      </c>
      <c r="I11" s="90" t="str" cm="1">
        <f t="array" ref="I11">IFERROR(VLOOKUP(INDEX($AC$10:$AC$419,MATCH(1,IF(I$10&amp;"-"&amp;$C11=$AB$10:$AB$419&amp;"-"&amp;$AA$10:$AA$419,1,""),0)),$X$10:$Y$28,2,FALSE),"")</f>
        <v/>
      </c>
      <c r="J11" s="90" t="str" cm="1">
        <f t="array" ref="J11">IFERROR(VLOOKUP(INDEX($AC$10:$AC$419,MATCH(1,IF(J$10&amp;"-"&amp;$C11=$AB$10:$AB$419&amp;"-"&amp;$AA$10:$AA$419,1,""),0)),$X$10:$Y$28,2,FALSE),"")</f>
        <v/>
      </c>
      <c r="K11" s="90" t="str" cm="1">
        <f t="array" ref="K11">IFERROR(VLOOKUP(INDEX($AC$10:$AC$419,MATCH(1,IF(K$10&amp;"-"&amp;$C11=$AB$10:$AB$419&amp;"-"&amp;$AA$10:$AA$419,1,""),0)),$X$10:$Y$28,2,FALSE),"")</f>
        <v/>
      </c>
      <c r="L11" s="90" t="str" cm="1">
        <f t="array" ref="L11">IFERROR(VLOOKUP(INDEX($AC$10:$AC$419,MATCH(1,IF(L$10&amp;"-"&amp;$C11=$AB$10:$AB$419&amp;"-"&amp;$AA$10:$AA$419,1,""),0)),$X$10:$Y$28,2,FALSE),"")</f>
        <v/>
      </c>
      <c r="M11" s="90" cm="1">
        <f t="array" ref="M11">IFERROR(VLOOKUP(INDEX($AC$10:$AC$419,MATCH(1,IF(M$10&amp;"-"&amp;$C11=$AB$10:$AB$419&amp;"-"&amp;$AA$10:$AA$419,1,""),0)),$X$10:$Y$28,2,FALSE),"")</f>
        <v>200</v>
      </c>
      <c r="N11" s="90" cm="1">
        <f t="array" ref="N11">IFERROR(VLOOKUP(INDEX($AC$10:$AC$419,MATCH(1,IF(N$10&amp;"-"&amp;$C11=$AB$10:$AB$419&amp;"-"&amp;$AA$10:$AA$419,1,""),0)),$X$10:$Y$28,2,FALSE),"")</f>
        <v>200</v>
      </c>
      <c r="O11" s="90" t="str" cm="1">
        <f t="array" ref="O11">IFERROR(VLOOKUP(INDEX($AC$10:$AC$419,MATCH(1,IF(O$10&amp;"-"&amp;$C11=$AB$10:$AB$419&amp;"-"&amp;$AA$10:$AA$419,1,""),0)),$X$10:$Y$28,2,FALSE),"")</f>
        <v/>
      </c>
      <c r="P11" s="90" cm="1">
        <f t="array" ref="P11">IFERROR(VLOOKUP(INDEX($AC$10:$AC$419,MATCH(1,IF(P$10&amp;"-"&amp;$C11=$AB$10:$AB$419&amp;"-"&amp;$AA$10:$AA$419,1,""),0)),$X$10:$Y$28,2,FALSE),"")</f>
        <v>200</v>
      </c>
      <c r="Q11" s="90" cm="1">
        <f t="array" ref="Q11">IFERROR(VLOOKUP(INDEX($AC$10:$AC$419,MATCH(1,IF(Q$10&amp;"-"&amp;$C11=$AB$10:$AB$419&amp;"-"&amp;$AA$10:$AA$419,1,""),0)),$X$10:$Y$28,2,FALSE),"")</f>
        <v>200</v>
      </c>
      <c r="R11" s="90" cm="1">
        <f t="array" ref="R11">IFERROR(VLOOKUP(INDEX($AC$10:$AC$419,MATCH(1,IF(R$10&amp;"-"&amp;$C11=$AB$10:$AB$419&amp;"-"&amp;$AA$10:$AA$419,1,""),0)),$X$10:$Y$28,2,FALSE),"")</f>
        <v>88</v>
      </c>
      <c r="S11" s="90" t="str" cm="1">
        <f t="array" ref="S11">IFERROR(VLOOKUP(INDEX($AC$10:$AC$419,MATCH(1,IF(S$10&amp;"-"&amp;$C11=$AB$10:$AB$419&amp;"-"&amp;$AA$10:$AA$419,1,""),0)),$X$10:$Y$28,2,FALSE),"")</f>
        <v/>
      </c>
      <c r="T11" s="90" t="str" cm="1">
        <f t="array" ref="T11">IFERROR(VLOOKUP(INDEX($AC$10:$AC$419,MATCH(1,IF(T$10&amp;"-"&amp;$C11=$AB$10:$AB$419&amp;"-"&amp;$AA$10:$AA$419,1,""),0)),$X$10:$Y$28,2,FALSE),"")</f>
        <v/>
      </c>
      <c r="W11" t="b" cm="1">
        <f t="array" ref="W11:W420">D$10&amp;"-"&amp;$C11=$AB$10:$AB$419&amp;"-"&amp;$AA$10:$AA$419</f>
        <v>0</v>
      </c>
      <c r="X11" s="11" t="s">
        <v>206</v>
      </c>
      <c r="Y11" s="11">
        <v>116</v>
      </c>
      <c r="Z11" s="8">
        <f>MATCH(11,AB10:AB14,0)</f>
        <v>2</v>
      </c>
      <c r="AA11" s="11">
        <v>1</v>
      </c>
      <c r="AB11" s="11">
        <v>11</v>
      </c>
      <c r="AC11" s="11" t="s">
        <v>205</v>
      </c>
      <c r="AD11" t="e">
        <v>#VALUE!</v>
      </c>
    </row>
    <row r="12" spans="2:35" x14ac:dyDescent="0.25">
      <c r="B12" s="207"/>
      <c r="C12">
        <v>2</v>
      </c>
      <c r="D12" s="90" t="str" cm="1">
        <f t="array" ref="D12">IFERROR(VLOOKUP(INDEX($AC$10:$AC$419,MATCH(1,IF(D$10&amp;"-"&amp;$C12=$AB$10:$AB$419&amp;"-"&amp;$AA$10:$AA$419,1,""),0)),$X$10:$Y$28,2,FALSE),"")</f>
        <v/>
      </c>
      <c r="E12" s="90" t="str" cm="1">
        <f t="array" ref="E12">IFERROR(VLOOKUP(INDEX($AC$10:$AC$419,MATCH(1,IF(E$10&amp;"-"&amp;$C12=$AB$10:$AB$419&amp;"-"&amp;$AA$10:$AA$419,1,""),0)),$X$10:$Y$28,2,FALSE),"")</f>
        <v/>
      </c>
      <c r="F12" s="90" t="str" cm="1">
        <f t="array" ref="F12">IFERROR(VLOOKUP(INDEX($AC$10:$AC$419,MATCH(1,IF(F$10&amp;"-"&amp;$C12=$AB$10:$AB$419&amp;"-"&amp;$AA$10:$AA$419,1,""),0)),$X$10:$Y$28,2,FALSE),"")</f>
        <v/>
      </c>
      <c r="G12" s="90" t="str" cm="1">
        <f t="array" ref="G12">IFERROR(VLOOKUP(INDEX($AC$10:$AC$419,MATCH(1,IF(G$10&amp;"-"&amp;$C12=$AB$10:$AB$419&amp;"-"&amp;$AA$10:$AA$419,1,""),0)),$X$10:$Y$28,2,FALSE),"")</f>
        <v/>
      </c>
      <c r="H12" s="90" t="str" cm="1">
        <f t="array" ref="H12">IFERROR(VLOOKUP(INDEX($AC$10:$AC$419,MATCH(1,IF(H$10&amp;"-"&amp;$C12=$AB$10:$AB$419&amp;"-"&amp;$AA$10:$AA$419,1,""),0)),$X$10:$Y$28,2,FALSE),"")</f>
        <v/>
      </c>
      <c r="I12" s="90" t="str" cm="1">
        <f t="array" ref="I12">IFERROR(VLOOKUP(INDEX($AC$10:$AC$419,MATCH(1,IF(I$10&amp;"-"&amp;$C12=$AB$10:$AB$419&amp;"-"&amp;$AA$10:$AA$419,1,""),0)),$X$10:$Y$28,2,FALSE),"")</f>
        <v/>
      </c>
      <c r="J12" s="90" t="str" cm="1">
        <f t="array" ref="J12">IFERROR(VLOOKUP(INDEX($AC$10:$AC$419,MATCH(1,IF(J$10&amp;"-"&amp;$C12=$AB$10:$AB$419&amp;"-"&amp;$AA$10:$AA$419,1,""),0)),$X$10:$Y$28,2,FALSE),"")</f>
        <v/>
      </c>
      <c r="K12" s="90" t="str" cm="1">
        <f t="array" ref="K12">IFERROR(VLOOKUP(INDEX($AC$10:$AC$419,MATCH(1,IF(K$10&amp;"-"&amp;$C12=$AB$10:$AB$419&amp;"-"&amp;$AA$10:$AA$419,1,""),0)),$X$10:$Y$28,2,FALSE),"")</f>
        <v/>
      </c>
      <c r="L12" s="90" t="str" cm="1">
        <f t="array" ref="L12">IFERROR(VLOOKUP(INDEX($AC$10:$AC$419,MATCH(1,IF(L$10&amp;"-"&amp;$C12=$AB$10:$AB$419&amp;"-"&amp;$AA$10:$AA$419,1,""),0)),$X$10:$Y$28,2,FALSE),"")</f>
        <v/>
      </c>
      <c r="M12" s="90" cm="1">
        <f t="array" ref="M12">IFERROR(VLOOKUP(INDEX($AC$10:$AC$419,MATCH(1,IF(M$10&amp;"-"&amp;$C12=$AB$10:$AB$419&amp;"-"&amp;$AA$10:$AA$419,1,""),0)),$X$10:$Y$28,2,FALSE),"")</f>
        <v>200</v>
      </c>
      <c r="N12" s="90" cm="1">
        <f t="array" ref="N12">IFERROR(VLOOKUP(INDEX($AC$10:$AC$419,MATCH(1,IF(N$10&amp;"-"&amp;$C12=$AB$10:$AB$419&amp;"-"&amp;$AA$10:$AA$419,1,""),0)),$X$10:$Y$28,2,FALSE),"")</f>
        <v>200</v>
      </c>
      <c r="O12" s="90" t="str" cm="1">
        <f t="array" ref="O12">IFERROR(VLOOKUP(INDEX($AC$10:$AC$419,MATCH(1,IF(O$10&amp;"-"&amp;$C12=$AB$10:$AB$419&amp;"-"&amp;$AA$10:$AA$419,1,""),0)),$X$10:$Y$28,2,FALSE),"")</f>
        <v/>
      </c>
      <c r="P12" s="90" cm="1">
        <f t="array" ref="P12">IFERROR(VLOOKUP(INDEX($AC$10:$AC$419,MATCH(1,IF(P$10&amp;"-"&amp;$C12=$AB$10:$AB$419&amp;"-"&amp;$AA$10:$AA$419,1,""),0)),$X$10:$Y$28,2,FALSE),"")</f>
        <v>200</v>
      </c>
      <c r="Q12" s="90" cm="1">
        <f t="array" ref="Q12">IFERROR(VLOOKUP(INDEX($AC$10:$AC$419,MATCH(1,IF(Q$10&amp;"-"&amp;$C12=$AB$10:$AB$419&amp;"-"&amp;$AA$10:$AA$419,1,""),0)),$X$10:$Y$28,2,FALSE),"")</f>
        <v>200</v>
      </c>
      <c r="R12" s="90" cm="1">
        <f t="array" ref="R12">IFERROR(VLOOKUP(INDEX($AC$10:$AC$419,MATCH(1,IF(R$10&amp;"-"&amp;$C12=$AB$10:$AB$419&amp;"-"&amp;$AA$10:$AA$419,1,""),0)),$X$10:$Y$28,2,FALSE),"")</f>
        <v>88</v>
      </c>
      <c r="S12" s="90" cm="1">
        <f t="array" ref="S12">IFERROR(VLOOKUP(INDEX($AC$10:$AC$419,MATCH(1,IF(S$10&amp;"-"&amp;$C12=$AB$10:$AB$419&amp;"-"&amp;$AA$10:$AA$419,1,""),0)),$X$10:$Y$28,2,FALSE),"")</f>
        <v>88</v>
      </c>
      <c r="T12" s="90" t="str" cm="1">
        <f t="array" ref="T12">IFERROR(VLOOKUP(INDEX($AC$10:$AC$419,MATCH(1,IF(T$10&amp;"-"&amp;$C12=$AB$10:$AB$419&amp;"-"&amp;$AA$10:$AA$419,1,""),0)),$X$10:$Y$28,2,FALSE),"")</f>
        <v/>
      </c>
      <c r="W12" t="b">
        <v>0</v>
      </c>
      <c r="X12" s="11" t="s">
        <v>207</v>
      </c>
      <c r="Y12" s="11">
        <v>38</v>
      </c>
      <c r="Z12" s="8" t="b">
        <f>AND(Z10,Z11)</f>
        <v>1</v>
      </c>
      <c r="AA12" s="11">
        <v>1</v>
      </c>
      <c r="AB12" s="11">
        <v>13</v>
      </c>
      <c r="AC12" s="11" t="s">
        <v>205</v>
      </c>
      <c r="AD12">
        <v>1</v>
      </c>
    </row>
    <row r="13" spans="2:35" x14ac:dyDescent="0.25">
      <c r="B13" s="207"/>
      <c r="C13">
        <v>3</v>
      </c>
      <c r="D13" s="90" t="str" cm="1">
        <f t="array" ref="D13">IFERROR(VLOOKUP(INDEX($AC$10:$AC$419,MATCH(1,IF(D$10&amp;"-"&amp;$C13=$AB$10:$AB$419&amp;"-"&amp;$AA$10:$AA$419,1,""),0)),$X$10:$Y$28,2,FALSE),"")</f>
        <v/>
      </c>
      <c r="E13" s="90" t="str" cm="1">
        <f t="array" ref="E13">IFERROR(VLOOKUP(INDEX($AC$10:$AC$419,MATCH(1,IF(E$10&amp;"-"&amp;$C13=$AB$10:$AB$419&amp;"-"&amp;$AA$10:$AA$419,1,""),0)),$X$10:$Y$28,2,FALSE),"")</f>
        <v/>
      </c>
      <c r="F13" s="90" t="str" cm="1">
        <f t="array" ref="F13">IFERROR(VLOOKUP(INDEX($AC$10:$AC$419,MATCH(1,IF(F$10&amp;"-"&amp;$C13=$AB$10:$AB$419&amp;"-"&amp;$AA$10:$AA$419,1,""),0)),$X$10:$Y$28,2,FALSE),"")</f>
        <v/>
      </c>
      <c r="G13" s="90" t="str" cm="1">
        <f t="array" ref="G13">IFERROR(VLOOKUP(INDEX($AC$10:$AC$419,MATCH(1,IF(G$10&amp;"-"&amp;$C13=$AB$10:$AB$419&amp;"-"&amp;$AA$10:$AA$419,1,""),0)),$X$10:$Y$28,2,FALSE),"")</f>
        <v/>
      </c>
      <c r="H13" s="90" t="str" cm="1">
        <f t="array" ref="H13">IFERROR(VLOOKUP(INDEX($AC$10:$AC$419,MATCH(1,IF(H$10&amp;"-"&amp;$C13=$AB$10:$AB$419&amp;"-"&amp;$AA$10:$AA$419,1,""),0)),$X$10:$Y$28,2,FALSE),"")</f>
        <v/>
      </c>
      <c r="I13" s="90" t="str" cm="1">
        <f t="array" ref="I13">IFERROR(VLOOKUP(INDEX($AC$10:$AC$419,MATCH(1,IF(I$10&amp;"-"&amp;$C13=$AB$10:$AB$419&amp;"-"&amp;$AA$10:$AA$419,1,""),0)),$X$10:$Y$28,2,FALSE),"")</f>
        <v/>
      </c>
      <c r="J13" s="90" t="str" cm="1">
        <f t="array" ref="J13">IFERROR(VLOOKUP(INDEX($AC$10:$AC$419,MATCH(1,IF(J$10&amp;"-"&amp;$C13=$AB$10:$AB$419&amp;"-"&amp;$AA$10:$AA$419,1,""),0)),$X$10:$Y$28,2,FALSE),"")</f>
        <v/>
      </c>
      <c r="K13" s="90" t="str" cm="1">
        <f t="array" ref="K13">IFERROR(VLOOKUP(INDEX($AC$10:$AC$419,MATCH(1,IF(K$10&amp;"-"&amp;$C13=$AB$10:$AB$419&amp;"-"&amp;$AA$10:$AA$419,1,""),0)),$X$10:$Y$28,2,FALSE),"")</f>
        <v/>
      </c>
      <c r="L13" s="90" t="str" cm="1">
        <f t="array" ref="L13">IFERROR(VLOOKUP(INDEX($AC$10:$AC$419,MATCH(1,IF(L$10&amp;"-"&amp;$C13=$AB$10:$AB$419&amp;"-"&amp;$AA$10:$AA$419,1,""),0)),$X$10:$Y$28,2,FALSE),"")</f>
        <v/>
      </c>
      <c r="M13" s="90" cm="1">
        <f t="array" ref="M13">IFERROR(VLOOKUP(INDEX($AC$10:$AC$419,MATCH(1,IF(M$10&amp;"-"&amp;$C13=$AB$10:$AB$419&amp;"-"&amp;$AA$10:$AA$419,1,""),0)),$X$10:$Y$28,2,FALSE),"")</f>
        <v>200</v>
      </c>
      <c r="N13" s="90" cm="1">
        <f t="array" ref="N13">IFERROR(VLOOKUP(INDEX($AC$10:$AC$419,MATCH(1,IF(N$10&amp;"-"&amp;$C13=$AB$10:$AB$419&amp;"-"&amp;$AA$10:$AA$419,1,""),0)),$X$10:$Y$28,2,FALSE),"")</f>
        <v>200</v>
      </c>
      <c r="O13" s="90" t="str" cm="1">
        <f t="array" ref="O13">IFERROR(VLOOKUP(INDEX($AC$10:$AC$419,MATCH(1,IF(O$10&amp;"-"&amp;$C13=$AB$10:$AB$419&amp;"-"&amp;$AA$10:$AA$419,1,""),0)),$X$10:$Y$28,2,FALSE),"")</f>
        <v/>
      </c>
      <c r="P13" s="90" cm="1">
        <f t="array" ref="P13">IFERROR(VLOOKUP(INDEX($AC$10:$AC$419,MATCH(1,IF(P$10&amp;"-"&amp;$C13=$AB$10:$AB$419&amp;"-"&amp;$AA$10:$AA$419,1,""),0)),$X$10:$Y$28,2,FALSE),"")</f>
        <v>200</v>
      </c>
      <c r="Q13" s="90" cm="1">
        <f t="array" ref="Q13">IFERROR(VLOOKUP(INDEX($AC$10:$AC$419,MATCH(1,IF(Q$10&amp;"-"&amp;$C13=$AB$10:$AB$419&amp;"-"&amp;$AA$10:$AA$419,1,""),0)),$X$10:$Y$28,2,FALSE),"")</f>
        <v>200</v>
      </c>
      <c r="R13" s="90" cm="1">
        <f t="array" ref="R13">IFERROR(VLOOKUP(INDEX($AC$10:$AC$419,MATCH(1,IF(R$10&amp;"-"&amp;$C13=$AB$10:$AB$419&amp;"-"&amp;$AA$10:$AA$419,1,""),0)),$X$10:$Y$28,2,FALSE),"")</f>
        <v>88</v>
      </c>
      <c r="S13" s="90" cm="1">
        <f t="array" ref="S13">IFERROR(VLOOKUP(INDEX($AC$10:$AC$419,MATCH(1,IF(S$10&amp;"-"&amp;$C13=$AB$10:$AB$419&amp;"-"&amp;$AA$10:$AA$419,1,""),0)),$X$10:$Y$28,2,FALSE),"")</f>
        <v>88</v>
      </c>
      <c r="T13" s="90" t="str" cm="1">
        <f t="array" ref="T13">IFERROR(VLOOKUP(INDEX($AC$10:$AC$419,MATCH(1,IF(T$10&amp;"-"&amp;$C13=$AB$10:$AB$419&amp;"-"&amp;$AA$10:$AA$419,1,""),0)),$X$10:$Y$28,2,FALSE),"")</f>
        <v/>
      </c>
      <c r="W13" t="b">
        <v>0</v>
      </c>
      <c r="X13" s="11" t="s">
        <v>208</v>
      </c>
      <c r="Y13" s="11">
        <v>12</v>
      </c>
      <c r="Z13" s="8"/>
      <c r="AA13" s="11">
        <v>1</v>
      </c>
      <c r="AB13" s="11">
        <v>14</v>
      </c>
      <c r="AC13" s="11" t="s">
        <v>205</v>
      </c>
      <c r="AD13" t="e">
        <v>#VALUE!</v>
      </c>
    </row>
    <row r="14" spans="2:35" x14ac:dyDescent="0.25">
      <c r="B14" s="207"/>
      <c r="C14">
        <v>4</v>
      </c>
      <c r="D14" s="90" t="str" cm="1">
        <f t="array" ref="D14">IFERROR(VLOOKUP(INDEX($AC$10:$AC$419,MATCH(1,IF(D$10&amp;"-"&amp;$C14=$AB$10:$AB$419&amp;"-"&amp;$AA$10:$AA$419,1,""),0)),$X$10:$Y$28,2,FALSE),"")</f>
        <v/>
      </c>
      <c r="E14" s="90" t="str" cm="1">
        <f t="array" ref="E14">IFERROR(VLOOKUP(INDEX($AC$10:$AC$419,MATCH(1,IF(E$10&amp;"-"&amp;$C14=$AB$10:$AB$419&amp;"-"&amp;$AA$10:$AA$419,1,""),0)),$X$10:$Y$28,2,FALSE),"")</f>
        <v/>
      </c>
      <c r="F14" s="90" t="str" cm="1">
        <f t="array" ref="F14">IFERROR(VLOOKUP(INDEX($AC$10:$AC$419,MATCH(1,IF(F$10&amp;"-"&amp;$C14=$AB$10:$AB$419&amp;"-"&amp;$AA$10:$AA$419,1,""),0)),$X$10:$Y$28,2,FALSE),"")</f>
        <v/>
      </c>
      <c r="G14" s="90" t="str" cm="1">
        <f t="array" ref="G14">IFERROR(VLOOKUP(INDEX($AC$10:$AC$419,MATCH(1,IF(G$10&amp;"-"&amp;$C14=$AB$10:$AB$419&amp;"-"&amp;$AA$10:$AA$419,1,""),0)),$X$10:$Y$28,2,FALSE),"")</f>
        <v/>
      </c>
      <c r="H14" s="90" t="str" cm="1">
        <f t="array" ref="H14">IFERROR(VLOOKUP(INDEX($AC$10:$AC$419,MATCH(1,IF(H$10&amp;"-"&amp;$C14=$AB$10:$AB$419&amp;"-"&amp;$AA$10:$AA$419,1,""),0)),$X$10:$Y$28,2,FALSE),"")</f>
        <v/>
      </c>
      <c r="I14" s="90" t="str" cm="1">
        <f t="array" ref="I14">IFERROR(VLOOKUP(INDEX($AC$10:$AC$419,MATCH(1,IF(I$10&amp;"-"&amp;$C14=$AB$10:$AB$419&amp;"-"&amp;$AA$10:$AA$419,1,""),0)),$X$10:$Y$28,2,FALSE),"")</f>
        <v/>
      </c>
      <c r="J14" s="90" t="str" cm="1">
        <f t="array" ref="J14">IFERROR(VLOOKUP(INDEX($AC$10:$AC$419,MATCH(1,IF(J$10&amp;"-"&amp;$C14=$AB$10:$AB$419&amp;"-"&amp;$AA$10:$AA$419,1,""),0)),$X$10:$Y$28,2,FALSE),"")</f>
        <v/>
      </c>
      <c r="K14" s="90" t="str" cm="1">
        <f t="array" ref="K14">IFERROR(VLOOKUP(INDEX($AC$10:$AC$419,MATCH(1,IF(K$10&amp;"-"&amp;$C14=$AB$10:$AB$419&amp;"-"&amp;$AA$10:$AA$419,1,""),0)),$X$10:$Y$28,2,FALSE),"")</f>
        <v/>
      </c>
      <c r="L14" s="90" cm="1">
        <f t="array" ref="L14">IFERROR(VLOOKUP(INDEX($AC$10:$AC$419,MATCH(1,IF(L$10&amp;"-"&amp;$C14=$AB$10:$AB$419&amp;"-"&amp;$AA$10:$AA$419,1,""),0)),$X$10:$Y$28,2,FALSE),"")</f>
        <v>200</v>
      </c>
      <c r="M14" s="90" cm="1">
        <f t="array" ref="M14">IFERROR(VLOOKUP(INDEX($AC$10:$AC$419,MATCH(1,IF(M$10&amp;"-"&amp;$C14=$AB$10:$AB$419&amp;"-"&amp;$AA$10:$AA$419,1,""),0)),$X$10:$Y$28,2,FALSE),"")</f>
        <v>200</v>
      </c>
      <c r="N14" s="90" cm="1">
        <f t="array" ref="N14">IFERROR(VLOOKUP(INDEX($AC$10:$AC$419,MATCH(1,IF(N$10&amp;"-"&amp;$C14=$AB$10:$AB$419&amp;"-"&amp;$AA$10:$AA$419,1,""),0)),$X$10:$Y$28,2,FALSE),"")</f>
        <v>200</v>
      </c>
      <c r="O14" s="90" t="str" cm="1">
        <f t="array" ref="O14">IFERROR(VLOOKUP(INDEX($AC$10:$AC$419,MATCH(1,IF(O$10&amp;"-"&amp;$C14=$AB$10:$AB$419&amp;"-"&amp;$AA$10:$AA$419,1,""),0)),$X$10:$Y$28,2,FALSE),"")</f>
        <v/>
      </c>
      <c r="P14" s="90" cm="1">
        <f t="array" ref="P14">IFERROR(VLOOKUP(INDEX($AC$10:$AC$419,MATCH(1,IF(P$10&amp;"-"&amp;$C14=$AB$10:$AB$419&amp;"-"&amp;$AA$10:$AA$419,1,""),0)),$X$10:$Y$28,2,FALSE),"")</f>
        <v>200</v>
      </c>
      <c r="Q14" s="90" cm="1">
        <f t="array" ref="Q14">IFERROR(VLOOKUP(INDEX($AC$10:$AC$419,MATCH(1,IF(Q$10&amp;"-"&amp;$C14=$AB$10:$AB$419&amp;"-"&amp;$AA$10:$AA$419,1,""),0)),$X$10:$Y$28,2,FALSE),"")</f>
        <v>200</v>
      </c>
      <c r="R14" s="90" cm="1">
        <f t="array" ref="R14">IFERROR(VLOOKUP(INDEX($AC$10:$AC$419,MATCH(1,IF(R$10&amp;"-"&amp;$C14=$AB$10:$AB$419&amp;"-"&amp;$AA$10:$AA$419,1,""),0)),$X$10:$Y$28,2,FALSE),"")</f>
        <v>88</v>
      </c>
      <c r="S14" s="90" cm="1">
        <f t="array" ref="S14">IFERROR(VLOOKUP(INDEX($AC$10:$AC$419,MATCH(1,IF(S$10&amp;"-"&amp;$C14=$AB$10:$AB$419&amp;"-"&amp;$AA$10:$AA$419,1,""),0)),$X$10:$Y$28,2,FALSE),"")</f>
        <v>88</v>
      </c>
      <c r="T14" s="90" t="str" cm="1">
        <f t="array" ref="T14">IFERROR(VLOOKUP(INDEX($AC$10:$AC$419,MATCH(1,IF(T$10&amp;"-"&amp;$C14=$AB$10:$AB$419&amp;"-"&amp;$AA$10:$AA$419,1,""),0)),$X$10:$Y$28,2,FALSE),"")</f>
        <v/>
      </c>
      <c r="W14" t="b">
        <v>0</v>
      </c>
      <c r="X14" s="11" t="s">
        <v>209</v>
      </c>
      <c r="Y14" s="11">
        <v>189</v>
      </c>
      <c r="Z14" s="8"/>
      <c r="AA14" s="11">
        <v>1</v>
      </c>
      <c r="AB14" s="11">
        <v>15</v>
      </c>
      <c r="AC14" s="11" t="s">
        <v>210</v>
      </c>
      <c r="AD14" t="e">
        <v>#VALUE!</v>
      </c>
    </row>
    <row r="15" spans="2:35" x14ac:dyDescent="0.25">
      <c r="B15" s="207"/>
      <c r="C15">
        <v>5</v>
      </c>
      <c r="D15" s="90" t="str" cm="1">
        <f t="array" ref="D15">IFERROR(VLOOKUP(INDEX($AC$10:$AC$419,MATCH(1,IF(D$10&amp;"-"&amp;$C15=$AB$10:$AB$419&amp;"-"&amp;$AA$10:$AA$419,1,""),0)),$X$10:$Y$28,2,FALSE),"")</f>
        <v/>
      </c>
      <c r="E15" s="90" t="str" cm="1">
        <f t="array" ref="E15">IFERROR(VLOOKUP(INDEX($AC$10:$AC$419,MATCH(1,IF(E$10&amp;"-"&amp;$C15=$AB$10:$AB$419&amp;"-"&amp;$AA$10:$AA$419,1,""),0)),$X$10:$Y$28,2,FALSE),"")</f>
        <v/>
      </c>
      <c r="F15" s="90" t="str" cm="1">
        <f t="array" ref="F15">IFERROR(VLOOKUP(INDEX($AC$10:$AC$419,MATCH(1,IF(F$10&amp;"-"&amp;$C15=$AB$10:$AB$419&amp;"-"&amp;$AA$10:$AA$419,1,""),0)),$X$10:$Y$28,2,FALSE),"")</f>
        <v/>
      </c>
      <c r="G15" s="90" t="str" cm="1">
        <f t="array" ref="G15">IFERROR(VLOOKUP(INDEX($AC$10:$AC$419,MATCH(1,IF(G$10&amp;"-"&amp;$C15=$AB$10:$AB$419&amp;"-"&amp;$AA$10:$AA$419,1,""),0)),$X$10:$Y$28,2,FALSE),"")</f>
        <v/>
      </c>
      <c r="H15" s="90" t="str" cm="1">
        <f t="array" ref="H15">IFERROR(VLOOKUP(INDEX($AC$10:$AC$419,MATCH(1,IF(H$10&amp;"-"&amp;$C15=$AB$10:$AB$419&amp;"-"&amp;$AA$10:$AA$419,1,""),0)),$X$10:$Y$28,2,FALSE),"")</f>
        <v/>
      </c>
      <c r="I15" s="90" t="str" cm="1">
        <f t="array" ref="I15">IFERROR(VLOOKUP(INDEX($AC$10:$AC$419,MATCH(1,IF(I$10&amp;"-"&amp;$C15=$AB$10:$AB$419&amp;"-"&amp;$AA$10:$AA$419,1,""),0)),$X$10:$Y$28,2,FALSE),"")</f>
        <v/>
      </c>
      <c r="J15" s="90" t="str" cm="1">
        <f t="array" ref="J15">IFERROR(VLOOKUP(INDEX($AC$10:$AC$419,MATCH(1,IF(J$10&amp;"-"&amp;$C15=$AB$10:$AB$419&amp;"-"&amp;$AA$10:$AA$419,1,""),0)),$X$10:$Y$28,2,FALSE),"")</f>
        <v/>
      </c>
      <c r="K15" s="90" cm="1">
        <f t="array" ref="K15">IFERROR(VLOOKUP(INDEX($AC$10:$AC$419,MATCH(1,IF(K$10&amp;"-"&amp;$C15=$AB$10:$AB$419&amp;"-"&amp;$AA$10:$AA$419,1,""),0)),$X$10:$Y$28,2,FALSE),"")</f>
        <v>200</v>
      </c>
      <c r="L15" s="90" cm="1">
        <f t="array" ref="L15">IFERROR(VLOOKUP(INDEX($AC$10:$AC$419,MATCH(1,IF(L$10&amp;"-"&amp;$C15=$AB$10:$AB$419&amp;"-"&amp;$AA$10:$AA$419,1,""),0)),$X$10:$Y$28,2,FALSE),"")</f>
        <v>200</v>
      </c>
      <c r="M15" s="90" cm="1">
        <f t="array" ref="M15">IFERROR(VLOOKUP(INDEX($AC$10:$AC$419,MATCH(1,IF(M$10&amp;"-"&amp;$C15=$AB$10:$AB$419&amp;"-"&amp;$AA$10:$AA$419,1,""),0)),$X$10:$Y$28,2,FALSE),"")</f>
        <v>200</v>
      </c>
      <c r="N15" s="90" cm="1">
        <f t="array" ref="N15">IFERROR(VLOOKUP(INDEX($AC$10:$AC$419,MATCH(1,IF(N$10&amp;"-"&amp;$C15=$AB$10:$AB$419&amp;"-"&amp;$AA$10:$AA$419,1,""),0)),$X$10:$Y$28,2,FALSE),"")</f>
        <v>200</v>
      </c>
      <c r="O15" s="90" cm="1">
        <f t="array" ref="O15">IFERROR(VLOOKUP(INDEX($AC$10:$AC$419,MATCH(1,IF(O$10&amp;"-"&amp;$C15=$AB$10:$AB$419&amp;"-"&amp;$AA$10:$AA$419,1,""),0)),$X$10:$Y$28,2,FALSE),"")</f>
        <v>200</v>
      </c>
      <c r="P15" s="90" cm="1">
        <f t="array" ref="P15">IFERROR(VLOOKUP(INDEX($AC$10:$AC$419,MATCH(1,IF(P$10&amp;"-"&amp;$C15=$AB$10:$AB$419&amp;"-"&amp;$AA$10:$AA$419,1,""),0)),$X$10:$Y$28,2,FALSE),"")</f>
        <v>200</v>
      </c>
      <c r="Q15" s="90" cm="1">
        <f t="array" ref="Q15">IFERROR(VLOOKUP(INDEX($AC$10:$AC$419,MATCH(1,IF(Q$10&amp;"-"&amp;$C15=$AB$10:$AB$419&amp;"-"&amp;$AA$10:$AA$419,1,""),0)),$X$10:$Y$28,2,FALSE),"")</f>
        <v>200</v>
      </c>
      <c r="R15" s="90" cm="1">
        <f t="array" ref="R15">IFERROR(VLOOKUP(INDEX($AC$10:$AC$419,MATCH(1,IF(R$10&amp;"-"&amp;$C15=$AB$10:$AB$419&amp;"-"&amp;$AA$10:$AA$419,1,""),0)),$X$10:$Y$28,2,FALSE),"")</f>
        <v>88</v>
      </c>
      <c r="S15" s="90" cm="1">
        <f t="array" ref="S15">IFERROR(VLOOKUP(INDEX($AC$10:$AC$419,MATCH(1,IF(S$10&amp;"-"&amp;$C15=$AB$10:$AB$419&amp;"-"&amp;$AA$10:$AA$419,1,""),0)),$X$10:$Y$28,2,FALSE),"")</f>
        <v>88</v>
      </c>
      <c r="T15" s="90" t="str" cm="1">
        <f t="array" ref="T15">IFERROR(VLOOKUP(INDEX($AC$10:$AC$419,MATCH(1,IF(T$10&amp;"-"&amp;$C15=$AB$10:$AB$419&amp;"-"&amp;$AA$10:$AA$419,1,""),0)),$X$10:$Y$28,2,FALSE),"")</f>
        <v/>
      </c>
      <c r="W15" t="b">
        <v>0</v>
      </c>
      <c r="X15" s="11" t="s">
        <v>211</v>
      </c>
      <c r="Y15" s="11">
        <v>16</v>
      </c>
      <c r="Z15" s="8"/>
      <c r="AA15" s="11">
        <v>2</v>
      </c>
      <c r="AB15" s="11">
        <v>10</v>
      </c>
      <c r="AC15" s="11" t="s">
        <v>205</v>
      </c>
      <c r="AD15" t="e">
        <v>#VALUE!</v>
      </c>
    </row>
    <row r="16" spans="2:35" x14ac:dyDescent="0.25">
      <c r="B16" s="207"/>
      <c r="C16">
        <v>6</v>
      </c>
      <c r="D16" s="90" t="str" cm="1">
        <f t="array" ref="D16">IFERROR(VLOOKUP(INDEX($AC$10:$AC$419,MATCH(1,IF(D$10&amp;"-"&amp;$C16=$AB$10:$AB$419&amp;"-"&amp;$AA$10:$AA$419,1,""),0)),$X$10:$Y$28,2,FALSE),"")</f>
        <v/>
      </c>
      <c r="E16" s="90" t="str" cm="1">
        <f t="array" ref="E16">IFERROR(VLOOKUP(INDEX($AC$10:$AC$419,MATCH(1,IF(E$10&amp;"-"&amp;$C16=$AB$10:$AB$419&amp;"-"&amp;$AA$10:$AA$419,1,""),0)),$X$10:$Y$28,2,FALSE),"")</f>
        <v/>
      </c>
      <c r="F16" s="90" t="str" cm="1">
        <f t="array" ref="F16">IFERROR(VLOOKUP(INDEX($AC$10:$AC$419,MATCH(1,IF(F$10&amp;"-"&amp;$C16=$AB$10:$AB$419&amp;"-"&amp;$AA$10:$AA$419,1,""),0)),$X$10:$Y$28,2,FALSE),"")</f>
        <v/>
      </c>
      <c r="G16" s="90" t="str" cm="1">
        <f t="array" ref="G16">IFERROR(VLOOKUP(INDEX($AC$10:$AC$419,MATCH(1,IF(G$10&amp;"-"&amp;$C16=$AB$10:$AB$419&amp;"-"&amp;$AA$10:$AA$419,1,""),0)),$X$10:$Y$28,2,FALSE),"")</f>
        <v/>
      </c>
      <c r="H16" s="90" t="str" cm="1">
        <f t="array" ref="H16">IFERROR(VLOOKUP(INDEX($AC$10:$AC$419,MATCH(1,IF(H$10&amp;"-"&amp;$C16=$AB$10:$AB$419&amp;"-"&amp;$AA$10:$AA$419,1,""),0)),$X$10:$Y$28,2,FALSE),"")</f>
        <v/>
      </c>
      <c r="I16" s="90" t="str" cm="1">
        <f t="array" ref="I16">IFERROR(VLOOKUP(INDEX($AC$10:$AC$419,MATCH(1,IF(I$10&amp;"-"&amp;$C16=$AB$10:$AB$419&amp;"-"&amp;$AA$10:$AA$419,1,""),0)),$X$10:$Y$28,2,FALSE),"")</f>
        <v/>
      </c>
      <c r="J16" s="90" t="str" cm="1">
        <f t="array" ref="J16">IFERROR(VLOOKUP(INDEX($AC$10:$AC$419,MATCH(1,IF(J$10&amp;"-"&amp;$C16=$AB$10:$AB$419&amp;"-"&amp;$AA$10:$AA$419,1,""),0)),$X$10:$Y$28,2,FALSE),"")</f>
        <v/>
      </c>
      <c r="K16" s="90" cm="1">
        <f t="array" ref="K16">IFERROR(VLOOKUP(INDEX($AC$10:$AC$419,MATCH(1,IF(K$10&amp;"-"&amp;$C16=$AB$10:$AB$419&amp;"-"&amp;$AA$10:$AA$419,1,""),0)),$X$10:$Y$28,2,FALSE),"")</f>
        <v>74</v>
      </c>
      <c r="L16" s="90" cm="1">
        <f t="array" ref="L16">IFERROR(VLOOKUP(INDEX($AC$10:$AC$419,MATCH(1,IF(L$10&amp;"-"&amp;$C16=$AB$10:$AB$419&amp;"-"&amp;$AA$10:$AA$419,1,""),0)),$X$10:$Y$28,2,FALSE),"")</f>
        <v>200</v>
      </c>
      <c r="M16" s="90" cm="1">
        <f t="array" ref="M16">IFERROR(VLOOKUP(INDEX($AC$10:$AC$419,MATCH(1,IF(M$10&amp;"-"&amp;$C16=$AB$10:$AB$419&amp;"-"&amp;$AA$10:$AA$419,1,""),0)),$X$10:$Y$28,2,FALSE),"")</f>
        <v>200</v>
      </c>
      <c r="N16" s="90" cm="1">
        <f t="array" ref="N16">IFERROR(VLOOKUP(INDEX($AC$10:$AC$419,MATCH(1,IF(N$10&amp;"-"&amp;$C16=$AB$10:$AB$419&amp;"-"&amp;$AA$10:$AA$419,1,""),0)),$X$10:$Y$28,2,FALSE),"")</f>
        <v>200</v>
      </c>
      <c r="O16" s="90" cm="1">
        <f t="array" ref="O16">IFERROR(VLOOKUP(INDEX($AC$10:$AC$419,MATCH(1,IF(O$10&amp;"-"&amp;$C16=$AB$10:$AB$419&amp;"-"&amp;$AA$10:$AA$419,1,""),0)),$X$10:$Y$28,2,FALSE),"")</f>
        <v>200</v>
      </c>
      <c r="P16" s="90" cm="1">
        <f t="array" ref="P16">IFERROR(VLOOKUP(INDEX($AC$10:$AC$419,MATCH(1,IF(P$10&amp;"-"&amp;$C16=$AB$10:$AB$419&amp;"-"&amp;$AA$10:$AA$419,1,""),0)),$X$10:$Y$28,2,FALSE),"")</f>
        <v>200</v>
      </c>
      <c r="Q16" s="90" cm="1">
        <f t="array" ref="Q16">IFERROR(VLOOKUP(INDEX($AC$10:$AC$419,MATCH(1,IF(Q$10&amp;"-"&amp;$C16=$AB$10:$AB$419&amp;"-"&amp;$AA$10:$AA$419,1,""),0)),$X$10:$Y$28,2,FALSE),"")</f>
        <v>200</v>
      </c>
      <c r="R16" s="90" cm="1">
        <f t="array" ref="R16">IFERROR(VLOOKUP(INDEX($AC$10:$AC$419,MATCH(1,IF(R$10&amp;"-"&amp;$C16=$AB$10:$AB$419&amp;"-"&amp;$AA$10:$AA$419,1,""),0)),$X$10:$Y$28,2,FALSE),"")</f>
        <v>88</v>
      </c>
      <c r="S16" s="90" cm="1">
        <f t="array" ref="S16">IFERROR(VLOOKUP(INDEX($AC$10:$AC$419,MATCH(1,IF(S$10&amp;"-"&amp;$C16=$AB$10:$AB$419&amp;"-"&amp;$AA$10:$AA$419,1,""),0)),$X$10:$Y$28,2,FALSE),"")</f>
        <v>88</v>
      </c>
      <c r="T16" s="90" cm="1">
        <f t="array" ref="T16">IFERROR(VLOOKUP(INDEX($AC$10:$AC$419,MATCH(1,IF(T$10&amp;"-"&amp;$C16=$AB$10:$AB$419&amp;"-"&amp;$AA$10:$AA$419,1,""),0)),$X$10:$Y$28,2,FALSE),"")</f>
        <v>88</v>
      </c>
      <c r="W16" t="b">
        <v>0</v>
      </c>
      <c r="X16" s="11" t="s">
        <v>212</v>
      </c>
      <c r="Y16" s="11">
        <v>74</v>
      </c>
      <c r="Z16" s="8"/>
      <c r="AA16" s="11">
        <v>2</v>
      </c>
      <c r="AB16" s="11">
        <v>11</v>
      </c>
      <c r="AC16" s="11" t="s">
        <v>205</v>
      </c>
      <c r="AD16" t="e">
        <v>#VALUE!</v>
      </c>
    </row>
    <row r="17" spans="2:30" x14ac:dyDescent="0.25">
      <c r="B17" s="207"/>
      <c r="C17">
        <v>7</v>
      </c>
      <c r="D17" s="90" t="str" cm="1">
        <f t="array" ref="D17">IFERROR(VLOOKUP(INDEX($AC$10:$AC$419,MATCH(1,IF(D$10&amp;"-"&amp;$C17=$AB$10:$AB$419&amp;"-"&amp;$AA$10:$AA$419,1,""),0)),$X$10:$Y$28,2,FALSE),"")</f>
        <v/>
      </c>
      <c r="E17" s="90" t="str" cm="1">
        <f t="array" ref="E17">IFERROR(VLOOKUP(INDEX($AC$10:$AC$419,MATCH(1,IF(E$10&amp;"-"&amp;$C17=$AB$10:$AB$419&amp;"-"&amp;$AA$10:$AA$419,1,""),0)),$X$10:$Y$28,2,FALSE),"")</f>
        <v/>
      </c>
      <c r="F17" s="90" t="str" cm="1">
        <f t="array" ref="F17">IFERROR(VLOOKUP(INDEX($AC$10:$AC$419,MATCH(1,IF(F$10&amp;"-"&amp;$C17=$AB$10:$AB$419&amp;"-"&amp;$AA$10:$AA$419,1,""),0)),$X$10:$Y$28,2,FALSE),"")</f>
        <v/>
      </c>
      <c r="G17" s="90" t="str" cm="1">
        <f t="array" ref="G17">IFERROR(VLOOKUP(INDEX($AC$10:$AC$419,MATCH(1,IF(G$10&amp;"-"&amp;$C17=$AB$10:$AB$419&amp;"-"&amp;$AA$10:$AA$419,1,""),0)),$X$10:$Y$28,2,FALSE),"")</f>
        <v/>
      </c>
      <c r="H17" s="90" t="str" cm="1">
        <f t="array" ref="H17">IFERROR(VLOOKUP(INDEX($AC$10:$AC$419,MATCH(1,IF(H$10&amp;"-"&amp;$C17=$AB$10:$AB$419&amp;"-"&amp;$AA$10:$AA$419,1,""),0)),$X$10:$Y$28,2,FALSE),"")</f>
        <v/>
      </c>
      <c r="I17" s="90" t="str" cm="1">
        <f t="array" ref="I17">IFERROR(VLOOKUP(INDEX($AC$10:$AC$419,MATCH(1,IF(I$10&amp;"-"&amp;$C17=$AB$10:$AB$419&amp;"-"&amp;$AA$10:$AA$419,1,""),0)),$X$10:$Y$28,2,FALSE),"")</f>
        <v/>
      </c>
      <c r="J17" s="90" cm="1">
        <f t="array" ref="J17">IFERROR(VLOOKUP(INDEX($AC$10:$AC$419,MATCH(1,IF(J$10&amp;"-"&amp;$C17=$AB$10:$AB$419&amp;"-"&amp;$AA$10:$AA$419,1,""),0)),$X$10:$Y$28,2,FALSE),"")</f>
        <v>74</v>
      </c>
      <c r="K17" s="90" cm="1">
        <f t="array" ref="K17">IFERROR(VLOOKUP(INDEX($AC$10:$AC$419,MATCH(1,IF(K$10&amp;"-"&amp;$C17=$AB$10:$AB$419&amp;"-"&amp;$AA$10:$AA$419,1,""),0)),$X$10:$Y$28,2,FALSE),"")</f>
        <v>74</v>
      </c>
      <c r="L17" s="90" cm="1">
        <f t="array" ref="L17">IFERROR(VLOOKUP(INDEX($AC$10:$AC$419,MATCH(1,IF(L$10&amp;"-"&amp;$C17=$AB$10:$AB$419&amp;"-"&amp;$AA$10:$AA$419,1,""),0)),$X$10:$Y$28,2,FALSE),"")</f>
        <v>74</v>
      </c>
      <c r="M17" s="90" cm="1">
        <f t="array" ref="M17">IFERROR(VLOOKUP(INDEX($AC$10:$AC$419,MATCH(1,IF(M$10&amp;"-"&amp;$C17=$AB$10:$AB$419&amp;"-"&amp;$AA$10:$AA$419,1,""),0)),$X$10:$Y$28,2,FALSE),"")</f>
        <v>200</v>
      </c>
      <c r="N17" s="90" cm="1">
        <f t="array" ref="N17">IFERROR(VLOOKUP(INDEX($AC$10:$AC$419,MATCH(1,IF(N$10&amp;"-"&amp;$C17=$AB$10:$AB$419&amp;"-"&amp;$AA$10:$AA$419,1,""),0)),$X$10:$Y$28,2,FALSE),"")</f>
        <v>200</v>
      </c>
      <c r="O17" s="90" cm="1">
        <f t="array" ref="O17">IFERROR(VLOOKUP(INDEX($AC$10:$AC$419,MATCH(1,IF(O$10&amp;"-"&amp;$C17=$AB$10:$AB$419&amp;"-"&amp;$AA$10:$AA$419,1,""),0)),$X$10:$Y$28,2,FALSE),"")</f>
        <v>200</v>
      </c>
      <c r="P17" s="90" cm="1">
        <f t="array" ref="P17">IFERROR(VLOOKUP(INDEX($AC$10:$AC$419,MATCH(1,IF(P$10&amp;"-"&amp;$C17=$AB$10:$AB$419&amp;"-"&amp;$AA$10:$AA$419,1,""),0)),$X$10:$Y$28,2,FALSE),"")</f>
        <v>200</v>
      </c>
      <c r="Q17" s="90" cm="1">
        <f t="array" ref="Q17">IFERROR(VLOOKUP(INDEX($AC$10:$AC$419,MATCH(1,IF(Q$10&amp;"-"&amp;$C17=$AB$10:$AB$419&amp;"-"&amp;$AA$10:$AA$419,1,""),0)),$X$10:$Y$28,2,FALSE),"")</f>
        <v>200</v>
      </c>
      <c r="R17" s="90" cm="1">
        <f t="array" ref="R17">IFERROR(VLOOKUP(INDEX($AC$10:$AC$419,MATCH(1,IF(R$10&amp;"-"&amp;$C17=$AB$10:$AB$419&amp;"-"&amp;$AA$10:$AA$419,1,""),0)),$X$10:$Y$28,2,FALSE),"")</f>
        <v>88</v>
      </c>
      <c r="S17" s="90" cm="1">
        <f t="array" ref="S17">IFERROR(VLOOKUP(INDEX($AC$10:$AC$419,MATCH(1,IF(S$10&amp;"-"&amp;$C17=$AB$10:$AB$419&amp;"-"&amp;$AA$10:$AA$419,1,""),0)),$X$10:$Y$28,2,FALSE),"")</f>
        <v>88</v>
      </c>
      <c r="T17" s="90" t="str" cm="1">
        <f t="array" ref="T17">IFERROR(VLOOKUP(INDEX($AC$10:$AC$419,MATCH(1,IF(T$10&amp;"-"&amp;$C17=$AB$10:$AB$419&amp;"-"&amp;$AA$10:$AA$419,1,""),0)),$X$10:$Y$28,2,FALSE),"")</f>
        <v/>
      </c>
      <c r="W17" t="b">
        <v>0</v>
      </c>
      <c r="X17" s="11" t="s">
        <v>213</v>
      </c>
      <c r="Y17" s="11">
        <v>321</v>
      </c>
      <c r="Z17" s="8"/>
      <c r="AA17" s="11">
        <v>2</v>
      </c>
      <c r="AB17" s="11">
        <v>13</v>
      </c>
      <c r="AC17" s="11" t="s">
        <v>205</v>
      </c>
      <c r="AD17" t="e">
        <v>#VALUE!</v>
      </c>
    </row>
    <row r="18" spans="2:30" x14ac:dyDescent="0.25">
      <c r="B18" s="207"/>
      <c r="C18">
        <v>8</v>
      </c>
      <c r="D18" s="90" t="str" cm="1">
        <f t="array" ref="D18">IFERROR(VLOOKUP(INDEX($AC$10:$AC$419,MATCH(1,IF(D$10&amp;"-"&amp;$C18=$AB$10:$AB$419&amp;"-"&amp;$AA$10:$AA$419,1,""),0)),$X$10:$Y$28,2,FALSE),"")</f>
        <v/>
      </c>
      <c r="E18" s="90" t="str" cm="1">
        <f t="array" ref="E18">IFERROR(VLOOKUP(INDEX($AC$10:$AC$419,MATCH(1,IF(E$10&amp;"-"&amp;$C18=$AB$10:$AB$419&amp;"-"&amp;$AA$10:$AA$419,1,""),0)),$X$10:$Y$28,2,FALSE),"")</f>
        <v/>
      </c>
      <c r="F18" s="90" t="str" cm="1">
        <f t="array" ref="F18">IFERROR(VLOOKUP(INDEX($AC$10:$AC$419,MATCH(1,IF(F$10&amp;"-"&amp;$C18=$AB$10:$AB$419&amp;"-"&amp;$AA$10:$AA$419,1,""),0)),$X$10:$Y$28,2,FALSE),"")</f>
        <v/>
      </c>
      <c r="G18" s="90" t="str" cm="1">
        <f t="array" ref="G18">IFERROR(VLOOKUP(INDEX($AC$10:$AC$419,MATCH(1,IF(G$10&amp;"-"&amp;$C18=$AB$10:$AB$419&amp;"-"&amp;$AA$10:$AA$419,1,""),0)),$X$10:$Y$28,2,FALSE),"")</f>
        <v/>
      </c>
      <c r="H18" s="90" t="str" cm="1">
        <f t="array" ref="H18">IFERROR(VLOOKUP(INDEX($AC$10:$AC$419,MATCH(1,IF(H$10&amp;"-"&amp;$C18=$AB$10:$AB$419&amp;"-"&amp;$AA$10:$AA$419,1,""),0)),$X$10:$Y$28,2,FALSE),"")</f>
        <v/>
      </c>
      <c r="I18" s="90" cm="1">
        <f t="array" ref="I18">IFERROR(VLOOKUP(INDEX($AC$10:$AC$419,MATCH(1,IF(I$10&amp;"-"&amp;$C18=$AB$10:$AB$419&amp;"-"&amp;$AA$10:$AA$419,1,""),0)),$X$10:$Y$28,2,FALSE),"")</f>
        <v>74</v>
      </c>
      <c r="J18" s="90" cm="1">
        <f t="array" ref="J18">IFERROR(VLOOKUP(INDEX($AC$10:$AC$419,MATCH(1,IF(J$10&amp;"-"&amp;$C18=$AB$10:$AB$419&amp;"-"&amp;$AA$10:$AA$419,1,""),0)),$X$10:$Y$28,2,FALSE),"")</f>
        <v>74</v>
      </c>
      <c r="K18" s="90" cm="1">
        <f t="array" ref="K18">IFERROR(VLOOKUP(INDEX($AC$10:$AC$419,MATCH(1,IF(K$10&amp;"-"&amp;$C18=$AB$10:$AB$419&amp;"-"&amp;$AA$10:$AA$419,1,""),0)),$X$10:$Y$28,2,FALSE),"")</f>
        <v>74</v>
      </c>
      <c r="L18" s="90" cm="1">
        <f t="array" ref="L18">IFERROR(VLOOKUP(INDEX($AC$10:$AC$419,MATCH(1,IF(L$10&amp;"-"&amp;$C18=$AB$10:$AB$419&amp;"-"&amp;$AA$10:$AA$419,1,""),0)),$X$10:$Y$28,2,FALSE),"")</f>
        <v>74</v>
      </c>
      <c r="M18" s="90" cm="1">
        <f t="array" ref="M18">IFERROR(VLOOKUP(INDEX($AC$10:$AC$419,MATCH(1,IF(M$10&amp;"-"&amp;$C18=$AB$10:$AB$419&amp;"-"&amp;$AA$10:$AA$419,1,""),0)),$X$10:$Y$28,2,FALSE),"")</f>
        <v>200</v>
      </c>
      <c r="N18" s="90" cm="1">
        <f t="array" ref="N18">IFERROR(VLOOKUP(INDEX($AC$10:$AC$419,MATCH(1,IF(N$10&amp;"-"&amp;$C18=$AB$10:$AB$419&amp;"-"&amp;$AA$10:$AA$419,1,""),0)),$X$10:$Y$28,2,FALSE),"")</f>
        <v>200</v>
      </c>
      <c r="O18" s="90" cm="1">
        <f t="array" ref="O18">IFERROR(VLOOKUP(INDEX($AC$10:$AC$419,MATCH(1,IF(O$10&amp;"-"&amp;$C18=$AB$10:$AB$419&amp;"-"&amp;$AA$10:$AA$419,1,""),0)),$X$10:$Y$28,2,FALSE),"")</f>
        <v>200</v>
      </c>
      <c r="P18" s="90" cm="1">
        <f t="array" ref="P18">IFERROR(VLOOKUP(INDEX($AC$10:$AC$419,MATCH(1,IF(P$10&amp;"-"&amp;$C18=$AB$10:$AB$419&amp;"-"&amp;$AA$10:$AA$419,1,""),0)),$X$10:$Y$28,2,FALSE),"")</f>
        <v>200</v>
      </c>
      <c r="Q18" s="90" cm="1">
        <f t="array" ref="Q18">IFERROR(VLOOKUP(INDEX($AC$10:$AC$419,MATCH(1,IF(Q$10&amp;"-"&amp;$C18=$AB$10:$AB$419&amp;"-"&amp;$AA$10:$AA$419,1,""),0)),$X$10:$Y$28,2,FALSE),"")</f>
        <v>200</v>
      </c>
      <c r="R18" s="90" cm="1">
        <f t="array" ref="R18">IFERROR(VLOOKUP(INDEX($AC$10:$AC$419,MATCH(1,IF(R$10&amp;"-"&amp;$C18=$AB$10:$AB$419&amp;"-"&amp;$AA$10:$AA$419,1,""),0)),$X$10:$Y$28,2,FALSE),"")</f>
        <v>88</v>
      </c>
      <c r="S18" s="90" cm="1">
        <f t="array" ref="S18">IFERROR(VLOOKUP(INDEX($AC$10:$AC$419,MATCH(1,IF(S$10&amp;"-"&amp;$C18=$AB$10:$AB$419&amp;"-"&amp;$AA$10:$AA$419,1,""),0)),$X$10:$Y$28,2,FALSE),"")</f>
        <v>88</v>
      </c>
      <c r="T18" s="90" t="str" cm="1">
        <f t="array" ref="T18">IFERROR(VLOOKUP(INDEX($AC$10:$AC$419,MATCH(1,IF(T$10&amp;"-"&amp;$C18=$AB$10:$AB$419&amp;"-"&amp;$AA$10:$AA$419,1,""),0)),$X$10:$Y$28,2,FALSE),"")</f>
        <v/>
      </c>
      <c r="W18" t="b">
        <v>0</v>
      </c>
      <c r="X18" s="11" t="s">
        <v>214</v>
      </c>
      <c r="Y18" s="11">
        <v>305</v>
      </c>
      <c r="Z18" s="8"/>
      <c r="AA18" s="11">
        <v>2</v>
      </c>
      <c r="AB18" s="11">
        <v>14</v>
      </c>
      <c r="AC18" s="11" t="s">
        <v>205</v>
      </c>
      <c r="AD18" t="e">
        <v>#VALUE!</v>
      </c>
    </row>
    <row r="19" spans="2:30" x14ac:dyDescent="0.25">
      <c r="B19" s="207"/>
      <c r="C19">
        <v>9</v>
      </c>
      <c r="D19" s="90" t="str" cm="1">
        <f t="array" ref="D19">IFERROR(VLOOKUP(INDEX($AC$10:$AC$419,MATCH(1,IF(D$10&amp;"-"&amp;$C19=$AB$10:$AB$419&amp;"-"&amp;$AA$10:$AA$419,1,""),0)),$X$10:$Y$28,2,FALSE),"")</f>
        <v/>
      </c>
      <c r="E19" s="90" t="str" cm="1">
        <f t="array" ref="E19">IFERROR(VLOOKUP(INDEX($AC$10:$AC$419,MATCH(1,IF(E$10&amp;"-"&amp;$C19=$AB$10:$AB$419&amp;"-"&amp;$AA$10:$AA$419,1,""),0)),$X$10:$Y$28,2,FALSE),"")</f>
        <v/>
      </c>
      <c r="F19" s="90" t="str" cm="1">
        <f t="array" ref="F19">IFERROR(VLOOKUP(INDEX($AC$10:$AC$419,MATCH(1,IF(F$10&amp;"-"&amp;$C19=$AB$10:$AB$419&amp;"-"&amp;$AA$10:$AA$419,1,""),0)),$X$10:$Y$28,2,FALSE),"")</f>
        <v/>
      </c>
      <c r="G19" s="90" t="str" cm="1">
        <f t="array" ref="G19">IFERROR(VLOOKUP(INDEX($AC$10:$AC$419,MATCH(1,IF(G$10&amp;"-"&amp;$C19=$AB$10:$AB$419&amp;"-"&amp;$AA$10:$AA$419,1,""),0)),$X$10:$Y$28,2,FALSE),"")</f>
        <v/>
      </c>
      <c r="H19" s="90" cm="1">
        <f t="array" ref="H19">IFERROR(VLOOKUP(INDEX($AC$10:$AC$419,MATCH(1,IF(H$10&amp;"-"&amp;$C19=$AB$10:$AB$419&amp;"-"&amp;$AA$10:$AA$419,1,""),0)),$X$10:$Y$28,2,FALSE),"")</f>
        <v>74</v>
      </c>
      <c r="I19" s="90" cm="1">
        <f t="array" ref="I19">IFERROR(VLOOKUP(INDEX($AC$10:$AC$419,MATCH(1,IF(I$10&amp;"-"&amp;$C19=$AB$10:$AB$419&amp;"-"&amp;$AA$10:$AA$419,1,""),0)),$X$10:$Y$28,2,FALSE),"")</f>
        <v>74</v>
      </c>
      <c r="J19" s="90" cm="1">
        <f t="array" ref="J19">IFERROR(VLOOKUP(INDEX($AC$10:$AC$419,MATCH(1,IF(J$10&amp;"-"&amp;$C19=$AB$10:$AB$419&amp;"-"&amp;$AA$10:$AA$419,1,""),0)),$X$10:$Y$28,2,FALSE),"")</f>
        <v>74</v>
      </c>
      <c r="K19" s="90" cm="1">
        <f t="array" ref="K19">IFERROR(VLOOKUP(INDEX($AC$10:$AC$419,MATCH(1,IF(K$10&amp;"-"&amp;$C19=$AB$10:$AB$419&amp;"-"&amp;$AA$10:$AA$419,1,""),0)),$X$10:$Y$28,2,FALSE),"")</f>
        <v>74</v>
      </c>
      <c r="L19" s="90" cm="1">
        <f t="array" ref="L19">IFERROR(VLOOKUP(INDEX($AC$10:$AC$419,MATCH(1,IF(L$10&amp;"-"&amp;$C19=$AB$10:$AB$419&amp;"-"&amp;$AA$10:$AA$419,1,""),0)),$X$10:$Y$28,2,FALSE),"")</f>
        <v>74</v>
      </c>
      <c r="M19" s="90" cm="1">
        <f t="array" ref="M19">IFERROR(VLOOKUP(INDEX($AC$10:$AC$419,MATCH(1,IF(M$10&amp;"-"&amp;$C19=$AB$10:$AB$419&amp;"-"&amp;$AA$10:$AA$419,1,""),0)),$X$10:$Y$28,2,FALSE),"")</f>
        <v>74</v>
      </c>
      <c r="N19" s="90" cm="1">
        <f t="array" ref="N19">IFERROR(VLOOKUP(INDEX($AC$10:$AC$419,MATCH(1,IF(N$10&amp;"-"&amp;$C19=$AB$10:$AB$419&amp;"-"&amp;$AA$10:$AA$419,1,""),0)),$X$10:$Y$28,2,FALSE),"")</f>
        <v>200</v>
      </c>
      <c r="O19" s="90" cm="1">
        <f t="array" ref="O19">IFERROR(VLOOKUP(INDEX($AC$10:$AC$419,MATCH(1,IF(O$10&amp;"-"&amp;$C19=$AB$10:$AB$419&amp;"-"&amp;$AA$10:$AA$419,1,""),0)),$X$10:$Y$28,2,FALSE),"")</f>
        <v>200</v>
      </c>
      <c r="P19" s="90" cm="1">
        <f t="array" ref="P19">IFERROR(VLOOKUP(INDEX($AC$10:$AC$419,MATCH(1,IF(P$10&amp;"-"&amp;$C19=$AB$10:$AB$419&amp;"-"&amp;$AA$10:$AA$419,1,""),0)),$X$10:$Y$28,2,FALSE),"")</f>
        <v>200</v>
      </c>
      <c r="Q19" s="90" cm="1">
        <f t="array" ref="Q19">IFERROR(VLOOKUP(INDEX($AC$10:$AC$419,MATCH(1,IF(Q$10&amp;"-"&amp;$C19=$AB$10:$AB$419&amp;"-"&amp;$AA$10:$AA$419,1,""),0)),$X$10:$Y$28,2,FALSE),"")</f>
        <v>200</v>
      </c>
      <c r="R19" s="90" cm="1">
        <f t="array" ref="R19">IFERROR(VLOOKUP(INDEX($AC$10:$AC$419,MATCH(1,IF(R$10&amp;"-"&amp;$C19=$AB$10:$AB$419&amp;"-"&amp;$AA$10:$AA$419,1,""),0)),$X$10:$Y$28,2,FALSE),"")</f>
        <v>88</v>
      </c>
      <c r="S19" s="90" cm="1">
        <f t="array" ref="S19">IFERROR(VLOOKUP(INDEX($AC$10:$AC$419,MATCH(1,IF(S$10&amp;"-"&amp;$C19=$AB$10:$AB$419&amp;"-"&amp;$AA$10:$AA$419,1,""),0)),$X$10:$Y$28,2,FALSE),"")</f>
        <v>88</v>
      </c>
      <c r="T19" s="90" t="str" cm="1">
        <f t="array" ref="T19">IFERROR(VLOOKUP(INDEX($AC$10:$AC$419,MATCH(1,IF(T$10&amp;"-"&amp;$C19=$AB$10:$AB$419&amp;"-"&amp;$AA$10:$AA$419,1,""),0)),$X$10:$Y$28,2,FALSE),"")</f>
        <v/>
      </c>
      <c r="W19" t="b">
        <v>0</v>
      </c>
      <c r="X19" s="11" t="s">
        <v>215</v>
      </c>
      <c r="Y19" s="11">
        <v>27</v>
      </c>
      <c r="Z19" s="8"/>
      <c r="AA19" s="11">
        <v>2</v>
      </c>
      <c r="AB19" s="11">
        <v>15</v>
      </c>
      <c r="AC19" s="11" t="s">
        <v>210</v>
      </c>
      <c r="AD19" t="e">
        <v>#VALUE!</v>
      </c>
    </row>
    <row r="20" spans="2:30" x14ac:dyDescent="0.25">
      <c r="B20" s="207"/>
      <c r="C20">
        <v>10</v>
      </c>
      <c r="D20" s="90" t="str" cm="1">
        <f t="array" ref="D20">IFERROR(VLOOKUP(INDEX($AC$10:$AC$419,MATCH(1,IF(D$10&amp;"-"&amp;$C20=$AB$10:$AB$419&amp;"-"&amp;$AA$10:$AA$419,1,""),0)),$X$10:$Y$28,2,FALSE),"")</f>
        <v/>
      </c>
      <c r="E20" s="90" t="str" cm="1">
        <f t="array" ref="E20">IFERROR(VLOOKUP(INDEX($AC$10:$AC$419,MATCH(1,IF(E$10&amp;"-"&amp;$C20=$AB$10:$AB$419&amp;"-"&amp;$AA$10:$AA$419,1,""),0)),$X$10:$Y$28,2,FALSE),"")</f>
        <v/>
      </c>
      <c r="F20" s="90" t="str" cm="1">
        <f t="array" ref="F20">IFERROR(VLOOKUP(INDEX($AC$10:$AC$419,MATCH(1,IF(F$10&amp;"-"&amp;$C20=$AB$10:$AB$419&amp;"-"&amp;$AA$10:$AA$419,1,""),0)),$X$10:$Y$28,2,FALSE),"")</f>
        <v/>
      </c>
      <c r="G20" s="90" t="str" cm="1">
        <f t="array" ref="G20">IFERROR(VLOOKUP(INDEX($AC$10:$AC$419,MATCH(1,IF(G$10&amp;"-"&amp;$C20=$AB$10:$AB$419&amp;"-"&amp;$AA$10:$AA$419,1,""),0)),$X$10:$Y$28,2,FALSE),"")</f>
        <v/>
      </c>
      <c r="H20" s="90" t="str" cm="1">
        <f t="array" ref="H20">IFERROR(VLOOKUP(INDEX($AC$10:$AC$419,MATCH(1,IF(H$10&amp;"-"&amp;$C20=$AB$10:$AB$419&amp;"-"&amp;$AA$10:$AA$419,1,""),0)),$X$10:$Y$28,2,FALSE),"")</f>
        <v/>
      </c>
      <c r="I20" s="90" cm="1">
        <f t="array" ref="I20">IFERROR(VLOOKUP(INDEX($AC$10:$AC$419,MATCH(1,IF(I$10&amp;"-"&amp;$C20=$AB$10:$AB$419&amp;"-"&amp;$AA$10:$AA$419,1,""),0)),$X$10:$Y$28,2,FALSE),"")</f>
        <v>321</v>
      </c>
      <c r="J20" s="90" cm="1">
        <f t="array" ref="J20">IFERROR(VLOOKUP(INDEX($AC$10:$AC$419,MATCH(1,IF(J$10&amp;"-"&amp;$C20=$AB$10:$AB$419&amp;"-"&amp;$AA$10:$AA$419,1,""),0)),$X$10:$Y$28,2,FALSE),"")</f>
        <v>74</v>
      </c>
      <c r="K20" s="90" cm="1">
        <f t="array" ref="K20">IFERROR(VLOOKUP(INDEX($AC$10:$AC$419,MATCH(1,IF(K$10&amp;"-"&amp;$C20=$AB$10:$AB$419&amp;"-"&amp;$AA$10:$AA$419,1,""),0)),$X$10:$Y$28,2,FALSE),"")</f>
        <v>74</v>
      </c>
      <c r="L20" s="90" cm="1">
        <f t="array" ref="L20">IFERROR(VLOOKUP(INDEX($AC$10:$AC$419,MATCH(1,IF(L$10&amp;"-"&amp;$C20=$AB$10:$AB$419&amp;"-"&amp;$AA$10:$AA$419,1,""),0)),$X$10:$Y$28,2,FALSE),"")</f>
        <v>74</v>
      </c>
      <c r="M20" s="90" cm="1">
        <f t="array" ref="M20">IFERROR(VLOOKUP(INDEX($AC$10:$AC$419,MATCH(1,IF(M$10&amp;"-"&amp;$C20=$AB$10:$AB$419&amp;"-"&amp;$AA$10:$AA$419,1,""),0)),$X$10:$Y$28,2,FALSE),"")</f>
        <v>74</v>
      </c>
      <c r="N20" s="90" cm="1">
        <f t="array" ref="N20">IFERROR(VLOOKUP(INDEX($AC$10:$AC$419,MATCH(1,IF(N$10&amp;"-"&amp;$C20=$AB$10:$AB$419&amp;"-"&amp;$AA$10:$AA$419,1,""),0)),$X$10:$Y$28,2,FALSE),"")</f>
        <v>74</v>
      </c>
      <c r="O20" s="90" cm="1">
        <f t="array" ref="O20">IFERROR(VLOOKUP(INDEX($AC$10:$AC$419,MATCH(1,IF(O$10&amp;"-"&amp;$C20=$AB$10:$AB$419&amp;"-"&amp;$AA$10:$AA$419,1,""),0)),$X$10:$Y$28,2,FALSE),"")</f>
        <v>200</v>
      </c>
      <c r="P20" s="90" cm="1">
        <f t="array" ref="P20">IFERROR(VLOOKUP(INDEX($AC$10:$AC$419,MATCH(1,IF(P$10&amp;"-"&amp;$C20=$AB$10:$AB$419&amp;"-"&amp;$AA$10:$AA$419,1,""),0)),$X$10:$Y$28,2,FALSE),"")</f>
        <v>200</v>
      </c>
      <c r="Q20" s="90" cm="1">
        <f t="array" ref="Q20">IFERROR(VLOOKUP(INDEX($AC$10:$AC$419,MATCH(1,IF(Q$10&amp;"-"&amp;$C20=$AB$10:$AB$419&amp;"-"&amp;$AA$10:$AA$419,1,""),0)),$X$10:$Y$28,2,FALSE),"")</f>
        <v>200</v>
      </c>
      <c r="R20" s="90" cm="1">
        <f t="array" ref="R20">IFERROR(VLOOKUP(INDEX($AC$10:$AC$419,MATCH(1,IF(R$10&amp;"-"&amp;$C20=$AB$10:$AB$419&amp;"-"&amp;$AA$10:$AA$419,1,""),0)),$X$10:$Y$28,2,FALSE),"")</f>
        <v>88</v>
      </c>
      <c r="S20" s="90" cm="1">
        <f t="array" ref="S20">IFERROR(VLOOKUP(INDEX($AC$10:$AC$419,MATCH(1,IF(S$10&amp;"-"&amp;$C20=$AB$10:$AB$419&amp;"-"&amp;$AA$10:$AA$419,1,""),0)),$X$10:$Y$28,2,FALSE),"")</f>
        <v>88</v>
      </c>
      <c r="T20" s="90" cm="1">
        <f t="array" ref="T20">IFERROR(VLOOKUP(INDEX($AC$10:$AC$419,MATCH(1,IF(T$10&amp;"-"&amp;$C20=$AB$10:$AB$419&amp;"-"&amp;$AA$10:$AA$419,1,""),0)),$X$10:$Y$28,2,FALSE),"")</f>
        <v>88</v>
      </c>
      <c r="W20" t="b">
        <v>0</v>
      </c>
      <c r="X20" s="11" t="s">
        <v>216</v>
      </c>
      <c r="Y20" s="11">
        <v>26</v>
      </c>
      <c r="Z20" s="8"/>
      <c r="AA20" s="11">
        <v>2</v>
      </c>
      <c r="AB20" s="11">
        <v>16</v>
      </c>
      <c r="AC20" s="11" t="s">
        <v>210</v>
      </c>
      <c r="AD20" t="e">
        <v>#VALUE!</v>
      </c>
    </row>
    <row r="21" spans="2:30" x14ac:dyDescent="0.25">
      <c r="B21" s="207"/>
      <c r="C21">
        <v>11</v>
      </c>
      <c r="D21" s="90" t="str" cm="1">
        <f t="array" ref="D21">IFERROR(VLOOKUP(INDEX($AC$10:$AC$419,MATCH(1,IF(D$10&amp;"-"&amp;$C21=$AB$10:$AB$419&amp;"-"&amp;$AA$10:$AA$419,1,""),0)),$X$10:$Y$28,2,FALSE),"")</f>
        <v/>
      </c>
      <c r="E21" s="90" t="str" cm="1">
        <f t="array" ref="E21">IFERROR(VLOOKUP(INDEX($AC$10:$AC$419,MATCH(1,IF(E$10&amp;"-"&amp;$C21=$AB$10:$AB$419&amp;"-"&amp;$AA$10:$AA$419,1,""),0)),$X$10:$Y$28,2,FALSE),"")</f>
        <v/>
      </c>
      <c r="F21" s="90" t="str" cm="1">
        <f t="array" ref="F21">IFERROR(VLOOKUP(INDEX($AC$10:$AC$419,MATCH(1,IF(F$10&amp;"-"&amp;$C21=$AB$10:$AB$419&amp;"-"&amp;$AA$10:$AA$419,1,""),0)),$X$10:$Y$28,2,FALSE),"")</f>
        <v/>
      </c>
      <c r="G21" s="90" t="str" cm="1">
        <f t="array" ref="G21">IFERROR(VLOOKUP(INDEX($AC$10:$AC$419,MATCH(1,IF(G$10&amp;"-"&amp;$C21=$AB$10:$AB$419&amp;"-"&amp;$AA$10:$AA$419,1,""),0)),$X$10:$Y$28,2,FALSE),"")</f>
        <v/>
      </c>
      <c r="H21" s="90" cm="1">
        <f t="array" ref="H21">IFERROR(VLOOKUP(INDEX($AC$10:$AC$419,MATCH(1,IF(H$10&amp;"-"&amp;$C21=$AB$10:$AB$419&amp;"-"&amp;$AA$10:$AA$419,1,""),0)),$X$10:$Y$28,2,FALSE),"")</f>
        <v>321</v>
      </c>
      <c r="I21" s="90" cm="1">
        <f t="array" ref="I21">IFERROR(VLOOKUP(INDEX($AC$10:$AC$419,MATCH(1,IF(I$10&amp;"-"&amp;$C21=$AB$10:$AB$419&amp;"-"&amp;$AA$10:$AA$419,1,""),0)),$X$10:$Y$28,2,FALSE),"")</f>
        <v>321</v>
      </c>
      <c r="J21" s="90" cm="1">
        <f t="array" ref="J21">IFERROR(VLOOKUP(INDEX($AC$10:$AC$419,MATCH(1,IF(J$10&amp;"-"&amp;$C21=$AB$10:$AB$419&amp;"-"&amp;$AA$10:$AA$419,1,""),0)),$X$10:$Y$28,2,FALSE),"")</f>
        <v>321</v>
      </c>
      <c r="K21" s="90" cm="1">
        <f t="array" ref="K21">IFERROR(VLOOKUP(INDEX($AC$10:$AC$419,MATCH(1,IF(K$10&amp;"-"&amp;$C21=$AB$10:$AB$419&amp;"-"&amp;$AA$10:$AA$419,1,""),0)),$X$10:$Y$28,2,FALSE),"")</f>
        <v>74</v>
      </c>
      <c r="L21" s="90" cm="1">
        <f t="array" ref="L21">IFERROR(VLOOKUP(INDEX($AC$10:$AC$419,MATCH(1,IF(L$10&amp;"-"&amp;$C21=$AB$10:$AB$419&amp;"-"&amp;$AA$10:$AA$419,1,""),0)),$X$10:$Y$28,2,FALSE),"")</f>
        <v>74</v>
      </c>
      <c r="M21" s="90" cm="1">
        <f t="array" ref="M21">IFERROR(VLOOKUP(INDEX($AC$10:$AC$419,MATCH(1,IF(M$10&amp;"-"&amp;$C21=$AB$10:$AB$419&amp;"-"&amp;$AA$10:$AA$419,1,""),0)),$X$10:$Y$28,2,FALSE),"")</f>
        <v>74</v>
      </c>
      <c r="N21" s="90" cm="1">
        <f t="array" ref="N21">IFERROR(VLOOKUP(INDEX($AC$10:$AC$419,MATCH(1,IF(N$10&amp;"-"&amp;$C21=$AB$10:$AB$419&amp;"-"&amp;$AA$10:$AA$419,1,""),0)),$X$10:$Y$28,2,FALSE),"")</f>
        <v>74</v>
      </c>
      <c r="O21" s="90" cm="1">
        <f t="array" ref="O21">IFERROR(VLOOKUP(INDEX($AC$10:$AC$419,MATCH(1,IF(O$10&amp;"-"&amp;$C21=$AB$10:$AB$419&amp;"-"&amp;$AA$10:$AA$419,1,""),0)),$X$10:$Y$28,2,FALSE),"")</f>
        <v>200</v>
      </c>
      <c r="P21" s="90" cm="1">
        <f t="array" ref="P21">IFERROR(VLOOKUP(INDEX($AC$10:$AC$419,MATCH(1,IF(P$10&amp;"-"&amp;$C21=$AB$10:$AB$419&amp;"-"&amp;$AA$10:$AA$419,1,""),0)),$X$10:$Y$28,2,FALSE),"")</f>
        <v>200</v>
      </c>
      <c r="Q21" s="90" cm="1">
        <f t="array" ref="Q21">IFERROR(VLOOKUP(INDEX($AC$10:$AC$419,MATCH(1,IF(Q$10&amp;"-"&amp;$C21=$AB$10:$AB$419&amp;"-"&amp;$AA$10:$AA$419,1,""),0)),$X$10:$Y$28,2,FALSE),"")</f>
        <v>200</v>
      </c>
      <c r="R21" s="90" cm="1">
        <f t="array" ref="R21">IFERROR(VLOOKUP(INDEX($AC$10:$AC$419,MATCH(1,IF(R$10&amp;"-"&amp;$C21=$AB$10:$AB$419&amp;"-"&amp;$AA$10:$AA$419,1,""),0)),$X$10:$Y$28,2,FALSE),"")</f>
        <v>88</v>
      </c>
      <c r="S21" s="90" cm="1">
        <f t="array" ref="S21">IFERROR(VLOOKUP(INDEX($AC$10:$AC$419,MATCH(1,IF(S$10&amp;"-"&amp;$C21=$AB$10:$AB$419&amp;"-"&amp;$AA$10:$AA$419,1,""),0)),$X$10:$Y$28,2,FALSE),"")</f>
        <v>88</v>
      </c>
      <c r="T21" s="90" t="str" cm="1">
        <f t="array" ref="T21">IFERROR(VLOOKUP(INDEX($AC$10:$AC$419,MATCH(1,IF(T$10&amp;"-"&amp;$C21=$AB$10:$AB$419&amp;"-"&amp;$AA$10:$AA$419,1,""),0)),$X$10:$Y$28,2,FALSE),"")</f>
        <v/>
      </c>
      <c r="W21" t="b">
        <v>0</v>
      </c>
      <c r="X21" s="11" t="s">
        <v>217</v>
      </c>
      <c r="Y21" s="11">
        <v>52</v>
      </c>
      <c r="Z21" s="8"/>
      <c r="AA21" s="11">
        <v>3</v>
      </c>
      <c r="AB21" s="11">
        <v>10</v>
      </c>
      <c r="AC21" s="11" t="s">
        <v>205</v>
      </c>
      <c r="AD21" t="e">
        <v>#VALUE!</v>
      </c>
    </row>
    <row r="22" spans="2:30" x14ac:dyDescent="0.25">
      <c r="B22" s="207"/>
      <c r="C22">
        <v>12</v>
      </c>
      <c r="D22" s="90" t="str" cm="1">
        <f t="array" ref="D22">IFERROR(VLOOKUP(INDEX($AC$10:$AC$419,MATCH(1,IF(D$10&amp;"-"&amp;$C22=$AB$10:$AB$419&amp;"-"&amp;$AA$10:$AA$419,1,""),0)),$X$10:$Y$28,2,FALSE),"")</f>
        <v/>
      </c>
      <c r="E22" s="90" t="str" cm="1">
        <f t="array" ref="E22">IFERROR(VLOOKUP(INDEX($AC$10:$AC$419,MATCH(1,IF(E$10&amp;"-"&amp;$C22=$AB$10:$AB$419&amp;"-"&amp;$AA$10:$AA$419,1,""),0)),$X$10:$Y$28,2,FALSE),"")</f>
        <v/>
      </c>
      <c r="F22" s="90" t="str" cm="1">
        <f t="array" ref="F22">IFERROR(VLOOKUP(INDEX($AC$10:$AC$419,MATCH(1,IF(F$10&amp;"-"&amp;$C22=$AB$10:$AB$419&amp;"-"&amp;$AA$10:$AA$419,1,""),0)),$X$10:$Y$28,2,FALSE),"")</f>
        <v/>
      </c>
      <c r="G22" s="90" cm="1">
        <f t="array" ref="G22">IFERROR(VLOOKUP(INDEX($AC$10:$AC$419,MATCH(1,IF(G$10&amp;"-"&amp;$C22=$AB$10:$AB$419&amp;"-"&amp;$AA$10:$AA$419,1,""),0)),$X$10:$Y$28,2,FALSE),"")</f>
        <v>321</v>
      </c>
      <c r="H22" s="90" cm="1">
        <f t="array" ref="H22">IFERROR(VLOOKUP(INDEX($AC$10:$AC$419,MATCH(1,IF(H$10&amp;"-"&amp;$C22=$AB$10:$AB$419&amp;"-"&amp;$AA$10:$AA$419,1,""),0)),$X$10:$Y$28,2,FALSE),"")</f>
        <v>321</v>
      </c>
      <c r="I22" s="90" cm="1">
        <f t="array" ref="I22">IFERROR(VLOOKUP(INDEX($AC$10:$AC$419,MATCH(1,IF(I$10&amp;"-"&amp;$C22=$AB$10:$AB$419&amp;"-"&amp;$AA$10:$AA$419,1,""),0)),$X$10:$Y$28,2,FALSE),"")</f>
        <v>321</v>
      </c>
      <c r="J22" s="90" cm="1">
        <f t="array" ref="J22">IFERROR(VLOOKUP(INDEX($AC$10:$AC$419,MATCH(1,IF(J$10&amp;"-"&amp;$C22=$AB$10:$AB$419&amp;"-"&amp;$AA$10:$AA$419,1,""),0)),$X$10:$Y$28,2,FALSE),"")</f>
        <v>321</v>
      </c>
      <c r="K22" s="90" cm="1">
        <f t="array" ref="K22">IFERROR(VLOOKUP(INDEX($AC$10:$AC$419,MATCH(1,IF(K$10&amp;"-"&amp;$C22=$AB$10:$AB$419&amp;"-"&amp;$AA$10:$AA$419,1,""),0)),$X$10:$Y$28,2,FALSE),"")</f>
        <v>321</v>
      </c>
      <c r="L22" s="90" cm="1">
        <f t="array" ref="L22">IFERROR(VLOOKUP(INDEX($AC$10:$AC$419,MATCH(1,IF(L$10&amp;"-"&amp;$C22=$AB$10:$AB$419&amp;"-"&amp;$AA$10:$AA$419,1,""),0)),$X$10:$Y$28,2,FALSE),"")</f>
        <v>74</v>
      </c>
      <c r="M22" s="90" cm="1">
        <f t="array" ref="M22">IFERROR(VLOOKUP(INDEX($AC$10:$AC$419,MATCH(1,IF(M$10&amp;"-"&amp;$C22=$AB$10:$AB$419&amp;"-"&amp;$AA$10:$AA$419,1,""),0)),$X$10:$Y$28,2,FALSE),"")</f>
        <v>74</v>
      </c>
      <c r="N22" s="90" cm="1">
        <f t="array" ref="N22">IFERROR(VLOOKUP(INDEX($AC$10:$AC$419,MATCH(1,IF(N$10&amp;"-"&amp;$C22=$AB$10:$AB$419&amp;"-"&amp;$AA$10:$AA$419,1,""),0)),$X$10:$Y$28,2,FALSE),"")</f>
        <v>74</v>
      </c>
      <c r="O22" s="90" cm="1">
        <f t="array" ref="O22">IFERROR(VLOOKUP(INDEX($AC$10:$AC$419,MATCH(1,IF(O$10&amp;"-"&amp;$C22=$AB$10:$AB$419&amp;"-"&amp;$AA$10:$AA$419,1,""),0)),$X$10:$Y$28,2,FALSE),"")</f>
        <v>74</v>
      </c>
      <c r="P22" s="90" cm="1">
        <f t="array" ref="P22">IFERROR(VLOOKUP(INDEX($AC$10:$AC$419,MATCH(1,IF(P$10&amp;"-"&amp;$C22=$AB$10:$AB$419&amp;"-"&amp;$AA$10:$AA$419,1,""),0)),$X$10:$Y$28,2,FALSE),"")</f>
        <v>116</v>
      </c>
      <c r="Q22" s="90" cm="1">
        <f t="array" ref="Q22">IFERROR(VLOOKUP(INDEX($AC$10:$AC$419,MATCH(1,IF(Q$10&amp;"-"&amp;$C22=$AB$10:$AB$419&amp;"-"&amp;$AA$10:$AA$419,1,""),0)),$X$10:$Y$28,2,FALSE),"")</f>
        <v>116</v>
      </c>
      <c r="R22" s="90" cm="1">
        <f t="array" ref="R22">IFERROR(VLOOKUP(INDEX($AC$10:$AC$419,MATCH(1,IF(R$10&amp;"-"&amp;$C22=$AB$10:$AB$419&amp;"-"&amp;$AA$10:$AA$419,1,""),0)),$X$10:$Y$28,2,FALSE),"")</f>
        <v>88</v>
      </c>
      <c r="S22" s="90" cm="1">
        <f t="array" ref="S22">IFERROR(VLOOKUP(INDEX($AC$10:$AC$419,MATCH(1,IF(S$10&amp;"-"&amp;$C22=$AB$10:$AB$419&amp;"-"&amp;$AA$10:$AA$419,1,""),0)),$X$10:$Y$28,2,FALSE),"")</f>
        <v>88</v>
      </c>
      <c r="T22" s="90" t="str" cm="1">
        <f t="array" ref="T22">IFERROR(VLOOKUP(INDEX($AC$10:$AC$419,MATCH(1,IF(T$10&amp;"-"&amp;$C22=$AB$10:$AB$419&amp;"-"&amp;$AA$10:$AA$419,1,""),0)),$X$10:$Y$28,2,FALSE),"")</f>
        <v/>
      </c>
      <c r="W22" t="b">
        <v>0</v>
      </c>
      <c r="X22" s="11" t="s">
        <v>218</v>
      </c>
      <c r="Y22" s="11">
        <v>14</v>
      </c>
      <c r="Z22" s="8"/>
      <c r="AA22" s="11">
        <v>3</v>
      </c>
      <c r="AB22" s="11">
        <v>11</v>
      </c>
      <c r="AC22" s="11" t="s">
        <v>205</v>
      </c>
      <c r="AD22" t="e">
        <v>#VALUE!</v>
      </c>
    </row>
    <row r="23" spans="2:30" x14ac:dyDescent="0.25">
      <c r="B23" s="207"/>
      <c r="C23">
        <v>13</v>
      </c>
      <c r="D23" s="90" t="str" cm="1">
        <f t="array" ref="D23">IFERROR(VLOOKUP(INDEX($AC$10:$AC$419,MATCH(1,IF(D$10&amp;"-"&amp;$C23=$AB$10:$AB$419&amp;"-"&amp;$AA$10:$AA$419,1,""),0)),$X$10:$Y$28,2,FALSE),"")</f>
        <v/>
      </c>
      <c r="E23" s="90" t="str" cm="1">
        <f t="array" ref="E23">IFERROR(VLOOKUP(INDEX($AC$10:$AC$419,MATCH(1,IF(E$10&amp;"-"&amp;$C23=$AB$10:$AB$419&amp;"-"&amp;$AA$10:$AA$419,1,""),0)),$X$10:$Y$28,2,FALSE),"")</f>
        <v/>
      </c>
      <c r="F23" s="90" t="str" cm="1">
        <f t="array" ref="F23">IFERROR(VLOOKUP(INDEX($AC$10:$AC$419,MATCH(1,IF(F$10&amp;"-"&amp;$C23=$AB$10:$AB$419&amp;"-"&amp;$AA$10:$AA$419,1,""),0)),$X$10:$Y$28,2,FALSE),"")</f>
        <v/>
      </c>
      <c r="G23" s="90" cm="1">
        <f t="array" ref="G23">IFERROR(VLOOKUP(INDEX($AC$10:$AC$419,MATCH(1,IF(G$10&amp;"-"&amp;$C23=$AB$10:$AB$419&amp;"-"&amp;$AA$10:$AA$419,1,""),0)),$X$10:$Y$28,2,FALSE),"")</f>
        <v>321</v>
      </c>
      <c r="H23" s="90" cm="1">
        <f t="array" ref="H23">IFERROR(VLOOKUP(INDEX($AC$10:$AC$419,MATCH(1,IF(H$10&amp;"-"&amp;$C23=$AB$10:$AB$419&amp;"-"&amp;$AA$10:$AA$419,1,""),0)),$X$10:$Y$28,2,FALSE),"")</f>
        <v>321</v>
      </c>
      <c r="I23" s="90" cm="1">
        <f t="array" ref="I23">IFERROR(VLOOKUP(INDEX($AC$10:$AC$419,MATCH(1,IF(I$10&amp;"-"&amp;$C23=$AB$10:$AB$419&amp;"-"&amp;$AA$10:$AA$419,1,""),0)),$X$10:$Y$28,2,FALSE),"")</f>
        <v>321</v>
      </c>
      <c r="J23" s="90" cm="1">
        <f t="array" ref="J23">IFERROR(VLOOKUP(INDEX($AC$10:$AC$419,MATCH(1,IF(J$10&amp;"-"&amp;$C23=$AB$10:$AB$419&amp;"-"&amp;$AA$10:$AA$419,1,""),0)),$X$10:$Y$28,2,FALSE),"")</f>
        <v>321</v>
      </c>
      <c r="K23" s="90" cm="1">
        <f t="array" ref="K23">IFERROR(VLOOKUP(INDEX($AC$10:$AC$419,MATCH(1,IF(K$10&amp;"-"&amp;$C23=$AB$10:$AB$419&amp;"-"&amp;$AA$10:$AA$419,1,""),0)),$X$10:$Y$28,2,FALSE),"")</f>
        <v>321</v>
      </c>
      <c r="L23" s="90" cm="1">
        <f t="array" ref="L23">IFERROR(VLOOKUP(INDEX($AC$10:$AC$419,MATCH(1,IF(L$10&amp;"-"&amp;$C23=$AB$10:$AB$419&amp;"-"&amp;$AA$10:$AA$419,1,""),0)),$X$10:$Y$28,2,FALSE),"")</f>
        <v>74</v>
      </c>
      <c r="M23" s="90" cm="1">
        <f t="array" ref="M23">IFERROR(VLOOKUP(INDEX($AC$10:$AC$419,MATCH(1,IF(M$10&amp;"-"&amp;$C23=$AB$10:$AB$419&amp;"-"&amp;$AA$10:$AA$419,1,""),0)),$X$10:$Y$28,2,FALSE),"")</f>
        <v>74</v>
      </c>
      <c r="N23" s="90" cm="1">
        <f t="array" ref="N23">IFERROR(VLOOKUP(INDEX($AC$10:$AC$419,MATCH(1,IF(N$10&amp;"-"&amp;$C23=$AB$10:$AB$419&amp;"-"&amp;$AA$10:$AA$419,1,""),0)),$X$10:$Y$28,2,FALSE),"")</f>
        <v>74</v>
      </c>
      <c r="O23" s="90" cm="1">
        <f t="array" ref="O23">IFERROR(VLOOKUP(INDEX($AC$10:$AC$419,MATCH(1,IF(O$10&amp;"-"&amp;$C23=$AB$10:$AB$419&amp;"-"&amp;$AA$10:$AA$419,1,""),0)),$X$10:$Y$28,2,FALSE),"")</f>
        <v>74</v>
      </c>
      <c r="P23" s="90" cm="1">
        <f t="array" ref="P23">IFERROR(VLOOKUP(INDEX($AC$10:$AC$419,MATCH(1,IF(P$10&amp;"-"&amp;$C23=$AB$10:$AB$419&amp;"-"&amp;$AA$10:$AA$419,1,""),0)),$X$10:$Y$28,2,FALSE),"")</f>
        <v>116</v>
      </c>
      <c r="Q23" s="90" cm="1">
        <f t="array" ref="Q23">IFERROR(VLOOKUP(INDEX($AC$10:$AC$419,MATCH(1,IF(Q$10&amp;"-"&amp;$C23=$AB$10:$AB$419&amp;"-"&amp;$AA$10:$AA$419,1,""),0)),$X$10:$Y$28,2,FALSE),"")</f>
        <v>116</v>
      </c>
      <c r="R23" s="90" cm="1">
        <f t="array" ref="R23">IFERROR(VLOOKUP(INDEX($AC$10:$AC$419,MATCH(1,IF(R$10&amp;"-"&amp;$C23=$AB$10:$AB$419&amp;"-"&amp;$AA$10:$AA$419,1,""),0)),$X$10:$Y$28,2,FALSE),"")</f>
        <v>88</v>
      </c>
      <c r="S23" s="90" cm="1">
        <f t="array" ref="S23">IFERROR(VLOOKUP(INDEX($AC$10:$AC$419,MATCH(1,IF(S$10&amp;"-"&amp;$C23=$AB$10:$AB$419&amp;"-"&amp;$AA$10:$AA$419,1,""),0)),$X$10:$Y$28,2,FALSE),"")</f>
        <v>88</v>
      </c>
      <c r="T23" s="90" t="str" cm="1">
        <f t="array" ref="T23">IFERROR(VLOOKUP(INDEX($AC$10:$AC$419,MATCH(1,IF(T$10&amp;"-"&amp;$C23=$AB$10:$AB$419&amp;"-"&amp;$AA$10:$AA$419,1,""),0)),$X$10:$Y$28,2,FALSE),"")</f>
        <v/>
      </c>
      <c r="W23" t="b">
        <v>0</v>
      </c>
      <c r="X23" s="11" t="s">
        <v>219</v>
      </c>
      <c r="Y23" s="11">
        <v>9</v>
      </c>
      <c r="Z23" s="8"/>
      <c r="AA23" s="11">
        <v>3</v>
      </c>
      <c r="AB23" s="11">
        <v>13</v>
      </c>
      <c r="AC23" s="11" t="s">
        <v>205</v>
      </c>
      <c r="AD23" t="e">
        <v>#VALUE!</v>
      </c>
    </row>
    <row r="24" spans="2:30" x14ac:dyDescent="0.25">
      <c r="B24" s="207"/>
      <c r="C24">
        <v>14</v>
      </c>
      <c r="D24" s="90" t="str" cm="1">
        <f t="array" ref="D24">IFERROR(VLOOKUP(INDEX($AC$10:$AC$419,MATCH(1,IF(D$10&amp;"-"&amp;$C24=$AB$10:$AB$419&amp;"-"&amp;$AA$10:$AA$419,1,""),0)),$X$10:$Y$28,2,FALSE),"")</f>
        <v/>
      </c>
      <c r="E24" s="90" t="str" cm="1">
        <f t="array" ref="E24">IFERROR(VLOOKUP(INDEX($AC$10:$AC$419,MATCH(1,IF(E$10&amp;"-"&amp;$C24=$AB$10:$AB$419&amp;"-"&amp;$AA$10:$AA$419,1,""),0)),$X$10:$Y$28,2,FALSE),"")</f>
        <v/>
      </c>
      <c r="F24" s="90" t="str" cm="1">
        <f t="array" ref="F24">IFERROR(VLOOKUP(INDEX($AC$10:$AC$419,MATCH(1,IF(F$10&amp;"-"&amp;$C24=$AB$10:$AB$419&amp;"-"&amp;$AA$10:$AA$419,1,""),0)),$X$10:$Y$28,2,FALSE),"")</f>
        <v/>
      </c>
      <c r="G24" s="90" t="str" cm="1">
        <f t="array" ref="G24">IFERROR(VLOOKUP(INDEX($AC$10:$AC$419,MATCH(1,IF(G$10&amp;"-"&amp;$C24=$AB$10:$AB$419&amp;"-"&amp;$AA$10:$AA$419,1,""),0)),$X$10:$Y$28,2,FALSE),"")</f>
        <v/>
      </c>
      <c r="H24" s="90" cm="1">
        <f t="array" ref="H24">IFERROR(VLOOKUP(INDEX($AC$10:$AC$419,MATCH(1,IF(H$10&amp;"-"&amp;$C24=$AB$10:$AB$419&amp;"-"&amp;$AA$10:$AA$419,1,""),0)),$X$10:$Y$28,2,FALSE),"")</f>
        <v>321</v>
      </c>
      <c r="I24" s="90" cm="1">
        <f t="array" ref="I24">IFERROR(VLOOKUP(INDEX($AC$10:$AC$419,MATCH(1,IF(I$10&amp;"-"&amp;$C24=$AB$10:$AB$419&amp;"-"&amp;$AA$10:$AA$419,1,""),0)),$X$10:$Y$28,2,FALSE),"")</f>
        <v>321</v>
      </c>
      <c r="J24" s="90" cm="1">
        <f t="array" ref="J24">IFERROR(VLOOKUP(INDEX($AC$10:$AC$419,MATCH(1,IF(J$10&amp;"-"&amp;$C24=$AB$10:$AB$419&amp;"-"&amp;$AA$10:$AA$419,1,""),0)),$X$10:$Y$28,2,FALSE),"")</f>
        <v>321</v>
      </c>
      <c r="K24" s="90" cm="1">
        <f t="array" ref="K24">IFERROR(VLOOKUP(INDEX($AC$10:$AC$419,MATCH(1,IF(K$10&amp;"-"&amp;$C24=$AB$10:$AB$419&amp;"-"&amp;$AA$10:$AA$419,1,""),0)),$X$10:$Y$28,2,FALSE),"")</f>
        <v>321</v>
      </c>
      <c r="L24" s="90" cm="1">
        <f t="array" ref="L24">IFERROR(VLOOKUP(INDEX($AC$10:$AC$419,MATCH(1,IF(L$10&amp;"-"&amp;$C24=$AB$10:$AB$419&amp;"-"&amp;$AA$10:$AA$419,1,""),0)),$X$10:$Y$28,2,FALSE),"")</f>
        <v>74</v>
      </c>
      <c r="M24" s="90" cm="1">
        <f t="array" ref="M24">IFERROR(VLOOKUP(INDEX($AC$10:$AC$419,MATCH(1,IF(M$10&amp;"-"&amp;$C24=$AB$10:$AB$419&amp;"-"&amp;$AA$10:$AA$419,1,""),0)),$X$10:$Y$28,2,FALSE),"")</f>
        <v>74</v>
      </c>
      <c r="N24" s="90" cm="1">
        <f t="array" ref="N24">IFERROR(VLOOKUP(INDEX($AC$10:$AC$419,MATCH(1,IF(N$10&amp;"-"&amp;$C24=$AB$10:$AB$419&amp;"-"&amp;$AA$10:$AA$419,1,""),0)),$X$10:$Y$28,2,FALSE),"")</f>
        <v>74</v>
      </c>
      <c r="O24" s="90" cm="1">
        <f t="array" ref="O24">IFERROR(VLOOKUP(INDEX($AC$10:$AC$419,MATCH(1,IF(O$10&amp;"-"&amp;$C24=$AB$10:$AB$419&amp;"-"&amp;$AA$10:$AA$419,1,""),0)),$X$10:$Y$28,2,FALSE),"")</f>
        <v>74</v>
      </c>
      <c r="P24" s="90" cm="1">
        <f t="array" ref="P24">IFERROR(VLOOKUP(INDEX($AC$10:$AC$419,MATCH(1,IF(P$10&amp;"-"&amp;$C24=$AB$10:$AB$419&amp;"-"&amp;$AA$10:$AA$419,1,""),0)),$X$10:$Y$28,2,FALSE),"")</f>
        <v>116</v>
      </c>
      <c r="Q24" s="90" cm="1">
        <f t="array" ref="Q24">IFERROR(VLOOKUP(INDEX($AC$10:$AC$419,MATCH(1,IF(Q$10&amp;"-"&amp;$C24=$AB$10:$AB$419&amp;"-"&amp;$AA$10:$AA$419,1,""),0)),$X$10:$Y$28,2,FALSE),"")</f>
        <v>116</v>
      </c>
      <c r="R24" s="90" cm="1">
        <f t="array" ref="R24">IFERROR(VLOOKUP(INDEX($AC$10:$AC$419,MATCH(1,IF(R$10&amp;"-"&amp;$C24=$AB$10:$AB$419&amp;"-"&amp;$AA$10:$AA$419,1,""),0)),$X$10:$Y$28,2,FALSE),"")</f>
        <v>189</v>
      </c>
      <c r="S24" s="90" cm="1">
        <f t="array" ref="S24">IFERROR(VLOOKUP(INDEX($AC$10:$AC$419,MATCH(1,IF(S$10&amp;"-"&amp;$C24=$AB$10:$AB$419&amp;"-"&amp;$AA$10:$AA$419,1,""),0)),$X$10:$Y$28,2,FALSE),"")</f>
        <v>189</v>
      </c>
      <c r="T24" s="90" t="str" cm="1">
        <f t="array" ref="T24">IFERROR(VLOOKUP(INDEX($AC$10:$AC$419,MATCH(1,IF(T$10&amp;"-"&amp;$C24=$AB$10:$AB$419&amp;"-"&amp;$AA$10:$AA$419,1,""),0)),$X$10:$Y$28,2,FALSE),"")</f>
        <v/>
      </c>
      <c r="W24" t="b">
        <v>0</v>
      </c>
      <c r="X24" s="11" t="s">
        <v>205</v>
      </c>
      <c r="Y24" s="11">
        <v>200</v>
      </c>
      <c r="Z24" s="8"/>
      <c r="AA24" s="11">
        <v>3</v>
      </c>
      <c r="AB24" s="11">
        <v>14</v>
      </c>
      <c r="AC24" s="11" t="s">
        <v>205</v>
      </c>
      <c r="AD24" t="e">
        <v>#VALUE!</v>
      </c>
    </row>
    <row r="25" spans="2:30" x14ac:dyDescent="0.25">
      <c r="B25" s="207"/>
      <c r="C25">
        <v>15</v>
      </c>
      <c r="D25" s="90" t="str" cm="1">
        <f t="array" ref="D25">IFERROR(VLOOKUP(INDEX($AC$10:$AC$419,MATCH(1,IF(D$10&amp;"-"&amp;$C25=$AB$10:$AB$419&amp;"-"&amp;$AA$10:$AA$419,1,""),0)),$X$10:$Y$28,2,FALSE),"")</f>
        <v/>
      </c>
      <c r="E25" s="90" t="str" cm="1">
        <f t="array" ref="E25">IFERROR(VLOOKUP(INDEX($AC$10:$AC$419,MATCH(1,IF(E$10&amp;"-"&amp;$C25=$AB$10:$AB$419&amp;"-"&amp;$AA$10:$AA$419,1,""),0)),$X$10:$Y$28,2,FALSE),"")</f>
        <v/>
      </c>
      <c r="F25" s="90" t="str" cm="1">
        <f t="array" ref="F25">IFERROR(VLOOKUP(INDEX($AC$10:$AC$419,MATCH(1,IF(F$10&amp;"-"&amp;$C25=$AB$10:$AB$419&amp;"-"&amp;$AA$10:$AA$419,1,""),0)),$X$10:$Y$28,2,FALSE),"")</f>
        <v/>
      </c>
      <c r="G25" s="90" cm="1">
        <f t="array" ref="G25">IFERROR(VLOOKUP(INDEX($AC$10:$AC$419,MATCH(1,IF(G$10&amp;"-"&amp;$C25=$AB$10:$AB$419&amp;"-"&amp;$AA$10:$AA$419,1,""),0)),$X$10:$Y$28,2,FALSE),"")</f>
        <v>321</v>
      </c>
      <c r="H25" s="90" cm="1">
        <f t="array" ref="H25">IFERROR(VLOOKUP(INDEX($AC$10:$AC$419,MATCH(1,IF(H$10&amp;"-"&amp;$C25=$AB$10:$AB$419&amp;"-"&amp;$AA$10:$AA$419,1,""),0)),$X$10:$Y$28,2,FALSE),"")</f>
        <v>321</v>
      </c>
      <c r="I25" s="90" cm="1">
        <f t="array" ref="I25">IFERROR(VLOOKUP(INDEX($AC$10:$AC$419,MATCH(1,IF(I$10&amp;"-"&amp;$C25=$AB$10:$AB$419&amp;"-"&amp;$AA$10:$AA$419,1,""),0)),$X$10:$Y$28,2,FALSE),"")</f>
        <v>321</v>
      </c>
      <c r="J25" s="90" cm="1">
        <f t="array" ref="J25">IFERROR(VLOOKUP(INDEX($AC$10:$AC$419,MATCH(1,IF(J$10&amp;"-"&amp;$C25=$AB$10:$AB$419&amp;"-"&amp;$AA$10:$AA$419,1,""),0)),$X$10:$Y$28,2,FALSE),"")</f>
        <v>321</v>
      </c>
      <c r="K25" s="90" cm="1">
        <f t="array" ref="K25">IFERROR(VLOOKUP(INDEX($AC$10:$AC$419,MATCH(1,IF(K$10&amp;"-"&amp;$C25=$AB$10:$AB$419&amp;"-"&amp;$AA$10:$AA$419,1,""),0)),$X$10:$Y$28,2,FALSE),"")</f>
        <v>321</v>
      </c>
      <c r="L25" s="90" cm="1">
        <f t="array" ref="L25">IFERROR(VLOOKUP(INDEX($AC$10:$AC$419,MATCH(1,IF(L$10&amp;"-"&amp;$C25=$AB$10:$AB$419&amp;"-"&amp;$AA$10:$AA$419,1,""),0)),$X$10:$Y$28,2,FALSE),"")</f>
        <v>321</v>
      </c>
      <c r="M25" s="90" cm="1">
        <f t="array" ref="M25">IFERROR(VLOOKUP(INDEX($AC$10:$AC$419,MATCH(1,IF(M$10&amp;"-"&amp;$C25=$AB$10:$AB$419&amp;"-"&amp;$AA$10:$AA$419,1,""),0)),$X$10:$Y$28,2,FALSE),"")</f>
        <v>74</v>
      </c>
      <c r="N25" s="90" cm="1">
        <f t="array" ref="N25">IFERROR(VLOOKUP(INDEX($AC$10:$AC$419,MATCH(1,IF(N$10&amp;"-"&amp;$C25=$AB$10:$AB$419&amp;"-"&amp;$AA$10:$AA$419,1,""),0)),$X$10:$Y$28,2,FALSE),"")</f>
        <v>74</v>
      </c>
      <c r="O25" s="90" cm="1">
        <f t="array" ref="O25">IFERROR(VLOOKUP(INDEX($AC$10:$AC$419,MATCH(1,IF(O$10&amp;"-"&amp;$C25=$AB$10:$AB$419&amp;"-"&amp;$AA$10:$AA$419,1,""),0)),$X$10:$Y$28,2,FALSE),"")</f>
        <v>116</v>
      </c>
      <c r="P25" s="90" cm="1">
        <f t="array" ref="P25">IFERROR(VLOOKUP(INDEX($AC$10:$AC$419,MATCH(1,IF(P$10&amp;"-"&amp;$C25=$AB$10:$AB$419&amp;"-"&amp;$AA$10:$AA$419,1,""),0)),$X$10:$Y$28,2,FALSE),"")</f>
        <v>116</v>
      </c>
      <c r="Q25" s="90" cm="1">
        <f t="array" ref="Q25">IFERROR(VLOOKUP(INDEX($AC$10:$AC$419,MATCH(1,IF(Q$10&amp;"-"&amp;$C25=$AB$10:$AB$419&amp;"-"&amp;$AA$10:$AA$419,1,""),0)),$X$10:$Y$28,2,FALSE),"")</f>
        <v>116</v>
      </c>
      <c r="R25" s="90" cm="1">
        <f t="array" ref="R25">IFERROR(VLOOKUP(INDEX($AC$10:$AC$419,MATCH(1,IF(R$10&amp;"-"&amp;$C25=$AB$10:$AB$419&amp;"-"&amp;$AA$10:$AA$419,1,""),0)),$X$10:$Y$28,2,FALSE),"")</f>
        <v>189</v>
      </c>
      <c r="S25" s="90" cm="1">
        <f t="array" ref="S25">IFERROR(VLOOKUP(INDEX($AC$10:$AC$419,MATCH(1,IF(S$10&amp;"-"&amp;$C25=$AB$10:$AB$419&amp;"-"&amp;$AA$10:$AA$419,1,""),0)),$X$10:$Y$28,2,FALSE),"")</f>
        <v>189</v>
      </c>
      <c r="T25" s="90" cm="1">
        <f t="array" ref="T25">IFERROR(VLOOKUP(INDEX($AC$10:$AC$419,MATCH(1,IF(T$10&amp;"-"&amp;$C25=$AB$10:$AB$419&amp;"-"&amp;$AA$10:$AA$419,1,""),0)),$X$10:$Y$28,2,FALSE),"")</f>
        <v>189</v>
      </c>
      <c r="W25" t="b">
        <v>0</v>
      </c>
      <c r="X25" s="11" t="s">
        <v>220</v>
      </c>
      <c r="Y25" s="11">
        <v>67</v>
      </c>
      <c r="Z25" s="8"/>
      <c r="AA25" s="11">
        <v>3</v>
      </c>
      <c r="AB25" s="11">
        <v>15</v>
      </c>
      <c r="AC25" s="11" t="s">
        <v>210</v>
      </c>
      <c r="AD25" t="e">
        <v>#VALUE!</v>
      </c>
    </row>
    <row r="26" spans="2:30" x14ac:dyDescent="0.25">
      <c r="B26" s="207"/>
      <c r="C26">
        <v>16</v>
      </c>
      <c r="D26" s="90" t="str" cm="1">
        <f t="array" ref="D26">IFERROR(VLOOKUP(INDEX($AC$10:$AC$419,MATCH(1,IF(D$10&amp;"-"&amp;$C26=$AB$10:$AB$419&amp;"-"&amp;$AA$10:$AA$419,1,""),0)),$X$10:$Y$28,2,FALSE),"")</f>
        <v/>
      </c>
      <c r="E26" s="90" t="str" cm="1">
        <f t="array" ref="E26">IFERROR(VLOOKUP(INDEX($AC$10:$AC$419,MATCH(1,IF(E$10&amp;"-"&amp;$C26=$AB$10:$AB$419&amp;"-"&amp;$AA$10:$AA$419,1,""),0)),$X$10:$Y$28,2,FALSE),"")</f>
        <v/>
      </c>
      <c r="F26" s="90" t="str" cm="1">
        <f t="array" ref="F26">IFERROR(VLOOKUP(INDEX($AC$10:$AC$419,MATCH(1,IF(F$10&amp;"-"&amp;$C26=$AB$10:$AB$419&amp;"-"&amp;$AA$10:$AA$419,1,""),0)),$X$10:$Y$28,2,FALSE),"")</f>
        <v/>
      </c>
      <c r="G26" s="90" cm="1">
        <f t="array" ref="G26">IFERROR(VLOOKUP(INDEX($AC$10:$AC$419,MATCH(1,IF(G$10&amp;"-"&amp;$C26=$AB$10:$AB$419&amp;"-"&amp;$AA$10:$AA$419,1,""),0)),$X$10:$Y$28,2,FALSE),"")</f>
        <v>321</v>
      </c>
      <c r="H26" s="90" cm="1">
        <f t="array" ref="H26">IFERROR(VLOOKUP(INDEX($AC$10:$AC$419,MATCH(1,IF(H$10&amp;"-"&amp;$C26=$AB$10:$AB$419&amp;"-"&amp;$AA$10:$AA$419,1,""),0)),$X$10:$Y$28,2,FALSE),"")</f>
        <v>321</v>
      </c>
      <c r="I26" s="90" cm="1">
        <f t="array" ref="I26">IFERROR(VLOOKUP(INDEX($AC$10:$AC$419,MATCH(1,IF(I$10&amp;"-"&amp;$C26=$AB$10:$AB$419&amp;"-"&amp;$AA$10:$AA$419,1,""),0)),$X$10:$Y$28,2,FALSE),"")</f>
        <v>321</v>
      </c>
      <c r="J26" s="90" cm="1">
        <f t="array" ref="J26">IFERROR(VLOOKUP(INDEX($AC$10:$AC$419,MATCH(1,IF(J$10&amp;"-"&amp;$C26=$AB$10:$AB$419&amp;"-"&amp;$AA$10:$AA$419,1,""),0)),$X$10:$Y$28,2,FALSE),"")</f>
        <v>321</v>
      </c>
      <c r="K26" s="90" cm="1">
        <f t="array" ref="K26">IFERROR(VLOOKUP(INDEX($AC$10:$AC$419,MATCH(1,IF(K$10&amp;"-"&amp;$C26=$AB$10:$AB$419&amp;"-"&amp;$AA$10:$AA$419,1,""),0)),$X$10:$Y$28,2,FALSE),"")</f>
        <v>321</v>
      </c>
      <c r="L26" s="90" cm="1">
        <f t="array" ref="L26">IFERROR(VLOOKUP(INDEX($AC$10:$AC$419,MATCH(1,IF(L$10&amp;"-"&amp;$C26=$AB$10:$AB$419&amp;"-"&amp;$AA$10:$AA$419,1,""),0)),$X$10:$Y$28,2,FALSE),"")</f>
        <v>321</v>
      </c>
      <c r="M26" s="90" cm="1">
        <f t="array" ref="M26">IFERROR(VLOOKUP(INDEX($AC$10:$AC$419,MATCH(1,IF(M$10&amp;"-"&amp;$C26=$AB$10:$AB$419&amp;"-"&amp;$AA$10:$AA$419,1,""),0)),$X$10:$Y$28,2,FALSE),"")</f>
        <v>74</v>
      </c>
      <c r="N26" s="90" cm="1">
        <f t="array" ref="N26">IFERROR(VLOOKUP(INDEX($AC$10:$AC$419,MATCH(1,IF(N$10&amp;"-"&amp;$C26=$AB$10:$AB$419&amp;"-"&amp;$AA$10:$AA$419,1,""),0)),$X$10:$Y$28,2,FALSE),"")</f>
        <v>74</v>
      </c>
      <c r="O26" s="90" cm="1">
        <f t="array" ref="O26">IFERROR(VLOOKUP(INDEX($AC$10:$AC$419,MATCH(1,IF(O$10&amp;"-"&amp;$C26=$AB$10:$AB$419&amp;"-"&amp;$AA$10:$AA$419,1,""),0)),$X$10:$Y$28,2,FALSE),"")</f>
        <v>67</v>
      </c>
      <c r="P26" s="90" cm="1">
        <f t="array" ref="P26">IFERROR(VLOOKUP(INDEX($AC$10:$AC$419,MATCH(1,IF(P$10&amp;"-"&amp;$C26=$AB$10:$AB$419&amp;"-"&amp;$AA$10:$AA$419,1,""),0)),$X$10:$Y$28,2,FALSE),"")</f>
        <v>116</v>
      </c>
      <c r="Q26" s="90" cm="1">
        <f t="array" ref="Q26">IFERROR(VLOOKUP(INDEX($AC$10:$AC$419,MATCH(1,IF(Q$10&amp;"-"&amp;$C26=$AB$10:$AB$419&amp;"-"&amp;$AA$10:$AA$419,1,""),0)),$X$10:$Y$28,2,FALSE),"")</f>
        <v>116</v>
      </c>
      <c r="R26" s="90" cm="1">
        <f t="array" ref="R26">IFERROR(VLOOKUP(INDEX($AC$10:$AC$419,MATCH(1,IF(R$10&amp;"-"&amp;$C26=$AB$10:$AB$419&amp;"-"&amp;$AA$10:$AA$419,1,""),0)),$X$10:$Y$28,2,FALSE),"")</f>
        <v>189</v>
      </c>
      <c r="S26" s="90" cm="1">
        <f t="array" ref="S26">IFERROR(VLOOKUP(INDEX($AC$10:$AC$419,MATCH(1,IF(S$10&amp;"-"&amp;$C26=$AB$10:$AB$419&amp;"-"&amp;$AA$10:$AA$419,1,""),0)),$X$10:$Y$28,2,FALSE),"")</f>
        <v>189</v>
      </c>
      <c r="T26" s="90" t="str" cm="1">
        <f t="array" ref="T26">IFERROR(VLOOKUP(INDEX($AC$10:$AC$419,MATCH(1,IF(T$10&amp;"-"&amp;$C26=$AB$10:$AB$419&amp;"-"&amp;$AA$10:$AA$419,1,""),0)),$X$10:$Y$28,2,FALSE),"")</f>
        <v/>
      </c>
      <c r="W26" t="b">
        <v>0</v>
      </c>
      <c r="X26" s="11" t="s">
        <v>221</v>
      </c>
      <c r="Y26" s="11">
        <v>58</v>
      </c>
      <c r="Z26" s="8"/>
      <c r="AA26" s="11">
        <v>3</v>
      </c>
      <c r="AB26" s="11">
        <v>16</v>
      </c>
      <c r="AC26" s="11" t="s">
        <v>210</v>
      </c>
      <c r="AD26" t="e">
        <v>#VALUE!</v>
      </c>
    </row>
    <row r="27" spans="2:30" x14ac:dyDescent="0.25">
      <c r="B27" s="207"/>
      <c r="C27">
        <v>17</v>
      </c>
      <c r="D27" s="90" t="str" cm="1">
        <f t="array" ref="D27">IFERROR(VLOOKUP(INDEX($AC$10:$AC$419,MATCH(1,IF(D$10&amp;"-"&amp;$C27=$AB$10:$AB$419&amp;"-"&amp;$AA$10:$AA$419,1,""),0)),$X$10:$Y$28,2,FALSE),"")</f>
        <v/>
      </c>
      <c r="E27" s="90" t="str" cm="1">
        <f t="array" ref="E27">IFERROR(VLOOKUP(INDEX($AC$10:$AC$419,MATCH(1,IF(E$10&amp;"-"&amp;$C27=$AB$10:$AB$419&amp;"-"&amp;$AA$10:$AA$419,1,""),0)),$X$10:$Y$28,2,FALSE),"")</f>
        <v/>
      </c>
      <c r="F27" s="90" t="str" cm="1">
        <f t="array" ref="F27">IFERROR(VLOOKUP(INDEX($AC$10:$AC$419,MATCH(1,IF(F$10&amp;"-"&amp;$C27=$AB$10:$AB$419&amp;"-"&amp;$AA$10:$AA$419,1,""),0)),$X$10:$Y$28,2,FALSE),"")</f>
        <v/>
      </c>
      <c r="G27" s="90" t="str" cm="1">
        <f t="array" ref="G27">IFERROR(VLOOKUP(INDEX($AC$10:$AC$419,MATCH(1,IF(G$10&amp;"-"&amp;$C27=$AB$10:$AB$419&amp;"-"&amp;$AA$10:$AA$419,1,""),0)),$X$10:$Y$28,2,FALSE),"")</f>
        <v/>
      </c>
      <c r="H27" s="90" t="str" cm="1">
        <f t="array" ref="H27">IFERROR(VLOOKUP(INDEX($AC$10:$AC$419,MATCH(1,IF(H$10&amp;"-"&amp;$C27=$AB$10:$AB$419&amp;"-"&amp;$AA$10:$AA$419,1,""),0)),$X$10:$Y$28,2,FALSE),"")</f>
        <v/>
      </c>
      <c r="I27" s="90" cm="1">
        <f t="array" ref="I27">IFERROR(VLOOKUP(INDEX($AC$10:$AC$419,MATCH(1,IF(I$10&amp;"-"&amp;$C27=$AB$10:$AB$419&amp;"-"&amp;$AA$10:$AA$419,1,""),0)),$X$10:$Y$28,2,FALSE),"")</f>
        <v>321</v>
      </c>
      <c r="J27" s="90" cm="1">
        <f t="array" ref="J27">IFERROR(VLOOKUP(INDEX($AC$10:$AC$419,MATCH(1,IF(J$10&amp;"-"&amp;$C27=$AB$10:$AB$419&amp;"-"&amp;$AA$10:$AA$419,1,""),0)),$X$10:$Y$28,2,FALSE),"")</f>
        <v>321</v>
      </c>
      <c r="K27" s="90" cm="1">
        <f t="array" ref="K27">IFERROR(VLOOKUP(INDEX($AC$10:$AC$419,MATCH(1,IF(K$10&amp;"-"&amp;$C27=$AB$10:$AB$419&amp;"-"&amp;$AA$10:$AA$419,1,""),0)),$X$10:$Y$28,2,FALSE),"")</f>
        <v>321</v>
      </c>
      <c r="L27" s="90" cm="1">
        <f t="array" ref="L27">IFERROR(VLOOKUP(INDEX($AC$10:$AC$419,MATCH(1,IF(L$10&amp;"-"&amp;$C27=$AB$10:$AB$419&amp;"-"&amp;$AA$10:$AA$419,1,""),0)),$X$10:$Y$28,2,FALSE),"")</f>
        <v>321</v>
      </c>
      <c r="M27" s="90" cm="1">
        <f t="array" ref="M27">IFERROR(VLOOKUP(INDEX($AC$10:$AC$419,MATCH(1,IF(M$10&amp;"-"&amp;$C27=$AB$10:$AB$419&amp;"-"&amp;$AA$10:$AA$419,1,""),0)),$X$10:$Y$28,2,FALSE),"")</f>
        <v>321</v>
      </c>
      <c r="N27" s="90" cm="1">
        <f t="array" ref="N27">IFERROR(VLOOKUP(INDEX($AC$10:$AC$419,MATCH(1,IF(N$10&amp;"-"&amp;$C27=$AB$10:$AB$419&amp;"-"&amp;$AA$10:$AA$419,1,""),0)),$X$10:$Y$28,2,FALSE),"")</f>
        <v>74</v>
      </c>
      <c r="O27" s="90" cm="1">
        <f t="array" ref="O27">IFERROR(VLOOKUP(INDEX($AC$10:$AC$419,MATCH(1,IF(O$10&amp;"-"&amp;$C27=$AB$10:$AB$419&amp;"-"&amp;$AA$10:$AA$419,1,""),0)),$X$10:$Y$28,2,FALSE),"")</f>
        <v>67</v>
      </c>
      <c r="P27" s="90" cm="1">
        <f t="array" ref="P27">IFERROR(VLOOKUP(INDEX($AC$10:$AC$419,MATCH(1,IF(P$10&amp;"-"&amp;$C27=$AB$10:$AB$419&amp;"-"&amp;$AA$10:$AA$419,1,""),0)),$X$10:$Y$28,2,FALSE),"")</f>
        <v>116</v>
      </c>
      <c r="Q27" s="90" cm="1">
        <f t="array" ref="Q27">IFERROR(VLOOKUP(INDEX($AC$10:$AC$419,MATCH(1,IF(Q$10&amp;"-"&amp;$C27=$AB$10:$AB$419&amp;"-"&amp;$AA$10:$AA$419,1,""),0)),$X$10:$Y$28,2,FALSE),"")</f>
        <v>116</v>
      </c>
      <c r="R27" s="90" cm="1">
        <f t="array" ref="R27">IFERROR(VLOOKUP(INDEX($AC$10:$AC$419,MATCH(1,IF(R$10&amp;"-"&amp;$C27=$AB$10:$AB$419&amp;"-"&amp;$AA$10:$AA$419,1,""),0)),$X$10:$Y$28,2,FALSE),"")</f>
        <v>189</v>
      </c>
      <c r="S27" s="90" cm="1">
        <f t="array" ref="S27">IFERROR(VLOOKUP(INDEX($AC$10:$AC$419,MATCH(1,IF(S$10&amp;"-"&amp;$C27=$AB$10:$AB$419&amp;"-"&amp;$AA$10:$AA$419,1,""),0)),$X$10:$Y$28,2,FALSE),"")</f>
        <v>189</v>
      </c>
      <c r="T27" s="90" t="str" cm="1">
        <f t="array" ref="T27">IFERROR(VLOOKUP(INDEX($AC$10:$AC$419,MATCH(1,IF(T$10&amp;"-"&amp;$C27=$AB$10:$AB$419&amp;"-"&amp;$AA$10:$AA$419,1,""),0)),$X$10:$Y$28,2,FALSE),"")</f>
        <v/>
      </c>
      <c r="W27" t="b">
        <v>0</v>
      </c>
      <c r="X27" s="11" t="s">
        <v>210</v>
      </c>
      <c r="Y27" s="11">
        <v>88</v>
      </c>
      <c r="Z27" s="8"/>
      <c r="AA27" s="11">
        <v>4</v>
      </c>
      <c r="AB27" s="11">
        <v>9</v>
      </c>
      <c r="AC27" s="11" t="s">
        <v>205</v>
      </c>
      <c r="AD27" t="e">
        <v>#VALUE!</v>
      </c>
    </row>
    <row r="28" spans="2:30" x14ac:dyDescent="0.25">
      <c r="B28" s="207"/>
      <c r="C28">
        <v>18</v>
      </c>
      <c r="D28" s="90" t="str" cm="1">
        <f t="array" ref="D28">IFERROR(VLOOKUP(INDEX($AC$10:$AC$419,MATCH(1,IF(D$10&amp;"-"&amp;$C28=$AB$10:$AB$419&amp;"-"&amp;$AA$10:$AA$419,1,""),0)),$X$10:$Y$28,2,FALSE),"")</f>
        <v/>
      </c>
      <c r="E28" s="90" t="str" cm="1">
        <f t="array" ref="E28">IFERROR(VLOOKUP(INDEX($AC$10:$AC$419,MATCH(1,IF(E$10&amp;"-"&amp;$C28=$AB$10:$AB$419&amp;"-"&amp;$AA$10:$AA$419,1,""),0)),$X$10:$Y$28,2,FALSE),"")</f>
        <v/>
      </c>
      <c r="F28" s="90" t="str" cm="1">
        <f t="array" ref="F28">IFERROR(VLOOKUP(INDEX($AC$10:$AC$419,MATCH(1,IF(F$10&amp;"-"&amp;$C28=$AB$10:$AB$419&amp;"-"&amp;$AA$10:$AA$419,1,""),0)),$X$10:$Y$28,2,FALSE),"")</f>
        <v/>
      </c>
      <c r="G28" s="90" t="str" cm="1">
        <f t="array" ref="G28">IFERROR(VLOOKUP(INDEX($AC$10:$AC$419,MATCH(1,IF(G$10&amp;"-"&amp;$C28=$AB$10:$AB$419&amp;"-"&amp;$AA$10:$AA$419,1,""),0)),$X$10:$Y$28,2,FALSE),"")</f>
        <v/>
      </c>
      <c r="H28" s="90" t="str" cm="1">
        <f t="array" ref="H28">IFERROR(VLOOKUP(INDEX($AC$10:$AC$419,MATCH(1,IF(H$10&amp;"-"&amp;$C28=$AB$10:$AB$419&amp;"-"&amp;$AA$10:$AA$419,1,""),0)),$X$10:$Y$28,2,FALSE),"")</f>
        <v/>
      </c>
      <c r="I28" s="90" t="str" cm="1">
        <f t="array" ref="I28">IFERROR(VLOOKUP(INDEX($AC$10:$AC$419,MATCH(1,IF(I$10&amp;"-"&amp;$C28=$AB$10:$AB$419&amp;"-"&amp;$AA$10:$AA$419,1,""),0)),$X$10:$Y$28,2,FALSE),"")</f>
        <v/>
      </c>
      <c r="J28" s="90" t="str" cm="1">
        <f t="array" ref="J28">IFERROR(VLOOKUP(INDEX($AC$10:$AC$419,MATCH(1,IF(J$10&amp;"-"&amp;$C28=$AB$10:$AB$419&amp;"-"&amp;$AA$10:$AA$419,1,""),0)),$X$10:$Y$28,2,FALSE),"")</f>
        <v/>
      </c>
      <c r="K28" s="90" t="str" cm="1">
        <f t="array" ref="K28">IFERROR(VLOOKUP(INDEX($AC$10:$AC$419,MATCH(1,IF(K$10&amp;"-"&amp;$C28=$AB$10:$AB$419&amp;"-"&amp;$AA$10:$AA$419,1,""),0)),$X$10:$Y$28,2,FALSE),"")</f>
        <v/>
      </c>
      <c r="L28" s="90" cm="1">
        <f t="array" ref="L28">IFERROR(VLOOKUP(INDEX($AC$10:$AC$419,MATCH(1,IF(L$10&amp;"-"&amp;$C28=$AB$10:$AB$419&amp;"-"&amp;$AA$10:$AA$419,1,""),0)),$X$10:$Y$28,2,FALSE),"")</f>
        <v>321</v>
      </c>
      <c r="M28" s="90" cm="1">
        <f t="array" ref="M28">IFERROR(VLOOKUP(INDEX($AC$10:$AC$419,MATCH(1,IF(M$10&amp;"-"&amp;$C28=$AB$10:$AB$419&amp;"-"&amp;$AA$10:$AA$419,1,""),0)),$X$10:$Y$28,2,FALSE),"")</f>
        <v>321</v>
      </c>
      <c r="N28" s="90" cm="1">
        <f t="array" ref="N28">IFERROR(VLOOKUP(INDEX($AC$10:$AC$419,MATCH(1,IF(N$10&amp;"-"&amp;$C28=$AB$10:$AB$419&amp;"-"&amp;$AA$10:$AA$419,1,""),0)),$X$10:$Y$28,2,FALSE),"")</f>
        <v>67</v>
      </c>
      <c r="O28" s="90" cm="1">
        <f t="array" ref="O28">IFERROR(VLOOKUP(INDEX($AC$10:$AC$419,MATCH(1,IF(O$10&amp;"-"&amp;$C28=$AB$10:$AB$419&amp;"-"&amp;$AA$10:$AA$419,1,""),0)),$X$10:$Y$28,2,FALSE),"")</f>
        <v>67</v>
      </c>
      <c r="P28" s="90" cm="1">
        <f t="array" ref="P28">IFERROR(VLOOKUP(INDEX($AC$10:$AC$419,MATCH(1,IF(P$10&amp;"-"&amp;$C28=$AB$10:$AB$419&amp;"-"&amp;$AA$10:$AA$419,1,""),0)),$X$10:$Y$28,2,FALSE),"")</f>
        <v>67</v>
      </c>
      <c r="Q28" s="90" cm="1">
        <f t="array" ref="Q28">IFERROR(VLOOKUP(INDEX($AC$10:$AC$419,MATCH(1,IF(Q$10&amp;"-"&amp;$C28=$AB$10:$AB$419&amp;"-"&amp;$AA$10:$AA$419,1,""),0)),$X$10:$Y$28,2,FALSE),"")</f>
        <v>67</v>
      </c>
      <c r="R28" s="90" cm="1">
        <f t="array" ref="R28">IFERROR(VLOOKUP(INDEX($AC$10:$AC$419,MATCH(1,IF(R$10&amp;"-"&amp;$C28=$AB$10:$AB$419&amp;"-"&amp;$AA$10:$AA$419,1,""),0)),$X$10:$Y$28,2,FALSE),"")</f>
        <v>189</v>
      </c>
      <c r="S28" s="90" cm="1">
        <f t="array" ref="S28">IFERROR(VLOOKUP(INDEX($AC$10:$AC$419,MATCH(1,IF(S$10&amp;"-"&amp;$C28=$AB$10:$AB$419&amp;"-"&amp;$AA$10:$AA$419,1,""),0)),$X$10:$Y$28,2,FALSE),"")</f>
        <v>189</v>
      </c>
      <c r="T28" s="90" t="str" cm="1">
        <f t="array" ref="T28">IFERROR(VLOOKUP(INDEX($AC$10:$AC$419,MATCH(1,IF(T$10&amp;"-"&amp;$C28=$AB$10:$AB$419&amp;"-"&amp;$AA$10:$AA$419,1,""),0)),$X$10:$Y$28,2,FALSE),"")</f>
        <v/>
      </c>
      <c r="W28" t="b">
        <v>0</v>
      </c>
      <c r="X28" s="11" t="s">
        <v>222</v>
      </c>
      <c r="Y28" s="11">
        <v>167</v>
      </c>
      <c r="Z28" s="8"/>
      <c r="AA28" s="11">
        <v>4</v>
      </c>
      <c r="AB28" s="11">
        <v>10</v>
      </c>
      <c r="AC28" s="11" t="s">
        <v>205</v>
      </c>
      <c r="AD28" t="e">
        <v>#VALUE!</v>
      </c>
    </row>
    <row r="29" spans="2:30" x14ac:dyDescent="0.25">
      <c r="B29" s="207"/>
      <c r="C29">
        <v>19</v>
      </c>
      <c r="D29" s="90" t="str" cm="1">
        <f t="array" ref="D29">IFERROR(VLOOKUP(INDEX($AC$10:$AC$419,MATCH(1,IF(D$10&amp;"-"&amp;$C29=$AB$10:$AB$419&amp;"-"&amp;$AA$10:$AA$419,1,""),0)),$X$10:$Y$28,2,FALSE),"")</f>
        <v/>
      </c>
      <c r="E29" s="90" t="str" cm="1">
        <f t="array" ref="E29">IFERROR(VLOOKUP(INDEX($AC$10:$AC$419,MATCH(1,IF(E$10&amp;"-"&amp;$C29=$AB$10:$AB$419&amp;"-"&amp;$AA$10:$AA$419,1,""),0)),$X$10:$Y$28,2,FALSE),"")</f>
        <v/>
      </c>
      <c r="F29" s="90" t="str" cm="1">
        <f t="array" ref="F29">IFERROR(VLOOKUP(INDEX($AC$10:$AC$419,MATCH(1,IF(F$10&amp;"-"&amp;$C29=$AB$10:$AB$419&amp;"-"&amp;$AA$10:$AA$419,1,""),0)),$X$10:$Y$28,2,FALSE),"")</f>
        <v/>
      </c>
      <c r="G29" s="90" t="str" cm="1">
        <f t="array" ref="G29">IFERROR(VLOOKUP(INDEX($AC$10:$AC$419,MATCH(1,IF(G$10&amp;"-"&amp;$C29=$AB$10:$AB$419&amp;"-"&amp;$AA$10:$AA$419,1,""),0)),$X$10:$Y$28,2,FALSE),"")</f>
        <v/>
      </c>
      <c r="H29" s="90" t="str" cm="1">
        <f t="array" ref="H29">IFERROR(VLOOKUP(INDEX($AC$10:$AC$419,MATCH(1,IF(H$10&amp;"-"&amp;$C29=$AB$10:$AB$419&amp;"-"&amp;$AA$10:$AA$419,1,""),0)),$X$10:$Y$28,2,FALSE),"")</f>
        <v/>
      </c>
      <c r="I29" s="90" t="str" cm="1">
        <f t="array" ref="I29">IFERROR(VLOOKUP(INDEX($AC$10:$AC$419,MATCH(1,IF(I$10&amp;"-"&amp;$C29=$AB$10:$AB$419&amp;"-"&amp;$AA$10:$AA$419,1,""),0)),$X$10:$Y$28,2,FALSE),"")</f>
        <v/>
      </c>
      <c r="J29" s="90" t="str" cm="1">
        <f t="array" ref="J29">IFERROR(VLOOKUP(INDEX($AC$10:$AC$419,MATCH(1,IF(J$10&amp;"-"&amp;$C29=$AB$10:$AB$419&amp;"-"&amp;$AA$10:$AA$419,1,""),0)),$X$10:$Y$28,2,FALSE),"")</f>
        <v/>
      </c>
      <c r="K29" s="90" cm="1">
        <f t="array" ref="K29">IFERROR(VLOOKUP(INDEX($AC$10:$AC$419,MATCH(1,IF(K$10&amp;"-"&amp;$C29=$AB$10:$AB$419&amp;"-"&amp;$AA$10:$AA$419,1,""),0)),$X$10:$Y$28,2,FALSE),"")</f>
        <v>305</v>
      </c>
      <c r="L29" s="90" cm="1">
        <f t="array" ref="L29">IFERROR(VLOOKUP(INDEX($AC$10:$AC$419,MATCH(1,IF(L$10&amp;"-"&amp;$C29=$AB$10:$AB$419&amp;"-"&amp;$AA$10:$AA$419,1,""),0)),$X$10:$Y$28,2,FALSE),"")</f>
        <v>321</v>
      </c>
      <c r="M29" s="90" cm="1">
        <f t="array" ref="M29">IFERROR(VLOOKUP(INDEX($AC$10:$AC$419,MATCH(1,IF(M$10&amp;"-"&amp;$C29=$AB$10:$AB$419&amp;"-"&amp;$AA$10:$AA$419,1,""),0)),$X$10:$Y$28,2,FALSE),"")</f>
        <v>321</v>
      </c>
      <c r="N29" s="90" cm="1">
        <f t="array" ref="N29">IFERROR(VLOOKUP(INDEX($AC$10:$AC$419,MATCH(1,IF(N$10&amp;"-"&amp;$C29=$AB$10:$AB$419&amp;"-"&amp;$AA$10:$AA$419,1,""),0)),$X$10:$Y$28,2,FALSE),"")</f>
        <v>321</v>
      </c>
      <c r="O29" s="90" cm="1">
        <f t="array" ref="O29">IFERROR(VLOOKUP(INDEX($AC$10:$AC$419,MATCH(1,IF(O$10&amp;"-"&amp;$C29=$AB$10:$AB$419&amp;"-"&amp;$AA$10:$AA$419,1,""),0)),$X$10:$Y$28,2,FALSE),"")</f>
        <v>67</v>
      </c>
      <c r="P29" s="90" cm="1">
        <f t="array" ref="P29">IFERROR(VLOOKUP(INDEX($AC$10:$AC$419,MATCH(1,IF(P$10&amp;"-"&amp;$C29=$AB$10:$AB$419&amp;"-"&amp;$AA$10:$AA$419,1,""),0)),$X$10:$Y$28,2,FALSE),"")</f>
        <v>67</v>
      </c>
      <c r="Q29" s="90" cm="1">
        <f t="array" ref="Q29">IFERROR(VLOOKUP(INDEX($AC$10:$AC$419,MATCH(1,IF(Q$10&amp;"-"&amp;$C29=$AB$10:$AB$419&amp;"-"&amp;$AA$10:$AA$419,1,""),0)),$X$10:$Y$28,2,FALSE),"")</f>
        <v>67</v>
      </c>
      <c r="R29" s="90" cm="1">
        <f t="array" ref="R29">IFERROR(VLOOKUP(INDEX($AC$10:$AC$419,MATCH(1,IF(R$10&amp;"-"&amp;$C29=$AB$10:$AB$419&amp;"-"&amp;$AA$10:$AA$419,1,""),0)),$X$10:$Y$28,2,FALSE),"")</f>
        <v>189</v>
      </c>
      <c r="S29" s="90" cm="1">
        <f t="array" ref="S29">IFERROR(VLOOKUP(INDEX($AC$10:$AC$419,MATCH(1,IF(S$10&amp;"-"&amp;$C29=$AB$10:$AB$419&amp;"-"&amp;$AA$10:$AA$419,1,""),0)),$X$10:$Y$28,2,FALSE),"")</f>
        <v>189</v>
      </c>
      <c r="T29" s="90" t="str" cm="1">
        <f t="array" ref="T29">IFERROR(VLOOKUP(INDEX($AC$10:$AC$419,MATCH(1,IF(T$10&amp;"-"&amp;$C29=$AB$10:$AB$419&amp;"-"&amp;$AA$10:$AA$419,1,""),0)),$X$10:$Y$28,2,FALSE),"")</f>
        <v/>
      </c>
      <c r="W29" t="b">
        <v>0</v>
      </c>
      <c r="Z29" s="8"/>
      <c r="AA29" s="11">
        <v>4</v>
      </c>
      <c r="AB29" s="11">
        <v>11</v>
      </c>
      <c r="AC29" s="11" t="s">
        <v>205</v>
      </c>
      <c r="AD29" t="e">
        <v>#VALUE!</v>
      </c>
    </row>
    <row r="30" spans="2:30" x14ac:dyDescent="0.25">
      <c r="B30" s="207"/>
      <c r="C30">
        <v>20</v>
      </c>
      <c r="D30" s="90" t="str" cm="1">
        <f t="array" ref="D30">IFERROR(VLOOKUP(INDEX($AC$10:$AC$419,MATCH(1,IF(D$10&amp;"-"&amp;$C30=$AB$10:$AB$419&amp;"-"&amp;$AA$10:$AA$419,1,""),0)),$X$10:$Y$28,2,FALSE),"")</f>
        <v/>
      </c>
      <c r="E30" s="90" t="str" cm="1">
        <f t="array" ref="E30">IFERROR(VLOOKUP(INDEX($AC$10:$AC$419,MATCH(1,IF(E$10&amp;"-"&amp;$C30=$AB$10:$AB$419&amp;"-"&amp;$AA$10:$AA$419,1,""),0)),$X$10:$Y$28,2,FALSE),"")</f>
        <v/>
      </c>
      <c r="F30" s="90" t="str" cm="1">
        <f t="array" ref="F30">IFERROR(VLOOKUP(INDEX($AC$10:$AC$419,MATCH(1,IF(F$10&amp;"-"&amp;$C30=$AB$10:$AB$419&amp;"-"&amp;$AA$10:$AA$419,1,""),0)),$X$10:$Y$28,2,FALSE),"")</f>
        <v/>
      </c>
      <c r="G30" s="90" t="str" cm="1">
        <f t="array" ref="G30">IFERROR(VLOOKUP(INDEX($AC$10:$AC$419,MATCH(1,IF(G$10&amp;"-"&amp;$C30=$AB$10:$AB$419&amp;"-"&amp;$AA$10:$AA$419,1,""),0)),$X$10:$Y$28,2,FALSE),"")</f>
        <v/>
      </c>
      <c r="H30" s="90" t="str" cm="1">
        <f t="array" ref="H30">IFERROR(VLOOKUP(INDEX($AC$10:$AC$419,MATCH(1,IF(H$10&amp;"-"&amp;$C30=$AB$10:$AB$419&amp;"-"&amp;$AA$10:$AA$419,1,""),0)),$X$10:$Y$28,2,FALSE),"")</f>
        <v/>
      </c>
      <c r="I30" s="90" t="str" cm="1">
        <f t="array" ref="I30">IFERROR(VLOOKUP(INDEX($AC$10:$AC$419,MATCH(1,IF(I$10&amp;"-"&amp;$C30=$AB$10:$AB$419&amp;"-"&amp;$AA$10:$AA$419,1,""),0)),$X$10:$Y$28,2,FALSE),"")</f>
        <v/>
      </c>
      <c r="J30" s="90" t="str" cm="1">
        <f t="array" ref="J30">IFERROR(VLOOKUP(INDEX($AC$10:$AC$419,MATCH(1,IF(J$10&amp;"-"&amp;$C30=$AB$10:$AB$419&amp;"-"&amp;$AA$10:$AA$419,1,""),0)),$X$10:$Y$28,2,FALSE),"")</f>
        <v/>
      </c>
      <c r="K30" s="90" cm="1">
        <f t="array" ref="K30">IFERROR(VLOOKUP(INDEX($AC$10:$AC$419,MATCH(1,IF(K$10&amp;"-"&amp;$C30=$AB$10:$AB$419&amp;"-"&amp;$AA$10:$AA$419,1,""),0)),$X$10:$Y$28,2,FALSE),"")</f>
        <v>305</v>
      </c>
      <c r="L30" s="90" cm="1">
        <f t="array" ref="L30">IFERROR(VLOOKUP(INDEX($AC$10:$AC$419,MATCH(1,IF(L$10&amp;"-"&amp;$C30=$AB$10:$AB$419&amp;"-"&amp;$AA$10:$AA$419,1,""),0)),$X$10:$Y$28,2,FALSE),"")</f>
        <v>305</v>
      </c>
      <c r="M30" s="90" cm="1">
        <f t="array" ref="M30">IFERROR(VLOOKUP(INDEX($AC$10:$AC$419,MATCH(1,IF(M$10&amp;"-"&amp;$C30=$AB$10:$AB$419&amp;"-"&amp;$AA$10:$AA$419,1,""),0)),$X$10:$Y$28,2,FALSE),"")</f>
        <v>26</v>
      </c>
      <c r="N30" s="90" cm="1">
        <f t="array" ref="N30">IFERROR(VLOOKUP(INDEX($AC$10:$AC$419,MATCH(1,IF(N$10&amp;"-"&amp;$C30=$AB$10:$AB$419&amp;"-"&amp;$AA$10:$AA$419,1,""),0)),$X$10:$Y$28,2,FALSE),"")</f>
        <v>26</v>
      </c>
      <c r="O30" s="90" cm="1">
        <f t="array" ref="O30">IFERROR(VLOOKUP(INDEX($AC$10:$AC$419,MATCH(1,IF(O$10&amp;"-"&amp;$C30=$AB$10:$AB$419&amp;"-"&amp;$AA$10:$AA$419,1,""),0)),$X$10:$Y$28,2,FALSE),"")</f>
        <v>67</v>
      </c>
      <c r="P30" s="90" cm="1">
        <f t="array" ref="P30">IFERROR(VLOOKUP(INDEX($AC$10:$AC$419,MATCH(1,IF(P$10&amp;"-"&amp;$C30=$AB$10:$AB$419&amp;"-"&amp;$AA$10:$AA$419,1,""),0)),$X$10:$Y$28,2,FALSE),"")</f>
        <v>67</v>
      </c>
      <c r="Q30" s="90" cm="1">
        <f t="array" ref="Q30">IFERROR(VLOOKUP(INDEX($AC$10:$AC$419,MATCH(1,IF(Q$10&amp;"-"&amp;$C30=$AB$10:$AB$419&amp;"-"&amp;$AA$10:$AA$419,1,""),0)),$X$10:$Y$28,2,FALSE),"")</f>
        <v>67</v>
      </c>
      <c r="R30" s="90" cm="1">
        <f t="array" ref="R30">IFERROR(VLOOKUP(INDEX($AC$10:$AC$419,MATCH(1,IF(R$10&amp;"-"&amp;$C30=$AB$10:$AB$419&amp;"-"&amp;$AA$10:$AA$419,1,""),0)),$X$10:$Y$28,2,FALSE),"")</f>
        <v>189</v>
      </c>
      <c r="S30" s="90" cm="1">
        <f t="array" ref="S30">IFERROR(VLOOKUP(INDEX($AC$10:$AC$419,MATCH(1,IF(S$10&amp;"-"&amp;$C30=$AB$10:$AB$419&amp;"-"&amp;$AA$10:$AA$419,1,""),0)),$X$10:$Y$28,2,FALSE),"")</f>
        <v>189</v>
      </c>
      <c r="T30" s="90" t="str" cm="1">
        <f t="array" ref="T30">IFERROR(VLOOKUP(INDEX($AC$10:$AC$419,MATCH(1,IF(T$10&amp;"-"&amp;$C30=$AB$10:$AB$419&amp;"-"&amp;$AA$10:$AA$419,1,""),0)),$X$10:$Y$28,2,FALSE),"")</f>
        <v/>
      </c>
      <c r="W30" t="b">
        <v>0</v>
      </c>
      <c r="Z30" s="8"/>
      <c r="AA30" s="11">
        <v>4</v>
      </c>
      <c r="AB30" s="11">
        <v>13</v>
      </c>
      <c r="AC30" s="11" t="s">
        <v>205</v>
      </c>
      <c r="AD30" t="e">
        <v>#VALUE!</v>
      </c>
    </row>
    <row r="31" spans="2:30" x14ac:dyDescent="0.25">
      <c r="B31" s="207"/>
      <c r="C31">
        <v>21</v>
      </c>
      <c r="D31" s="90" t="str" cm="1">
        <f t="array" ref="D31">IFERROR(VLOOKUP(INDEX($AC$10:$AC$419,MATCH(1,IF(D$10&amp;"-"&amp;$C31=$AB$10:$AB$419&amp;"-"&amp;$AA$10:$AA$419,1,""),0)),$X$10:$Y$28,2,FALSE),"")</f>
        <v/>
      </c>
      <c r="E31" s="90" t="str" cm="1">
        <f t="array" ref="E31">IFERROR(VLOOKUP(INDEX($AC$10:$AC$419,MATCH(1,IF(E$10&amp;"-"&amp;$C31=$AB$10:$AB$419&amp;"-"&amp;$AA$10:$AA$419,1,""),0)),$X$10:$Y$28,2,FALSE),"")</f>
        <v/>
      </c>
      <c r="F31" s="90" t="str" cm="1">
        <f t="array" ref="F31">IFERROR(VLOOKUP(INDEX($AC$10:$AC$419,MATCH(1,IF(F$10&amp;"-"&amp;$C31=$AB$10:$AB$419&amp;"-"&amp;$AA$10:$AA$419,1,""),0)),$X$10:$Y$28,2,FALSE),"")</f>
        <v/>
      </c>
      <c r="G31" s="90" cm="1">
        <f t="array" ref="G31">IFERROR(VLOOKUP(INDEX($AC$10:$AC$419,MATCH(1,IF(G$10&amp;"-"&amp;$C31=$AB$10:$AB$419&amp;"-"&amp;$AA$10:$AA$419,1,""),0)),$X$10:$Y$28,2,FALSE),"")</f>
        <v>305</v>
      </c>
      <c r="H31" s="90" cm="1">
        <f t="array" ref="H31">IFERROR(VLOOKUP(INDEX($AC$10:$AC$419,MATCH(1,IF(H$10&amp;"-"&amp;$C31=$AB$10:$AB$419&amp;"-"&amp;$AA$10:$AA$419,1,""),0)),$X$10:$Y$28,2,FALSE),"")</f>
        <v>305</v>
      </c>
      <c r="I31" s="90" t="str" cm="1">
        <f t="array" ref="I31">IFERROR(VLOOKUP(INDEX($AC$10:$AC$419,MATCH(1,IF(I$10&amp;"-"&amp;$C31=$AB$10:$AB$419&amp;"-"&amp;$AA$10:$AA$419,1,""),0)),$X$10:$Y$28,2,FALSE),"")</f>
        <v/>
      </c>
      <c r="J31" s="90" t="str" cm="1">
        <f t="array" ref="J31">IFERROR(VLOOKUP(INDEX($AC$10:$AC$419,MATCH(1,IF(J$10&amp;"-"&amp;$C31=$AB$10:$AB$419&amp;"-"&amp;$AA$10:$AA$419,1,""),0)),$X$10:$Y$28,2,FALSE),"")</f>
        <v/>
      </c>
      <c r="K31" s="90" cm="1">
        <f t="array" ref="K31">IFERROR(VLOOKUP(INDEX($AC$10:$AC$419,MATCH(1,IF(K$10&amp;"-"&amp;$C31=$AB$10:$AB$419&amp;"-"&amp;$AA$10:$AA$419,1,""),0)),$X$10:$Y$28,2,FALSE),"")</f>
        <v>305</v>
      </c>
      <c r="L31" s="90" cm="1">
        <f t="array" ref="L31">IFERROR(VLOOKUP(INDEX($AC$10:$AC$419,MATCH(1,IF(L$10&amp;"-"&amp;$C31=$AB$10:$AB$419&amp;"-"&amp;$AA$10:$AA$419,1,""),0)),$X$10:$Y$28,2,FALSE),"")</f>
        <v>305</v>
      </c>
      <c r="M31" s="90" cm="1">
        <f t="array" ref="M31">IFERROR(VLOOKUP(INDEX($AC$10:$AC$419,MATCH(1,IF(M$10&amp;"-"&amp;$C31=$AB$10:$AB$419&amp;"-"&amp;$AA$10:$AA$419,1,""),0)),$X$10:$Y$28,2,FALSE),"")</f>
        <v>26</v>
      </c>
      <c r="N31" s="90" cm="1">
        <f t="array" ref="N31">IFERROR(VLOOKUP(INDEX($AC$10:$AC$419,MATCH(1,IF(N$10&amp;"-"&amp;$C31=$AB$10:$AB$419&amp;"-"&amp;$AA$10:$AA$419,1,""),0)),$X$10:$Y$28,2,FALSE),"")</f>
        <v>26</v>
      </c>
      <c r="O31" s="90" cm="1">
        <f t="array" ref="O31">IFERROR(VLOOKUP(INDEX($AC$10:$AC$419,MATCH(1,IF(O$10&amp;"-"&amp;$C31=$AB$10:$AB$419&amp;"-"&amp;$AA$10:$AA$419,1,""),0)),$X$10:$Y$28,2,FALSE),"")</f>
        <v>26</v>
      </c>
      <c r="P31" s="90" cm="1">
        <f t="array" ref="P31">IFERROR(VLOOKUP(INDEX($AC$10:$AC$419,MATCH(1,IF(P$10&amp;"-"&amp;$C31=$AB$10:$AB$419&amp;"-"&amp;$AA$10:$AA$419,1,""),0)),$X$10:$Y$28,2,FALSE),"")</f>
        <v>67</v>
      </c>
      <c r="Q31" s="90" cm="1">
        <f t="array" ref="Q31">IFERROR(VLOOKUP(INDEX($AC$10:$AC$419,MATCH(1,IF(Q$10&amp;"-"&amp;$C31=$AB$10:$AB$419&amp;"-"&amp;$AA$10:$AA$419,1,""),0)),$X$10:$Y$28,2,FALSE),"")</f>
        <v>67</v>
      </c>
      <c r="R31" s="90" cm="1">
        <f t="array" ref="R31">IFERROR(VLOOKUP(INDEX($AC$10:$AC$419,MATCH(1,IF(R$10&amp;"-"&amp;$C31=$AB$10:$AB$419&amp;"-"&amp;$AA$10:$AA$419,1,""),0)),$X$10:$Y$28,2,FALSE),"")</f>
        <v>189</v>
      </c>
      <c r="S31" s="90" t="str" cm="1">
        <f t="array" ref="S31">IFERROR(VLOOKUP(INDEX($AC$10:$AC$419,MATCH(1,IF(S$10&amp;"-"&amp;$C31=$AB$10:$AB$419&amp;"-"&amp;$AA$10:$AA$419,1,""),0)),$X$10:$Y$28,2,FALSE),"")</f>
        <v/>
      </c>
      <c r="T31" s="90" t="str" cm="1">
        <f t="array" ref="T31">IFERROR(VLOOKUP(INDEX($AC$10:$AC$419,MATCH(1,IF(T$10&amp;"-"&amp;$C31=$AB$10:$AB$419&amp;"-"&amp;$AA$10:$AA$419,1,""),0)),$X$10:$Y$28,2,FALSE),"")</f>
        <v/>
      </c>
      <c r="W31" t="b">
        <v>0</v>
      </c>
      <c r="Z31" s="8"/>
      <c r="AA31" s="11">
        <v>4</v>
      </c>
      <c r="AB31" s="11">
        <v>14</v>
      </c>
      <c r="AC31" s="11" t="s">
        <v>205</v>
      </c>
      <c r="AD31" t="e">
        <v>#VALUE!</v>
      </c>
    </row>
    <row r="32" spans="2:30" x14ac:dyDescent="0.25">
      <c r="B32" s="207"/>
      <c r="C32">
        <v>22</v>
      </c>
      <c r="D32" s="90" t="str" cm="1">
        <f t="array" ref="D32">IFERROR(VLOOKUP(INDEX($AC$10:$AC$419,MATCH(1,IF(D$10&amp;"-"&amp;$C32=$AB$10:$AB$419&amp;"-"&amp;$AA$10:$AA$419,1,""),0)),$X$10:$Y$28,2,FALSE),"")</f>
        <v/>
      </c>
      <c r="E32" s="90" t="str" cm="1">
        <f t="array" ref="E32">IFERROR(VLOOKUP(INDEX($AC$10:$AC$419,MATCH(1,IF(E$10&amp;"-"&amp;$C32=$AB$10:$AB$419&amp;"-"&amp;$AA$10:$AA$419,1,""),0)),$X$10:$Y$28,2,FALSE),"")</f>
        <v/>
      </c>
      <c r="F32" s="90" t="str" cm="1">
        <f t="array" ref="F32">IFERROR(VLOOKUP(INDEX($AC$10:$AC$419,MATCH(1,IF(F$10&amp;"-"&amp;$C32=$AB$10:$AB$419&amp;"-"&amp;$AA$10:$AA$419,1,""),0)),$X$10:$Y$28,2,FALSE),"")</f>
        <v/>
      </c>
      <c r="G32" s="90" cm="1">
        <f t="array" ref="G32">IFERROR(VLOOKUP(INDEX($AC$10:$AC$419,MATCH(1,IF(G$10&amp;"-"&amp;$C32=$AB$10:$AB$419&amp;"-"&amp;$AA$10:$AA$419,1,""),0)),$X$10:$Y$28,2,FALSE),"")</f>
        <v>305</v>
      </c>
      <c r="H32" s="90" cm="1">
        <f t="array" ref="H32">IFERROR(VLOOKUP(INDEX($AC$10:$AC$419,MATCH(1,IF(H$10&amp;"-"&amp;$C32=$AB$10:$AB$419&amp;"-"&amp;$AA$10:$AA$419,1,""),0)),$X$10:$Y$28,2,FALSE),"")</f>
        <v>305</v>
      </c>
      <c r="I32" s="90" cm="1">
        <f t="array" ref="I32">IFERROR(VLOOKUP(INDEX($AC$10:$AC$419,MATCH(1,IF(I$10&amp;"-"&amp;$C32=$AB$10:$AB$419&amp;"-"&amp;$AA$10:$AA$419,1,""),0)),$X$10:$Y$28,2,FALSE),"")</f>
        <v>305</v>
      </c>
      <c r="J32" s="90" cm="1">
        <f t="array" ref="J32">IFERROR(VLOOKUP(INDEX($AC$10:$AC$419,MATCH(1,IF(J$10&amp;"-"&amp;$C32=$AB$10:$AB$419&amp;"-"&amp;$AA$10:$AA$419,1,""),0)),$X$10:$Y$28,2,FALSE),"")</f>
        <v>305</v>
      </c>
      <c r="K32" s="90" cm="1">
        <f t="array" ref="K32">IFERROR(VLOOKUP(INDEX($AC$10:$AC$419,MATCH(1,IF(K$10&amp;"-"&amp;$C32=$AB$10:$AB$419&amp;"-"&amp;$AA$10:$AA$419,1,""),0)),$X$10:$Y$28,2,FALSE),"")</f>
        <v>305</v>
      </c>
      <c r="L32" s="90" cm="1">
        <f t="array" ref="L32">IFERROR(VLOOKUP(INDEX($AC$10:$AC$419,MATCH(1,IF(L$10&amp;"-"&amp;$C32=$AB$10:$AB$419&amp;"-"&amp;$AA$10:$AA$419,1,""),0)),$X$10:$Y$28,2,FALSE),"")</f>
        <v>305</v>
      </c>
      <c r="M32" s="90" cm="1">
        <f t="array" ref="M32">IFERROR(VLOOKUP(INDEX($AC$10:$AC$419,MATCH(1,IF(M$10&amp;"-"&amp;$C32=$AB$10:$AB$419&amp;"-"&amp;$AA$10:$AA$419,1,""),0)),$X$10:$Y$28,2,FALSE),"")</f>
        <v>26</v>
      </c>
      <c r="N32" s="90" cm="1">
        <f t="array" ref="N32">IFERROR(VLOOKUP(INDEX($AC$10:$AC$419,MATCH(1,IF(N$10&amp;"-"&amp;$C32=$AB$10:$AB$419&amp;"-"&amp;$AA$10:$AA$419,1,""),0)),$X$10:$Y$28,2,FALSE),"")</f>
        <v>26</v>
      </c>
      <c r="O32" s="90" cm="1">
        <f t="array" ref="O32">IFERROR(VLOOKUP(INDEX($AC$10:$AC$419,MATCH(1,IF(O$10&amp;"-"&amp;$C32=$AB$10:$AB$419&amp;"-"&amp;$AA$10:$AA$419,1,""),0)),$X$10:$Y$28,2,FALSE),"")</f>
        <v>26</v>
      </c>
      <c r="P32" s="90" cm="1">
        <f t="array" ref="P32">IFERROR(VLOOKUP(INDEX($AC$10:$AC$419,MATCH(1,IF(P$10&amp;"-"&amp;$C32=$AB$10:$AB$419&amp;"-"&amp;$AA$10:$AA$419,1,""),0)),$X$10:$Y$28,2,FALSE),"")</f>
        <v>27</v>
      </c>
      <c r="Q32" s="90" cm="1">
        <f t="array" ref="Q32">IFERROR(VLOOKUP(INDEX($AC$10:$AC$419,MATCH(1,IF(Q$10&amp;"-"&amp;$C32=$AB$10:$AB$419&amp;"-"&amp;$AA$10:$AA$419,1,""),0)),$X$10:$Y$28,2,FALSE),"")</f>
        <v>9</v>
      </c>
      <c r="R32" s="90" cm="1">
        <f t="array" ref="R32">IFERROR(VLOOKUP(INDEX($AC$10:$AC$419,MATCH(1,IF(R$10&amp;"-"&amp;$C32=$AB$10:$AB$419&amp;"-"&amp;$AA$10:$AA$419,1,""),0)),$X$10:$Y$28,2,FALSE),"")</f>
        <v>9</v>
      </c>
      <c r="S32" s="90" t="str" cm="1">
        <f t="array" ref="S32">IFERROR(VLOOKUP(INDEX($AC$10:$AC$419,MATCH(1,IF(S$10&amp;"-"&amp;$C32=$AB$10:$AB$419&amp;"-"&amp;$AA$10:$AA$419,1,""),0)),$X$10:$Y$28,2,FALSE),"")</f>
        <v/>
      </c>
      <c r="T32" s="90" t="str" cm="1">
        <f t="array" ref="T32">IFERROR(VLOOKUP(INDEX($AC$10:$AC$419,MATCH(1,IF(T$10&amp;"-"&amp;$C32=$AB$10:$AB$419&amp;"-"&amp;$AA$10:$AA$419,1,""),0)),$X$10:$Y$28,2,FALSE),"")</f>
        <v/>
      </c>
      <c r="W32" t="b">
        <v>0</v>
      </c>
      <c r="Z32" s="8"/>
      <c r="AA32" s="11">
        <v>4</v>
      </c>
      <c r="AB32" s="11">
        <v>15</v>
      </c>
      <c r="AC32" s="11" t="s">
        <v>210</v>
      </c>
      <c r="AD32" t="e">
        <v>#VALUE!</v>
      </c>
    </row>
    <row r="33" spans="2:30" x14ac:dyDescent="0.25">
      <c r="B33" s="207"/>
      <c r="C33">
        <v>23</v>
      </c>
      <c r="D33" s="90" t="str" cm="1">
        <f t="array" ref="D33">IFERROR(VLOOKUP(INDEX($AC$10:$AC$419,MATCH(1,IF(D$10&amp;"-"&amp;$C33=$AB$10:$AB$419&amp;"-"&amp;$AA$10:$AA$419,1,""),0)),$X$10:$Y$28,2,FALSE),"")</f>
        <v/>
      </c>
      <c r="E33" s="90" cm="1">
        <f t="array" ref="E33">IFERROR(VLOOKUP(INDEX($AC$10:$AC$419,MATCH(1,IF(E$10&amp;"-"&amp;$C33=$AB$10:$AB$419&amp;"-"&amp;$AA$10:$AA$419,1,""),0)),$X$10:$Y$28,2,FALSE),"")</f>
        <v>38</v>
      </c>
      <c r="F33" s="90" t="str" cm="1">
        <f t="array" ref="F33">IFERROR(VLOOKUP(INDEX($AC$10:$AC$419,MATCH(1,IF(F$10&amp;"-"&amp;$C33=$AB$10:$AB$419&amp;"-"&amp;$AA$10:$AA$419,1,""),0)),$X$10:$Y$28,2,FALSE),"")</f>
        <v/>
      </c>
      <c r="G33" s="90" t="str" cm="1">
        <f t="array" ref="G33">IFERROR(VLOOKUP(INDEX($AC$10:$AC$419,MATCH(1,IF(G$10&amp;"-"&amp;$C33=$AB$10:$AB$419&amp;"-"&amp;$AA$10:$AA$419,1,""),0)),$X$10:$Y$28,2,FALSE),"")</f>
        <v/>
      </c>
      <c r="H33" s="90" cm="1">
        <f t="array" ref="H33">IFERROR(VLOOKUP(INDEX($AC$10:$AC$419,MATCH(1,IF(H$10&amp;"-"&amp;$C33=$AB$10:$AB$419&amp;"-"&amp;$AA$10:$AA$419,1,""),0)),$X$10:$Y$28,2,FALSE),"")</f>
        <v>305</v>
      </c>
      <c r="I33" s="90" cm="1">
        <f t="array" ref="I33">IFERROR(VLOOKUP(INDEX($AC$10:$AC$419,MATCH(1,IF(I$10&amp;"-"&amp;$C33=$AB$10:$AB$419&amp;"-"&amp;$AA$10:$AA$419,1,""),0)),$X$10:$Y$28,2,FALSE),"")</f>
        <v>305</v>
      </c>
      <c r="J33" s="90" cm="1">
        <f t="array" ref="J33">IFERROR(VLOOKUP(INDEX($AC$10:$AC$419,MATCH(1,IF(J$10&amp;"-"&amp;$C33=$AB$10:$AB$419&amp;"-"&amp;$AA$10:$AA$419,1,""),0)),$X$10:$Y$28,2,FALSE),"")</f>
        <v>305</v>
      </c>
      <c r="K33" s="90" cm="1">
        <f t="array" ref="K33">IFERROR(VLOOKUP(INDEX($AC$10:$AC$419,MATCH(1,IF(K$10&amp;"-"&amp;$C33=$AB$10:$AB$419&amp;"-"&amp;$AA$10:$AA$419,1,""),0)),$X$10:$Y$28,2,FALSE),"")</f>
        <v>305</v>
      </c>
      <c r="L33" s="90" cm="1">
        <f t="array" ref="L33">IFERROR(VLOOKUP(INDEX($AC$10:$AC$419,MATCH(1,IF(L$10&amp;"-"&amp;$C33=$AB$10:$AB$419&amp;"-"&amp;$AA$10:$AA$419,1,""),0)),$X$10:$Y$28,2,FALSE),"")</f>
        <v>305</v>
      </c>
      <c r="M33" s="90" cm="1">
        <f t="array" ref="M33">IFERROR(VLOOKUP(INDEX($AC$10:$AC$419,MATCH(1,IF(M$10&amp;"-"&amp;$C33=$AB$10:$AB$419&amp;"-"&amp;$AA$10:$AA$419,1,""),0)),$X$10:$Y$28,2,FALSE),"")</f>
        <v>26</v>
      </c>
      <c r="N33" s="90" cm="1">
        <f t="array" ref="N33">IFERROR(VLOOKUP(INDEX($AC$10:$AC$419,MATCH(1,IF(N$10&amp;"-"&amp;$C33=$AB$10:$AB$419&amp;"-"&amp;$AA$10:$AA$419,1,""),0)),$X$10:$Y$28,2,FALSE),"")</f>
        <v>26</v>
      </c>
      <c r="O33" s="90" cm="1">
        <f t="array" ref="O33">IFERROR(VLOOKUP(INDEX($AC$10:$AC$419,MATCH(1,IF(O$10&amp;"-"&amp;$C33=$AB$10:$AB$419&amp;"-"&amp;$AA$10:$AA$419,1,""),0)),$X$10:$Y$28,2,FALSE),"")</f>
        <v>26</v>
      </c>
      <c r="P33" s="90" cm="1">
        <f t="array" ref="P33">IFERROR(VLOOKUP(INDEX($AC$10:$AC$419,MATCH(1,IF(P$10&amp;"-"&amp;$C33=$AB$10:$AB$419&amp;"-"&amp;$AA$10:$AA$419,1,""),0)),$X$10:$Y$28,2,FALSE),"")</f>
        <v>27</v>
      </c>
      <c r="Q33" s="90" cm="1">
        <f t="array" ref="Q33">IFERROR(VLOOKUP(INDEX($AC$10:$AC$419,MATCH(1,IF(Q$10&amp;"-"&amp;$C33=$AB$10:$AB$419&amp;"-"&amp;$AA$10:$AA$419,1,""),0)),$X$10:$Y$28,2,FALSE),"")</f>
        <v>27</v>
      </c>
      <c r="R33" s="90" cm="1">
        <f t="array" ref="R33">IFERROR(VLOOKUP(INDEX($AC$10:$AC$419,MATCH(1,IF(R$10&amp;"-"&amp;$C33=$AB$10:$AB$419&amp;"-"&amp;$AA$10:$AA$419,1,""),0)),$X$10:$Y$28,2,FALSE),"")</f>
        <v>9</v>
      </c>
      <c r="S33" s="90" t="str" cm="1">
        <f t="array" ref="S33">IFERROR(VLOOKUP(INDEX($AC$10:$AC$419,MATCH(1,IF(S$10&amp;"-"&amp;$C33=$AB$10:$AB$419&amp;"-"&amp;$AA$10:$AA$419,1,""),0)),$X$10:$Y$28,2,FALSE),"")</f>
        <v/>
      </c>
      <c r="T33" s="90" t="str" cm="1">
        <f t="array" ref="T33">IFERROR(VLOOKUP(INDEX($AC$10:$AC$419,MATCH(1,IF(T$10&amp;"-"&amp;$C33=$AB$10:$AB$419&amp;"-"&amp;$AA$10:$AA$419,1,""),0)),$X$10:$Y$28,2,FALSE),"")</f>
        <v/>
      </c>
      <c r="W33" t="b">
        <v>0</v>
      </c>
      <c r="Z33" s="8"/>
      <c r="AA33" s="11">
        <v>4</v>
      </c>
      <c r="AB33" s="11">
        <v>16</v>
      </c>
      <c r="AC33" s="11" t="s">
        <v>210</v>
      </c>
      <c r="AD33" t="e">
        <v>#VALUE!</v>
      </c>
    </row>
    <row r="34" spans="2:30" x14ac:dyDescent="0.25">
      <c r="B34" s="207"/>
      <c r="C34">
        <v>24</v>
      </c>
      <c r="D34" s="90" t="str" cm="1">
        <f t="array" ref="D34">IFERROR(VLOOKUP(INDEX($AC$10:$AC$419,MATCH(1,IF(D$10&amp;"-"&amp;$C34=$AB$10:$AB$419&amp;"-"&amp;$AA$10:$AA$419,1,""),0)),$X$10:$Y$28,2,FALSE),"")</f>
        <v/>
      </c>
      <c r="E34" s="90" cm="1">
        <f t="array" ref="E34">IFERROR(VLOOKUP(INDEX($AC$10:$AC$419,MATCH(1,IF(E$10&amp;"-"&amp;$C34=$AB$10:$AB$419&amp;"-"&amp;$AA$10:$AA$419,1,""),0)),$X$10:$Y$28,2,FALSE),"")</f>
        <v>38</v>
      </c>
      <c r="F34" s="90" cm="1">
        <f t="array" ref="F34">IFERROR(VLOOKUP(INDEX($AC$10:$AC$419,MATCH(1,IF(F$10&amp;"-"&amp;$C34=$AB$10:$AB$419&amp;"-"&amp;$AA$10:$AA$419,1,""),0)),$X$10:$Y$28,2,FALSE),"")</f>
        <v>38</v>
      </c>
      <c r="G34" s="90" cm="1">
        <f t="array" ref="G34">IFERROR(VLOOKUP(INDEX($AC$10:$AC$419,MATCH(1,IF(G$10&amp;"-"&amp;$C34=$AB$10:$AB$419&amp;"-"&amp;$AA$10:$AA$419,1,""),0)),$X$10:$Y$28,2,FALSE),"")</f>
        <v>38</v>
      </c>
      <c r="H34" s="90" cm="1">
        <f t="array" ref="H34">IFERROR(VLOOKUP(INDEX($AC$10:$AC$419,MATCH(1,IF(H$10&amp;"-"&amp;$C34=$AB$10:$AB$419&amp;"-"&amp;$AA$10:$AA$419,1,""),0)),$X$10:$Y$28,2,FALSE),"")</f>
        <v>305</v>
      </c>
      <c r="I34" s="90" cm="1">
        <f t="array" ref="I34">IFERROR(VLOOKUP(INDEX($AC$10:$AC$419,MATCH(1,IF(I$10&amp;"-"&amp;$C34=$AB$10:$AB$419&amp;"-"&amp;$AA$10:$AA$419,1,""),0)),$X$10:$Y$28,2,FALSE),"")</f>
        <v>305</v>
      </c>
      <c r="J34" s="90" cm="1">
        <f t="array" ref="J34">IFERROR(VLOOKUP(INDEX($AC$10:$AC$419,MATCH(1,IF(J$10&amp;"-"&amp;$C34=$AB$10:$AB$419&amp;"-"&amp;$AA$10:$AA$419,1,""),0)),$X$10:$Y$28,2,FALSE),"")</f>
        <v>305</v>
      </c>
      <c r="K34" s="90" cm="1">
        <f t="array" ref="K34">IFERROR(VLOOKUP(INDEX($AC$10:$AC$419,MATCH(1,IF(K$10&amp;"-"&amp;$C34=$AB$10:$AB$419&amp;"-"&amp;$AA$10:$AA$419,1,""),0)),$X$10:$Y$28,2,FALSE),"")</f>
        <v>305</v>
      </c>
      <c r="L34" s="90" cm="1">
        <f t="array" ref="L34">IFERROR(VLOOKUP(INDEX($AC$10:$AC$419,MATCH(1,IF(L$10&amp;"-"&amp;$C34=$AB$10:$AB$419&amp;"-"&amp;$AA$10:$AA$419,1,""),0)),$X$10:$Y$28,2,FALSE),"")</f>
        <v>305</v>
      </c>
      <c r="M34" s="90" cm="1">
        <f t="array" ref="M34">IFERROR(VLOOKUP(INDEX($AC$10:$AC$419,MATCH(1,IF(M$10&amp;"-"&amp;$C34=$AB$10:$AB$419&amp;"-"&amp;$AA$10:$AA$419,1,""),0)),$X$10:$Y$28,2,FALSE),"")</f>
        <v>26</v>
      </c>
      <c r="N34" s="90" cm="1">
        <f t="array" ref="N34">IFERROR(VLOOKUP(INDEX($AC$10:$AC$419,MATCH(1,IF(N$10&amp;"-"&amp;$C34=$AB$10:$AB$419&amp;"-"&amp;$AA$10:$AA$419,1,""),0)),$X$10:$Y$28,2,FALSE),"")</f>
        <v>26</v>
      </c>
      <c r="O34" s="90" cm="1">
        <f t="array" ref="O34">IFERROR(VLOOKUP(INDEX($AC$10:$AC$419,MATCH(1,IF(O$10&amp;"-"&amp;$C34=$AB$10:$AB$419&amp;"-"&amp;$AA$10:$AA$419,1,""),0)),$X$10:$Y$28,2,FALSE),"")</f>
        <v>27</v>
      </c>
      <c r="P34" s="90" cm="1">
        <f t="array" ref="P34">IFERROR(VLOOKUP(INDEX($AC$10:$AC$419,MATCH(1,IF(P$10&amp;"-"&amp;$C34=$AB$10:$AB$419&amp;"-"&amp;$AA$10:$AA$419,1,""),0)),$X$10:$Y$28,2,FALSE),"")</f>
        <v>27</v>
      </c>
      <c r="Q34" s="90" cm="1">
        <f t="array" ref="Q34">IFERROR(VLOOKUP(INDEX($AC$10:$AC$419,MATCH(1,IF(Q$10&amp;"-"&amp;$C34=$AB$10:$AB$419&amp;"-"&amp;$AA$10:$AA$419,1,""),0)),$X$10:$Y$28,2,FALSE),"")</f>
        <v>9</v>
      </c>
      <c r="R34" s="90" cm="1">
        <f t="array" ref="R34">IFERROR(VLOOKUP(INDEX($AC$10:$AC$419,MATCH(1,IF(R$10&amp;"-"&amp;$C34=$AB$10:$AB$419&amp;"-"&amp;$AA$10:$AA$419,1,""),0)),$X$10:$Y$28,2,FALSE),"")</f>
        <v>9</v>
      </c>
      <c r="S34" s="90" t="str" cm="1">
        <f t="array" ref="S34">IFERROR(VLOOKUP(INDEX($AC$10:$AC$419,MATCH(1,IF(S$10&amp;"-"&amp;$C34=$AB$10:$AB$419&amp;"-"&amp;$AA$10:$AA$419,1,""),0)),$X$10:$Y$28,2,FALSE),"")</f>
        <v/>
      </c>
      <c r="T34" s="90" t="str" cm="1">
        <f t="array" ref="T34">IFERROR(VLOOKUP(INDEX($AC$10:$AC$419,MATCH(1,IF(T$10&amp;"-"&amp;$C34=$AB$10:$AB$419&amp;"-"&amp;$AA$10:$AA$419,1,""),0)),$X$10:$Y$28,2,FALSE),"")</f>
        <v/>
      </c>
      <c r="W34" t="b">
        <v>0</v>
      </c>
      <c r="Z34" s="8"/>
      <c r="AA34" s="11">
        <v>5</v>
      </c>
      <c r="AB34" s="11">
        <v>8</v>
      </c>
      <c r="AC34" s="11" t="s">
        <v>205</v>
      </c>
      <c r="AD34" t="e">
        <v>#VALUE!</v>
      </c>
    </row>
    <row r="35" spans="2:30" x14ac:dyDescent="0.25">
      <c r="B35" s="207"/>
      <c r="C35">
        <v>25</v>
      </c>
      <c r="D35" s="90" cm="1">
        <f t="array" ref="D35">IFERROR(VLOOKUP(INDEX($AC$10:$AC$419,MATCH(1,IF(D$10&amp;"-"&amp;$C35=$AB$10:$AB$419&amp;"-"&amp;$AA$10:$AA$419,1,""),0)),$X$10:$Y$28,2,FALSE),"")</f>
        <v>38</v>
      </c>
      <c r="E35" s="90" cm="1">
        <f t="array" ref="E35">IFERROR(VLOOKUP(INDEX($AC$10:$AC$419,MATCH(1,IF(E$10&amp;"-"&amp;$C35=$AB$10:$AB$419&amp;"-"&amp;$AA$10:$AA$419,1,""),0)),$X$10:$Y$28,2,FALSE),"")</f>
        <v>38</v>
      </c>
      <c r="F35" s="90" cm="1">
        <f t="array" ref="F35">IFERROR(VLOOKUP(INDEX($AC$10:$AC$419,MATCH(1,IF(F$10&amp;"-"&amp;$C35=$AB$10:$AB$419&amp;"-"&amp;$AA$10:$AA$419,1,""),0)),$X$10:$Y$28,2,FALSE),"")</f>
        <v>38</v>
      </c>
      <c r="G35" s="90" cm="1">
        <f t="array" ref="G35">IFERROR(VLOOKUP(INDEX($AC$10:$AC$419,MATCH(1,IF(G$10&amp;"-"&amp;$C35=$AB$10:$AB$419&amp;"-"&amp;$AA$10:$AA$419,1,""),0)),$X$10:$Y$28,2,FALSE),"")</f>
        <v>305</v>
      </c>
      <c r="H35" s="90" cm="1">
        <f t="array" ref="H35">IFERROR(VLOOKUP(INDEX($AC$10:$AC$419,MATCH(1,IF(H$10&amp;"-"&amp;$C35=$AB$10:$AB$419&amp;"-"&amp;$AA$10:$AA$419,1,""),0)),$X$10:$Y$28,2,FALSE),"")</f>
        <v>305</v>
      </c>
      <c r="I35" s="90" cm="1">
        <f t="array" ref="I35">IFERROR(VLOOKUP(INDEX($AC$10:$AC$419,MATCH(1,IF(I$10&amp;"-"&amp;$C35=$AB$10:$AB$419&amp;"-"&amp;$AA$10:$AA$419,1,""),0)),$X$10:$Y$28,2,FALSE),"")</f>
        <v>305</v>
      </c>
      <c r="J35" s="90" cm="1">
        <f t="array" ref="J35">IFERROR(VLOOKUP(INDEX($AC$10:$AC$419,MATCH(1,IF(J$10&amp;"-"&amp;$C35=$AB$10:$AB$419&amp;"-"&amp;$AA$10:$AA$419,1,""),0)),$X$10:$Y$28,2,FALSE),"")</f>
        <v>305</v>
      </c>
      <c r="K35" s="90" cm="1">
        <f t="array" ref="K35">IFERROR(VLOOKUP(INDEX($AC$10:$AC$419,MATCH(1,IF(K$10&amp;"-"&amp;$C35=$AB$10:$AB$419&amp;"-"&amp;$AA$10:$AA$419,1,""),0)),$X$10:$Y$28,2,FALSE),"")</f>
        <v>305</v>
      </c>
      <c r="L35" s="90" cm="1">
        <f t="array" ref="L35">IFERROR(VLOOKUP(INDEX($AC$10:$AC$419,MATCH(1,IF(L$10&amp;"-"&amp;$C35=$AB$10:$AB$419&amp;"-"&amp;$AA$10:$AA$419,1,""),0)),$X$10:$Y$28,2,FALSE),"")</f>
        <v>305</v>
      </c>
      <c r="M35" s="90" cm="1">
        <f t="array" ref="M35">IFERROR(VLOOKUP(INDEX($AC$10:$AC$419,MATCH(1,IF(M$10&amp;"-"&amp;$C35=$AB$10:$AB$419&amp;"-"&amp;$AA$10:$AA$419,1,""),0)),$X$10:$Y$28,2,FALSE),"")</f>
        <v>26</v>
      </c>
      <c r="N35" s="90" cm="1">
        <f t="array" ref="N35">IFERROR(VLOOKUP(INDEX($AC$10:$AC$419,MATCH(1,IF(N$10&amp;"-"&amp;$C35=$AB$10:$AB$419&amp;"-"&amp;$AA$10:$AA$419,1,""),0)),$X$10:$Y$28,2,FALSE),"")</f>
        <v>26</v>
      </c>
      <c r="O35" s="90" cm="1">
        <f t="array" ref="O35">IFERROR(VLOOKUP(INDEX($AC$10:$AC$419,MATCH(1,IF(O$10&amp;"-"&amp;$C35=$AB$10:$AB$419&amp;"-"&amp;$AA$10:$AA$419,1,""),0)),$X$10:$Y$28,2,FALSE),"")</f>
        <v>27</v>
      </c>
      <c r="P35" s="90" cm="1">
        <f t="array" ref="P35">IFERROR(VLOOKUP(INDEX($AC$10:$AC$419,MATCH(1,IF(P$10&amp;"-"&amp;$C35=$AB$10:$AB$419&amp;"-"&amp;$AA$10:$AA$419,1,""),0)),$X$10:$Y$28,2,FALSE),"")</f>
        <v>27</v>
      </c>
      <c r="Q35" s="90" cm="1">
        <f t="array" ref="Q35">IFERROR(VLOOKUP(INDEX($AC$10:$AC$419,MATCH(1,IF(Q$10&amp;"-"&amp;$C35=$AB$10:$AB$419&amp;"-"&amp;$AA$10:$AA$419,1,""),0)),$X$10:$Y$28,2,FALSE),"")</f>
        <v>9</v>
      </c>
      <c r="R35" s="90" cm="1">
        <f t="array" ref="R35">IFERROR(VLOOKUP(INDEX($AC$10:$AC$419,MATCH(1,IF(R$10&amp;"-"&amp;$C35=$AB$10:$AB$419&amp;"-"&amp;$AA$10:$AA$419,1,""),0)),$X$10:$Y$28,2,FALSE),"")</f>
        <v>12</v>
      </c>
      <c r="S35" s="90" cm="1">
        <f t="array" ref="S35">IFERROR(VLOOKUP(INDEX($AC$10:$AC$419,MATCH(1,IF(S$10&amp;"-"&amp;$C35=$AB$10:$AB$419&amp;"-"&amp;$AA$10:$AA$419,1,""),0)),$X$10:$Y$28,2,FALSE),"")</f>
        <v>12</v>
      </c>
      <c r="T35" s="90" t="str" cm="1">
        <f t="array" ref="T35">IFERROR(VLOOKUP(INDEX($AC$10:$AC$419,MATCH(1,IF(T$10&amp;"-"&amp;$C35=$AB$10:$AB$419&amp;"-"&amp;$AA$10:$AA$419,1,""),0)),$X$10:$Y$28,2,FALSE),"")</f>
        <v/>
      </c>
      <c r="W35" t="b">
        <v>0</v>
      </c>
      <c r="Z35" s="8"/>
      <c r="AA35" s="11">
        <v>5</v>
      </c>
      <c r="AB35" s="11">
        <v>9</v>
      </c>
      <c r="AC35" s="11" t="s">
        <v>205</v>
      </c>
      <c r="AD35" t="e">
        <v>#VALUE!</v>
      </c>
    </row>
    <row r="36" spans="2:30" x14ac:dyDescent="0.25">
      <c r="B36" s="207"/>
      <c r="C36">
        <v>26</v>
      </c>
      <c r="D36" s="90" t="str" cm="1">
        <f t="array" ref="D36">IFERROR(VLOOKUP(INDEX($AC$10:$AC$419,MATCH(1,IF(D$10&amp;"-"&amp;$C36=$AB$10:$AB$419&amp;"-"&amp;$AA$10:$AA$419,1,""),0)),$X$10:$Y$28,2,FALSE),"")</f>
        <v/>
      </c>
      <c r="E36" s="90" cm="1">
        <f t="array" ref="E36">IFERROR(VLOOKUP(INDEX($AC$10:$AC$419,MATCH(1,IF(E$10&amp;"-"&amp;$C36=$AB$10:$AB$419&amp;"-"&amp;$AA$10:$AA$419,1,""),0)),$X$10:$Y$28,2,FALSE),"")</f>
        <v>38</v>
      </c>
      <c r="F36" s="90" cm="1">
        <f t="array" ref="F36">IFERROR(VLOOKUP(INDEX($AC$10:$AC$419,MATCH(1,IF(F$10&amp;"-"&amp;$C36=$AB$10:$AB$419&amp;"-"&amp;$AA$10:$AA$419,1,""),0)),$X$10:$Y$28,2,FALSE),"")</f>
        <v>305</v>
      </c>
      <c r="G36" s="90" cm="1">
        <f t="array" ref="G36">IFERROR(VLOOKUP(INDEX($AC$10:$AC$419,MATCH(1,IF(G$10&amp;"-"&amp;$C36=$AB$10:$AB$419&amp;"-"&amp;$AA$10:$AA$419,1,""),0)),$X$10:$Y$28,2,FALSE),"")</f>
        <v>305</v>
      </c>
      <c r="H36" s="90" cm="1">
        <f t="array" ref="H36">IFERROR(VLOOKUP(INDEX($AC$10:$AC$419,MATCH(1,IF(H$10&amp;"-"&amp;$C36=$AB$10:$AB$419&amp;"-"&amp;$AA$10:$AA$419,1,""),0)),$X$10:$Y$28,2,FALSE),"")</f>
        <v>305</v>
      </c>
      <c r="I36" s="90" cm="1">
        <f t="array" ref="I36">IFERROR(VLOOKUP(INDEX($AC$10:$AC$419,MATCH(1,IF(I$10&amp;"-"&amp;$C36=$AB$10:$AB$419&amp;"-"&amp;$AA$10:$AA$419,1,""),0)),$X$10:$Y$28,2,FALSE),"")</f>
        <v>305</v>
      </c>
      <c r="J36" s="90" cm="1">
        <f t="array" ref="J36">IFERROR(VLOOKUP(INDEX($AC$10:$AC$419,MATCH(1,IF(J$10&amp;"-"&amp;$C36=$AB$10:$AB$419&amp;"-"&amp;$AA$10:$AA$419,1,""),0)),$X$10:$Y$28,2,FALSE),"")</f>
        <v>305</v>
      </c>
      <c r="K36" s="90" cm="1">
        <f t="array" ref="K36">IFERROR(VLOOKUP(INDEX($AC$10:$AC$419,MATCH(1,IF(K$10&amp;"-"&amp;$C36=$AB$10:$AB$419&amp;"-"&amp;$AA$10:$AA$419,1,""),0)),$X$10:$Y$28,2,FALSE),"")</f>
        <v>305</v>
      </c>
      <c r="L36" s="90" cm="1">
        <f t="array" ref="L36">IFERROR(VLOOKUP(INDEX($AC$10:$AC$419,MATCH(1,IF(L$10&amp;"-"&amp;$C36=$AB$10:$AB$419&amp;"-"&amp;$AA$10:$AA$419,1,""),0)),$X$10:$Y$28,2,FALSE),"")</f>
        <v>26</v>
      </c>
      <c r="M36" s="90" cm="1">
        <f t="array" ref="M36">IFERROR(VLOOKUP(INDEX($AC$10:$AC$419,MATCH(1,IF(M$10&amp;"-"&amp;$C36=$AB$10:$AB$419&amp;"-"&amp;$AA$10:$AA$419,1,""),0)),$X$10:$Y$28,2,FALSE),"")</f>
        <v>26</v>
      </c>
      <c r="N36" s="90" cm="1">
        <f t="array" ref="N36">IFERROR(VLOOKUP(INDEX($AC$10:$AC$419,MATCH(1,IF(N$10&amp;"-"&amp;$C36=$AB$10:$AB$419&amp;"-"&amp;$AA$10:$AA$419,1,""),0)),$X$10:$Y$28,2,FALSE),"")</f>
        <v>47</v>
      </c>
      <c r="O36" s="90" cm="1">
        <f t="array" ref="O36">IFERROR(VLOOKUP(INDEX($AC$10:$AC$419,MATCH(1,IF(O$10&amp;"-"&amp;$C36=$AB$10:$AB$419&amp;"-"&amp;$AA$10:$AA$419,1,""),0)),$X$10:$Y$28,2,FALSE),"")</f>
        <v>47</v>
      </c>
      <c r="P36" s="90" cm="1">
        <f t="array" ref="P36">IFERROR(VLOOKUP(INDEX($AC$10:$AC$419,MATCH(1,IF(P$10&amp;"-"&amp;$C36=$AB$10:$AB$419&amp;"-"&amp;$AA$10:$AA$419,1,""),0)),$X$10:$Y$28,2,FALSE),"")</f>
        <v>27</v>
      </c>
      <c r="Q36" s="90" cm="1">
        <f t="array" ref="Q36">IFERROR(VLOOKUP(INDEX($AC$10:$AC$419,MATCH(1,IF(Q$10&amp;"-"&amp;$C36=$AB$10:$AB$419&amp;"-"&amp;$AA$10:$AA$419,1,""),0)),$X$10:$Y$28,2,FALSE),"")</f>
        <v>9</v>
      </c>
      <c r="R36" s="90" cm="1">
        <f t="array" ref="R36">IFERROR(VLOOKUP(INDEX($AC$10:$AC$419,MATCH(1,IF(R$10&amp;"-"&amp;$C36=$AB$10:$AB$419&amp;"-"&amp;$AA$10:$AA$419,1,""),0)),$X$10:$Y$28,2,FALSE),"")</f>
        <v>12</v>
      </c>
      <c r="S36" s="90" cm="1">
        <f t="array" ref="S36">IFERROR(VLOOKUP(INDEX($AC$10:$AC$419,MATCH(1,IF(S$10&amp;"-"&amp;$C36=$AB$10:$AB$419&amp;"-"&amp;$AA$10:$AA$419,1,""),0)),$X$10:$Y$28,2,FALSE),"")</f>
        <v>12</v>
      </c>
      <c r="T36" s="90" t="str" cm="1">
        <f t="array" ref="T36">IFERROR(VLOOKUP(INDEX($AC$10:$AC$419,MATCH(1,IF(T$10&amp;"-"&amp;$C36=$AB$10:$AB$419&amp;"-"&amp;$AA$10:$AA$419,1,""),0)),$X$10:$Y$28,2,FALSE),"")</f>
        <v/>
      </c>
      <c r="W36" t="b">
        <v>0</v>
      </c>
      <c r="Z36" s="8"/>
      <c r="AA36" s="11">
        <v>5</v>
      </c>
      <c r="AB36" s="11">
        <v>10</v>
      </c>
      <c r="AC36" s="11" t="s">
        <v>205</v>
      </c>
      <c r="AD36" t="e">
        <v>#VALUE!</v>
      </c>
    </row>
    <row r="37" spans="2:30" x14ac:dyDescent="0.25">
      <c r="B37" s="207"/>
      <c r="C37">
        <v>27</v>
      </c>
      <c r="D37" s="90" t="str" cm="1">
        <f t="array" ref="D37">IFERROR(VLOOKUP(INDEX($AC$10:$AC$419,MATCH(1,IF(D$10&amp;"-"&amp;$C37=$AB$10:$AB$419&amp;"-"&amp;$AA$10:$AA$419,1,""),0)),$X$10:$Y$28,2,FALSE),"")</f>
        <v/>
      </c>
      <c r="E37" s="90" cm="1">
        <f t="array" ref="E37">IFERROR(VLOOKUP(INDEX($AC$10:$AC$419,MATCH(1,IF(E$10&amp;"-"&amp;$C37=$AB$10:$AB$419&amp;"-"&amp;$AA$10:$AA$419,1,""),0)),$X$10:$Y$28,2,FALSE),"")</f>
        <v>38</v>
      </c>
      <c r="F37" s="90" cm="1">
        <f t="array" ref="F37">IFERROR(VLOOKUP(INDEX($AC$10:$AC$419,MATCH(1,IF(F$10&amp;"-"&amp;$C37=$AB$10:$AB$419&amp;"-"&amp;$AA$10:$AA$419,1,""),0)),$X$10:$Y$28,2,FALSE),"")</f>
        <v>38</v>
      </c>
      <c r="G37" s="90" cm="1">
        <f t="array" ref="G37">IFERROR(VLOOKUP(INDEX($AC$10:$AC$419,MATCH(1,IF(G$10&amp;"-"&amp;$C37=$AB$10:$AB$419&amp;"-"&amp;$AA$10:$AA$419,1,""),0)),$X$10:$Y$28,2,FALSE),"")</f>
        <v>305</v>
      </c>
      <c r="H37" s="90" cm="1">
        <f t="array" ref="H37">IFERROR(VLOOKUP(INDEX($AC$10:$AC$419,MATCH(1,IF(H$10&amp;"-"&amp;$C37=$AB$10:$AB$419&amp;"-"&amp;$AA$10:$AA$419,1,""),0)),$X$10:$Y$28,2,FALSE),"")</f>
        <v>305</v>
      </c>
      <c r="I37" s="90" cm="1">
        <f t="array" ref="I37">IFERROR(VLOOKUP(INDEX($AC$10:$AC$419,MATCH(1,IF(I$10&amp;"-"&amp;$C37=$AB$10:$AB$419&amp;"-"&amp;$AA$10:$AA$419,1,""),0)),$X$10:$Y$28,2,FALSE),"")</f>
        <v>305</v>
      </c>
      <c r="J37" s="90" cm="1">
        <f t="array" ref="J37">IFERROR(VLOOKUP(INDEX($AC$10:$AC$419,MATCH(1,IF(J$10&amp;"-"&amp;$C37=$AB$10:$AB$419&amp;"-"&amp;$AA$10:$AA$419,1,""),0)),$X$10:$Y$28,2,FALSE),"")</f>
        <v>305</v>
      </c>
      <c r="K37" s="90" cm="1">
        <f t="array" ref="K37">IFERROR(VLOOKUP(INDEX($AC$10:$AC$419,MATCH(1,IF(K$10&amp;"-"&amp;$C37=$AB$10:$AB$419&amp;"-"&amp;$AA$10:$AA$419,1,""),0)),$X$10:$Y$28,2,FALSE),"")</f>
        <v>305</v>
      </c>
      <c r="L37" s="90" cm="1">
        <f t="array" ref="L37">IFERROR(VLOOKUP(INDEX($AC$10:$AC$419,MATCH(1,IF(L$10&amp;"-"&amp;$C37=$AB$10:$AB$419&amp;"-"&amp;$AA$10:$AA$419,1,""),0)),$X$10:$Y$28,2,FALSE),"")</f>
        <v>26</v>
      </c>
      <c r="M37" s="90" cm="1">
        <f t="array" ref="M37">IFERROR(VLOOKUP(INDEX($AC$10:$AC$419,MATCH(1,IF(M$10&amp;"-"&amp;$C37=$AB$10:$AB$419&amp;"-"&amp;$AA$10:$AA$419,1,""),0)),$X$10:$Y$28,2,FALSE),"")</f>
        <v>26</v>
      </c>
      <c r="N37" s="90" cm="1">
        <f t="array" ref="N37">IFERROR(VLOOKUP(INDEX($AC$10:$AC$419,MATCH(1,IF(N$10&amp;"-"&amp;$C37=$AB$10:$AB$419&amp;"-"&amp;$AA$10:$AA$419,1,""),0)),$X$10:$Y$28,2,FALSE),"")</f>
        <v>47</v>
      </c>
      <c r="O37" s="90" cm="1">
        <f t="array" ref="O37">IFERROR(VLOOKUP(INDEX($AC$10:$AC$419,MATCH(1,IF(O$10&amp;"-"&amp;$C37=$AB$10:$AB$419&amp;"-"&amp;$AA$10:$AA$419,1,""),0)),$X$10:$Y$28,2,FALSE),"")</f>
        <v>47</v>
      </c>
      <c r="P37" s="90" cm="1">
        <f t="array" ref="P37">IFERROR(VLOOKUP(INDEX($AC$10:$AC$419,MATCH(1,IF(P$10&amp;"-"&amp;$C37=$AB$10:$AB$419&amp;"-"&amp;$AA$10:$AA$419,1,""),0)),$X$10:$Y$28,2,FALSE),"")</f>
        <v>9</v>
      </c>
      <c r="Q37" s="90" cm="1">
        <f t="array" ref="Q37">IFERROR(VLOOKUP(INDEX($AC$10:$AC$419,MATCH(1,IF(Q$10&amp;"-"&amp;$C37=$AB$10:$AB$419&amp;"-"&amp;$AA$10:$AA$419,1,""),0)),$X$10:$Y$28,2,FALSE),"")</f>
        <v>9</v>
      </c>
      <c r="R37" s="90" cm="1">
        <f t="array" ref="R37">IFERROR(VLOOKUP(INDEX($AC$10:$AC$419,MATCH(1,IF(R$10&amp;"-"&amp;$C37=$AB$10:$AB$419&amp;"-"&amp;$AA$10:$AA$419,1,""),0)),$X$10:$Y$28,2,FALSE),"")</f>
        <v>9</v>
      </c>
      <c r="S37" s="90" cm="1">
        <f t="array" ref="S37">IFERROR(VLOOKUP(INDEX($AC$10:$AC$419,MATCH(1,IF(S$10&amp;"-"&amp;$C37=$AB$10:$AB$419&amp;"-"&amp;$AA$10:$AA$419,1,""),0)),$X$10:$Y$28,2,FALSE),"")</f>
        <v>12</v>
      </c>
      <c r="T37" s="90" t="str" cm="1">
        <f t="array" ref="T37">IFERROR(VLOOKUP(INDEX($AC$10:$AC$419,MATCH(1,IF(T$10&amp;"-"&amp;$C37=$AB$10:$AB$419&amp;"-"&amp;$AA$10:$AA$419,1,""),0)),$X$10:$Y$28,2,FALSE),"")</f>
        <v/>
      </c>
      <c r="W37" t="b">
        <v>0</v>
      </c>
      <c r="Z37" s="8"/>
      <c r="AA37" s="11">
        <v>5</v>
      </c>
      <c r="AB37" s="11">
        <v>11</v>
      </c>
      <c r="AC37" s="11" t="s">
        <v>205</v>
      </c>
      <c r="AD37" t="e">
        <v>#VALUE!</v>
      </c>
    </row>
    <row r="38" spans="2:30" x14ac:dyDescent="0.25">
      <c r="B38" s="207"/>
      <c r="C38">
        <v>28</v>
      </c>
      <c r="D38" s="90" t="str" cm="1">
        <f t="array" ref="D38">IFERROR(VLOOKUP(INDEX($AC$10:$AC$419,MATCH(1,IF(D$10&amp;"-"&amp;$C38=$AB$10:$AB$419&amp;"-"&amp;$AA$10:$AA$419,1,""),0)),$X$10:$Y$28,2,FALSE),"")</f>
        <v/>
      </c>
      <c r="E38" s="90" cm="1">
        <f t="array" ref="E38">IFERROR(VLOOKUP(INDEX($AC$10:$AC$419,MATCH(1,IF(E$10&amp;"-"&amp;$C38=$AB$10:$AB$419&amp;"-"&amp;$AA$10:$AA$419,1,""),0)),$X$10:$Y$28,2,FALSE),"")</f>
        <v>38</v>
      </c>
      <c r="F38" s="90" cm="1">
        <f t="array" ref="F38">IFERROR(VLOOKUP(INDEX($AC$10:$AC$419,MATCH(1,IF(F$10&amp;"-"&amp;$C38=$AB$10:$AB$419&amp;"-"&amp;$AA$10:$AA$419,1,""),0)),$X$10:$Y$28,2,FALSE),"")</f>
        <v>38</v>
      </c>
      <c r="G38" s="90" cm="1">
        <f t="array" ref="G38">IFERROR(VLOOKUP(INDEX($AC$10:$AC$419,MATCH(1,IF(G$10&amp;"-"&amp;$C38=$AB$10:$AB$419&amp;"-"&amp;$AA$10:$AA$419,1,""),0)),$X$10:$Y$28,2,FALSE),"")</f>
        <v>38</v>
      </c>
      <c r="H38" s="90" cm="1">
        <f t="array" ref="H38">IFERROR(VLOOKUP(INDEX($AC$10:$AC$419,MATCH(1,IF(H$10&amp;"-"&amp;$C38=$AB$10:$AB$419&amp;"-"&amp;$AA$10:$AA$419,1,""),0)),$X$10:$Y$28,2,FALSE),"")</f>
        <v>38</v>
      </c>
      <c r="I38" s="90" cm="1">
        <f t="array" ref="I38">IFERROR(VLOOKUP(INDEX($AC$10:$AC$419,MATCH(1,IF(I$10&amp;"-"&amp;$C38=$AB$10:$AB$419&amp;"-"&amp;$AA$10:$AA$419,1,""),0)),$X$10:$Y$28,2,FALSE),"")</f>
        <v>38</v>
      </c>
      <c r="J38" s="90" cm="1">
        <f t="array" ref="J38">IFERROR(VLOOKUP(INDEX($AC$10:$AC$419,MATCH(1,IF(J$10&amp;"-"&amp;$C38=$AB$10:$AB$419&amp;"-"&amp;$AA$10:$AA$419,1,""),0)),$X$10:$Y$28,2,FALSE),"")</f>
        <v>305</v>
      </c>
      <c r="K38" s="90" cm="1">
        <f t="array" ref="K38">IFERROR(VLOOKUP(INDEX($AC$10:$AC$419,MATCH(1,IF(K$10&amp;"-"&amp;$C38=$AB$10:$AB$419&amp;"-"&amp;$AA$10:$AA$419,1,""),0)),$X$10:$Y$28,2,FALSE),"")</f>
        <v>305</v>
      </c>
      <c r="L38" s="90" cm="1">
        <f t="array" ref="L38">IFERROR(VLOOKUP(INDEX($AC$10:$AC$419,MATCH(1,IF(L$10&amp;"-"&amp;$C38=$AB$10:$AB$419&amp;"-"&amp;$AA$10:$AA$419,1,""),0)),$X$10:$Y$28,2,FALSE),"")</f>
        <v>58</v>
      </c>
      <c r="M38" s="90" cm="1">
        <f t="array" ref="M38">IFERROR(VLOOKUP(INDEX($AC$10:$AC$419,MATCH(1,IF(M$10&amp;"-"&amp;$C38=$AB$10:$AB$419&amp;"-"&amp;$AA$10:$AA$419,1,""),0)),$X$10:$Y$28,2,FALSE),"")</f>
        <v>47</v>
      </c>
      <c r="N38" s="90" cm="1">
        <f t="array" ref="N38">IFERROR(VLOOKUP(INDEX($AC$10:$AC$419,MATCH(1,IF(N$10&amp;"-"&amp;$C38=$AB$10:$AB$419&amp;"-"&amp;$AA$10:$AA$419,1,""),0)),$X$10:$Y$28,2,FALSE),"")</f>
        <v>47</v>
      </c>
      <c r="O38" s="90" cm="1">
        <f t="array" ref="O38">IFERROR(VLOOKUP(INDEX($AC$10:$AC$419,MATCH(1,IF(O$10&amp;"-"&amp;$C38=$AB$10:$AB$419&amp;"-"&amp;$AA$10:$AA$419,1,""),0)),$X$10:$Y$28,2,FALSE),"")</f>
        <v>47</v>
      </c>
      <c r="P38" s="90" cm="1">
        <f t="array" ref="P38">IFERROR(VLOOKUP(INDEX($AC$10:$AC$419,MATCH(1,IF(P$10&amp;"-"&amp;$C38=$AB$10:$AB$419&amp;"-"&amp;$AA$10:$AA$419,1,""),0)),$X$10:$Y$28,2,FALSE),"")</f>
        <v>14</v>
      </c>
      <c r="Q38" s="90" cm="1">
        <f t="array" ref="Q38">IFERROR(VLOOKUP(INDEX($AC$10:$AC$419,MATCH(1,IF(Q$10&amp;"-"&amp;$C38=$AB$10:$AB$419&amp;"-"&amp;$AA$10:$AA$419,1,""),0)),$X$10:$Y$28,2,FALSE),"")</f>
        <v>9</v>
      </c>
      <c r="R38" s="90" cm="1">
        <f t="array" ref="R38">IFERROR(VLOOKUP(INDEX($AC$10:$AC$419,MATCH(1,IF(R$10&amp;"-"&amp;$C38=$AB$10:$AB$419&amp;"-"&amp;$AA$10:$AA$419,1,""),0)),$X$10:$Y$28,2,FALSE),"")</f>
        <v>9</v>
      </c>
      <c r="S38" s="90" cm="1">
        <f t="array" ref="S38">IFERROR(VLOOKUP(INDEX($AC$10:$AC$419,MATCH(1,IF(S$10&amp;"-"&amp;$C38=$AB$10:$AB$419&amp;"-"&amp;$AA$10:$AA$419,1,""),0)),$X$10:$Y$28,2,FALSE),"")</f>
        <v>12</v>
      </c>
      <c r="T38" s="90" t="str" cm="1">
        <f t="array" ref="T38">IFERROR(VLOOKUP(INDEX($AC$10:$AC$419,MATCH(1,IF(T$10&amp;"-"&amp;$C38=$AB$10:$AB$419&amp;"-"&amp;$AA$10:$AA$419,1,""),0)),$X$10:$Y$28,2,FALSE),"")</f>
        <v/>
      </c>
      <c r="W38" t="b">
        <v>0</v>
      </c>
      <c r="Z38" s="8"/>
      <c r="AA38" s="11">
        <v>5</v>
      </c>
      <c r="AB38" s="11">
        <v>12</v>
      </c>
      <c r="AC38" s="11" t="s">
        <v>205</v>
      </c>
      <c r="AD38" t="e">
        <v>#VALUE!</v>
      </c>
    </row>
    <row r="39" spans="2:30" x14ac:dyDescent="0.25">
      <c r="B39" s="207"/>
      <c r="C39">
        <v>29</v>
      </c>
      <c r="D39" s="90" t="str" cm="1">
        <f t="array" ref="D39">IFERROR(VLOOKUP(INDEX($AC$10:$AC$419,MATCH(1,IF(D$10&amp;"-"&amp;$C39=$AB$10:$AB$419&amp;"-"&amp;$AA$10:$AA$419,1,""),0)),$X$10:$Y$28,2,FALSE),"")</f>
        <v/>
      </c>
      <c r="E39" s="90" cm="1">
        <f t="array" ref="E39">IFERROR(VLOOKUP(INDEX($AC$10:$AC$419,MATCH(1,IF(E$10&amp;"-"&amp;$C39=$AB$10:$AB$419&amp;"-"&amp;$AA$10:$AA$419,1,""),0)),$X$10:$Y$28,2,FALSE),"")</f>
        <v>38</v>
      </c>
      <c r="F39" s="90" t="str" cm="1">
        <f t="array" ref="F39">IFERROR(VLOOKUP(INDEX($AC$10:$AC$419,MATCH(1,IF(F$10&amp;"-"&amp;$C39=$AB$10:$AB$419&amp;"-"&amp;$AA$10:$AA$419,1,""),0)),$X$10:$Y$28,2,FALSE),"")</f>
        <v/>
      </c>
      <c r="G39" s="90" cm="1">
        <f t="array" ref="G39">IFERROR(VLOOKUP(INDEX($AC$10:$AC$419,MATCH(1,IF(G$10&amp;"-"&amp;$C39=$AB$10:$AB$419&amp;"-"&amp;$AA$10:$AA$419,1,""),0)),$X$10:$Y$28,2,FALSE),"")</f>
        <v>16</v>
      </c>
      <c r="H39" s="90" cm="1">
        <f t="array" ref="H39">IFERROR(VLOOKUP(INDEX($AC$10:$AC$419,MATCH(1,IF(H$10&amp;"-"&amp;$C39=$AB$10:$AB$419&amp;"-"&amp;$AA$10:$AA$419,1,""),0)),$X$10:$Y$28,2,FALSE),"")</f>
        <v>16</v>
      </c>
      <c r="I39" s="90" cm="1">
        <f t="array" ref="I39">IFERROR(VLOOKUP(INDEX($AC$10:$AC$419,MATCH(1,IF(I$10&amp;"-"&amp;$C39=$AB$10:$AB$419&amp;"-"&amp;$AA$10:$AA$419,1,""),0)),$X$10:$Y$28,2,FALSE),"")</f>
        <v>16</v>
      </c>
      <c r="J39" s="90" cm="1">
        <f t="array" ref="J39">IFERROR(VLOOKUP(INDEX($AC$10:$AC$419,MATCH(1,IF(J$10&amp;"-"&amp;$C39=$AB$10:$AB$419&amp;"-"&amp;$AA$10:$AA$419,1,""),0)),$X$10:$Y$28,2,FALSE),"")</f>
        <v>58</v>
      </c>
      <c r="K39" s="90" cm="1">
        <f t="array" ref="K39">IFERROR(VLOOKUP(INDEX($AC$10:$AC$419,MATCH(1,IF(K$10&amp;"-"&amp;$C39=$AB$10:$AB$419&amp;"-"&amp;$AA$10:$AA$419,1,""),0)),$X$10:$Y$28,2,FALSE),"")</f>
        <v>58</v>
      </c>
      <c r="L39" s="90" cm="1">
        <f t="array" ref="L39">IFERROR(VLOOKUP(INDEX($AC$10:$AC$419,MATCH(1,IF(L$10&amp;"-"&amp;$C39=$AB$10:$AB$419&amp;"-"&amp;$AA$10:$AA$419,1,""),0)),$X$10:$Y$28,2,FALSE),"")</f>
        <v>58</v>
      </c>
      <c r="M39" s="90" cm="1">
        <f t="array" ref="M39">IFERROR(VLOOKUP(INDEX($AC$10:$AC$419,MATCH(1,IF(M$10&amp;"-"&amp;$C39=$AB$10:$AB$419&amp;"-"&amp;$AA$10:$AA$419,1,""),0)),$X$10:$Y$28,2,FALSE),"")</f>
        <v>52</v>
      </c>
      <c r="N39" s="90" cm="1">
        <f t="array" ref="N39">IFERROR(VLOOKUP(INDEX($AC$10:$AC$419,MATCH(1,IF(N$10&amp;"-"&amp;$C39=$AB$10:$AB$419&amp;"-"&amp;$AA$10:$AA$419,1,""),0)),$X$10:$Y$28,2,FALSE),"")</f>
        <v>52</v>
      </c>
      <c r="O39" s="90" cm="1">
        <f t="array" ref="O39">IFERROR(VLOOKUP(INDEX($AC$10:$AC$419,MATCH(1,IF(O$10&amp;"-"&amp;$C39=$AB$10:$AB$419&amp;"-"&amp;$AA$10:$AA$419,1,""),0)),$X$10:$Y$28,2,FALSE),"")</f>
        <v>47</v>
      </c>
      <c r="P39" s="90" cm="1">
        <f t="array" ref="P39">IFERROR(VLOOKUP(INDEX($AC$10:$AC$419,MATCH(1,IF(P$10&amp;"-"&amp;$C39=$AB$10:$AB$419&amp;"-"&amp;$AA$10:$AA$419,1,""),0)),$X$10:$Y$28,2,FALSE),"")</f>
        <v>14</v>
      </c>
      <c r="Q39" s="90" cm="1">
        <f t="array" ref="Q39">IFERROR(VLOOKUP(INDEX($AC$10:$AC$419,MATCH(1,IF(Q$10&amp;"-"&amp;$C39=$AB$10:$AB$419&amp;"-"&amp;$AA$10:$AA$419,1,""),0)),$X$10:$Y$28,2,FALSE),"")</f>
        <v>14</v>
      </c>
      <c r="R39" s="90" cm="1">
        <f t="array" ref="R39">IFERROR(VLOOKUP(INDEX($AC$10:$AC$419,MATCH(1,IF(R$10&amp;"-"&amp;$C39=$AB$10:$AB$419&amp;"-"&amp;$AA$10:$AA$419,1,""),0)),$X$10:$Y$28,2,FALSE),"")</f>
        <v>14</v>
      </c>
      <c r="S39" s="90" t="str" cm="1">
        <f t="array" ref="S39">IFERROR(VLOOKUP(INDEX($AC$10:$AC$419,MATCH(1,IF(S$10&amp;"-"&amp;$C39=$AB$10:$AB$419&amp;"-"&amp;$AA$10:$AA$419,1,""),0)),$X$10:$Y$28,2,FALSE),"")</f>
        <v/>
      </c>
      <c r="T39" s="90" t="str" cm="1">
        <f t="array" ref="T39">IFERROR(VLOOKUP(INDEX($AC$10:$AC$419,MATCH(1,IF(T$10&amp;"-"&amp;$C39=$AB$10:$AB$419&amp;"-"&amp;$AA$10:$AA$419,1,""),0)),$X$10:$Y$28,2,FALSE),"")</f>
        <v/>
      </c>
      <c r="W39" t="b">
        <v>0</v>
      </c>
      <c r="Z39" s="8"/>
      <c r="AA39" s="11">
        <v>5</v>
      </c>
      <c r="AB39" s="11">
        <v>13</v>
      </c>
      <c r="AC39" s="11" t="s">
        <v>205</v>
      </c>
      <c r="AD39" t="e">
        <v>#VALUE!</v>
      </c>
    </row>
    <row r="40" spans="2:30" x14ac:dyDescent="0.25">
      <c r="B40" s="207"/>
      <c r="C40">
        <v>30</v>
      </c>
      <c r="D40" s="90" t="str" cm="1">
        <f t="array" ref="D40">IFERROR(VLOOKUP(INDEX($AC$10:$AC$419,MATCH(1,IF(D$10&amp;"-"&amp;$C40=$AB$10:$AB$419&amp;"-"&amp;$AA$10:$AA$419,1,""),0)),$X$10:$Y$28,2,FALSE),"")</f>
        <v/>
      </c>
      <c r="E40" s="90" t="str" cm="1">
        <f t="array" ref="E40">IFERROR(VLOOKUP(INDEX($AC$10:$AC$419,MATCH(1,IF(E$10&amp;"-"&amp;$C40=$AB$10:$AB$419&amp;"-"&amp;$AA$10:$AA$419,1,""),0)),$X$10:$Y$28,2,FALSE),"")</f>
        <v/>
      </c>
      <c r="F40" s="90" t="str" cm="1">
        <f t="array" ref="F40">IFERROR(VLOOKUP(INDEX($AC$10:$AC$419,MATCH(1,IF(F$10&amp;"-"&amp;$C40=$AB$10:$AB$419&amp;"-"&amp;$AA$10:$AA$419,1,""),0)),$X$10:$Y$28,2,FALSE),"")</f>
        <v/>
      </c>
      <c r="G40" s="90" t="str" cm="1">
        <f t="array" ref="G40">IFERROR(VLOOKUP(INDEX($AC$10:$AC$419,MATCH(1,IF(G$10&amp;"-"&amp;$C40=$AB$10:$AB$419&amp;"-"&amp;$AA$10:$AA$419,1,""),0)),$X$10:$Y$28,2,FALSE),"")</f>
        <v/>
      </c>
      <c r="H40" s="90" cm="1">
        <f t="array" ref="H40">IFERROR(VLOOKUP(INDEX($AC$10:$AC$419,MATCH(1,IF(H$10&amp;"-"&amp;$C40=$AB$10:$AB$419&amp;"-"&amp;$AA$10:$AA$419,1,""),0)),$X$10:$Y$28,2,FALSE),"")</f>
        <v>16</v>
      </c>
      <c r="I40" s="90" cm="1">
        <f t="array" ref="I40">IFERROR(VLOOKUP(INDEX($AC$10:$AC$419,MATCH(1,IF(I$10&amp;"-"&amp;$C40=$AB$10:$AB$419&amp;"-"&amp;$AA$10:$AA$419,1,""),0)),$X$10:$Y$28,2,FALSE),"")</f>
        <v>16</v>
      </c>
      <c r="J40" s="90" cm="1">
        <f t="array" ref="J40">IFERROR(VLOOKUP(INDEX($AC$10:$AC$419,MATCH(1,IF(J$10&amp;"-"&amp;$C40=$AB$10:$AB$419&amp;"-"&amp;$AA$10:$AA$419,1,""),0)),$X$10:$Y$28,2,FALSE),"")</f>
        <v>16</v>
      </c>
      <c r="K40" s="90" cm="1">
        <f t="array" ref="K40">IFERROR(VLOOKUP(INDEX($AC$10:$AC$419,MATCH(1,IF(K$10&amp;"-"&amp;$C40=$AB$10:$AB$419&amp;"-"&amp;$AA$10:$AA$419,1,""),0)),$X$10:$Y$28,2,FALSE),"")</f>
        <v>58</v>
      </c>
      <c r="L40" s="90" cm="1">
        <f t="array" ref="L40">IFERROR(VLOOKUP(INDEX($AC$10:$AC$419,MATCH(1,IF(L$10&amp;"-"&amp;$C40=$AB$10:$AB$419&amp;"-"&amp;$AA$10:$AA$419,1,""),0)),$X$10:$Y$28,2,FALSE),"")</f>
        <v>58</v>
      </c>
      <c r="M40" s="90" cm="1">
        <f t="array" ref="M40">IFERROR(VLOOKUP(INDEX($AC$10:$AC$419,MATCH(1,IF(M$10&amp;"-"&amp;$C40=$AB$10:$AB$419&amp;"-"&amp;$AA$10:$AA$419,1,""),0)),$X$10:$Y$28,2,FALSE),"")</f>
        <v>52</v>
      </c>
      <c r="N40" s="90" cm="1">
        <f t="array" ref="N40">IFERROR(VLOOKUP(INDEX($AC$10:$AC$419,MATCH(1,IF(N$10&amp;"-"&amp;$C40=$AB$10:$AB$419&amp;"-"&amp;$AA$10:$AA$419,1,""),0)),$X$10:$Y$28,2,FALSE),"")</f>
        <v>52</v>
      </c>
      <c r="O40" s="90" cm="1">
        <f t="array" ref="O40">IFERROR(VLOOKUP(INDEX($AC$10:$AC$419,MATCH(1,IF(O$10&amp;"-"&amp;$C40=$AB$10:$AB$419&amp;"-"&amp;$AA$10:$AA$419,1,""),0)),$X$10:$Y$28,2,FALSE),"")</f>
        <v>52</v>
      </c>
      <c r="P40" s="90" cm="1">
        <f t="array" ref="P40">IFERROR(VLOOKUP(INDEX($AC$10:$AC$419,MATCH(1,IF(P$10&amp;"-"&amp;$C40=$AB$10:$AB$419&amp;"-"&amp;$AA$10:$AA$419,1,""),0)),$X$10:$Y$28,2,FALSE),"")</f>
        <v>14</v>
      </c>
      <c r="Q40" s="90" cm="1">
        <f t="array" ref="Q40">IFERROR(VLOOKUP(INDEX($AC$10:$AC$419,MATCH(1,IF(Q$10&amp;"-"&amp;$C40=$AB$10:$AB$419&amp;"-"&amp;$AA$10:$AA$419,1,""),0)),$X$10:$Y$28,2,FALSE),"")</f>
        <v>14</v>
      </c>
      <c r="R40" s="90" cm="1">
        <f t="array" ref="R40">IFERROR(VLOOKUP(INDEX($AC$10:$AC$419,MATCH(1,IF(R$10&amp;"-"&amp;$C40=$AB$10:$AB$419&amp;"-"&amp;$AA$10:$AA$419,1,""),0)),$X$10:$Y$28,2,FALSE),"")</f>
        <v>14</v>
      </c>
      <c r="S40" s="90" t="str" cm="1">
        <f t="array" ref="S40">IFERROR(VLOOKUP(INDEX($AC$10:$AC$419,MATCH(1,IF(S$10&amp;"-"&amp;$C40=$AB$10:$AB$419&amp;"-"&amp;$AA$10:$AA$419,1,""),0)),$X$10:$Y$28,2,FALSE),"")</f>
        <v/>
      </c>
      <c r="T40" s="90" t="str" cm="1">
        <f t="array" ref="T40">IFERROR(VLOOKUP(INDEX($AC$10:$AC$419,MATCH(1,IF(T$10&amp;"-"&amp;$C40=$AB$10:$AB$419&amp;"-"&amp;$AA$10:$AA$419,1,""),0)),$X$10:$Y$28,2,FALSE),"")</f>
        <v/>
      </c>
      <c r="W40" t="b">
        <v>0</v>
      </c>
      <c r="Z40" s="8"/>
      <c r="AA40" s="11">
        <v>5</v>
      </c>
      <c r="AB40" s="11">
        <v>14</v>
      </c>
      <c r="AC40" s="11" t="s">
        <v>205</v>
      </c>
      <c r="AD40" t="e">
        <v>#VALUE!</v>
      </c>
    </row>
    <row r="41" spans="2:30" x14ac:dyDescent="0.25">
      <c r="B41" s="207"/>
      <c r="C41">
        <v>31</v>
      </c>
      <c r="D41" s="90" t="str" cm="1">
        <f t="array" ref="D41">IFERROR(VLOOKUP(INDEX($AC$10:$AC$419,MATCH(1,IF(D$10&amp;"-"&amp;$C41=$AB$10:$AB$419&amp;"-"&amp;$AA$10:$AA$419,1,""),0)),$X$10:$Y$28,2,FALSE),"")</f>
        <v/>
      </c>
      <c r="E41" s="90" t="str" cm="1">
        <f t="array" ref="E41">IFERROR(VLOOKUP(INDEX($AC$10:$AC$419,MATCH(1,IF(E$10&amp;"-"&amp;$C41=$AB$10:$AB$419&amp;"-"&amp;$AA$10:$AA$419,1,""),0)),$X$10:$Y$28,2,FALSE),"")</f>
        <v/>
      </c>
      <c r="F41" s="90" t="str" cm="1">
        <f t="array" ref="F41">IFERROR(VLOOKUP(INDEX($AC$10:$AC$419,MATCH(1,IF(F$10&amp;"-"&amp;$C41=$AB$10:$AB$419&amp;"-"&amp;$AA$10:$AA$419,1,""),0)),$X$10:$Y$28,2,FALSE),"")</f>
        <v/>
      </c>
      <c r="G41" s="90" t="str" cm="1">
        <f t="array" ref="G41">IFERROR(VLOOKUP(INDEX($AC$10:$AC$419,MATCH(1,IF(G$10&amp;"-"&amp;$C41=$AB$10:$AB$419&amp;"-"&amp;$AA$10:$AA$419,1,""),0)),$X$10:$Y$28,2,FALSE),"")</f>
        <v/>
      </c>
      <c r="H41" s="90" cm="1">
        <f t="array" ref="H41">IFERROR(VLOOKUP(INDEX($AC$10:$AC$419,MATCH(1,IF(H$10&amp;"-"&amp;$C41=$AB$10:$AB$419&amp;"-"&amp;$AA$10:$AA$419,1,""),0)),$X$10:$Y$28,2,FALSE),"")</f>
        <v>16</v>
      </c>
      <c r="I41" s="90" cm="1">
        <f t="array" ref="I41">IFERROR(VLOOKUP(INDEX($AC$10:$AC$419,MATCH(1,IF(I$10&amp;"-"&amp;$C41=$AB$10:$AB$419&amp;"-"&amp;$AA$10:$AA$419,1,""),0)),$X$10:$Y$28,2,FALSE),"")</f>
        <v>16</v>
      </c>
      <c r="J41" s="90" cm="1">
        <f t="array" ref="J41">IFERROR(VLOOKUP(INDEX($AC$10:$AC$419,MATCH(1,IF(J$10&amp;"-"&amp;$C41=$AB$10:$AB$419&amp;"-"&amp;$AA$10:$AA$419,1,""),0)),$X$10:$Y$28,2,FALSE),"")</f>
        <v>16</v>
      </c>
      <c r="K41" s="90" cm="1">
        <f t="array" ref="K41">IFERROR(VLOOKUP(INDEX($AC$10:$AC$419,MATCH(1,IF(K$10&amp;"-"&amp;$C41=$AB$10:$AB$419&amp;"-"&amp;$AA$10:$AA$419,1,""),0)),$X$10:$Y$28,2,FALSE),"")</f>
        <v>58</v>
      </c>
      <c r="L41" s="90" cm="1">
        <f t="array" ref="L41">IFERROR(VLOOKUP(INDEX($AC$10:$AC$419,MATCH(1,IF(L$10&amp;"-"&amp;$C41=$AB$10:$AB$419&amp;"-"&amp;$AA$10:$AA$419,1,""),0)),$X$10:$Y$28,2,FALSE),"")</f>
        <v>58</v>
      </c>
      <c r="M41" s="90" cm="1">
        <f t="array" ref="M41">IFERROR(VLOOKUP(INDEX($AC$10:$AC$419,MATCH(1,IF(M$10&amp;"-"&amp;$C41=$AB$10:$AB$419&amp;"-"&amp;$AA$10:$AA$419,1,""),0)),$X$10:$Y$28,2,FALSE),"")</f>
        <v>52</v>
      </c>
      <c r="N41" s="90" cm="1">
        <f t="array" ref="N41">IFERROR(VLOOKUP(INDEX($AC$10:$AC$419,MATCH(1,IF(N$10&amp;"-"&amp;$C41=$AB$10:$AB$419&amp;"-"&amp;$AA$10:$AA$419,1,""),0)),$X$10:$Y$28,2,FALSE),"")</f>
        <v>52</v>
      </c>
      <c r="O41" s="90" cm="1">
        <f t="array" ref="O41">IFERROR(VLOOKUP(INDEX($AC$10:$AC$419,MATCH(1,IF(O$10&amp;"-"&amp;$C41=$AB$10:$AB$419&amp;"-"&amp;$AA$10:$AA$419,1,""),0)),$X$10:$Y$28,2,FALSE),"")</f>
        <v>14</v>
      </c>
      <c r="P41" s="90" cm="1">
        <f t="array" ref="P41">IFERROR(VLOOKUP(INDEX($AC$10:$AC$419,MATCH(1,IF(P$10&amp;"-"&amp;$C41=$AB$10:$AB$419&amp;"-"&amp;$AA$10:$AA$419,1,""),0)),$X$10:$Y$28,2,FALSE),"")</f>
        <v>14</v>
      </c>
      <c r="Q41" s="90" cm="1">
        <f t="array" ref="Q41">IFERROR(VLOOKUP(INDEX($AC$10:$AC$419,MATCH(1,IF(Q$10&amp;"-"&amp;$C41=$AB$10:$AB$419&amp;"-"&amp;$AA$10:$AA$419,1,""),0)),$X$10:$Y$28,2,FALSE),"")</f>
        <v>14</v>
      </c>
      <c r="R41" s="90" cm="1">
        <f t="array" ref="R41">IFERROR(VLOOKUP(INDEX($AC$10:$AC$419,MATCH(1,IF(R$10&amp;"-"&amp;$C41=$AB$10:$AB$419&amp;"-"&amp;$AA$10:$AA$419,1,""),0)),$X$10:$Y$28,2,FALSE),"")</f>
        <v>14</v>
      </c>
      <c r="S41" s="90" t="str" cm="1">
        <f t="array" ref="S41">IFERROR(VLOOKUP(INDEX($AC$10:$AC$419,MATCH(1,IF(S$10&amp;"-"&amp;$C41=$AB$10:$AB$419&amp;"-"&amp;$AA$10:$AA$419,1,""),0)),$X$10:$Y$28,2,FALSE),"")</f>
        <v/>
      </c>
      <c r="T41" s="90" t="str" cm="1">
        <f t="array" ref="T41">IFERROR(VLOOKUP(INDEX($AC$10:$AC$419,MATCH(1,IF(T$10&amp;"-"&amp;$C41=$AB$10:$AB$419&amp;"-"&amp;$AA$10:$AA$419,1,""),0)),$X$10:$Y$28,2,FALSE),"")</f>
        <v/>
      </c>
      <c r="W41" t="b">
        <v>0</v>
      </c>
      <c r="Z41" s="8"/>
      <c r="AA41" s="11">
        <v>5</v>
      </c>
      <c r="AB41" s="11">
        <v>15</v>
      </c>
      <c r="AC41" s="11" t="s">
        <v>210</v>
      </c>
      <c r="AD41" t="e">
        <v>#VALUE!</v>
      </c>
    </row>
    <row r="42" spans="2:30" x14ac:dyDescent="0.25">
      <c r="B42" s="207"/>
      <c r="C42">
        <v>32</v>
      </c>
      <c r="D42" s="90" t="str" cm="1">
        <f t="array" ref="D42">IFERROR(VLOOKUP(INDEX($AC$10:$AC$419,MATCH(1,IF(D$10&amp;"-"&amp;$C42=$AB$10:$AB$419&amp;"-"&amp;$AA$10:$AA$419,1,""),0)),$X$10:$Y$28,2,FALSE),"")</f>
        <v/>
      </c>
      <c r="E42" s="90" t="str" cm="1">
        <f t="array" ref="E42">IFERROR(VLOOKUP(INDEX($AC$10:$AC$419,MATCH(1,IF(E$10&amp;"-"&amp;$C42=$AB$10:$AB$419&amp;"-"&amp;$AA$10:$AA$419,1,""),0)),$X$10:$Y$28,2,FALSE),"")</f>
        <v/>
      </c>
      <c r="F42" s="90" t="str" cm="1">
        <f t="array" ref="F42">IFERROR(VLOOKUP(INDEX($AC$10:$AC$419,MATCH(1,IF(F$10&amp;"-"&amp;$C42=$AB$10:$AB$419&amp;"-"&amp;$AA$10:$AA$419,1,""),0)),$X$10:$Y$28,2,FALSE),"")</f>
        <v/>
      </c>
      <c r="G42" s="90" t="str" cm="1">
        <f t="array" ref="G42">IFERROR(VLOOKUP(INDEX($AC$10:$AC$419,MATCH(1,IF(G$10&amp;"-"&amp;$C42=$AB$10:$AB$419&amp;"-"&amp;$AA$10:$AA$419,1,""),0)),$X$10:$Y$28,2,FALSE),"")</f>
        <v/>
      </c>
      <c r="H42" s="90" t="str" cm="1">
        <f t="array" ref="H42">IFERROR(VLOOKUP(INDEX($AC$10:$AC$419,MATCH(1,IF(H$10&amp;"-"&amp;$C42=$AB$10:$AB$419&amp;"-"&amp;$AA$10:$AA$419,1,""),0)),$X$10:$Y$28,2,FALSE),"")</f>
        <v/>
      </c>
      <c r="I42" s="90" cm="1">
        <f t="array" ref="I42">IFERROR(VLOOKUP(INDEX($AC$10:$AC$419,MATCH(1,IF(I$10&amp;"-"&amp;$C42=$AB$10:$AB$419&amp;"-"&amp;$AA$10:$AA$419,1,""),0)),$X$10:$Y$28,2,FALSE),"")</f>
        <v>16</v>
      </c>
      <c r="J42" s="90" cm="1">
        <f t="array" ref="J42">IFERROR(VLOOKUP(INDEX($AC$10:$AC$419,MATCH(1,IF(J$10&amp;"-"&amp;$C42=$AB$10:$AB$419&amp;"-"&amp;$AA$10:$AA$419,1,""),0)),$X$10:$Y$28,2,FALSE),"")</f>
        <v>16</v>
      </c>
      <c r="K42" s="90" cm="1">
        <f t="array" ref="K42">IFERROR(VLOOKUP(INDEX($AC$10:$AC$419,MATCH(1,IF(K$10&amp;"-"&amp;$C42=$AB$10:$AB$419&amp;"-"&amp;$AA$10:$AA$419,1,""),0)),$X$10:$Y$28,2,FALSE),"")</f>
        <v>16</v>
      </c>
      <c r="L42" s="90" cm="1">
        <f t="array" ref="L42">IFERROR(VLOOKUP(INDEX($AC$10:$AC$419,MATCH(1,IF(L$10&amp;"-"&amp;$C42=$AB$10:$AB$419&amp;"-"&amp;$AA$10:$AA$419,1,""),0)),$X$10:$Y$28,2,FALSE),"")</f>
        <v>58</v>
      </c>
      <c r="M42" s="90" cm="1">
        <f t="array" ref="M42">IFERROR(VLOOKUP(INDEX($AC$10:$AC$419,MATCH(1,IF(M$10&amp;"-"&amp;$C42=$AB$10:$AB$419&amp;"-"&amp;$AA$10:$AA$419,1,""),0)),$X$10:$Y$28,2,FALSE),"")</f>
        <v>52</v>
      </c>
      <c r="N42" s="90" cm="1">
        <f t="array" ref="N42">IFERROR(VLOOKUP(INDEX($AC$10:$AC$419,MATCH(1,IF(N$10&amp;"-"&amp;$C42=$AB$10:$AB$419&amp;"-"&amp;$AA$10:$AA$419,1,""),0)),$X$10:$Y$28,2,FALSE),"")</f>
        <v>52</v>
      </c>
      <c r="O42" s="90" cm="1">
        <f t="array" ref="O42">IFERROR(VLOOKUP(INDEX($AC$10:$AC$419,MATCH(1,IF(O$10&amp;"-"&amp;$C42=$AB$10:$AB$419&amp;"-"&amp;$AA$10:$AA$419,1,""),0)),$X$10:$Y$28,2,FALSE),"")</f>
        <v>14</v>
      </c>
      <c r="P42" s="90" cm="1">
        <f t="array" ref="P42">IFERROR(VLOOKUP(INDEX($AC$10:$AC$419,MATCH(1,IF(P$10&amp;"-"&amp;$C42=$AB$10:$AB$419&amp;"-"&amp;$AA$10:$AA$419,1,""),0)),$X$10:$Y$28,2,FALSE),"")</f>
        <v>14</v>
      </c>
      <c r="Q42" s="90" t="str" cm="1">
        <f t="array" ref="Q42">IFERROR(VLOOKUP(INDEX($AC$10:$AC$419,MATCH(1,IF(Q$10&amp;"-"&amp;$C42=$AB$10:$AB$419&amp;"-"&amp;$AA$10:$AA$419,1,""),0)),$X$10:$Y$28,2,FALSE),"")</f>
        <v/>
      </c>
      <c r="R42" s="90" t="str" cm="1">
        <f t="array" ref="R42">IFERROR(VLOOKUP(INDEX($AC$10:$AC$419,MATCH(1,IF(R$10&amp;"-"&amp;$C42=$AB$10:$AB$419&amp;"-"&amp;$AA$10:$AA$419,1,""),0)),$X$10:$Y$28,2,FALSE),"")</f>
        <v/>
      </c>
      <c r="S42" s="90" t="str" cm="1">
        <f t="array" ref="S42">IFERROR(VLOOKUP(INDEX($AC$10:$AC$419,MATCH(1,IF(S$10&amp;"-"&amp;$C42=$AB$10:$AB$419&amp;"-"&amp;$AA$10:$AA$419,1,""),0)),$X$10:$Y$28,2,FALSE),"")</f>
        <v/>
      </c>
      <c r="T42" s="90" t="str" cm="1">
        <f t="array" ref="T42">IFERROR(VLOOKUP(INDEX($AC$10:$AC$419,MATCH(1,IF(T$10&amp;"-"&amp;$C42=$AB$10:$AB$419&amp;"-"&amp;$AA$10:$AA$419,1,""),0)),$X$10:$Y$28,2,FALSE),"")</f>
        <v/>
      </c>
      <c r="W42" t="b">
        <v>0</v>
      </c>
      <c r="Z42" s="8"/>
      <c r="AA42" s="11">
        <v>5</v>
      </c>
      <c r="AB42" s="11">
        <v>16</v>
      </c>
      <c r="AC42" s="11" t="s">
        <v>210</v>
      </c>
      <c r="AD42" t="e">
        <v>#VALUE!</v>
      </c>
    </row>
    <row r="43" spans="2:30" x14ac:dyDescent="0.25">
      <c r="B43" s="207"/>
      <c r="C43">
        <v>33</v>
      </c>
      <c r="D43" s="90" t="str" cm="1">
        <f t="array" ref="D43">IFERROR(VLOOKUP(INDEX($AC$10:$AC$419,MATCH(1,IF(D$10&amp;"-"&amp;$C43=$AB$10:$AB$419&amp;"-"&amp;$AA$10:$AA$419,1,""),0)),$X$10:$Y$28,2,FALSE),"")</f>
        <v/>
      </c>
      <c r="E43" s="90" t="str" cm="1">
        <f t="array" ref="E43">IFERROR(VLOOKUP(INDEX($AC$10:$AC$419,MATCH(1,IF(E$10&amp;"-"&amp;$C43=$AB$10:$AB$419&amp;"-"&amp;$AA$10:$AA$419,1,""),0)),$X$10:$Y$28,2,FALSE),"")</f>
        <v/>
      </c>
      <c r="F43" s="90" t="str" cm="1">
        <f t="array" ref="F43">IFERROR(VLOOKUP(INDEX($AC$10:$AC$419,MATCH(1,IF(F$10&amp;"-"&amp;$C43=$AB$10:$AB$419&amp;"-"&amp;$AA$10:$AA$419,1,""),0)),$X$10:$Y$28,2,FALSE),"")</f>
        <v/>
      </c>
      <c r="G43" s="90" t="str" cm="1">
        <f t="array" ref="G43">IFERROR(VLOOKUP(INDEX($AC$10:$AC$419,MATCH(1,IF(G$10&amp;"-"&amp;$C43=$AB$10:$AB$419&amp;"-"&amp;$AA$10:$AA$419,1,""),0)),$X$10:$Y$28,2,FALSE),"")</f>
        <v/>
      </c>
      <c r="H43" s="90" t="str" cm="1">
        <f t="array" ref="H43">IFERROR(VLOOKUP(INDEX($AC$10:$AC$419,MATCH(1,IF(H$10&amp;"-"&amp;$C43=$AB$10:$AB$419&amp;"-"&amp;$AA$10:$AA$419,1,""),0)),$X$10:$Y$28,2,FALSE),"")</f>
        <v/>
      </c>
      <c r="I43" s="90" cm="1">
        <f t="array" ref="I43">IFERROR(VLOOKUP(INDEX($AC$10:$AC$419,MATCH(1,IF(I$10&amp;"-"&amp;$C43=$AB$10:$AB$419&amp;"-"&amp;$AA$10:$AA$419,1,""),0)),$X$10:$Y$28,2,FALSE),"")</f>
        <v>16</v>
      </c>
      <c r="J43" s="90" cm="1">
        <f t="array" ref="J43">IFERROR(VLOOKUP(INDEX($AC$10:$AC$419,MATCH(1,IF(J$10&amp;"-"&amp;$C43=$AB$10:$AB$419&amp;"-"&amp;$AA$10:$AA$419,1,""),0)),$X$10:$Y$28,2,FALSE),"")</f>
        <v>16</v>
      </c>
      <c r="K43" s="90" cm="1">
        <f t="array" ref="K43">IFERROR(VLOOKUP(INDEX($AC$10:$AC$419,MATCH(1,IF(K$10&amp;"-"&amp;$C43=$AB$10:$AB$419&amp;"-"&amp;$AA$10:$AA$419,1,""),0)),$X$10:$Y$28,2,FALSE),"")</f>
        <v>16</v>
      </c>
      <c r="L43" s="90" cm="1">
        <f t="array" ref="L43">IFERROR(VLOOKUP(INDEX($AC$10:$AC$419,MATCH(1,IF(L$10&amp;"-"&amp;$C43=$AB$10:$AB$419&amp;"-"&amp;$AA$10:$AA$419,1,""),0)),$X$10:$Y$28,2,FALSE),"")</f>
        <v>58</v>
      </c>
      <c r="M43" s="90" cm="1">
        <f t="array" ref="M43">IFERROR(VLOOKUP(INDEX($AC$10:$AC$419,MATCH(1,IF(M$10&amp;"-"&amp;$C43=$AB$10:$AB$419&amp;"-"&amp;$AA$10:$AA$419,1,""),0)),$X$10:$Y$28,2,FALSE),"")</f>
        <v>58</v>
      </c>
      <c r="N43" s="90" cm="1">
        <f t="array" ref="N43">IFERROR(VLOOKUP(INDEX($AC$10:$AC$419,MATCH(1,IF(N$10&amp;"-"&amp;$C43=$AB$10:$AB$419&amp;"-"&amp;$AA$10:$AA$419,1,""),0)),$X$10:$Y$28,2,FALSE),"")</f>
        <v>52</v>
      </c>
      <c r="O43" s="90" cm="1">
        <f t="array" ref="O43">IFERROR(VLOOKUP(INDEX($AC$10:$AC$419,MATCH(1,IF(O$10&amp;"-"&amp;$C43=$AB$10:$AB$419&amp;"-"&amp;$AA$10:$AA$419,1,""),0)),$X$10:$Y$28,2,FALSE),"")</f>
        <v>14</v>
      </c>
      <c r="P43" s="90" cm="1">
        <f t="array" ref="P43">IFERROR(VLOOKUP(INDEX($AC$10:$AC$419,MATCH(1,IF(P$10&amp;"-"&amp;$C43=$AB$10:$AB$419&amp;"-"&amp;$AA$10:$AA$419,1,""),0)),$X$10:$Y$28,2,FALSE),"")</f>
        <v>14</v>
      </c>
      <c r="Q43" s="90" cm="1">
        <f t="array" ref="Q43">IFERROR(VLOOKUP(INDEX($AC$10:$AC$419,MATCH(1,IF(Q$10&amp;"-"&amp;$C43=$AB$10:$AB$419&amp;"-"&amp;$AA$10:$AA$419,1,""),0)),$X$10:$Y$28,2,FALSE),"")</f>
        <v>14</v>
      </c>
      <c r="R43" s="90" t="str" cm="1">
        <f t="array" ref="R43">IFERROR(VLOOKUP(INDEX($AC$10:$AC$419,MATCH(1,IF(R$10&amp;"-"&amp;$C43=$AB$10:$AB$419&amp;"-"&amp;$AA$10:$AA$419,1,""),0)),$X$10:$Y$28,2,FALSE),"")</f>
        <v/>
      </c>
      <c r="S43" s="90" t="str" cm="1">
        <f t="array" ref="S43">IFERROR(VLOOKUP(INDEX($AC$10:$AC$419,MATCH(1,IF(S$10&amp;"-"&amp;$C43=$AB$10:$AB$419&amp;"-"&amp;$AA$10:$AA$419,1,""),0)),$X$10:$Y$28,2,FALSE),"")</f>
        <v/>
      </c>
      <c r="T43" s="90" t="str" cm="1">
        <f t="array" ref="T43">IFERROR(VLOOKUP(INDEX($AC$10:$AC$419,MATCH(1,IF(T$10&amp;"-"&amp;$C43=$AB$10:$AB$419&amp;"-"&amp;$AA$10:$AA$419,1,""),0)),$X$10:$Y$28,2,FALSE),"")</f>
        <v/>
      </c>
      <c r="W43" t="b">
        <v>0</v>
      </c>
      <c r="Z43" s="8"/>
      <c r="AA43" s="11">
        <v>6</v>
      </c>
      <c r="AB43" s="11">
        <v>8</v>
      </c>
      <c r="AC43" s="11" t="s">
        <v>212</v>
      </c>
      <c r="AD43" t="e">
        <v>#VALUE!</v>
      </c>
    </row>
    <row r="44" spans="2:30" x14ac:dyDescent="0.25">
      <c r="B44" s="207"/>
      <c r="C44">
        <v>34</v>
      </c>
      <c r="D44" s="90" t="str" cm="1">
        <f t="array" ref="D44">IFERROR(VLOOKUP(INDEX($AC$10:$AC$419,MATCH(1,IF(D$10&amp;"-"&amp;$C44=$AB$10:$AB$419&amp;"-"&amp;$AA$10:$AA$419,1,""),0)),$X$10:$Y$28,2,FALSE),"")</f>
        <v/>
      </c>
      <c r="E44" s="90" t="str" cm="1">
        <f t="array" ref="E44">IFERROR(VLOOKUP(INDEX($AC$10:$AC$419,MATCH(1,IF(E$10&amp;"-"&amp;$C44=$AB$10:$AB$419&amp;"-"&amp;$AA$10:$AA$419,1,""),0)),$X$10:$Y$28,2,FALSE),"")</f>
        <v/>
      </c>
      <c r="F44" s="90" t="str" cm="1">
        <f t="array" ref="F44">IFERROR(VLOOKUP(INDEX($AC$10:$AC$419,MATCH(1,IF(F$10&amp;"-"&amp;$C44=$AB$10:$AB$419&amp;"-"&amp;$AA$10:$AA$419,1,""),0)),$X$10:$Y$28,2,FALSE),"")</f>
        <v/>
      </c>
      <c r="G44" s="90" t="str" cm="1">
        <f t="array" ref="G44">IFERROR(VLOOKUP(INDEX($AC$10:$AC$419,MATCH(1,IF(G$10&amp;"-"&amp;$C44=$AB$10:$AB$419&amp;"-"&amp;$AA$10:$AA$419,1,""),0)),$X$10:$Y$28,2,FALSE),"")</f>
        <v/>
      </c>
      <c r="H44" s="90" t="str" cm="1">
        <f t="array" ref="H44">IFERROR(VLOOKUP(INDEX($AC$10:$AC$419,MATCH(1,IF(H$10&amp;"-"&amp;$C44=$AB$10:$AB$419&amp;"-"&amp;$AA$10:$AA$419,1,""),0)),$X$10:$Y$28,2,FALSE),"")</f>
        <v/>
      </c>
      <c r="I44" s="90" t="str" cm="1">
        <f t="array" ref="I44">IFERROR(VLOOKUP(INDEX($AC$10:$AC$419,MATCH(1,IF(I$10&amp;"-"&amp;$C44=$AB$10:$AB$419&amp;"-"&amp;$AA$10:$AA$419,1,""),0)),$X$10:$Y$28,2,FALSE),"")</f>
        <v/>
      </c>
      <c r="J44" s="90" cm="1">
        <f t="array" ref="J44">IFERROR(VLOOKUP(INDEX($AC$10:$AC$419,MATCH(1,IF(J$10&amp;"-"&amp;$C44=$AB$10:$AB$419&amp;"-"&amp;$AA$10:$AA$419,1,""),0)),$X$10:$Y$28,2,FALSE),"")</f>
        <v>16</v>
      </c>
      <c r="K44" s="90" cm="1">
        <f t="array" ref="K44">IFERROR(VLOOKUP(INDEX($AC$10:$AC$419,MATCH(1,IF(K$10&amp;"-"&amp;$C44=$AB$10:$AB$419&amp;"-"&amp;$AA$10:$AA$419,1,""),0)),$X$10:$Y$28,2,FALSE),"")</f>
        <v>16</v>
      </c>
      <c r="L44" s="90" cm="1">
        <f t="array" ref="L44">IFERROR(VLOOKUP(INDEX($AC$10:$AC$419,MATCH(1,IF(L$10&amp;"-"&amp;$C44=$AB$10:$AB$419&amp;"-"&amp;$AA$10:$AA$419,1,""),0)),$X$10:$Y$28,2,FALSE),"")</f>
        <v>16</v>
      </c>
      <c r="M44" s="90" cm="1">
        <f t="array" ref="M44">IFERROR(VLOOKUP(INDEX($AC$10:$AC$419,MATCH(1,IF(M$10&amp;"-"&amp;$C44=$AB$10:$AB$419&amp;"-"&amp;$AA$10:$AA$419,1,""),0)),$X$10:$Y$28,2,FALSE),"")</f>
        <v>58</v>
      </c>
      <c r="N44" s="90" cm="1">
        <f t="array" ref="N44">IFERROR(VLOOKUP(INDEX($AC$10:$AC$419,MATCH(1,IF(N$10&amp;"-"&amp;$C44=$AB$10:$AB$419&amp;"-"&amp;$AA$10:$AA$419,1,""),0)),$X$10:$Y$28,2,FALSE),"")</f>
        <v>167</v>
      </c>
      <c r="O44" s="90" cm="1">
        <f t="array" ref="O44">IFERROR(VLOOKUP(INDEX($AC$10:$AC$419,MATCH(1,IF(O$10&amp;"-"&amp;$C44=$AB$10:$AB$419&amp;"-"&amp;$AA$10:$AA$419,1,""),0)),$X$10:$Y$28,2,FALSE),"")</f>
        <v>167</v>
      </c>
      <c r="P44" s="90" cm="1">
        <f t="array" ref="P44">IFERROR(VLOOKUP(INDEX($AC$10:$AC$419,MATCH(1,IF(P$10&amp;"-"&amp;$C44=$AB$10:$AB$419&amp;"-"&amp;$AA$10:$AA$419,1,""),0)),$X$10:$Y$28,2,FALSE),"")</f>
        <v>14</v>
      </c>
      <c r="Q44" s="90" cm="1">
        <f t="array" ref="Q44">IFERROR(VLOOKUP(INDEX($AC$10:$AC$419,MATCH(1,IF(Q$10&amp;"-"&amp;$C44=$AB$10:$AB$419&amp;"-"&amp;$AA$10:$AA$419,1,""),0)),$X$10:$Y$28,2,FALSE),"")</f>
        <v>14</v>
      </c>
      <c r="R44" s="90" t="str" cm="1">
        <f t="array" ref="R44">IFERROR(VLOOKUP(INDEX($AC$10:$AC$419,MATCH(1,IF(R$10&amp;"-"&amp;$C44=$AB$10:$AB$419&amp;"-"&amp;$AA$10:$AA$419,1,""),0)),$X$10:$Y$28,2,FALSE),"")</f>
        <v/>
      </c>
      <c r="S44" s="90" t="str" cm="1">
        <f t="array" ref="S44">IFERROR(VLOOKUP(INDEX($AC$10:$AC$419,MATCH(1,IF(S$10&amp;"-"&amp;$C44=$AB$10:$AB$419&amp;"-"&amp;$AA$10:$AA$419,1,""),0)),$X$10:$Y$28,2,FALSE),"")</f>
        <v/>
      </c>
      <c r="T44" s="90" t="str" cm="1">
        <f t="array" ref="T44">IFERROR(VLOOKUP(INDEX($AC$10:$AC$419,MATCH(1,IF(T$10&amp;"-"&amp;$C44=$AB$10:$AB$419&amp;"-"&amp;$AA$10:$AA$419,1,""),0)),$X$10:$Y$28,2,FALSE),"")</f>
        <v/>
      </c>
      <c r="W44" t="b">
        <v>0</v>
      </c>
      <c r="Z44" s="8"/>
      <c r="AA44" s="11">
        <v>6</v>
      </c>
      <c r="AB44" s="11">
        <v>9</v>
      </c>
      <c r="AC44" s="11" t="s">
        <v>205</v>
      </c>
      <c r="AD44" t="e">
        <v>#VALUE!</v>
      </c>
    </row>
    <row r="45" spans="2:30" x14ac:dyDescent="0.25">
      <c r="B45" s="207"/>
      <c r="C45">
        <v>35</v>
      </c>
      <c r="D45" s="90" t="str" cm="1">
        <f t="array" ref="D45">IFERROR(VLOOKUP(INDEX($AC$10:$AC$419,MATCH(1,IF(D$10&amp;"-"&amp;$C45=$AB$10:$AB$419&amp;"-"&amp;$AA$10:$AA$419,1,""),0)),$X$10:$Y$28,2,FALSE),"")</f>
        <v/>
      </c>
      <c r="E45" s="90" t="str" cm="1">
        <f t="array" ref="E45">IFERROR(VLOOKUP(INDEX($AC$10:$AC$419,MATCH(1,IF(E$10&amp;"-"&amp;$C45=$AB$10:$AB$419&amp;"-"&amp;$AA$10:$AA$419,1,""),0)),$X$10:$Y$28,2,FALSE),"")</f>
        <v/>
      </c>
      <c r="F45" s="90" t="str" cm="1">
        <f t="array" ref="F45">IFERROR(VLOOKUP(INDEX($AC$10:$AC$419,MATCH(1,IF(F$10&amp;"-"&amp;$C45=$AB$10:$AB$419&amp;"-"&amp;$AA$10:$AA$419,1,""),0)),$X$10:$Y$28,2,FALSE),"")</f>
        <v/>
      </c>
      <c r="G45" s="90" t="str" cm="1">
        <f t="array" ref="G45">IFERROR(VLOOKUP(INDEX($AC$10:$AC$419,MATCH(1,IF(G$10&amp;"-"&amp;$C45=$AB$10:$AB$419&amp;"-"&amp;$AA$10:$AA$419,1,""),0)),$X$10:$Y$28,2,FALSE),"")</f>
        <v/>
      </c>
      <c r="H45" s="90" t="str" cm="1">
        <f t="array" ref="H45">IFERROR(VLOOKUP(INDEX($AC$10:$AC$419,MATCH(1,IF(H$10&amp;"-"&amp;$C45=$AB$10:$AB$419&amp;"-"&amp;$AA$10:$AA$419,1,""),0)),$X$10:$Y$28,2,FALSE),"")</f>
        <v/>
      </c>
      <c r="I45" s="90" t="str" cm="1">
        <f t="array" ref="I45">IFERROR(VLOOKUP(INDEX($AC$10:$AC$419,MATCH(1,IF(I$10&amp;"-"&amp;$C45=$AB$10:$AB$419&amp;"-"&amp;$AA$10:$AA$419,1,""),0)),$X$10:$Y$28,2,FALSE),"")</f>
        <v/>
      </c>
      <c r="J45" s="90" cm="1">
        <f t="array" ref="J45">IFERROR(VLOOKUP(INDEX($AC$10:$AC$419,MATCH(1,IF(J$10&amp;"-"&amp;$C45=$AB$10:$AB$419&amp;"-"&amp;$AA$10:$AA$419,1,""),0)),$X$10:$Y$28,2,FALSE),"")</f>
        <v>16</v>
      </c>
      <c r="K45" s="90" cm="1">
        <f t="array" ref="K45">IFERROR(VLOOKUP(INDEX($AC$10:$AC$419,MATCH(1,IF(K$10&amp;"-"&amp;$C45=$AB$10:$AB$419&amp;"-"&amp;$AA$10:$AA$419,1,""),0)),$X$10:$Y$28,2,FALSE),"")</f>
        <v>16</v>
      </c>
      <c r="L45" s="90" cm="1">
        <f t="array" ref="L45">IFERROR(VLOOKUP(INDEX($AC$10:$AC$419,MATCH(1,IF(L$10&amp;"-"&amp;$C45=$AB$10:$AB$419&amp;"-"&amp;$AA$10:$AA$419,1,""),0)),$X$10:$Y$28,2,FALSE),"")</f>
        <v>16</v>
      </c>
      <c r="M45" s="90" cm="1">
        <f t="array" ref="M45">IFERROR(VLOOKUP(INDEX($AC$10:$AC$419,MATCH(1,IF(M$10&amp;"-"&amp;$C45=$AB$10:$AB$419&amp;"-"&amp;$AA$10:$AA$419,1,""),0)),$X$10:$Y$28,2,FALSE),"")</f>
        <v>58</v>
      </c>
      <c r="N45" s="90" cm="1">
        <f t="array" ref="N45">IFERROR(VLOOKUP(INDEX($AC$10:$AC$419,MATCH(1,IF(N$10&amp;"-"&amp;$C45=$AB$10:$AB$419&amp;"-"&amp;$AA$10:$AA$419,1,""),0)),$X$10:$Y$28,2,FALSE),"")</f>
        <v>167</v>
      </c>
      <c r="O45" s="90" cm="1">
        <f t="array" ref="O45">IFERROR(VLOOKUP(INDEX($AC$10:$AC$419,MATCH(1,IF(O$10&amp;"-"&amp;$C45=$AB$10:$AB$419&amp;"-"&amp;$AA$10:$AA$419,1,""),0)),$X$10:$Y$28,2,FALSE),"")</f>
        <v>167</v>
      </c>
      <c r="P45" s="90" cm="1">
        <f t="array" ref="P45">IFERROR(VLOOKUP(INDEX($AC$10:$AC$419,MATCH(1,IF(P$10&amp;"-"&amp;$C45=$AB$10:$AB$419&amp;"-"&amp;$AA$10:$AA$419,1,""),0)),$X$10:$Y$28,2,FALSE),"")</f>
        <v>14</v>
      </c>
      <c r="Q45" s="90" cm="1">
        <f t="array" ref="Q45">IFERROR(VLOOKUP(INDEX($AC$10:$AC$419,MATCH(1,IF(Q$10&amp;"-"&amp;$C45=$AB$10:$AB$419&amp;"-"&amp;$AA$10:$AA$419,1,""),0)),$X$10:$Y$28,2,FALSE),"")</f>
        <v>14</v>
      </c>
      <c r="R45" s="90" t="str" cm="1">
        <f t="array" ref="R45">IFERROR(VLOOKUP(INDEX($AC$10:$AC$419,MATCH(1,IF(R$10&amp;"-"&amp;$C45=$AB$10:$AB$419&amp;"-"&amp;$AA$10:$AA$419,1,""),0)),$X$10:$Y$28,2,FALSE),"")</f>
        <v/>
      </c>
      <c r="S45" s="90" t="str" cm="1">
        <f t="array" ref="S45">IFERROR(VLOOKUP(INDEX($AC$10:$AC$419,MATCH(1,IF(S$10&amp;"-"&amp;$C45=$AB$10:$AB$419&amp;"-"&amp;$AA$10:$AA$419,1,""),0)),$X$10:$Y$28,2,FALSE),"")</f>
        <v/>
      </c>
      <c r="T45" s="90" t="str" cm="1">
        <f t="array" ref="T45">IFERROR(VLOOKUP(INDEX($AC$10:$AC$419,MATCH(1,IF(T$10&amp;"-"&amp;$C45=$AB$10:$AB$419&amp;"-"&amp;$AA$10:$AA$419,1,""),0)),$X$10:$Y$28,2,FALSE),"")</f>
        <v/>
      </c>
      <c r="W45" t="b">
        <v>0</v>
      </c>
      <c r="Z45" s="8"/>
      <c r="AA45" s="11">
        <v>6</v>
      </c>
      <c r="AB45" s="11">
        <v>10</v>
      </c>
      <c r="AC45" s="11" t="s">
        <v>205</v>
      </c>
      <c r="AD45" t="e">
        <v>#VALUE!</v>
      </c>
    </row>
    <row r="46" spans="2:30" x14ac:dyDescent="0.25">
      <c r="B46" s="207"/>
      <c r="C46">
        <v>36</v>
      </c>
      <c r="D46" s="90" t="str" cm="1">
        <f t="array" ref="D46">IFERROR(VLOOKUP(INDEX($AC$10:$AC$419,MATCH(1,IF(D$10&amp;"-"&amp;$C46=$AB$10:$AB$419&amp;"-"&amp;$AA$10:$AA$419,1,""),0)),$X$10:$Y$28,2,FALSE),"")</f>
        <v/>
      </c>
      <c r="E46" s="90" t="str" cm="1">
        <f t="array" ref="E46">IFERROR(VLOOKUP(INDEX($AC$10:$AC$419,MATCH(1,IF(E$10&amp;"-"&amp;$C46=$AB$10:$AB$419&amp;"-"&amp;$AA$10:$AA$419,1,""),0)),$X$10:$Y$28,2,FALSE),"")</f>
        <v/>
      </c>
      <c r="F46" s="90" t="str" cm="1">
        <f t="array" ref="F46">IFERROR(VLOOKUP(INDEX($AC$10:$AC$419,MATCH(1,IF(F$10&amp;"-"&amp;$C46=$AB$10:$AB$419&amp;"-"&amp;$AA$10:$AA$419,1,""),0)),$X$10:$Y$28,2,FALSE),"")</f>
        <v/>
      </c>
      <c r="G46" s="90" t="str" cm="1">
        <f t="array" ref="G46">IFERROR(VLOOKUP(INDEX($AC$10:$AC$419,MATCH(1,IF(G$10&amp;"-"&amp;$C46=$AB$10:$AB$419&amp;"-"&amp;$AA$10:$AA$419,1,""),0)),$X$10:$Y$28,2,FALSE),"")</f>
        <v/>
      </c>
      <c r="H46" s="90" t="str" cm="1">
        <f t="array" ref="H46">IFERROR(VLOOKUP(INDEX($AC$10:$AC$419,MATCH(1,IF(H$10&amp;"-"&amp;$C46=$AB$10:$AB$419&amp;"-"&amp;$AA$10:$AA$419,1,""),0)),$X$10:$Y$28,2,FALSE),"")</f>
        <v/>
      </c>
      <c r="I46" s="90" t="str" cm="1">
        <f t="array" ref="I46">IFERROR(VLOOKUP(INDEX($AC$10:$AC$419,MATCH(1,IF(I$10&amp;"-"&amp;$C46=$AB$10:$AB$419&amp;"-"&amp;$AA$10:$AA$419,1,""),0)),$X$10:$Y$28,2,FALSE),"")</f>
        <v/>
      </c>
      <c r="J46" s="90" cm="1">
        <f t="array" ref="J46">IFERROR(VLOOKUP(INDEX($AC$10:$AC$419,MATCH(1,IF(J$10&amp;"-"&amp;$C46=$AB$10:$AB$419&amp;"-"&amp;$AA$10:$AA$419,1,""),0)),$X$10:$Y$28,2,FALSE),"")</f>
        <v>16</v>
      </c>
      <c r="K46" s="90" cm="1">
        <f t="array" ref="K46">IFERROR(VLOOKUP(INDEX($AC$10:$AC$419,MATCH(1,IF(K$10&amp;"-"&amp;$C46=$AB$10:$AB$419&amp;"-"&amp;$AA$10:$AA$419,1,""),0)),$X$10:$Y$28,2,FALSE),"")</f>
        <v>16</v>
      </c>
      <c r="L46" s="90" cm="1">
        <f t="array" ref="L46">IFERROR(VLOOKUP(INDEX($AC$10:$AC$419,MATCH(1,IF(L$10&amp;"-"&amp;$C46=$AB$10:$AB$419&amp;"-"&amp;$AA$10:$AA$419,1,""),0)),$X$10:$Y$28,2,FALSE),"")</f>
        <v>16</v>
      </c>
      <c r="M46" s="90" cm="1">
        <f t="array" ref="M46">IFERROR(VLOOKUP(INDEX($AC$10:$AC$419,MATCH(1,IF(M$10&amp;"-"&amp;$C46=$AB$10:$AB$419&amp;"-"&amp;$AA$10:$AA$419,1,""),0)),$X$10:$Y$28,2,FALSE),"")</f>
        <v>16</v>
      </c>
      <c r="N46" s="90" cm="1">
        <f t="array" ref="N46">IFERROR(VLOOKUP(INDEX($AC$10:$AC$419,MATCH(1,IF(N$10&amp;"-"&amp;$C46=$AB$10:$AB$419&amp;"-"&amp;$AA$10:$AA$419,1,""),0)),$X$10:$Y$28,2,FALSE),"")</f>
        <v>167</v>
      </c>
      <c r="O46" s="90" cm="1">
        <f t="array" ref="O46">IFERROR(VLOOKUP(INDEX($AC$10:$AC$419,MATCH(1,IF(O$10&amp;"-"&amp;$C46=$AB$10:$AB$419&amp;"-"&amp;$AA$10:$AA$419,1,""),0)),$X$10:$Y$28,2,FALSE),"")</f>
        <v>167</v>
      </c>
      <c r="P46" s="90" cm="1">
        <f t="array" ref="P46">IFERROR(VLOOKUP(INDEX($AC$10:$AC$419,MATCH(1,IF(P$10&amp;"-"&amp;$C46=$AB$10:$AB$419&amp;"-"&amp;$AA$10:$AA$419,1,""),0)),$X$10:$Y$28,2,FALSE),"")</f>
        <v>167</v>
      </c>
      <c r="Q46" s="90" cm="1">
        <f t="array" ref="Q46">IFERROR(VLOOKUP(INDEX($AC$10:$AC$419,MATCH(1,IF(Q$10&amp;"-"&amp;$C46=$AB$10:$AB$419&amp;"-"&amp;$AA$10:$AA$419,1,""),0)),$X$10:$Y$28,2,FALSE),"")</f>
        <v>14</v>
      </c>
      <c r="R46" s="90" t="str" cm="1">
        <f t="array" ref="R46">IFERROR(VLOOKUP(INDEX($AC$10:$AC$419,MATCH(1,IF(R$10&amp;"-"&amp;$C46=$AB$10:$AB$419&amp;"-"&amp;$AA$10:$AA$419,1,""),0)),$X$10:$Y$28,2,FALSE),"")</f>
        <v/>
      </c>
      <c r="S46" s="90" t="str" cm="1">
        <f t="array" ref="S46">IFERROR(VLOOKUP(INDEX($AC$10:$AC$419,MATCH(1,IF(S$10&amp;"-"&amp;$C46=$AB$10:$AB$419&amp;"-"&amp;$AA$10:$AA$419,1,""),0)),$X$10:$Y$28,2,FALSE),"")</f>
        <v/>
      </c>
      <c r="T46" s="90" t="str" cm="1">
        <f t="array" ref="T46">IFERROR(VLOOKUP(INDEX($AC$10:$AC$419,MATCH(1,IF(T$10&amp;"-"&amp;$C46=$AB$10:$AB$419&amp;"-"&amp;$AA$10:$AA$419,1,""),0)),$X$10:$Y$28,2,FALSE),"")</f>
        <v/>
      </c>
      <c r="W46" t="b">
        <v>0</v>
      </c>
      <c r="Z46" s="8"/>
      <c r="AA46" s="11">
        <v>6</v>
      </c>
      <c r="AB46" s="11">
        <v>11</v>
      </c>
      <c r="AC46" s="11" t="s">
        <v>205</v>
      </c>
      <c r="AD46" t="e">
        <v>#VALUE!</v>
      </c>
    </row>
    <row r="47" spans="2:30" x14ac:dyDescent="0.25">
      <c r="B47" s="207"/>
      <c r="C47">
        <v>37</v>
      </c>
      <c r="D47" s="90" t="str" cm="1">
        <f t="array" ref="D47">IFERROR(VLOOKUP(INDEX($AC$10:$AC$419,MATCH(1,IF(D$10&amp;"-"&amp;$C47=$AB$10:$AB$419&amp;"-"&amp;$AA$10:$AA$419,1,""),0)),$X$10:$Y$28,2,FALSE),"")</f>
        <v/>
      </c>
      <c r="E47" s="90" t="str" cm="1">
        <f t="array" ref="E47">IFERROR(VLOOKUP(INDEX($AC$10:$AC$419,MATCH(1,IF(E$10&amp;"-"&amp;$C47=$AB$10:$AB$419&amp;"-"&amp;$AA$10:$AA$419,1,""),0)),$X$10:$Y$28,2,FALSE),"")</f>
        <v/>
      </c>
      <c r="F47" s="90" t="str" cm="1">
        <f t="array" ref="F47">IFERROR(VLOOKUP(INDEX($AC$10:$AC$419,MATCH(1,IF(F$10&amp;"-"&amp;$C47=$AB$10:$AB$419&amp;"-"&amp;$AA$10:$AA$419,1,""),0)),$X$10:$Y$28,2,FALSE),"")</f>
        <v/>
      </c>
      <c r="G47" s="90" t="str" cm="1">
        <f t="array" ref="G47">IFERROR(VLOOKUP(INDEX($AC$10:$AC$419,MATCH(1,IF(G$10&amp;"-"&amp;$C47=$AB$10:$AB$419&amp;"-"&amp;$AA$10:$AA$419,1,""),0)),$X$10:$Y$28,2,FALSE),"")</f>
        <v/>
      </c>
      <c r="H47" s="90" t="str" cm="1">
        <f t="array" ref="H47">IFERROR(VLOOKUP(INDEX($AC$10:$AC$419,MATCH(1,IF(H$10&amp;"-"&amp;$C47=$AB$10:$AB$419&amp;"-"&amp;$AA$10:$AA$419,1,""),0)),$X$10:$Y$28,2,FALSE),"")</f>
        <v/>
      </c>
      <c r="I47" s="90" t="str" cm="1">
        <f t="array" ref="I47">IFERROR(VLOOKUP(INDEX($AC$10:$AC$419,MATCH(1,IF(I$10&amp;"-"&amp;$C47=$AB$10:$AB$419&amp;"-"&amp;$AA$10:$AA$419,1,""),0)),$X$10:$Y$28,2,FALSE),"")</f>
        <v/>
      </c>
      <c r="J47" s="90" t="str" cm="1">
        <f t="array" ref="J47">IFERROR(VLOOKUP(INDEX($AC$10:$AC$419,MATCH(1,IF(J$10&amp;"-"&amp;$C47=$AB$10:$AB$419&amp;"-"&amp;$AA$10:$AA$419,1,""),0)),$X$10:$Y$28,2,FALSE),"")</f>
        <v/>
      </c>
      <c r="K47" s="90" cm="1">
        <f t="array" ref="K47">IFERROR(VLOOKUP(INDEX($AC$10:$AC$419,MATCH(1,IF(K$10&amp;"-"&amp;$C47=$AB$10:$AB$419&amp;"-"&amp;$AA$10:$AA$419,1,""),0)),$X$10:$Y$28,2,FALSE),"")</f>
        <v>16</v>
      </c>
      <c r="L47" s="90" cm="1">
        <f t="array" ref="L47">IFERROR(VLOOKUP(INDEX($AC$10:$AC$419,MATCH(1,IF(L$10&amp;"-"&amp;$C47=$AB$10:$AB$419&amp;"-"&amp;$AA$10:$AA$419,1,""),0)),$X$10:$Y$28,2,FALSE),"")</f>
        <v>16</v>
      </c>
      <c r="M47" s="90" t="str" cm="1">
        <f t="array" ref="M47">IFERROR(VLOOKUP(INDEX($AC$10:$AC$419,MATCH(1,IF(M$10&amp;"-"&amp;$C47=$AB$10:$AB$419&amp;"-"&amp;$AA$10:$AA$419,1,""),0)),$X$10:$Y$28,2,FALSE),"")</f>
        <v/>
      </c>
      <c r="N47" s="90" cm="1">
        <f t="array" ref="N47">IFERROR(VLOOKUP(INDEX($AC$10:$AC$419,MATCH(1,IF(N$10&amp;"-"&amp;$C47=$AB$10:$AB$419&amp;"-"&amp;$AA$10:$AA$419,1,""),0)),$X$10:$Y$28,2,FALSE),"")</f>
        <v>167</v>
      </c>
      <c r="O47" s="90" cm="1">
        <f t="array" ref="O47">IFERROR(VLOOKUP(INDEX($AC$10:$AC$419,MATCH(1,IF(O$10&amp;"-"&amp;$C47=$AB$10:$AB$419&amp;"-"&amp;$AA$10:$AA$419,1,""),0)),$X$10:$Y$28,2,FALSE),"")</f>
        <v>167</v>
      </c>
      <c r="P47" s="90" cm="1">
        <f t="array" ref="P47">IFERROR(VLOOKUP(INDEX($AC$10:$AC$419,MATCH(1,IF(P$10&amp;"-"&amp;$C47=$AB$10:$AB$419&amp;"-"&amp;$AA$10:$AA$419,1,""),0)),$X$10:$Y$28,2,FALSE),"")</f>
        <v>167</v>
      </c>
      <c r="Q47" s="90" t="str" cm="1">
        <f t="array" ref="Q47">IFERROR(VLOOKUP(INDEX($AC$10:$AC$419,MATCH(1,IF(Q$10&amp;"-"&amp;$C47=$AB$10:$AB$419&amp;"-"&amp;$AA$10:$AA$419,1,""),0)),$X$10:$Y$28,2,FALSE),"")</f>
        <v/>
      </c>
      <c r="R47" s="90" t="str" cm="1">
        <f t="array" ref="R47">IFERROR(VLOOKUP(INDEX($AC$10:$AC$419,MATCH(1,IF(R$10&amp;"-"&amp;$C47=$AB$10:$AB$419&amp;"-"&amp;$AA$10:$AA$419,1,""),0)),$X$10:$Y$28,2,FALSE),"")</f>
        <v/>
      </c>
      <c r="S47" s="90" t="str" cm="1">
        <f t="array" ref="S47">IFERROR(VLOOKUP(INDEX($AC$10:$AC$419,MATCH(1,IF(S$10&amp;"-"&amp;$C47=$AB$10:$AB$419&amp;"-"&amp;$AA$10:$AA$419,1,""),0)),$X$10:$Y$28,2,FALSE),"")</f>
        <v/>
      </c>
      <c r="T47" s="90" t="str" cm="1">
        <f t="array" ref="T47">IFERROR(VLOOKUP(INDEX($AC$10:$AC$419,MATCH(1,IF(T$10&amp;"-"&amp;$C47=$AB$10:$AB$419&amp;"-"&amp;$AA$10:$AA$419,1,""),0)),$X$10:$Y$28,2,FALSE),"")</f>
        <v/>
      </c>
      <c r="W47" t="b">
        <v>0</v>
      </c>
      <c r="Z47" s="8"/>
      <c r="AA47" s="11">
        <v>6</v>
      </c>
      <c r="AB47" s="11">
        <v>12</v>
      </c>
      <c r="AC47" s="11" t="s">
        <v>205</v>
      </c>
      <c r="AD47" t="e">
        <v>#VALUE!</v>
      </c>
    </row>
    <row r="48" spans="2:30" x14ac:dyDescent="0.25">
      <c r="B48" s="207"/>
      <c r="C48">
        <v>38</v>
      </c>
      <c r="D48" s="90" t="str" cm="1">
        <f t="array" ref="D48">IFERROR(VLOOKUP(INDEX($AC$10:$AC$419,MATCH(1,IF(D$10&amp;"-"&amp;$C48=$AB$10:$AB$419&amp;"-"&amp;$AA$10:$AA$419,1,""),0)),$X$10:$Y$28,2,FALSE),"")</f>
        <v/>
      </c>
      <c r="E48" s="90" t="str" cm="1">
        <f t="array" ref="E48">IFERROR(VLOOKUP(INDEX($AC$10:$AC$419,MATCH(1,IF(E$10&amp;"-"&amp;$C48=$AB$10:$AB$419&amp;"-"&amp;$AA$10:$AA$419,1,""),0)),$X$10:$Y$28,2,FALSE),"")</f>
        <v/>
      </c>
      <c r="F48" s="90" t="str" cm="1">
        <f t="array" ref="F48">IFERROR(VLOOKUP(INDEX($AC$10:$AC$419,MATCH(1,IF(F$10&amp;"-"&amp;$C48=$AB$10:$AB$419&amp;"-"&amp;$AA$10:$AA$419,1,""),0)),$X$10:$Y$28,2,FALSE),"")</f>
        <v/>
      </c>
      <c r="G48" s="90" t="str" cm="1">
        <f t="array" ref="G48">IFERROR(VLOOKUP(INDEX($AC$10:$AC$419,MATCH(1,IF(G$10&amp;"-"&amp;$C48=$AB$10:$AB$419&amp;"-"&amp;$AA$10:$AA$419,1,""),0)),$X$10:$Y$28,2,FALSE),"")</f>
        <v/>
      </c>
      <c r="H48" s="90" t="str" cm="1">
        <f t="array" ref="H48">IFERROR(VLOOKUP(INDEX($AC$10:$AC$419,MATCH(1,IF(H$10&amp;"-"&amp;$C48=$AB$10:$AB$419&amp;"-"&amp;$AA$10:$AA$419,1,""),0)),$X$10:$Y$28,2,FALSE),"")</f>
        <v/>
      </c>
      <c r="I48" s="90" t="str" cm="1">
        <f t="array" ref="I48">IFERROR(VLOOKUP(INDEX($AC$10:$AC$419,MATCH(1,IF(I$10&amp;"-"&amp;$C48=$AB$10:$AB$419&amp;"-"&amp;$AA$10:$AA$419,1,""),0)),$X$10:$Y$28,2,FALSE),"")</f>
        <v/>
      </c>
      <c r="J48" s="90" t="str" cm="1">
        <f t="array" ref="J48">IFERROR(VLOOKUP(INDEX($AC$10:$AC$419,MATCH(1,IF(J$10&amp;"-"&amp;$C48=$AB$10:$AB$419&amp;"-"&amp;$AA$10:$AA$419,1,""),0)),$X$10:$Y$28,2,FALSE),"")</f>
        <v/>
      </c>
      <c r="K48" s="90" cm="1">
        <f t="array" ref="K48">IFERROR(VLOOKUP(INDEX($AC$10:$AC$419,MATCH(1,IF(K$10&amp;"-"&amp;$C48=$AB$10:$AB$419&amp;"-"&amp;$AA$10:$AA$419,1,""),0)),$X$10:$Y$28,2,FALSE),"")</f>
        <v>16</v>
      </c>
      <c r="L48" s="90" t="str" cm="1">
        <f t="array" ref="L48">IFERROR(VLOOKUP(INDEX($AC$10:$AC$419,MATCH(1,IF(L$10&amp;"-"&amp;$C48=$AB$10:$AB$419&amp;"-"&amp;$AA$10:$AA$419,1,""),0)),$X$10:$Y$28,2,FALSE),"")</f>
        <v/>
      </c>
      <c r="M48" s="90" t="str" cm="1">
        <f t="array" ref="M48">IFERROR(VLOOKUP(INDEX($AC$10:$AC$419,MATCH(1,IF(M$10&amp;"-"&amp;$C48=$AB$10:$AB$419&amp;"-"&amp;$AA$10:$AA$419,1,""),0)),$X$10:$Y$28,2,FALSE),"")</f>
        <v/>
      </c>
      <c r="N48" s="90" cm="1">
        <f t="array" ref="N48">IFERROR(VLOOKUP(INDEX($AC$10:$AC$419,MATCH(1,IF(N$10&amp;"-"&amp;$C48=$AB$10:$AB$419&amp;"-"&amp;$AA$10:$AA$419,1,""),0)),$X$10:$Y$28,2,FALSE),"")</f>
        <v>167</v>
      </c>
      <c r="O48" s="90" cm="1">
        <f t="array" ref="O48">IFERROR(VLOOKUP(INDEX($AC$10:$AC$419,MATCH(1,IF(O$10&amp;"-"&amp;$C48=$AB$10:$AB$419&amp;"-"&amp;$AA$10:$AA$419,1,""),0)),$X$10:$Y$28,2,FALSE),"")</f>
        <v>167</v>
      </c>
      <c r="P48" s="90" cm="1">
        <f t="array" ref="P48">IFERROR(VLOOKUP(INDEX($AC$10:$AC$419,MATCH(1,IF(P$10&amp;"-"&amp;$C48=$AB$10:$AB$419&amp;"-"&amp;$AA$10:$AA$419,1,""),0)),$X$10:$Y$28,2,FALSE),"")</f>
        <v>167</v>
      </c>
      <c r="Q48" s="90" cm="1">
        <f t="array" ref="Q48">IFERROR(VLOOKUP(INDEX($AC$10:$AC$419,MATCH(1,IF(Q$10&amp;"-"&amp;$C48=$AB$10:$AB$419&amp;"-"&amp;$AA$10:$AA$419,1,""),0)),$X$10:$Y$28,2,FALSE),"")</f>
        <v>167</v>
      </c>
      <c r="R48" s="90" t="str" cm="1">
        <f t="array" ref="R48">IFERROR(VLOOKUP(INDEX($AC$10:$AC$419,MATCH(1,IF(R$10&amp;"-"&amp;$C48=$AB$10:$AB$419&amp;"-"&amp;$AA$10:$AA$419,1,""),0)),$X$10:$Y$28,2,FALSE),"")</f>
        <v/>
      </c>
      <c r="S48" s="90" t="str" cm="1">
        <f t="array" ref="S48">IFERROR(VLOOKUP(INDEX($AC$10:$AC$419,MATCH(1,IF(S$10&amp;"-"&amp;$C48=$AB$10:$AB$419&amp;"-"&amp;$AA$10:$AA$419,1,""),0)),$X$10:$Y$28,2,FALSE),"")</f>
        <v/>
      </c>
      <c r="T48" s="90" t="str" cm="1">
        <f t="array" ref="T48">IFERROR(VLOOKUP(INDEX($AC$10:$AC$419,MATCH(1,IF(T$10&amp;"-"&amp;$C48=$AB$10:$AB$419&amp;"-"&amp;$AA$10:$AA$419,1,""),0)),$X$10:$Y$28,2,FALSE),"")</f>
        <v/>
      </c>
      <c r="W48" t="b">
        <v>0</v>
      </c>
      <c r="Z48" s="8"/>
      <c r="AA48" s="11">
        <v>6</v>
      </c>
      <c r="AB48" s="11">
        <v>13</v>
      </c>
      <c r="AC48" s="11" t="s">
        <v>205</v>
      </c>
      <c r="AD48" t="e">
        <v>#VALUE!</v>
      </c>
    </row>
    <row r="49" spans="2:30" x14ac:dyDescent="0.25">
      <c r="B49" s="207"/>
      <c r="C49">
        <v>39</v>
      </c>
      <c r="D49" s="90" t="str" cm="1">
        <f t="array" ref="D49">IFERROR(VLOOKUP(INDEX($AC$10:$AC$419,MATCH(1,IF(D$10&amp;"-"&amp;$C49=$AB$10:$AB$419&amp;"-"&amp;$AA$10:$AA$419,1,""),0)),$X$10:$Y$28,2,FALSE),"")</f>
        <v/>
      </c>
      <c r="E49" s="90" t="str" cm="1">
        <f t="array" ref="E49">IFERROR(VLOOKUP(INDEX($AC$10:$AC$419,MATCH(1,IF(E$10&amp;"-"&amp;$C49=$AB$10:$AB$419&amp;"-"&amp;$AA$10:$AA$419,1,""),0)),$X$10:$Y$28,2,FALSE),"")</f>
        <v/>
      </c>
      <c r="F49" s="90" t="str" cm="1">
        <f t="array" ref="F49">IFERROR(VLOOKUP(INDEX($AC$10:$AC$419,MATCH(1,IF(F$10&amp;"-"&amp;$C49=$AB$10:$AB$419&amp;"-"&amp;$AA$10:$AA$419,1,""),0)),$X$10:$Y$28,2,FALSE),"")</f>
        <v/>
      </c>
      <c r="G49" s="90" t="str" cm="1">
        <f t="array" ref="G49">IFERROR(VLOOKUP(INDEX($AC$10:$AC$419,MATCH(1,IF(G$10&amp;"-"&amp;$C49=$AB$10:$AB$419&amp;"-"&amp;$AA$10:$AA$419,1,""),0)),$X$10:$Y$28,2,FALSE),"")</f>
        <v/>
      </c>
      <c r="H49" s="90" t="str" cm="1">
        <f t="array" ref="H49">IFERROR(VLOOKUP(INDEX($AC$10:$AC$419,MATCH(1,IF(H$10&amp;"-"&amp;$C49=$AB$10:$AB$419&amp;"-"&amp;$AA$10:$AA$419,1,""),0)),$X$10:$Y$28,2,FALSE),"")</f>
        <v/>
      </c>
      <c r="I49" s="90" t="str" cm="1">
        <f t="array" ref="I49">IFERROR(VLOOKUP(INDEX($AC$10:$AC$419,MATCH(1,IF(I$10&amp;"-"&amp;$C49=$AB$10:$AB$419&amp;"-"&amp;$AA$10:$AA$419,1,""),0)),$X$10:$Y$28,2,FALSE),"")</f>
        <v/>
      </c>
      <c r="J49" s="90" t="str" cm="1">
        <f t="array" ref="J49">IFERROR(VLOOKUP(INDEX($AC$10:$AC$419,MATCH(1,IF(J$10&amp;"-"&amp;$C49=$AB$10:$AB$419&amp;"-"&amp;$AA$10:$AA$419,1,""),0)),$X$10:$Y$28,2,FALSE),"")</f>
        <v/>
      </c>
      <c r="K49" s="90" t="str" cm="1">
        <f t="array" ref="K49">IFERROR(VLOOKUP(INDEX($AC$10:$AC$419,MATCH(1,IF(K$10&amp;"-"&amp;$C49=$AB$10:$AB$419&amp;"-"&amp;$AA$10:$AA$419,1,""),0)),$X$10:$Y$28,2,FALSE),"")</f>
        <v/>
      </c>
      <c r="L49" s="90" t="str" cm="1">
        <f t="array" ref="L49">IFERROR(VLOOKUP(INDEX($AC$10:$AC$419,MATCH(1,IF(L$10&amp;"-"&amp;$C49=$AB$10:$AB$419&amp;"-"&amp;$AA$10:$AA$419,1,""),0)),$X$10:$Y$28,2,FALSE),"")</f>
        <v/>
      </c>
      <c r="M49" s="90" t="str" cm="1">
        <f t="array" ref="M49">IFERROR(VLOOKUP(INDEX($AC$10:$AC$419,MATCH(1,IF(M$10&amp;"-"&amp;$C49=$AB$10:$AB$419&amp;"-"&amp;$AA$10:$AA$419,1,""),0)),$X$10:$Y$28,2,FALSE),"")</f>
        <v/>
      </c>
      <c r="N49" s="90" cm="1">
        <f t="array" ref="N49">IFERROR(VLOOKUP(INDEX($AC$10:$AC$419,MATCH(1,IF(N$10&amp;"-"&amp;$C49=$AB$10:$AB$419&amp;"-"&amp;$AA$10:$AA$419,1,""),0)),$X$10:$Y$28,2,FALSE),"")</f>
        <v>167</v>
      </c>
      <c r="O49" s="90" cm="1">
        <f t="array" ref="O49">IFERROR(VLOOKUP(INDEX($AC$10:$AC$419,MATCH(1,IF(O$10&amp;"-"&amp;$C49=$AB$10:$AB$419&amp;"-"&amp;$AA$10:$AA$419,1,""),0)),$X$10:$Y$28,2,FALSE),"")</f>
        <v>167</v>
      </c>
      <c r="P49" s="90" cm="1">
        <f t="array" ref="P49">IFERROR(VLOOKUP(INDEX($AC$10:$AC$419,MATCH(1,IF(P$10&amp;"-"&amp;$C49=$AB$10:$AB$419&amp;"-"&amp;$AA$10:$AA$419,1,""),0)),$X$10:$Y$28,2,FALSE),"")</f>
        <v>167</v>
      </c>
      <c r="Q49" s="90" t="str" cm="1">
        <f t="array" ref="Q49">IFERROR(VLOOKUP(INDEX($AC$10:$AC$419,MATCH(1,IF(Q$10&amp;"-"&amp;$C49=$AB$10:$AB$419&amp;"-"&amp;$AA$10:$AA$419,1,""),0)),$X$10:$Y$28,2,FALSE),"")</f>
        <v/>
      </c>
      <c r="R49" s="90" t="str" cm="1">
        <f t="array" ref="R49">IFERROR(VLOOKUP(INDEX($AC$10:$AC$419,MATCH(1,IF(R$10&amp;"-"&amp;$C49=$AB$10:$AB$419&amp;"-"&amp;$AA$10:$AA$419,1,""),0)),$X$10:$Y$28,2,FALSE),"")</f>
        <v/>
      </c>
      <c r="S49" s="90" t="str" cm="1">
        <f t="array" ref="S49">IFERROR(VLOOKUP(INDEX($AC$10:$AC$419,MATCH(1,IF(S$10&amp;"-"&amp;$C49=$AB$10:$AB$419&amp;"-"&amp;$AA$10:$AA$419,1,""),0)),$X$10:$Y$28,2,FALSE),"")</f>
        <v/>
      </c>
      <c r="T49" s="90" t="str" cm="1">
        <f t="array" ref="T49">IFERROR(VLOOKUP(INDEX($AC$10:$AC$419,MATCH(1,IF(T$10&amp;"-"&amp;$C49=$AB$10:$AB$419&amp;"-"&amp;$AA$10:$AA$419,1,""),0)),$X$10:$Y$28,2,FALSE),"")</f>
        <v/>
      </c>
      <c r="W49" t="b">
        <v>0</v>
      </c>
      <c r="Z49" s="8"/>
      <c r="AA49" s="11">
        <v>6</v>
      </c>
      <c r="AB49" s="11">
        <v>14</v>
      </c>
      <c r="AC49" s="11" t="s">
        <v>205</v>
      </c>
      <c r="AD49" t="e">
        <v>#VALUE!</v>
      </c>
    </row>
    <row r="50" spans="2:30" x14ac:dyDescent="0.25">
      <c r="B50" s="207"/>
      <c r="C50">
        <v>40</v>
      </c>
      <c r="D50" s="90" t="str" cm="1">
        <f t="array" ref="D50">IFERROR(VLOOKUP(INDEX($AC$10:$AC$419,MATCH(1,IF(D$10&amp;"-"&amp;$C50=$AB$10:$AB$419&amp;"-"&amp;$AA$10:$AA$419,1,""),0)),$X$10:$Y$28,2,FALSE),"")</f>
        <v/>
      </c>
      <c r="E50" s="90" t="str" cm="1">
        <f t="array" ref="E50">IFERROR(VLOOKUP(INDEX($AC$10:$AC$419,MATCH(1,IF(E$10&amp;"-"&amp;$C50=$AB$10:$AB$419&amp;"-"&amp;$AA$10:$AA$419,1,""),0)),$X$10:$Y$28,2,FALSE),"")</f>
        <v/>
      </c>
      <c r="F50" s="90" t="str" cm="1">
        <f t="array" ref="F50">IFERROR(VLOOKUP(INDEX($AC$10:$AC$419,MATCH(1,IF(F$10&amp;"-"&amp;$C50=$AB$10:$AB$419&amp;"-"&amp;$AA$10:$AA$419,1,""),0)),$X$10:$Y$28,2,FALSE),"")</f>
        <v/>
      </c>
      <c r="G50" s="90" t="str" cm="1">
        <f t="array" ref="G50">IFERROR(VLOOKUP(INDEX($AC$10:$AC$419,MATCH(1,IF(G$10&amp;"-"&amp;$C50=$AB$10:$AB$419&amp;"-"&amp;$AA$10:$AA$419,1,""),0)),$X$10:$Y$28,2,FALSE),"")</f>
        <v/>
      </c>
      <c r="H50" s="90" t="str" cm="1">
        <f t="array" ref="H50">IFERROR(VLOOKUP(INDEX($AC$10:$AC$419,MATCH(1,IF(H$10&amp;"-"&amp;$C50=$AB$10:$AB$419&amp;"-"&amp;$AA$10:$AA$419,1,""),0)),$X$10:$Y$28,2,FALSE),"")</f>
        <v/>
      </c>
      <c r="I50" s="90" t="str" cm="1">
        <f t="array" ref="I50">IFERROR(VLOOKUP(INDEX($AC$10:$AC$419,MATCH(1,IF(I$10&amp;"-"&amp;$C50=$AB$10:$AB$419&amp;"-"&amp;$AA$10:$AA$419,1,""),0)),$X$10:$Y$28,2,FALSE),"")</f>
        <v/>
      </c>
      <c r="J50" s="90" t="str" cm="1">
        <f t="array" ref="J50">IFERROR(VLOOKUP(INDEX($AC$10:$AC$419,MATCH(1,IF(J$10&amp;"-"&amp;$C50=$AB$10:$AB$419&amp;"-"&amp;$AA$10:$AA$419,1,""),0)),$X$10:$Y$28,2,FALSE),"")</f>
        <v/>
      </c>
      <c r="K50" s="90" t="str" cm="1">
        <f t="array" ref="K50">IFERROR(VLOOKUP(INDEX($AC$10:$AC$419,MATCH(1,IF(K$10&amp;"-"&amp;$C50=$AB$10:$AB$419&amp;"-"&amp;$AA$10:$AA$419,1,""),0)),$X$10:$Y$28,2,FALSE),"")</f>
        <v/>
      </c>
      <c r="L50" s="90" t="str" cm="1">
        <f t="array" ref="L50">IFERROR(VLOOKUP(INDEX($AC$10:$AC$419,MATCH(1,IF(L$10&amp;"-"&amp;$C50=$AB$10:$AB$419&amp;"-"&amp;$AA$10:$AA$419,1,""),0)),$X$10:$Y$28,2,FALSE),"")</f>
        <v/>
      </c>
      <c r="M50" s="90" t="str" cm="1">
        <f t="array" ref="M50">IFERROR(VLOOKUP(INDEX($AC$10:$AC$419,MATCH(1,IF(M$10&amp;"-"&amp;$C50=$AB$10:$AB$419&amp;"-"&amp;$AA$10:$AA$419,1,""),0)),$X$10:$Y$28,2,FALSE),"")</f>
        <v/>
      </c>
      <c r="N50" s="90" cm="1">
        <f t="array" ref="N50">IFERROR(VLOOKUP(INDEX($AC$10:$AC$419,MATCH(1,IF(N$10&amp;"-"&amp;$C50=$AB$10:$AB$419&amp;"-"&amp;$AA$10:$AA$419,1,""),0)),$X$10:$Y$28,2,FALSE),"")</f>
        <v>167</v>
      </c>
      <c r="O50" s="90" cm="1">
        <f t="array" ref="O50">IFERROR(VLOOKUP(INDEX($AC$10:$AC$419,MATCH(1,IF(O$10&amp;"-"&amp;$C50=$AB$10:$AB$419&amp;"-"&amp;$AA$10:$AA$419,1,""),0)),$X$10:$Y$28,2,FALSE),"")</f>
        <v>167</v>
      </c>
      <c r="P50" s="90" cm="1">
        <f t="array" ref="P50">IFERROR(VLOOKUP(INDEX($AC$10:$AC$419,MATCH(1,IF(P$10&amp;"-"&amp;$C50=$AB$10:$AB$419&amp;"-"&amp;$AA$10:$AA$419,1,""),0)),$X$10:$Y$28,2,FALSE),"")</f>
        <v>167</v>
      </c>
      <c r="Q50" s="90" t="str" cm="1">
        <f t="array" ref="Q50">IFERROR(VLOOKUP(INDEX($AC$10:$AC$419,MATCH(1,IF(Q$10&amp;"-"&amp;$C50=$AB$10:$AB$419&amp;"-"&amp;$AA$10:$AA$419,1,""),0)),$X$10:$Y$28,2,FALSE),"")</f>
        <v/>
      </c>
      <c r="R50" s="90" t="str" cm="1">
        <f t="array" ref="R50">IFERROR(VLOOKUP(INDEX($AC$10:$AC$419,MATCH(1,IF(R$10&amp;"-"&amp;$C50=$AB$10:$AB$419&amp;"-"&amp;$AA$10:$AA$419,1,""),0)),$X$10:$Y$28,2,FALSE),"")</f>
        <v/>
      </c>
      <c r="S50" s="90" t="str" cm="1">
        <f t="array" ref="S50">IFERROR(VLOOKUP(INDEX($AC$10:$AC$419,MATCH(1,IF(S$10&amp;"-"&amp;$C50=$AB$10:$AB$419&amp;"-"&amp;$AA$10:$AA$419,1,""),0)),$X$10:$Y$28,2,FALSE),"")</f>
        <v/>
      </c>
      <c r="T50" s="90" t="str" cm="1">
        <f t="array" ref="T50">IFERROR(VLOOKUP(INDEX($AC$10:$AC$419,MATCH(1,IF(T$10&amp;"-"&amp;$C50=$AB$10:$AB$419&amp;"-"&amp;$AA$10:$AA$419,1,""),0)),$X$10:$Y$28,2,FALSE),"")</f>
        <v/>
      </c>
      <c r="W50" t="b">
        <v>0</v>
      </c>
      <c r="Z50" s="8"/>
      <c r="AA50" s="11">
        <v>6</v>
      </c>
      <c r="AB50" s="11">
        <v>15</v>
      </c>
      <c r="AC50" s="11" t="s">
        <v>210</v>
      </c>
      <c r="AD50" t="e">
        <v>#VALUE!</v>
      </c>
    </row>
    <row r="51" spans="2:30" x14ac:dyDescent="0.25">
      <c r="B51" s="207"/>
      <c r="C51">
        <v>41</v>
      </c>
      <c r="D51" s="90" t="str" cm="1">
        <f t="array" ref="D51">IFERROR(VLOOKUP(INDEX($AC$10:$AC$419,MATCH(1,IF(D$10&amp;"-"&amp;$C51=$AB$10:$AB$419&amp;"-"&amp;$AA$10:$AA$419,1,""),0)),$X$10:$Y$28,2,FALSE),"")</f>
        <v/>
      </c>
      <c r="E51" s="90" t="str" cm="1">
        <f t="array" ref="E51">IFERROR(VLOOKUP(INDEX($AC$10:$AC$419,MATCH(1,IF(E$10&amp;"-"&amp;$C51=$AB$10:$AB$419&amp;"-"&amp;$AA$10:$AA$419,1,""),0)),$X$10:$Y$28,2,FALSE),"")</f>
        <v/>
      </c>
      <c r="F51" s="90" t="str" cm="1">
        <f t="array" ref="F51">IFERROR(VLOOKUP(INDEX($AC$10:$AC$419,MATCH(1,IF(F$10&amp;"-"&amp;$C51=$AB$10:$AB$419&amp;"-"&amp;$AA$10:$AA$419,1,""),0)),$X$10:$Y$28,2,FALSE),"")</f>
        <v/>
      </c>
      <c r="G51" s="90" t="str" cm="1">
        <f t="array" ref="G51">IFERROR(VLOOKUP(INDEX($AC$10:$AC$419,MATCH(1,IF(G$10&amp;"-"&amp;$C51=$AB$10:$AB$419&amp;"-"&amp;$AA$10:$AA$419,1,""),0)),$X$10:$Y$28,2,FALSE),"")</f>
        <v/>
      </c>
      <c r="H51" s="90" t="str" cm="1">
        <f t="array" ref="H51">IFERROR(VLOOKUP(INDEX($AC$10:$AC$419,MATCH(1,IF(H$10&amp;"-"&amp;$C51=$AB$10:$AB$419&amp;"-"&amp;$AA$10:$AA$419,1,""),0)),$X$10:$Y$28,2,FALSE),"")</f>
        <v/>
      </c>
      <c r="I51" s="90" t="str" cm="1">
        <f t="array" ref="I51">IFERROR(VLOOKUP(INDEX($AC$10:$AC$419,MATCH(1,IF(I$10&amp;"-"&amp;$C51=$AB$10:$AB$419&amp;"-"&amp;$AA$10:$AA$419,1,""),0)),$X$10:$Y$28,2,FALSE),"")</f>
        <v/>
      </c>
      <c r="J51" s="90" t="str" cm="1">
        <f t="array" ref="J51">IFERROR(VLOOKUP(INDEX($AC$10:$AC$419,MATCH(1,IF(J$10&amp;"-"&amp;$C51=$AB$10:$AB$419&amp;"-"&amp;$AA$10:$AA$419,1,""),0)),$X$10:$Y$28,2,FALSE),"")</f>
        <v/>
      </c>
      <c r="K51" s="90" t="str" cm="1">
        <f t="array" ref="K51">IFERROR(VLOOKUP(INDEX($AC$10:$AC$419,MATCH(1,IF(K$10&amp;"-"&amp;$C51=$AB$10:$AB$419&amp;"-"&amp;$AA$10:$AA$419,1,""),0)),$X$10:$Y$28,2,FALSE),"")</f>
        <v/>
      </c>
      <c r="L51" s="90" t="str" cm="1">
        <f t="array" ref="L51">IFERROR(VLOOKUP(INDEX($AC$10:$AC$419,MATCH(1,IF(L$10&amp;"-"&amp;$C51=$AB$10:$AB$419&amp;"-"&amp;$AA$10:$AA$419,1,""),0)),$X$10:$Y$28,2,FALSE),"")</f>
        <v/>
      </c>
      <c r="M51" s="90" t="str" cm="1">
        <f t="array" ref="M51">IFERROR(VLOOKUP(INDEX($AC$10:$AC$419,MATCH(1,IF(M$10&amp;"-"&amp;$C51=$AB$10:$AB$419&amp;"-"&amp;$AA$10:$AA$419,1,""),0)),$X$10:$Y$28,2,FALSE),"")</f>
        <v/>
      </c>
      <c r="N51" s="90" cm="1">
        <f t="array" ref="N51">IFERROR(VLOOKUP(INDEX($AC$10:$AC$419,MATCH(1,IF(N$10&amp;"-"&amp;$C51=$AB$10:$AB$419&amp;"-"&amp;$AA$10:$AA$419,1,""),0)),$X$10:$Y$28,2,FALSE),"")</f>
        <v>167</v>
      </c>
      <c r="O51" s="90" cm="1">
        <f t="array" ref="O51">IFERROR(VLOOKUP(INDEX($AC$10:$AC$419,MATCH(1,IF(O$10&amp;"-"&amp;$C51=$AB$10:$AB$419&amp;"-"&amp;$AA$10:$AA$419,1,""),0)),$X$10:$Y$28,2,FALSE),"")</f>
        <v>167</v>
      </c>
      <c r="P51" s="90" cm="1">
        <f t="array" ref="P51">IFERROR(VLOOKUP(INDEX($AC$10:$AC$419,MATCH(1,IF(P$10&amp;"-"&amp;$C51=$AB$10:$AB$419&amp;"-"&amp;$AA$10:$AA$419,1,""),0)),$X$10:$Y$28,2,FALSE),"")</f>
        <v>167</v>
      </c>
      <c r="Q51" s="90" t="str" cm="1">
        <f t="array" ref="Q51">IFERROR(VLOOKUP(INDEX($AC$10:$AC$419,MATCH(1,IF(Q$10&amp;"-"&amp;$C51=$AB$10:$AB$419&amp;"-"&amp;$AA$10:$AA$419,1,""),0)),$X$10:$Y$28,2,FALSE),"")</f>
        <v/>
      </c>
      <c r="R51" s="90" t="str" cm="1">
        <f t="array" ref="R51">IFERROR(VLOOKUP(INDEX($AC$10:$AC$419,MATCH(1,IF(R$10&amp;"-"&amp;$C51=$AB$10:$AB$419&amp;"-"&amp;$AA$10:$AA$419,1,""),0)),$X$10:$Y$28,2,FALSE),"")</f>
        <v/>
      </c>
      <c r="S51" s="90" t="str" cm="1">
        <f t="array" ref="S51">IFERROR(VLOOKUP(INDEX($AC$10:$AC$419,MATCH(1,IF(S$10&amp;"-"&amp;$C51=$AB$10:$AB$419&amp;"-"&amp;$AA$10:$AA$419,1,""),0)),$X$10:$Y$28,2,FALSE),"")</f>
        <v/>
      </c>
      <c r="T51" s="90" t="str" cm="1">
        <f t="array" ref="T51">IFERROR(VLOOKUP(INDEX($AC$10:$AC$419,MATCH(1,IF(T$10&amp;"-"&amp;$C51=$AB$10:$AB$419&amp;"-"&amp;$AA$10:$AA$419,1,""),0)),$X$10:$Y$28,2,FALSE),"")</f>
        <v/>
      </c>
      <c r="W51" t="b">
        <v>0</v>
      </c>
      <c r="Z51" s="8"/>
      <c r="AA51" s="11">
        <v>6</v>
      </c>
      <c r="AB51" s="11">
        <v>16</v>
      </c>
      <c r="AC51" s="11" t="s">
        <v>210</v>
      </c>
      <c r="AD51" t="e">
        <v>#VALUE!</v>
      </c>
    </row>
    <row r="52" spans="2:30" x14ac:dyDescent="0.25">
      <c r="B52" s="207"/>
      <c r="C52">
        <v>42</v>
      </c>
      <c r="D52" s="90" t="str" cm="1">
        <f t="array" ref="D52">IFERROR(VLOOKUP(INDEX($AC$10:$AC$419,MATCH(1,IF(D$10&amp;"-"&amp;$C52=$AB$10:$AB$419&amp;"-"&amp;$AA$10:$AA$419,1,""),0)),$X$10:$Y$28,2,FALSE),"")</f>
        <v/>
      </c>
      <c r="E52" s="90" t="str" cm="1">
        <f t="array" ref="E52">IFERROR(VLOOKUP(INDEX($AC$10:$AC$419,MATCH(1,IF(E$10&amp;"-"&amp;$C52=$AB$10:$AB$419&amp;"-"&amp;$AA$10:$AA$419,1,""),0)),$X$10:$Y$28,2,FALSE),"")</f>
        <v/>
      </c>
      <c r="F52" s="90" t="str" cm="1">
        <f t="array" ref="F52">IFERROR(VLOOKUP(INDEX($AC$10:$AC$419,MATCH(1,IF(F$10&amp;"-"&amp;$C52=$AB$10:$AB$419&amp;"-"&amp;$AA$10:$AA$419,1,""),0)),$X$10:$Y$28,2,FALSE),"")</f>
        <v/>
      </c>
      <c r="G52" s="90" t="str" cm="1">
        <f t="array" ref="G52">IFERROR(VLOOKUP(INDEX($AC$10:$AC$419,MATCH(1,IF(G$10&amp;"-"&amp;$C52=$AB$10:$AB$419&amp;"-"&amp;$AA$10:$AA$419,1,""),0)),$X$10:$Y$28,2,FALSE),"")</f>
        <v/>
      </c>
      <c r="H52" s="90" t="str" cm="1">
        <f t="array" ref="H52">IFERROR(VLOOKUP(INDEX($AC$10:$AC$419,MATCH(1,IF(H$10&amp;"-"&amp;$C52=$AB$10:$AB$419&amp;"-"&amp;$AA$10:$AA$419,1,""),0)),$X$10:$Y$28,2,FALSE),"")</f>
        <v/>
      </c>
      <c r="I52" s="90" t="str" cm="1">
        <f t="array" ref="I52">IFERROR(VLOOKUP(INDEX($AC$10:$AC$419,MATCH(1,IF(I$10&amp;"-"&amp;$C52=$AB$10:$AB$419&amp;"-"&amp;$AA$10:$AA$419,1,""),0)),$X$10:$Y$28,2,FALSE),"")</f>
        <v/>
      </c>
      <c r="J52" s="90" t="str" cm="1">
        <f t="array" ref="J52">IFERROR(VLOOKUP(INDEX($AC$10:$AC$419,MATCH(1,IF(J$10&amp;"-"&amp;$C52=$AB$10:$AB$419&amp;"-"&amp;$AA$10:$AA$419,1,""),0)),$X$10:$Y$28,2,FALSE),"")</f>
        <v/>
      </c>
      <c r="K52" s="90" t="str" cm="1">
        <f t="array" ref="K52">IFERROR(VLOOKUP(INDEX($AC$10:$AC$419,MATCH(1,IF(K$10&amp;"-"&amp;$C52=$AB$10:$AB$419&amp;"-"&amp;$AA$10:$AA$419,1,""),0)),$X$10:$Y$28,2,FALSE),"")</f>
        <v/>
      </c>
      <c r="L52" s="90" t="str" cm="1">
        <f t="array" ref="L52">IFERROR(VLOOKUP(INDEX($AC$10:$AC$419,MATCH(1,IF(L$10&amp;"-"&amp;$C52=$AB$10:$AB$419&amp;"-"&amp;$AA$10:$AA$419,1,""),0)),$X$10:$Y$28,2,FALSE),"")</f>
        <v/>
      </c>
      <c r="M52" s="90" t="str" cm="1">
        <f t="array" ref="M52">IFERROR(VLOOKUP(INDEX($AC$10:$AC$419,MATCH(1,IF(M$10&amp;"-"&amp;$C52=$AB$10:$AB$419&amp;"-"&amp;$AA$10:$AA$419,1,""),0)),$X$10:$Y$28,2,FALSE),"")</f>
        <v/>
      </c>
      <c r="N52" s="90" t="str" cm="1">
        <f t="array" ref="N52">IFERROR(VLOOKUP(INDEX($AC$10:$AC$419,MATCH(1,IF(N$10&amp;"-"&amp;$C52=$AB$10:$AB$419&amp;"-"&amp;$AA$10:$AA$419,1,""),0)),$X$10:$Y$28,2,FALSE),"")</f>
        <v/>
      </c>
      <c r="O52" s="90" cm="1">
        <f t="array" ref="O52">IFERROR(VLOOKUP(INDEX($AC$10:$AC$419,MATCH(1,IF(O$10&amp;"-"&amp;$C52=$AB$10:$AB$419&amp;"-"&amp;$AA$10:$AA$419,1,""),0)),$X$10:$Y$28,2,FALSE),"")</f>
        <v>167</v>
      </c>
      <c r="P52" s="90" cm="1">
        <f t="array" ref="P52">IFERROR(VLOOKUP(INDEX($AC$10:$AC$419,MATCH(1,IF(P$10&amp;"-"&amp;$C52=$AB$10:$AB$419&amp;"-"&amp;$AA$10:$AA$419,1,""),0)),$X$10:$Y$28,2,FALSE),"")</f>
        <v>167</v>
      </c>
      <c r="Q52" s="90" t="str" cm="1">
        <f t="array" ref="Q52">IFERROR(VLOOKUP(INDEX($AC$10:$AC$419,MATCH(1,IF(Q$10&amp;"-"&amp;$C52=$AB$10:$AB$419&amp;"-"&amp;$AA$10:$AA$419,1,""),0)),$X$10:$Y$28,2,FALSE),"")</f>
        <v/>
      </c>
      <c r="R52" s="90" t="str" cm="1">
        <f t="array" ref="R52">IFERROR(VLOOKUP(INDEX($AC$10:$AC$419,MATCH(1,IF(R$10&amp;"-"&amp;$C52=$AB$10:$AB$419&amp;"-"&amp;$AA$10:$AA$419,1,""),0)),$X$10:$Y$28,2,FALSE),"")</f>
        <v/>
      </c>
      <c r="S52" s="90" t="str" cm="1">
        <f t="array" ref="S52">IFERROR(VLOOKUP(INDEX($AC$10:$AC$419,MATCH(1,IF(S$10&amp;"-"&amp;$C52=$AB$10:$AB$419&amp;"-"&amp;$AA$10:$AA$419,1,""),0)),$X$10:$Y$28,2,FALSE),"")</f>
        <v/>
      </c>
      <c r="T52" s="90" t="str" cm="1">
        <f t="array" ref="T52">IFERROR(VLOOKUP(INDEX($AC$10:$AC$419,MATCH(1,IF(T$10&amp;"-"&amp;$C52=$AB$10:$AB$419&amp;"-"&amp;$AA$10:$AA$419,1,""),0)),$X$10:$Y$28,2,FALSE),"")</f>
        <v/>
      </c>
      <c r="W52" t="b">
        <v>0</v>
      </c>
      <c r="Z52" s="8"/>
      <c r="AA52" s="11">
        <v>6</v>
      </c>
      <c r="AB52" s="11">
        <v>17</v>
      </c>
      <c r="AC52" s="11" t="s">
        <v>210</v>
      </c>
      <c r="AD52" t="e">
        <v>#VALUE!</v>
      </c>
    </row>
    <row r="53" spans="2:30" x14ac:dyDescent="0.25">
      <c r="B53" s="207"/>
      <c r="C53">
        <v>43</v>
      </c>
      <c r="D53" s="90" t="str" cm="1">
        <f t="array" ref="D53">IFERROR(VLOOKUP(INDEX($AC$10:$AC$419,MATCH(1,IF(D$10&amp;"-"&amp;$C53=$AB$10:$AB$419&amp;"-"&amp;$AA$10:$AA$419,1,""),0)),$X$10:$Y$28,2,FALSE),"")</f>
        <v/>
      </c>
      <c r="E53" s="90" t="str" cm="1">
        <f t="array" ref="E53">IFERROR(VLOOKUP(INDEX($AC$10:$AC$419,MATCH(1,IF(E$10&amp;"-"&amp;$C53=$AB$10:$AB$419&amp;"-"&amp;$AA$10:$AA$419,1,""),0)),$X$10:$Y$28,2,FALSE),"")</f>
        <v/>
      </c>
      <c r="F53" s="90" t="str" cm="1">
        <f t="array" ref="F53">IFERROR(VLOOKUP(INDEX($AC$10:$AC$419,MATCH(1,IF(F$10&amp;"-"&amp;$C53=$AB$10:$AB$419&amp;"-"&amp;$AA$10:$AA$419,1,""),0)),$X$10:$Y$28,2,FALSE),"")</f>
        <v/>
      </c>
      <c r="G53" s="90" t="str" cm="1">
        <f t="array" ref="G53">IFERROR(VLOOKUP(INDEX($AC$10:$AC$419,MATCH(1,IF(G$10&amp;"-"&amp;$C53=$AB$10:$AB$419&amp;"-"&amp;$AA$10:$AA$419,1,""),0)),$X$10:$Y$28,2,FALSE),"")</f>
        <v/>
      </c>
      <c r="H53" s="90" t="str" cm="1">
        <f t="array" ref="H53">IFERROR(VLOOKUP(INDEX($AC$10:$AC$419,MATCH(1,IF(H$10&amp;"-"&amp;$C53=$AB$10:$AB$419&amp;"-"&amp;$AA$10:$AA$419,1,""),0)),$X$10:$Y$28,2,FALSE),"")</f>
        <v/>
      </c>
      <c r="I53" s="90" t="str" cm="1">
        <f t="array" ref="I53">IFERROR(VLOOKUP(INDEX($AC$10:$AC$419,MATCH(1,IF(I$10&amp;"-"&amp;$C53=$AB$10:$AB$419&amp;"-"&amp;$AA$10:$AA$419,1,""),0)),$X$10:$Y$28,2,FALSE),"")</f>
        <v/>
      </c>
      <c r="J53" s="90" t="str" cm="1">
        <f t="array" ref="J53">IFERROR(VLOOKUP(INDEX($AC$10:$AC$419,MATCH(1,IF(J$10&amp;"-"&amp;$C53=$AB$10:$AB$419&amp;"-"&amp;$AA$10:$AA$419,1,""),0)),$X$10:$Y$28,2,FALSE),"")</f>
        <v/>
      </c>
      <c r="K53" s="90" t="str" cm="1">
        <f t="array" ref="K53">IFERROR(VLOOKUP(INDEX($AC$10:$AC$419,MATCH(1,IF(K$10&amp;"-"&amp;$C53=$AB$10:$AB$419&amp;"-"&amp;$AA$10:$AA$419,1,""),0)),$X$10:$Y$28,2,FALSE),"")</f>
        <v/>
      </c>
      <c r="L53" s="90" t="str" cm="1">
        <f t="array" ref="L53">IFERROR(VLOOKUP(INDEX($AC$10:$AC$419,MATCH(1,IF(L$10&amp;"-"&amp;$C53=$AB$10:$AB$419&amp;"-"&amp;$AA$10:$AA$419,1,""),0)),$X$10:$Y$28,2,FALSE),"")</f>
        <v/>
      </c>
      <c r="M53" s="90" t="str" cm="1">
        <f t="array" ref="M53">IFERROR(VLOOKUP(INDEX($AC$10:$AC$419,MATCH(1,IF(M$10&amp;"-"&amp;$C53=$AB$10:$AB$419&amp;"-"&amp;$AA$10:$AA$419,1,""),0)),$X$10:$Y$28,2,FALSE),"")</f>
        <v/>
      </c>
      <c r="N53" s="90" t="str" cm="1">
        <f t="array" ref="N53">IFERROR(VLOOKUP(INDEX($AC$10:$AC$419,MATCH(1,IF(N$10&amp;"-"&amp;$C53=$AB$10:$AB$419&amp;"-"&amp;$AA$10:$AA$419,1,""),0)),$X$10:$Y$28,2,FALSE),"")</f>
        <v/>
      </c>
      <c r="O53" s="90" cm="1">
        <f t="array" ref="O53">IFERROR(VLOOKUP(INDEX($AC$10:$AC$419,MATCH(1,IF(O$10&amp;"-"&amp;$C53=$AB$10:$AB$419&amp;"-"&amp;$AA$10:$AA$419,1,""),0)),$X$10:$Y$28,2,FALSE),"")</f>
        <v>167</v>
      </c>
      <c r="P53" s="90" cm="1">
        <f t="array" ref="P53">IFERROR(VLOOKUP(INDEX($AC$10:$AC$419,MATCH(1,IF(P$10&amp;"-"&amp;$C53=$AB$10:$AB$419&amp;"-"&amp;$AA$10:$AA$419,1,""),0)),$X$10:$Y$28,2,FALSE),"")</f>
        <v>167</v>
      </c>
      <c r="Q53" s="90" t="str" cm="1">
        <f t="array" ref="Q53">IFERROR(VLOOKUP(INDEX($AC$10:$AC$419,MATCH(1,IF(Q$10&amp;"-"&amp;$C53=$AB$10:$AB$419&amp;"-"&amp;$AA$10:$AA$419,1,""),0)),$X$10:$Y$28,2,FALSE),"")</f>
        <v/>
      </c>
      <c r="R53" s="90" t="str" cm="1">
        <f t="array" ref="R53">IFERROR(VLOOKUP(INDEX($AC$10:$AC$419,MATCH(1,IF(R$10&amp;"-"&amp;$C53=$AB$10:$AB$419&amp;"-"&amp;$AA$10:$AA$419,1,""),0)),$X$10:$Y$28,2,FALSE),"")</f>
        <v/>
      </c>
      <c r="S53" s="90" t="str" cm="1">
        <f t="array" ref="S53">IFERROR(VLOOKUP(INDEX($AC$10:$AC$419,MATCH(1,IF(S$10&amp;"-"&amp;$C53=$AB$10:$AB$419&amp;"-"&amp;$AA$10:$AA$419,1,""),0)),$X$10:$Y$28,2,FALSE),"")</f>
        <v/>
      </c>
      <c r="T53" s="90" t="str" cm="1">
        <f t="array" ref="T53">IFERROR(VLOOKUP(INDEX($AC$10:$AC$419,MATCH(1,IF(T$10&amp;"-"&amp;$C53=$AB$10:$AB$419&amp;"-"&amp;$AA$10:$AA$419,1,""),0)),$X$10:$Y$28,2,FALSE),"")</f>
        <v/>
      </c>
      <c r="W53" t="b">
        <v>0</v>
      </c>
      <c r="Z53" s="8"/>
      <c r="AA53" s="11">
        <v>7</v>
      </c>
      <c r="AB53" s="11">
        <v>7</v>
      </c>
      <c r="AC53" s="11" t="s">
        <v>212</v>
      </c>
      <c r="AD53" t="e">
        <v>#VALUE!</v>
      </c>
    </row>
    <row r="54" spans="2:30" x14ac:dyDescent="0.25">
      <c r="B54" s="89"/>
      <c r="W54" t="b">
        <v>0</v>
      </c>
      <c r="Z54" s="8"/>
      <c r="AA54" s="11">
        <v>7</v>
      </c>
      <c r="AB54" s="11">
        <v>8</v>
      </c>
      <c r="AC54" s="11" t="s">
        <v>212</v>
      </c>
      <c r="AD54" t="e">
        <v>#VALUE!</v>
      </c>
    </row>
    <row r="55" spans="2:30" x14ac:dyDescent="0.25">
      <c r="W55" t="b">
        <v>0</v>
      </c>
      <c r="Z55" s="8"/>
      <c r="AA55" s="11">
        <v>7</v>
      </c>
      <c r="AB55" s="11">
        <v>9</v>
      </c>
      <c r="AC55" s="11" t="s">
        <v>212</v>
      </c>
      <c r="AD55" t="e">
        <v>#VALUE!</v>
      </c>
    </row>
    <row r="56" spans="2:30" x14ac:dyDescent="0.25">
      <c r="W56" t="b">
        <v>0</v>
      </c>
      <c r="Z56" s="8"/>
      <c r="AA56" s="11">
        <v>7</v>
      </c>
      <c r="AB56" s="11">
        <v>10</v>
      </c>
      <c r="AC56" s="11" t="s">
        <v>205</v>
      </c>
      <c r="AD56" t="e">
        <v>#VALUE!</v>
      </c>
    </row>
    <row r="57" spans="2:30" x14ac:dyDescent="0.25">
      <c r="W57" t="b">
        <v>0</v>
      </c>
      <c r="Z57" s="8"/>
      <c r="AA57" s="11">
        <v>7</v>
      </c>
      <c r="AB57" s="11">
        <v>11</v>
      </c>
      <c r="AC57" s="11" t="s">
        <v>205</v>
      </c>
      <c r="AD57" t="e">
        <v>#VALUE!</v>
      </c>
    </row>
    <row r="58" spans="2:30" x14ac:dyDescent="0.25">
      <c r="W58" t="b">
        <v>0</v>
      </c>
      <c r="Z58" s="8"/>
      <c r="AA58" s="11">
        <v>7</v>
      </c>
      <c r="AB58" s="11">
        <v>12</v>
      </c>
      <c r="AC58" s="11" t="s">
        <v>205</v>
      </c>
      <c r="AD58" t="e">
        <v>#VALUE!</v>
      </c>
    </row>
    <row r="59" spans="2:30" x14ac:dyDescent="0.25">
      <c r="W59" t="b">
        <v>0</v>
      </c>
      <c r="Z59" s="8"/>
      <c r="AA59" s="11">
        <v>7</v>
      </c>
      <c r="AB59" s="11">
        <v>13</v>
      </c>
      <c r="AC59" s="11" t="s">
        <v>205</v>
      </c>
      <c r="AD59" t="e">
        <v>#VALUE!</v>
      </c>
    </row>
    <row r="60" spans="2:30" x14ac:dyDescent="0.25">
      <c r="W60" t="b">
        <v>0</v>
      </c>
      <c r="Z60" s="8"/>
      <c r="AA60" s="11">
        <v>7</v>
      </c>
      <c r="AB60" s="11">
        <v>14</v>
      </c>
      <c r="AC60" s="11" t="s">
        <v>205</v>
      </c>
      <c r="AD60" t="e">
        <v>#VALUE!</v>
      </c>
    </row>
    <row r="61" spans="2:30" x14ac:dyDescent="0.25">
      <c r="W61" t="b">
        <v>0</v>
      </c>
      <c r="Z61" s="8"/>
      <c r="AA61" s="11">
        <v>7</v>
      </c>
      <c r="AB61" s="11">
        <v>15</v>
      </c>
      <c r="AC61" s="11" t="s">
        <v>210</v>
      </c>
      <c r="AD61" t="e">
        <v>#VALUE!</v>
      </c>
    </row>
    <row r="62" spans="2:30" x14ac:dyDescent="0.25">
      <c r="W62" t="b">
        <v>0</v>
      </c>
      <c r="Z62" s="8"/>
      <c r="AA62" s="11">
        <v>7</v>
      </c>
      <c r="AB62" s="11">
        <v>16</v>
      </c>
      <c r="AC62" s="11" t="s">
        <v>210</v>
      </c>
      <c r="AD62" t="e">
        <v>#VALUE!</v>
      </c>
    </row>
    <row r="63" spans="2:30" x14ac:dyDescent="0.25">
      <c r="W63" t="b">
        <v>0</v>
      </c>
      <c r="Z63" s="8"/>
      <c r="AA63" s="11">
        <v>8</v>
      </c>
      <c r="AB63" s="11">
        <v>6</v>
      </c>
      <c r="AC63" s="11" t="s">
        <v>212</v>
      </c>
      <c r="AD63" t="e">
        <v>#VALUE!</v>
      </c>
    </row>
    <row r="64" spans="2:30" x14ac:dyDescent="0.25">
      <c r="W64" t="b">
        <v>0</v>
      </c>
      <c r="Z64" s="8"/>
      <c r="AA64" s="11">
        <v>8</v>
      </c>
      <c r="AB64" s="11">
        <v>7</v>
      </c>
      <c r="AC64" s="11" t="s">
        <v>212</v>
      </c>
      <c r="AD64" t="e">
        <v>#VALUE!</v>
      </c>
    </row>
    <row r="65" spans="23:30" x14ac:dyDescent="0.25">
      <c r="W65" t="b">
        <v>0</v>
      </c>
      <c r="Z65" s="8"/>
      <c r="AA65" s="11">
        <v>8</v>
      </c>
      <c r="AB65" s="11">
        <v>8</v>
      </c>
      <c r="AC65" s="11" t="s">
        <v>212</v>
      </c>
      <c r="AD65" t="e">
        <v>#VALUE!</v>
      </c>
    </row>
    <row r="66" spans="23:30" x14ac:dyDescent="0.25">
      <c r="W66" t="b">
        <v>0</v>
      </c>
      <c r="Z66" s="8"/>
      <c r="AA66" s="11">
        <v>8</v>
      </c>
      <c r="AB66" s="11">
        <v>9</v>
      </c>
      <c r="AC66" s="11" t="s">
        <v>212</v>
      </c>
      <c r="AD66" t="e">
        <v>#VALUE!</v>
      </c>
    </row>
    <row r="67" spans="23:30" x14ac:dyDescent="0.25">
      <c r="W67" t="b">
        <v>0</v>
      </c>
      <c r="Z67" s="8"/>
      <c r="AA67" s="11">
        <v>8</v>
      </c>
      <c r="AB67" s="11">
        <v>10</v>
      </c>
      <c r="AC67" s="11" t="s">
        <v>205</v>
      </c>
      <c r="AD67" t="e">
        <v>#VALUE!</v>
      </c>
    </row>
    <row r="68" spans="23:30" x14ac:dyDescent="0.25">
      <c r="W68" t="b">
        <v>0</v>
      </c>
      <c r="Z68" s="8"/>
      <c r="AA68" s="11">
        <v>8</v>
      </c>
      <c r="AB68" s="11">
        <v>11</v>
      </c>
      <c r="AC68" s="11" t="s">
        <v>205</v>
      </c>
      <c r="AD68" t="e">
        <v>#VALUE!</v>
      </c>
    </row>
    <row r="69" spans="23:30" x14ac:dyDescent="0.25">
      <c r="W69" t="b">
        <v>0</v>
      </c>
      <c r="Z69" s="8"/>
      <c r="AA69" s="11">
        <v>8</v>
      </c>
      <c r="AB69" s="11">
        <v>12</v>
      </c>
      <c r="AC69" s="11" t="s">
        <v>205</v>
      </c>
      <c r="AD69" t="e">
        <v>#VALUE!</v>
      </c>
    </row>
    <row r="70" spans="23:30" x14ac:dyDescent="0.25">
      <c r="W70" t="b">
        <v>0</v>
      </c>
      <c r="Z70" s="8"/>
      <c r="AA70" s="11">
        <v>8</v>
      </c>
      <c r="AB70" s="11">
        <v>13</v>
      </c>
      <c r="AC70" s="11" t="s">
        <v>205</v>
      </c>
      <c r="AD70" t="e">
        <v>#VALUE!</v>
      </c>
    </row>
    <row r="71" spans="23:30" x14ac:dyDescent="0.25">
      <c r="W71" t="b">
        <v>0</v>
      </c>
      <c r="Z71" s="8"/>
      <c r="AA71" s="11">
        <v>8</v>
      </c>
      <c r="AB71" s="11">
        <v>14</v>
      </c>
      <c r="AC71" s="11" t="s">
        <v>205</v>
      </c>
      <c r="AD71" t="e">
        <v>#VALUE!</v>
      </c>
    </row>
    <row r="72" spans="23:30" x14ac:dyDescent="0.25">
      <c r="W72" t="b">
        <v>0</v>
      </c>
      <c r="Z72" s="8"/>
      <c r="AA72" s="11">
        <v>8</v>
      </c>
      <c r="AB72" s="11">
        <v>15</v>
      </c>
      <c r="AC72" s="11" t="s">
        <v>210</v>
      </c>
      <c r="AD72" t="e">
        <v>#VALUE!</v>
      </c>
    </row>
    <row r="73" spans="23:30" x14ac:dyDescent="0.25">
      <c r="W73" t="b">
        <v>0</v>
      </c>
      <c r="Z73" s="8"/>
      <c r="AA73" s="11">
        <v>8</v>
      </c>
      <c r="AB73" s="11">
        <v>16</v>
      </c>
      <c r="AC73" s="11" t="s">
        <v>210</v>
      </c>
      <c r="AD73" t="e">
        <v>#VALUE!</v>
      </c>
    </row>
    <row r="74" spans="23:30" x14ac:dyDescent="0.25">
      <c r="W74" t="b">
        <v>0</v>
      </c>
      <c r="Z74" s="8"/>
      <c r="AA74" s="11">
        <v>9</v>
      </c>
      <c r="AB74" s="11">
        <v>5</v>
      </c>
      <c r="AC74" s="11" t="s">
        <v>212</v>
      </c>
      <c r="AD74" t="e">
        <v>#VALUE!</v>
      </c>
    </row>
    <row r="75" spans="23:30" x14ac:dyDescent="0.25">
      <c r="W75" t="b">
        <v>0</v>
      </c>
      <c r="Z75" s="8"/>
      <c r="AA75" s="11">
        <v>9</v>
      </c>
      <c r="AB75" s="11">
        <v>6</v>
      </c>
      <c r="AC75" s="11" t="s">
        <v>212</v>
      </c>
      <c r="AD75" t="e">
        <v>#VALUE!</v>
      </c>
    </row>
    <row r="76" spans="23:30" x14ac:dyDescent="0.25">
      <c r="W76" t="b">
        <v>0</v>
      </c>
      <c r="Z76" s="8"/>
      <c r="AA76" s="11">
        <v>9</v>
      </c>
      <c r="AB76" s="11">
        <v>7</v>
      </c>
      <c r="AC76" s="11" t="s">
        <v>212</v>
      </c>
      <c r="AD76" t="e">
        <v>#VALUE!</v>
      </c>
    </row>
    <row r="77" spans="23:30" x14ac:dyDescent="0.25">
      <c r="W77" t="b">
        <v>0</v>
      </c>
      <c r="Z77" s="8"/>
      <c r="AA77" s="11">
        <v>9</v>
      </c>
      <c r="AB77" s="11">
        <v>8</v>
      </c>
      <c r="AC77" s="11" t="s">
        <v>212</v>
      </c>
      <c r="AD77" t="e">
        <v>#VALUE!</v>
      </c>
    </row>
    <row r="78" spans="23:30" x14ac:dyDescent="0.25">
      <c r="W78" t="b">
        <v>0</v>
      </c>
      <c r="Z78" s="8"/>
      <c r="AA78" s="11">
        <v>9</v>
      </c>
      <c r="AB78" s="11">
        <v>9</v>
      </c>
      <c r="AC78" s="11" t="s">
        <v>212</v>
      </c>
      <c r="AD78" t="e">
        <v>#VALUE!</v>
      </c>
    </row>
    <row r="79" spans="23:30" x14ac:dyDescent="0.25">
      <c r="W79" t="b">
        <v>0</v>
      </c>
      <c r="Z79" s="8"/>
      <c r="AA79" s="11">
        <v>9</v>
      </c>
      <c r="AB79" s="11">
        <v>10</v>
      </c>
      <c r="AC79" s="11" t="s">
        <v>212</v>
      </c>
      <c r="AD79" t="e">
        <v>#VALUE!</v>
      </c>
    </row>
    <row r="80" spans="23:30" x14ac:dyDescent="0.25">
      <c r="W80" t="b">
        <v>0</v>
      </c>
      <c r="Z80" s="8"/>
      <c r="AA80" s="11">
        <v>9</v>
      </c>
      <c r="AB80" s="11">
        <v>11</v>
      </c>
      <c r="AC80" s="11" t="s">
        <v>205</v>
      </c>
      <c r="AD80" t="e">
        <v>#VALUE!</v>
      </c>
    </row>
    <row r="81" spans="23:30" x14ac:dyDescent="0.25">
      <c r="W81" t="b">
        <v>0</v>
      </c>
      <c r="Z81" s="8"/>
      <c r="AA81" s="11">
        <v>9</v>
      </c>
      <c r="AB81" s="11">
        <v>12</v>
      </c>
      <c r="AC81" s="11" t="s">
        <v>205</v>
      </c>
      <c r="AD81" t="e">
        <v>#VALUE!</v>
      </c>
    </row>
    <row r="82" spans="23:30" x14ac:dyDescent="0.25">
      <c r="W82" t="b">
        <v>0</v>
      </c>
      <c r="Z82" s="8"/>
      <c r="AA82" s="11">
        <v>9</v>
      </c>
      <c r="AB82" s="11">
        <v>13</v>
      </c>
      <c r="AC82" s="11" t="s">
        <v>205</v>
      </c>
      <c r="AD82" t="e">
        <v>#VALUE!</v>
      </c>
    </row>
    <row r="83" spans="23:30" x14ac:dyDescent="0.25">
      <c r="W83" t="b">
        <v>0</v>
      </c>
      <c r="Z83" s="8"/>
      <c r="AA83" s="11">
        <v>9</v>
      </c>
      <c r="AB83" s="11">
        <v>14</v>
      </c>
      <c r="AC83" s="11" t="s">
        <v>205</v>
      </c>
      <c r="AD83" t="e">
        <v>#VALUE!</v>
      </c>
    </row>
    <row r="84" spans="23:30" x14ac:dyDescent="0.25">
      <c r="W84" t="b">
        <v>0</v>
      </c>
      <c r="Z84" s="8"/>
      <c r="AA84" s="11">
        <v>9</v>
      </c>
      <c r="AB84" s="11">
        <v>15</v>
      </c>
      <c r="AC84" s="11" t="s">
        <v>210</v>
      </c>
      <c r="AD84" t="e">
        <v>#VALUE!</v>
      </c>
    </row>
    <row r="85" spans="23:30" x14ac:dyDescent="0.25">
      <c r="W85" t="b">
        <v>0</v>
      </c>
      <c r="Z85" s="8"/>
      <c r="AA85" s="11">
        <v>9</v>
      </c>
      <c r="AB85" s="11">
        <v>16</v>
      </c>
      <c r="AC85" s="11" t="s">
        <v>210</v>
      </c>
      <c r="AD85" t="e">
        <v>#VALUE!</v>
      </c>
    </row>
    <row r="86" spans="23:30" x14ac:dyDescent="0.25">
      <c r="W86" t="b">
        <v>0</v>
      </c>
      <c r="Z86" s="8"/>
      <c r="AA86" s="11">
        <v>10</v>
      </c>
      <c r="AB86" s="11">
        <v>6</v>
      </c>
      <c r="AC86" s="11" t="s">
        <v>213</v>
      </c>
      <c r="AD86" t="e">
        <v>#VALUE!</v>
      </c>
    </row>
    <row r="87" spans="23:30" x14ac:dyDescent="0.25">
      <c r="W87" t="b">
        <v>0</v>
      </c>
      <c r="Z87" s="8"/>
      <c r="AA87" s="11">
        <v>10</v>
      </c>
      <c r="AB87" s="11">
        <v>7</v>
      </c>
      <c r="AC87" s="11" t="s">
        <v>212</v>
      </c>
      <c r="AD87" t="e">
        <v>#VALUE!</v>
      </c>
    </row>
    <row r="88" spans="23:30" x14ac:dyDescent="0.25">
      <c r="W88" t="b">
        <v>0</v>
      </c>
      <c r="Z88" s="8"/>
      <c r="AA88" s="11">
        <v>10</v>
      </c>
      <c r="AB88" s="11">
        <v>8</v>
      </c>
      <c r="AC88" s="11" t="s">
        <v>212</v>
      </c>
      <c r="AD88" t="e">
        <v>#VALUE!</v>
      </c>
    </row>
    <row r="89" spans="23:30" x14ac:dyDescent="0.25">
      <c r="W89" t="b">
        <v>0</v>
      </c>
      <c r="Z89" s="8"/>
      <c r="AA89" s="11">
        <v>10</v>
      </c>
      <c r="AB89" s="11">
        <v>9</v>
      </c>
      <c r="AC89" s="11" t="s">
        <v>212</v>
      </c>
      <c r="AD89" t="e">
        <v>#VALUE!</v>
      </c>
    </row>
    <row r="90" spans="23:30" x14ac:dyDescent="0.25">
      <c r="W90" t="b">
        <v>0</v>
      </c>
      <c r="Z90" s="8"/>
      <c r="AA90" s="11">
        <v>10</v>
      </c>
      <c r="AB90" s="11">
        <v>10</v>
      </c>
      <c r="AC90" s="11" t="s">
        <v>212</v>
      </c>
      <c r="AD90" t="e">
        <v>#VALUE!</v>
      </c>
    </row>
    <row r="91" spans="23:30" x14ac:dyDescent="0.25">
      <c r="W91" t="b">
        <v>0</v>
      </c>
      <c r="Z91" s="8"/>
      <c r="AA91" s="11">
        <v>10</v>
      </c>
      <c r="AB91" s="11">
        <v>11</v>
      </c>
      <c r="AC91" s="11" t="s">
        <v>212</v>
      </c>
      <c r="AD91" t="e">
        <v>#VALUE!</v>
      </c>
    </row>
    <row r="92" spans="23:30" x14ac:dyDescent="0.25">
      <c r="W92" t="b">
        <v>0</v>
      </c>
      <c r="Z92" s="8"/>
      <c r="AA92" s="11">
        <v>10</v>
      </c>
      <c r="AB92" s="11">
        <v>12</v>
      </c>
      <c r="AC92" s="11" t="s">
        <v>205</v>
      </c>
      <c r="AD92" t="e">
        <v>#VALUE!</v>
      </c>
    </row>
    <row r="93" spans="23:30" x14ac:dyDescent="0.25">
      <c r="W93" t="b">
        <v>0</v>
      </c>
      <c r="Z93" s="8"/>
      <c r="AA93" s="11">
        <v>10</v>
      </c>
      <c r="AB93" s="11">
        <v>13</v>
      </c>
      <c r="AC93" s="11" t="s">
        <v>205</v>
      </c>
      <c r="AD93">
        <v>1</v>
      </c>
    </row>
    <row r="94" spans="23:30" x14ac:dyDescent="0.25">
      <c r="W94" t="b">
        <v>0</v>
      </c>
      <c r="Z94" s="8"/>
      <c r="AA94" s="11">
        <v>10</v>
      </c>
      <c r="AB94" s="11">
        <v>14</v>
      </c>
      <c r="AC94" s="11" t="s">
        <v>205</v>
      </c>
      <c r="AD94" t="e">
        <v>#VALUE!</v>
      </c>
    </row>
    <row r="95" spans="23:30" x14ac:dyDescent="0.25">
      <c r="W95" t="b">
        <v>0</v>
      </c>
      <c r="Z95" s="8"/>
      <c r="AA95" s="11">
        <v>10</v>
      </c>
      <c r="AB95" s="11">
        <v>15</v>
      </c>
      <c r="AC95" s="11" t="s">
        <v>210</v>
      </c>
      <c r="AD95" t="e">
        <v>#VALUE!</v>
      </c>
    </row>
    <row r="96" spans="23:30" x14ac:dyDescent="0.25">
      <c r="W96" t="b">
        <v>0</v>
      </c>
      <c r="Z96" s="8"/>
      <c r="AA96" s="11">
        <v>10</v>
      </c>
      <c r="AB96" s="11">
        <v>16</v>
      </c>
      <c r="AC96" s="11" t="s">
        <v>210</v>
      </c>
      <c r="AD96" t="e">
        <v>#VALUE!</v>
      </c>
    </row>
    <row r="97" spans="23:30" x14ac:dyDescent="0.25">
      <c r="W97" t="b">
        <v>0</v>
      </c>
      <c r="Z97" s="8"/>
      <c r="AA97" s="11">
        <v>10</v>
      </c>
      <c r="AB97" s="11">
        <v>17</v>
      </c>
      <c r="AC97" s="11" t="s">
        <v>210</v>
      </c>
      <c r="AD97" t="e">
        <v>#VALUE!</v>
      </c>
    </row>
    <row r="98" spans="23:30" x14ac:dyDescent="0.25">
      <c r="W98" t="b">
        <v>0</v>
      </c>
      <c r="Z98" s="8"/>
      <c r="AA98" s="11">
        <v>11</v>
      </c>
      <c r="AB98" s="11">
        <v>5</v>
      </c>
      <c r="AC98" s="11" t="s">
        <v>213</v>
      </c>
      <c r="AD98" t="e">
        <v>#VALUE!</v>
      </c>
    </row>
    <row r="99" spans="23:30" x14ac:dyDescent="0.25">
      <c r="W99" t="b">
        <v>0</v>
      </c>
      <c r="Z99" s="8"/>
      <c r="AA99" s="11">
        <v>11</v>
      </c>
      <c r="AB99" s="11">
        <v>6</v>
      </c>
      <c r="AC99" s="11" t="s">
        <v>213</v>
      </c>
      <c r="AD99" t="e">
        <v>#VALUE!</v>
      </c>
    </row>
    <row r="100" spans="23:30" x14ac:dyDescent="0.25">
      <c r="W100" t="b">
        <v>0</v>
      </c>
      <c r="Z100" s="8"/>
      <c r="AA100" s="11">
        <v>11</v>
      </c>
      <c r="AB100" s="11">
        <v>7</v>
      </c>
      <c r="AC100" s="11" t="s">
        <v>213</v>
      </c>
      <c r="AD100" t="e">
        <v>#VALUE!</v>
      </c>
    </row>
    <row r="101" spans="23:30" x14ac:dyDescent="0.25">
      <c r="W101" t="b">
        <v>0</v>
      </c>
      <c r="Z101" s="8"/>
      <c r="AA101" s="11">
        <v>11</v>
      </c>
      <c r="AB101" s="11">
        <v>8</v>
      </c>
      <c r="AC101" s="11" t="s">
        <v>212</v>
      </c>
      <c r="AD101" t="e">
        <v>#VALUE!</v>
      </c>
    </row>
    <row r="102" spans="23:30" x14ac:dyDescent="0.25">
      <c r="W102" t="b">
        <v>0</v>
      </c>
      <c r="Z102" s="8"/>
      <c r="AA102" s="11">
        <v>11</v>
      </c>
      <c r="AB102" s="11">
        <v>9</v>
      </c>
      <c r="AC102" s="11" t="s">
        <v>212</v>
      </c>
      <c r="AD102" t="e">
        <v>#VALUE!</v>
      </c>
    </row>
    <row r="103" spans="23:30" x14ac:dyDescent="0.25">
      <c r="W103" t="b">
        <v>0</v>
      </c>
      <c r="Z103" s="8"/>
      <c r="AA103" s="11">
        <v>11</v>
      </c>
      <c r="AB103" s="11">
        <v>10</v>
      </c>
      <c r="AC103" s="11" t="s">
        <v>212</v>
      </c>
      <c r="AD103" t="e">
        <v>#VALUE!</v>
      </c>
    </row>
    <row r="104" spans="23:30" x14ac:dyDescent="0.25">
      <c r="W104" t="b">
        <v>0</v>
      </c>
      <c r="Z104" s="8"/>
      <c r="AA104" s="11">
        <v>11</v>
      </c>
      <c r="AB104" s="11">
        <v>11</v>
      </c>
      <c r="AC104" s="11" t="s">
        <v>212</v>
      </c>
      <c r="AD104" t="e">
        <v>#VALUE!</v>
      </c>
    </row>
    <row r="105" spans="23:30" x14ac:dyDescent="0.25">
      <c r="W105" t="b">
        <v>0</v>
      </c>
      <c r="Z105" s="8"/>
      <c r="AA105" s="11">
        <v>11</v>
      </c>
      <c r="AB105" s="11">
        <v>12</v>
      </c>
      <c r="AC105" s="11" t="s">
        <v>205</v>
      </c>
      <c r="AD105" t="e">
        <v>#VALUE!</v>
      </c>
    </row>
    <row r="106" spans="23:30" x14ac:dyDescent="0.25">
      <c r="W106" t="b">
        <v>0</v>
      </c>
      <c r="Z106" s="8"/>
      <c r="AA106" s="11">
        <v>11</v>
      </c>
      <c r="AB106" s="11">
        <v>13</v>
      </c>
      <c r="AC106" s="11" t="s">
        <v>205</v>
      </c>
      <c r="AD106">
        <v>1</v>
      </c>
    </row>
    <row r="107" spans="23:30" x14ac:dyDescent="0.25">
      <c r="W107" t="b">
        <v>0</v>
      </c>
      <c r="Z107" s="8"/>
      <c r="AA107" s="11">
        <v>11</v>
      </c>
      <c r="AB107" s="11">
        <v>14</v>
      </c>
      <c r="AC107" s="11" t="s">
        <v>205</v>
      </c>
      <c r="AD107" t="e">
        <v>#VALUE!</v>
      </c>
    </row>
    <row r="108" spans="23:30" x14ac:dyDescent="0.25">
      <c r="W108" t="b">
        <v>0</v>
      </c>
      <c r="Z108" s="8"/>
      <c r="AA108" s="11">
        <v>11</v>
      </c>
      <c r="AB108" s="11">
        <v>15</v>
      </c>
      <c r="AC108" s="11" t="s">
        <v>210</v>
      </c>
      <c r="AD108" t="e">
        <v>#VALUE!</v>
      </c>
    </row>
    <row r="109" spans="23:30" x14ac:dyDescent="0.25">
      <c r="W109" t="b">
        <v>0</v>
      </c>
      <c r="Z109" s="8"/>
      <c r="AA109" s="11">
        <v>11</v>
      </c>
      <c r="AB109" s="11">
        <v>16</v>
      </c>
      <c r="AC109" s="11" t="s">
        <v>210</v>
      </c>
      <c r="AD109" t="e">
        <v>#VALUE!</v>
      </c>
    </row>
    <row r="110" spans="23:30" x14ac:dyDescent="0.25">
      <c r="W110" t="b">
        <v>0</v>
      </c>
      <c r="Z110" s="8"/>
      <c r="AA110" s="11">
        <v>12</v>
      </c>
      <c r="AB110" s="11">
        <v>4</v>
      </c>
      <c r="AC110" s="11" t="s">
        <v>213</v>
      </c>
      <c r="AD110" t="e">
        <v>#VALUE!</v>
      </c>
    </row>
    <row r="111" spans="23:30" x14ac:dyDescent="0.25">
      <c r="W111" t="b">
        <v>0</v>
      </c>
      <c r="Z111" s="8"/>
      <c r="AA111" s="11">
        <v>12</v>
      </c>
      <c r="AB111" s="11">
        <v>5</v>
      </c>
      <c r="AC111" s="11" t="s">
        <v>213</v>
      </c>
      <c r="AD111" t="e">
        <v>#VALUE!</v>
      </c>
    </row>
    <row r="112" spans="23:30" x14ac:dyDescent="0.25">
      <c r="W112" t="b">
        <v>0</v>
      </c>
      <c r="Z112" s="8"/>
      <c r="AA112" s="11">
        <v>12</v>
      </c>
      <c r="AB112" s="11">
        <v>6</v>
      </c>
      <c r="AC112" s="11" t="s">
        <v>213</v>
      </c>
      <c r="AD112" t="e">
        <v>#VALUE!</v>
      </c>
    </row>
    <row r="113" spans="23:30" x14ac:dyDescent="0.25">
      <c r="W113" t="b">
        <v>0</v>
      </c>
      <c r="Z113" s="8"/>
      <c r="AA113" s="11">
        <v>12</v>
      </c>
      <c r="AB113" s="11">
        <v>7</v>
      </c>
      <c r="AC113" s="11" t="s">
        <v>213</v>
      </c>
      <c r="AD113" t="e">
        <v>#VALUE!</v>
      </c>
    </row>
    <row r="114" spans="23:30" x14ac:dyDescent="0.25">
      <c r="W114" t="b">
        <v>0</v>
      </c>
      <c r="Z114" s="8"/>
      <c r="AA114" s="11">
        <v>12</v>
      </c>
      <c r="AB114" s="11">
        <v>8</v>
      </c>
      <c r="AC114" s="11" t="s">
        <v>213</v>
      </c>
      <c r="AD114" t="e">
        <v>#VALUE!</v>
      </c>
    </row>
    <row r="115" spans="23:30" x14ac:dyDescent="0.25">
      <c r="W115" t="b">
        <v>0</v>
      </c>
      <c r="Z115" s="8"/>
      <c r="AA115" s="11">
        <v>12</v>
      </c>
      <c r="AB115" s="11">
        <v>9</v>
      </c>
      <c r="AC115" s="11" t="s">
        <v>212</v>
      </c>
      <c r="AD115" t="e">
        <v>#VALUE!</v>
      </c>
    </row>
    <row r="116" spans="23:30" x14ac:dyDescent="0.25">
      <c r="W116" t="b">
        <v>0</v>
      </c>
      <c r="Z116" s="8"/>
      <c r="AA116" s="11">
        <v>12</v>
      </c>
      <c r="AB116" s="11">
        <v>10</v>
      </c>
      <c r="AC116" s="11" t="s">
        <v>212</v>
      </c>
      <c r="AD116" t="e">
        <v>#VALUE!</v>
      </c>
    </row>
    <row r="117" spans="23:30" x14ac:dyDescent="0.25">
      <c r="W117" t="b">
        <v>0</v>
      </c>
      <c r="Z117" s="8"/>
      <c r="AA117" s="11">
        <v>12</v>
      </c>
      <c r="AB117" s="11">
        <v>11</v>
      </c>
      <c r="AC117" s="11" t="s">
        <v>212</v>
      </c>
      <c r="AD117" t="e">
        <v>#VALUE!</v>
      </c>
    </row>
    <row r="118" spans="23:30" x14ac:dyDescent="0.25">
      <c r="W118" t="b">
        <v>0</v>
      </c>
      <c r="Z118" s="8"/>
      <c r="AA118" s="11">
        <v>12</v>
      </c>
      <c r="AB118" s="11">
        <v>12</v>
      </c>
      <c r="AC118" s="11" t="s">
        <v>212</v>
      </c>
      <c r="AD118" t="e">
        <v>#VALUE!</v>
      </c>
    </row>
    <row r="119" spans="23:30" x14ac:dyDescent="0.25">
      <c r="W119" t="b">
        <v>0</v>
      </c>
      <c r="Z119" s="8"/>
      <c r="AA119" s="11">
        <v>12</v>
      </c>
      <c r="AB119" s="11">
        <v>13</v>
      </c>
      <c r="AC119" s="11" t="s">
        <v>206</v>
      </c>
      <c r="AD119">
        <v>1</v>
      </c>
    </row>
    <row r="120" spans="23:30" x14ac:dyDescent="0.25">
      <c r="W120" t="b">
        <v>0</v>
      </c>
      <c r="Z120" s="8"/>
      <c r="AA120" s="11">
        <v>12</v>
      </c>
      <c r="AB120" s="11">
        <v>14</v>
      </c>
      <c r="AC120" s="11" t="s">
        <v>206</v>
      </c>
      <c r="AD120" t="e">
        <v>#VALUE!</v>
      </c>
    </row>
    <row r="121" spans="23:30" x14ac:dyDescent="0.25">
      <c r="W121" t="b">
        <v>0</v>
      </c>
      <c r="Z121" s="8"/>
      <c r="AA121" s="11">
        <v>12</v>
      </c>
      <c r="AB121" s="11">
        <v>15</v>
      </c>
      <c r="AC121" s="11" t="s">
        <v>210</v>
      </c>
      <c r="AD121" t="e">
        <v>#VALUE!</v>
      </c>
    </row>
    <row r="122" spans="23:30" x14ac:dyDescent="0.25">
      <c r="W122" t="b">
        <v>0</v>
      </c>
      <c r="Z122" s="8"/>
      <c r="AA122" s="11">
        <v>12</v>
      </c>
      <c r="AB122" s="11">
        <v>16</v>
      </c>
      <c r="AC122" s="11" t="s">
        <v>210</v>
      </c>
      <c r="AD122" t="e">
        <v>#VALUE!</v>
      </c>
    </row>
    <row r="123" spans="23:30" x14ac:dyDescent="0.25">
      <c r="W123" t="b">
        <v>0</v>
      </c>
      <c r="Z123" s="8"/>
      <c r="AA123" s="11">
        <v>13</v>
      </c>
      <c r="AB123" s="11">
        <v>4</v>
      </c>
      <c r="AC123" s="11" t="s">
        <v>213</v>
      </c>
      <c r="AD123" t="e">
        <v>#VALUE!</v>
      </c>
    </row>
    <row r="124" spans="23:30" x14ac:dyDescent="0.25">
      <c r="W124" t="b">
        <v>0</v>
      </c>
      <c r="Z124" s="8"/>
      <c r="AA124" s="11">
        <v>13</v>
      </c>
      <c r="AB124" s="11">
        <v>5</v>
      </c>
      <c r="AC124" s="11" t="s">
        <v>213</v>
      </c>
      <c r="AD124" t="e">
        <v>#VALUE!</v>
      </c>
    </row>
    <row r="125" spans="23:30" x14ac:dyDescent="0.25">
      <c r="W125" t="b">
        <v>0</v>
      </c>
      <c r="Z125" s="8"/>
      <c r="AA125" s="11">
        <v>13</v>
      </c>
      <c r="AB125" s="11">
        <v>6</v>
      </c>
      <c r="AC125" s="11" t="s">
        <v>213</v>
      </c>
      <c r="AD125" t="e">
        <v>#VALUE!</v>
      </c>
    </row>
    <row r="126" spans="23:30" x14ac:dyDescent="0.25">
      <c r="W126" t="b">
        <v>0</v>
      </c>
      <c r="Z126" s="8"/>
      <c r="AA126" s="11">
        <v>13</v>
      </c>
      <c r="AB126" s="11">
        <v>7</v>
      </c>
      <c r="AC126" s="11" t="s">
        <v>213</v>
      </c>
      <c r="AD126" t="e">
        <v>#VALUE!</v>
      </c>
    </row>
    <row r="127" spans="23:30" x14ac:dyDescent="0.25">
      <c r="W127" t="b">
        <v>0</v>
      </c>
      <c r="Z127" s="8"/>
      <c r="AA127" s="11">
        <v>13</v>
      </c>
      <c r="AB127" s="11">
        <v>8</v>
      </c>
      <c r="AC127" s="11" t="s">
        <v>213</v>
      </c>
      <c r="AD127" t="e">
        <v>#VALUE!</v>
      </c>
    </row>
    <row r="128" spans="23:30" x14ac:dyDescent="0.25">
      <c r="W128" t="b">
        <v>0</v>
      </c>
      <c r="Z128" s="8"/>
      <c r="AA128" s="11">
        <v>13</v>
      </c>
      <c r="AB128" s="11">
        <v>9</v>
      </c>
      <c r="AC128" s="11" t="s">
        <v>212</v>
      </c>
      <c r="AD128" t="e">
        <v>#VALUE!</v>
      </c>
    </row>
    <row r="129" spans="23:30" x14ac:dyDescent="0.25">
      <c r="W129" t="b">
        <v>0</v>
      </c>
      <c r="Z129" s="8"/>
      <c r="AA129" s="11">
        <v>13</v>
      </c>
      <c r="AB129" s="11">
        <v>10</v>
      </c>
      <c r="AC129" s="11" t="s">
        <v>212</v>
      </c>
      <c r="AD129" t="e">
        <v>#VALUE!</v>
      </c>
    </row>
    <row r="130" spans="23:30" x14ac:dyDescent="0.25">
      <c r="W130" t="b">
        <v>0</v>
      </c>
      <c r="Z130" s="8"/>
      <c r="AA130" s="11">
        <v>13</v>
      </c>
      <c r="AB130" s="11">
        <v>11</v>
      </c>
      <c r="AC130" s="11" t="s">
        <v>212</v>
      </c>
      <c r="AD130" t="e">
        <v>#VALUE!</v>
      </c>
    </row>
    <row r="131" spans="23:30" x14ac:dyDescent="0.25">
      <c r="W131" t="b">
        <v>0</v>
      </c>
      <c r="Z131" s="8"/>
      <c r="AA131" s="11">
        <v>13</v>
      </c>
      <c r="AB131" s="11">
        <v>12</v>
      </c>
      <c r="AC131" s="11" t="s">
        <v>212</v>
      </c>
      <c r="AD131" t="e">
        <v>#VALUE!</v>
      </c>
    </row>
    <row r="132" spans="23:30" x14ac:dyDescent="0.25">
      <c r="W132" t="b">
        <v>0</v>
      </c>
      <c r="Z132" s="8"/>
      <c r="AA132" s="11">
        <v>13</v>
      </c>
      <c r="AB132" s="11">
        <v>13</v>
      </c>
      <c r="AC132" s="11" t="s">
        <v>206</v>
      </c>
      <c r="AD132">
        <v>1</v>
      </c>
    </row>
    <row r="133" spans="23:30" x14ac:dyDescent="0.25">
      <c r="W133" t="b">
        <v>0</v>
      </c>
      <c r="Z133" s="8"/>
      <c r="AA133" s="11">
        <v>13</v>
      </c>
      <c r="AB133" s="11">
        <v>14</v>
      </c>
      <c r="AC133" s="11" t="s">
        <v>206</v>
      </c>
      <c r="AD133" t="e">
        <v>#VALUE!</v>
      </c>
    </row>
    <row r="134" spans="23:30" x14ac:dyDescent="0.25">
      <c r="W134" t="b">
        <v>0</v>
      </c>
      <c r="Z134" s="8"/>
      <c r="AA134" s="11">
        <v>13</v>
      </c>
      <c r="AB134" s="11">
        <v>15</v>
      </c>
      <c r="AC134" s="11" t="s">
        <v>210</v>
      </c>
      <c r="AD134" t="e">
        <v>#VALUE!</v>
      </c>
    </row>
    <row r="135" spans="23:30" x14ac:dyDescent="0.25">
      <c r="W135" t="b">
        <v>0</v>
      </c>
      <c r="Z135" s="8"/>
      <c r="AA135" s="11">
        <v>13</v>
      </c>
      <c r="AB135" s="11">
        <v>16</v>
      </c>
      <c r="AC135" s="11" t="s">
        <v>210</v>
      </c>
      <c r="AD135" t="e">
        <v>#VALUE!</v>
      </c>
    </row>
    <row r="136" spans="23:30" x14ac:dyDescent="0.25">
      <c r="W136" t="b">
        <v>0</v>
      </c>
      <c r="Z136" s="8"/>
      <c r="AA136" s="11">
        <v>14</v>
      </c>
      <c r="AB136" s="11">
        <v>5</v>
      </c>
      <c r="AC136" s="11" t="s">
        <v>213</v>
      </c>
      <c r="AD136" t="e">
        <v>#VALUE!</v>
      </c>
    </row>
    <row r="137" spans="23:30" x14ac:dyDescent="0.25">
      <c r="W137" t="b">
        <v>0</v>
      </c>
      <c r="Z137" s="8"/>
      <c r="AA137" s="11">
        <v>14</v>
      </c>
      <c r="AB137" s="11">
        <v>6</v>
      </c>
      <c r="AC137" s="11" t="s">
        <v>213</v>
      </c>
      <c r="AD137" t="e">
        <v>#VALUE!</v>
      </c>
    </row>
    <row r="138" spans="23:30" x14ac:dyDescent="0.25">
      <c r="W138" t="b">
        <v>0</v>
      </c>
      <c r="Z138" s="8"/>
      <c r="AA138" s="11">
        <v>14</v>
      </c>
      <c r="AB138" s="11">
        <v>7</v>
      </c>
      <c r="AC138" s="11" t="s">
        <v>213</v>
      </c>
      <c r="AD138" t="e">
        <v>#VALUE!</v>
      </c>
    </row>
    <row r="139" spans="23:30" x14ac:dyDescent="0.25">
      <c r="W139" t="b">
        <v>0</v>
      </c>
      <c r="Z139" s="8"/>
      <c r="AA139" s="11">
        <v>14</v>
      </c>
      <c r="AB139" s="11">
        <v>8</v>
      </c>
      <c r="AC139" s="11" t="s">
        <v>213</v>
      </c>
      <c r="AD139" t="e">
        <v>#VALUE!</v>
      </c>
    </row>
    <row r="140" spans="23:30" x14ac:dyDescent="0.25">
      <c r="W140" t="b">
        <v>0</v>
      </c>
      <c r="Z140" s="8"/>
      <c r="AA140" s="11">
        <v>14</v>
      </c>
      <c r="AB140" s="11">
        <v>9</v>
      </c>
      <c r="AC140" s="11" t="s">
        <v>212</v>
      </c>
      <c r="AD140" t="e">
        <v>#VALUE!</v>
      </c>
    </row>
    <row r="141" spans="23:30" x14ac:dyDescent="0.25">
      <c r="W141" t="b">
        <v>0</v>
      </c>
      <c r="Z141" s="8"/>
      <c r="AA141" s="11">
        <v>14</v>
      </c>
      <c r="AB141" s="11">
        <v>10</v>
      </c>
      <c r="AC141" s="11" t="s">
        <v>212</v>
      </c>
      <c r="AD141" t="e">
        <v>#VALUE!</v>
      </c>
    </row>
    <row r="142" spans="23:30" x14ac:dyDescent="0.25">
      <c r="W142" t="b">
        <v>0</v>
      </c>
      <c r="Z142" s="8"/>
      <c r="AA142" s="11">
        <v>14</v>
      </c>
      <c r="AB142" s="11">
        <v>11</v>
      </c>
      <c r="AC142" s="11" t="s">
        <v>212</v>
      </c>
      <c r="AD142" t="e">
        <v>#VALUE!</v>
      </c>
    </row>
    <row r="143" spans="23:30" x14ac:dyDescent="0.25">
      <c r="W143" t="b">
        <v>0</v>
      </c>
      <c r="Z143" s="8"/>
      <c r="AA143" s="11">
        <v>14</v>
      </c>
      <c r="AB143" s="11">
        <v>12</v>
      </c>
      <c r="AC143" s="11" t="s">
        <v>212</v>
      </c>
      <c r="AD143" t="e">
        <v>#VALUE!</v>
      </c>
    </row>
    <row r="144" spans="23:30" x14ac:dyDescent="0.25">
      <c r="W144" t="b">
        <v>0</v>
      </c>
      <c r="Z144" s="8"/>
      <c r="AA144" s="11">
        <v>14</v>
      </c>
      <c r="AB144" s="11">
        <v>13</v>
      </c>
      <c r="AC144" s="11" t="s">
        <v>206</v>
      </c>
      <c r="AD144">
        <v>1</v>
      </c>
    </row>
    <row r="145" spans="23:30" x14ac:dyDescent="0.25">
      <c r="W145" t="b">
        <v>0</v>
      </c>
      <c r="Z145" s="8"/>
      <c r="AA145" s="11">
        <v>14</v>
      </c>
      <c r="AB145" s="11">
        <v>14</v>
      </c>
      <c r="AC145" s="11" t="s">
        <v>206</v>
      </c>
      <c r="AD145" t="e">
        <v>#VALUE!</v>
      </c>
    </row>
    <row r="146" spans="23:30" x14ac:dyDescent="0.25">
      <c r="W146" t="b">
        <v>0</v>
      </c>
      <c r="Z146" s="8"/>
      <c r="AA146" s="11">
        <v>14</v>
      </c>
      <c r="AB146" s="11">
        <v>15</v>
      </c>
      <c r="AC146" s="11" t="s">
        <v>209</v>
      </c>
      <c r="AD146" t="e">
        <v>#VALUE!</v>
      </c>
    </row>
    <row r="147" spans="23:30" x14ac:dyDescent="0.25">
      <c r="W147" t="b">
        <v>0</v>
      </c>
      <c r="Z147" s="8"/>
      <c r="AA147" s="11">
        <v>14</v>
      </c>
      <c r="AB147" s="11">
        <v>16</v>
      </c>
      <c r="AC147" s="11" t="s">
        <v>209</v>
      </c>
      <c r="AD147" t="e">
        <v>#VALUE!</v>
      </c>
    </row>
    <row r="148" spans="23:30" x14ac:dyDescent="0.25">
      <c r="W148" t="b">
        <v>0</v>
      </c>
      <c r="Z148" s="8"/>
      <c r="AA148" s="11">
        <v>15</v>
      </c>
      <c r="AB148" s="11">
        <v>4</v>
      </c>
      <c r="AC148" s="11" t="s">
        <v>213</v>
      </c>
      <c r="AD148" t="e">
        <v>#VALUE!</v>
      </c>
    </row>
    <row r="149" spans="23:30" x14ac:dyDescent="0.25">
      <c r="W149" t="b">
        <v>0</v>
      </c>
      <c r="Z149" s="8"/>
      <c r="AA149" s="11">
        <v>15</v>
      </c>
      <c r="AB149" s="11">
        <v>5</v>
      </c>
      <c r="AC149" s="11" t="s">
        <v>213</v>
      </c>
      <c r="AD149" t="e">
        <v>#VALUE!</v>
      </c>
    </row>
    <row r="150" spans="23:30" x14ac:dyDescent="0.25">
      <c r="W150" t="b">
        <v>0</v>
      </c>
      <c r="Z150" s="8"/>
      <c r="AA150" s="11">
        <v>15</v>
      </c>
      <c r="AB150" s="11">
        <v>6</v>
      </c>
      <c r="AC150" s="11" t="s">
        <v>213</v>
      </c>
      <c r="AD150" t="e">
        <v>#VALUE!</v>
      </c>
    </row>
    <row r="151" spans="23:30" x14ac:dyDescent="0.25">
      <c r="W151" t="b">
        <v>0</v>
      </c>
      <c r="Z151" s="8"/>
      <c r="AA151" s="11">
        <v>15</v>
      </c>
      <c r="AB151" s="11">
        <v>7</v>
      </c>
      <c r="AC151" s="11" t="s">
        <v>213</v>
      </c>
      <c r="AD151" t="e">
        <v>#VALUE!</v>
      </c>
    </row>
    <row r="152" spans="23:30" x14ac:dyDescent="0.25">
      <c r="W152" t="b">
        <v>0</v>
      </c>
      <c r="Z152" s="8"/>
      <c r="AA152" s="11">
        <v>15</v>
      </c>
      <c r="AB152" s="11">
        <v>8</v>
      </c>
      <c r="AC152" s="11" t="s">
        <v>213</v>
      </c>
      <c r="AD152" t="e">
        <v>#VALUE!</v>
      </c>
    </row>
    <row r="153" spans="23:30" x14ac:dyDescent="0.25">
      <c r="W153" t="b">
        <v>0</v>
      </c>
      <c r="Z153" s="8"/>
      <c r="AA153" s="11">
        <v>15</v>
      </c>
      <c r="AB153" s="11">
        <v>9</v>
      </c>
      <c r="AC153" s="11" t="s">
        <v>213</v>
      </c>
      <c r="AD153" t="e">
        <v>#VALUE!</v>
      </c>
    </row>
    <row r="154" spans="23:30" x14ac:dyDescent="0.25">
      <c r="W154" t="b">
        <v>0</v>
      </c>
      <c r="Z154" s="8"/>
      <c r="AA154" s="11">
        <v>15</v>
      </c>
      <c r="AB154" s="11">
        <v>10</v>
      </c>
      <c r="AC154" s="11" t="s">
        <v>212</v>
      </c>
      <c r="AD154" t="e">
        <v>#VALUE!</v>
      </c>
    </row>
    <row r="155" spans="23:30" x14ac:dyDescent="0.25">
      <c r="W155" t="b">
        <v>0</v>
      </c>
      <c r="Z155" s="8"/>
      <c r="AA155" s="11">
        <v>15</v>
      </c>
      <c r="AB155" s="11">
        <v>11</v>
      </c>
      <c r="AC155" s="11" t="s">
        <v>212</v>
      </c>
      <c r="AD155" t="e">
        <v>#VALUE!</v>
      </c>
    </row>
    <row r="156" spans="23:30" x14ac:dyDescent="0.25">
      <c r="W156" t="b">
        <v>0</v>
      </c>
      <c r="Z156" s="8"/>
      <c r="AA156" s="11">
        <v>15</v>
      </c>
      <c r="AB156" s="11">
        <v>12</v>
      </c>
      <c r="AC156" s="11" t="s">
        <v>206</v>
      </c>
      <c r="AD156" t="e">
        <v>#VALUE!</v>
      </c>
    </row>
    <row r="157" spans="23:30" x14ac:dyDescent="0.25">
      <c r="W157" t="b">
        <v>0</v>
      </c>
      <c r="Z157" s="8"/>
      <c r="AA157" s="11">
        <v>15</v>
      </c>
      <c r="AB157" s="11">
        <v>13</v>
      </c>
      <c r="AC157" s="11" t="s">
        <v>206</v>
      </c>
      <c r="AD157">
        <v>1</v>
      </c>
    </row>
    <row r="158" spans="23:30" x14ac:dyDescent="0.25">
      <c r="W158" t="b">
        <v>0</v>
      </c>
      <c r="Z158" s="8"/>
      <c r="AA158" s="11">
        <v>15</v>
      </c>
      <c r="AB158" s="11">
        <v>14</v>
      </c>
      <c r="AC158" s="11" t="s">
        <v>206</v>
      </c>
      <c r="AD158" t="e">
        <v>#VALUE!</v>
      </c>
    </row>
    <row r="159" spans="23:30" x14ac:dyDescent="0.25">
      <c r="W159" t="b">
        <v>0</v>
      </c>
      <c r="Z159" s="8"/>
      <c r="AA159" s="11">
        <v>15</v>
      </c>
      <c r="AB159" s="11">
        <v>15</v>
      </c>
      <c r="AC159" s="11" t="s">
        <v>209</v>
      </c>
      <c r="AD159" t="e">
        <v>#VALUE!</v>
      </c>
    </row>
    <row r="160" spans="23:30" x14ac:dyDescent="0.25">
      <c r="W160" t="b">
        <v>0</v>
      </c>
      <c r="Z160" s="8"/>
      <c r="AA160" s="11">
        <v>15</v>
      </c>
      <c r="AB160" s="11">
        <v>16</v>
      </c>
      <c r="AC160" s="11" t="s">
        <v>209</v>
      </c>
      <c r="AD160" t="e">
        <v>#VALUE!</v>
      </c>
    </row>
    <row r="161" spans="23:30" x14ac:dyDescent="0.25">
      <c r="W161" t="b">
        <v>0</v>
      </c>
      <c r="Z161" s="8"/>
      <c r="AA161" s="11">
        <v>15</v>
      </c>
      <c r="AB161" s="11">
        <v>17</v>
      </c>
      <c r="AC161" s="11" t="s">
        <v>209</v>
      </c>
      <c r="AD161" t="e">
        <v>#VALUE!</v>
      </c>
    </row>
    <row r="162" spans="23:30" x14ac:dyDescent="0.25">
      <c r="W162" t="b">
        <v>0</v>
      </c>
      <c r="Z162" s="8"/>
      <c r="AA162" s="11">
        <v>16</v>
      </c>
      <c r="AB162" s="11">
        <v>4</v>
      </c>
      <c r="AC162" s="11" t="s">
        <v>213</v>
      </c>
      <c r="AD162" t="e">
        <v>#VALUE!</v>
      </c>
    </row>
    <row r="163" spans="23:30" x14ac:dyDescent="0.25">
      <c r="W163" t="b">
        <v>0</v>
      </c>
      <c r="Z163" s="8"/>
      <c r="AA163" s="11">
        <v>16</v>
      </c>
      <c r="AB163" s="11">
        <v>5</v>
      </c>
      <c r="AC163" s="11" t="s">
        <v>213</v>
      </c>
      <c r="AD163" t="e">
        <v>#VALUE!</v>
      </c>
    </row>
    <row r="164" spans="23:30" x14ac:dyDescent="0.25">
      <c r="W164" t="b">
        <v>0</v>
      </c>
      <c r="Z164" s="8"/>
      <c r="AA164" s="11">
        <v>16</v>
      </c>
      <c r="AB164" s="11">
        <v>6</v>
      </c>
      <c r="AC164" s="11" t="s">
        <v>213</v>
      </c>
      <c r="AD164" t="e">
        <v>#VALUE!</v>
      </c>
    </row>
    <row r="165" spans="23:30" x14ac:dyDescent="0.25">
      <c r="W165" t="b">
        <v>0</v>
      </c>
      <c r="Z165" s="8"/>
      <c r="AA165" s="11">
        <v>16</v>
      </c>
      <c r="AB165" s="11">
        <v>7</v>
      </c>
      <c r="AC165" s="11" t="s">
        <v>213</v>
      </c>
      <c r="AD165" t="e">
        <v>#VALUE!</v>
      </c>
    </row>
    <row r="166" spans="23:30" x14ac:dyDescent="0.25">
      <c r="W166" t="b">
        <v>0</v>
      </c>
      <c r="Z166" s="8"/>
      <c r="AA166" s="11">
        <v>16</v>
      </c>
      <c r="AB166" s="11">
        <v>8</v>
      </c>
      <c r="AC166" s="11" t="s">
        <v>213</v>
      </c>
      <c r="AD166" t="e">
        <v>#VALUE!</v>
      </c>
    </row>
    <row r="167" spans="23:30" x14ac:dyDescent="0.25">
      <c r="W167" t="b">
        <v>0</v>
      </c>
      <c r="Z167" s="8"/>
      <c r="AA167" s="11">
        <v>16</v>
      </c>
      <c r="AB167" s="11">
        <v>9</v>
      </c>
      <c r="AC167" s="11" t="s">
        <v>213</v>
      </c>
      <c r="AD167" t="e">
        <v>#VALUE!</v>
      </c>
    </row>
    <row r="168" spans="23:30" x14ac:dyDescent="0.25">
      <c r="W168" t="b">
        <v>0</v>
      </c>
      <c r="Z168" s="8"/>
      <c r="AA168" s="11">
        <v>16</v>
      </c>
      <c r="AB168" s="11">
        <v>10</v>
      </c>
      <c r="AC168" s="11" t="s">
        <v>212</v>
      </c>
      <c r="AD168" t="e">
        <v>#VALUE!</v>
      </c>
    </row>
    <row r="169" spans="23:30" x14ac:dyDescent="0.25">
      <c r="W169" t="b">
        <v>0</v>
      </c>
      <c r="Z169" s="8"/>
      <c r="AA169" s="11">
        <v>16</v>
      </c>
      <c r="AB169" s="11">
        <v>11</v>
      </c>
      <c r="AC169" s="11" t="s">
        <v>212</v>
      </c>
      <c r="AD169" t="e">
        <v>#VALUE!</v>
      </c>
    </row>
    <row r="170" spans="23:30" x14ac:dyDescent="0.25">
      <c r="W170" t="b">
        <v>0</v>
      </c>
      <c r="Z170" s="8"/>
      <c r="AA170" s="11">
        <v>16</v>
      </c>
      <c r="AB170" s="11">
        <v>12</v>
      </c>
      <c r="AC170" s="11" t="s">
        <v>220</v>
      </c>
      <c r="AD170" t="e">
        <v>#VALUE!</v>
      </c>
    </row>
    <row r="171" spans="23:30" x14ac:dyDescent="0.25">
      <c r="W171" t="b">
        <v>0</v>
      </c>
      <c r="Z171" s="8"/>
      <c r="AA171" s="11">
        <v>16</v>
      </c>
      <c r="AB171" s="11">
        <v>13</v>
      </c>
      <c r="AC171" s="11" t="s">
        <v>206</v>
      </c>
      <c r="AD171">
        <v>1</v>
      </c>
    </row>
    <row r="172" spans="23:30" x14ac:dyDescent="0.25">
      <c r="W172" t="b">
        <v>0</v>
      </c>
      <c r="Z172" s="8"/>
      <c r="AA172" s="11">
        <v>16</v>
      </c>
      <c r="AB172" s="11">
        <v>14</v>
      </c>
      <c r="AC172" s="11" t="s">
        <v>206</v>
      </c>
      <c r="AD172" t="e">
        <v>#VALUE!</v>
      </c>
    </row>
    <row r="173" spans="23:30" x14ac:dyDescent="0.25">
      <c r="W173" t="b">
        <v>0</v>
      </c>
      <c r="Z173" s="8"/>
      <c r="AA173" s="11">
        <v>16</v>
      </c>
      <c r="AB173" s="11">
        <v>15</v>
      </c>
      <c r="AC173" s="11" t="s">
        <v>209</v>
      </c>
      <c r="AD173" t="e">
        <v>#VALUE!</v>
      </c>
    </row>
    <row r="174" spans="23:30" x14ac:dyDescent="0.25">
      <c r="W174" t="b">
        <v>0</v>
      </c>
      <c r="Z174" s="8"/>
      <c r="AA174" s="11">
        <v>16</v>
      </c>
      <c r="AB174" s="11">
        <v>16</v>
      </c>
      <c r="AC174" s="11" t="s">
        <v>209</v>
      </c>
      <c r="AD174" t="e">
        <v>#VALUE!</v>
      </c>
    </row>
    <row r="175" spans="23:30" x14ac:dyDescent="0.25">
      <c r="W175" t="b">
        <v>0</v>
      </c>
      <c r="Z175" s="8"/>
      <c r="AA175" s="11">
        <v>17</v>
      </c>
      <c r="AB175" s="11">
        <v>6</v>
      </c>
      <c r="AC175" s="11" t="s">
        <v>213</v>
      </c>
      <c r="AD175" t="e">
        <v>#VALUE!</v>
      </c>
    </row>
    <row r="176" spans="23:30" x14ac:dyDescent="0.25">
      <c r="W176" t="b">
        <v>0</v>
      </c>
      <c r="Z176" s="8"/>
      <c r="AA176" s="11">
        <v>17</v>
      </c>
      <c r="AB176" s="11">
        <v>7</v>
      </c>
      <c r="AC176" s="11" t="s">
        <v>213</v>
      </c>
      <c r="AD176" t="e">
        <v>#VALUE!</v>
      </c>
    </row>
    <row r="177" spans="23:30" x14ac:dyDescent="0.25">
      <c r="W177" t="b">
        <v>0</v>
      </c>
      <c r="Z177" s="8"/>
      <c r="AA177" s="11">
        <v>17</v>
      </c>
      <c r="AB177" s="11">
        <v>8</v>
      </c>
      <c r="AC177" s="11" t="s">
        <v>213</v>
      </c>
      <c r="AD177" t="e">
        <v>#VALUE!</v>
      </c>
    </row>
    <row r="178" spans="23:30" x14ac:dyDescent="0.25">
      <c r="W178" t="b">
        <v>0</v>
      </c>
      <c r="Z178" s="8"/>
      <c r="AA178" s="11">
        <v>17</v>
      </c>
      <c r="AB178" s="11">
        <v>9</v>
      </c>
      <c r="AC178" s="11" t="s">
        <v>213</v>
      </c>
      <c r="AD178" t="e">
        <v>#VALUE!</v>
      </c>
    </row>
    <row r="179" spans="23:30" x14ac:dyDescent="0.25">
      <c r="W179" t="b">
        <v>0</v>
      </c>
      <c r="Z179" s="8"/>
      <c r="AA179" s="11">
        <v>17</v>
      </c>
      <c r="AB179" s="11">
        <v>10</v>
      </c>
      <c r="AC179" s="11" t="s">
        <v>213</v>
      </c>
      <c r="AD179" t="e">
        <v>#VALUE!</v>
      </c>
    </row>
    <row r="180" spans="23:30" x14ac:dyDescent="0.25">
      <c r="W180" t="b">
        <v>0</v>
      </c>
      <c r="Z180" s="8"/>
      <c r="AA180" s="11">
        <v>17</v>
      </c>
      <c r="AB180" s="11">
        <v>11</v>
      </c>
      <c r="AC180" s="11" t="s">
        <v>212</v>
      </c>
      <c r="AD180" t="e">
        <v>#VALUE!</v>
      </c>
    </row>
    <row r="181" spans="23:30" x14ac:dyDescent="0.25">
      <c r="W181" t="b">
        <v>0</v>
      </c>
      <c r="Z181" s="8"/>
      <c r="AA181" s="11">
        <v>17</v>
      </c>
      <c r="AB181" s="11">
        <v>12</v>
      </c>
      <c r="AC181" s="11" t="s">
        <v>220</v>
      </c>
      <c r="AD181" t="e">
        <v>#VALUE!</v>
      </c>
    </row>
    <row r="182" spans="23:30" x14ac:dyDescent="0.25">
      <c r="W182" t="b">
        <v>0</v>
      </c>
      <c r="Z182" s="8"/>
      <c r="AA182" s="11">
        <v>17</v>
      </c>
      <c r="AB182" s="11">
        <v>13</v>
      </c>
      <c r="AC182" s="11" t="s">
        <v>206</v>
      </c>
      <c r="AD182">
        <v>1</v>
      </c>
    </row>
    <row r="183" spans="23:30" x14ac:dyDescent="0.25">
      <c r="W183" t="b">
        <v>0</v>
      </c>
      <c r="Z183" s="8"/>
      <c r="AA183" s="11">
        <v>17</v>
      </c>
      <c r="AB183" s="11">
        <v>14</v>
      </c>
      <c r="AC183" s="11" t="s">
        <v>206</v>
      </c>
      <c r="AD183" t="e">
        <v>#VALUE!</v>
      </c>
    </row>
    <row r="184" spans="23:30" x14ac:dyDescent="0.25">
      <c r="W184" t="b">
        <v>0</v>
      </c>
      <c r="Z184" s="8"/>
      <c r="AA184" s="11">
        <v>17</v>
      </c>
      <c r="AB184" s="11">
        <v>15</v>
      </c>
      <c r="AC184" s="11" t="s">
        <v>209</v>
      </c>
      <c r="AD184" t="e">
        <v>#VALUE!</v>
      </c>
    </row>
    <row r="185" spans="23:30" x14ac:dyDescent="0.25">
      <c r="W185" t="b">
        <v>0</v>
      </c>
      <c r="Z185" s="8"/>
      <c r="AA185" s="11">
        <v>17</v>
      </c>
      <c r="AB185" s="11">
        <v>16</v>
      </c>
      <c r="AC185" s="11" t="s">
        <v>209</v>
      </c>
      <c r="AD185" t="e">
        <v>#VALUE!</v>
      </c>
    </row>
    <row r="186" spans="23:30" x14ac:dyDescent="0.25">
      <c r="W186" t="b">
        <v>0</v>
      </c>
      <c r="Z186" s="8"/>
      <c r="AA186" s="11">
        <v>18</v>
      </c>
      <c r="AB186" s="11">
        <v>9</v>
      </c>
      <c r="AC186" s="11" t="s">
        <v>213</v>
      </c>
      <c r="AD186" t="e">
        <v>#VALUE!</v>
      </c>
    </row>
    <row r="187" spans="23:30" x14ac:dyDescent="0.25">
      <c r="W187" t="b">
        <v>0</v>
      </c>
      <c r="Z187" s="8"/>
      <c r="AA187" s="11">
        <v>18</v>
      </c>
      <c r="AB187" s="11">
        <v>10</v>
      </c>
      <c r="AC187" s="11" t="s">
        <v>213</v>
      </c>
      <c r="AD187" t="e">
        <v>#VALUE!</v>
      </c>
    </row>
    <row r="188" spans="23:30" x14ac:dyDescent="0.25">
      <c r="W188" t="b">
        <v>0</v>
      </c>
      <c r="Z188" s="8"/>
      <c r="AA188" s="11">
        <v>18</v>
      </c>
      <c r="AB188" s="11">
        <v>11</v>
      </c>
      <c r="AC188" s="11" t="s">
        <v>220</v>
      </c>
      <c r="AD188" t="e">
        <v>#VALUE!</v>
      </c>
    </row>
    <row r="189" spans="23:30" x14ac:dyDescent="0.25">
      <c r="W189" t="b">
        <v>0</v>
      </c>
      <c r="Z189" s="8"/>
      <c r="AA189" s="11">
        <v>18</v>
      </c>
      <c r="AB189" s="11">
        <v>12</v>
      </c>
      <c r="AC189" s="11" t="s">
        <v>220</v>
      </c>
      <c r="AD189" t="e">
        <v>#VALUE!</v>
      </c>
    </row>
    <row r="190" spans="23:30" x14ac:dyDescent="0.25">
      <c r="W190" t="b">
        <v>0</v>
      </c>
      <c r="Z190" s="8"/>
      <c r="AA190" s="11">
        <v>18</v>
      </c>
      <c r="AB190" s="11">
        <v>13</v>
      </c>
      <c r="AC190" s="11" t="s">
        <v>220</v>
      </c>
      <c r="AD190">
        <v>1</v>
      </c>
    </row>
    <row r="191" spans="23:30" x14ac:dyDescent="0.25">
      <c r="W191" t="b">
        <v>0</v>
      </c>
      <c r="Z191" s="8"/>
      <c r="AA191" s="11">
        <v>18</v>
      </c>
      <c r="AB191" s="11">
        <v>14</v>
      </c>
      <c r="AC191" s="11" t="s">
        <v>220</v>
      </c>
      <c r="AD191" t="e">
        <v>#VALUE!</v>
      </c>
    </row>
    <row r="192" spans="23:30" x14ac:dyDescent="0.25">
      <c r="W192" t="b">
        <v>0</v>
      </c>
      <c r="Z192" s="8"/>
      <c r="AA192" s="11">
        <v>18</v>
      </c>
      <c r="AB192" s="11">
        <v>15</v>
      </c>
      <c r="AC192" s="11" t="s">
        <v>209</v>
      </c>
      <c r="AD192" t="e">
        <v>#VALUE!</v>
      </c>
    </row>
    <row r="193" spans="23:30" x14ac:dyDescent="0.25">
      <c r="W193" t="b">
        <v>0</v>
      </c>
      <c r="Z193" s="8"/>
      <c r="AA193" s="11">
        <v>18</v>
      </c>
      <c r="AB193" s="11">
        <v>16</v>
      </c>
      <c r="AC193" s="11" t="s">
        <v>209</v>
      </c>
      <c r="AD193" t="e">
        <v>#VALUE!</v>
      </c>
    </row>
    <row r="194" spans="23:30" x14ac:dyDescent="0.25">
      <c r="W194" t="b">
        <v>0</v>
      </c>
      <c r="Z194" s="8"/>
      <c r="AA194" s="11">
        <v>19</v>
      </c>
      <c r="AB194" s="11">
        <v>8</v>
      </c>
      <c r="AC194" s="11" t="s">
        <v>214</v>
      </c>
      <c r="AD194" t="e">
        <v>#VALUE!</v>
      </c>
    </row>
    <row r="195" spans="23:30" x14ac:dyDescent="0.25">
      <c r="W195" t="b">
        <v>0</v>
      </c>
      <c r="Z195" s="8"/>
      <c r="AA195" s="11">
        <v>19</v>
      </c>
      <c r="AB195" s="11">
        <v>9</v>
      </c>
      <c r="AC195" s="11" t="s">
        <v>213</v>
      </c>
      <c r="AD195" t="e">
        <v>#VALUE!</v>
      </c>
    </row>
    <row r="196" spans="23:30" x14ac:dyDescent="0.25">
      <c r="W196" t="b">
        <v>0</v>
      </c>
      <c r="Z196" s="8"/>
      <c r="AA196" s="11">
        <v>19</v>
      </c>
      <c r="AB196" s="11">
        <v>10</v>
      </c>
      <c r="AC196" s="11" t="s">
        <v>213</v>
      </c>
      <c r="AD196" t="e">
        <v>#VALUE!</v>
      </c>
    </row>
    <row r="197" spans="23:30" x14ac:dyDescent="0.25">
      <c r="W197" t="b">
        <v>0</v>
      </c>
      <c r="Z197" s="8"/>
      <c r="AA197" s="11">
        <v>19</v>
      </c>
      <c r="AB197" s="11">
        <v>11</v>
      </c>
      <c r="AC197" s="11" t="s">
        <v>213</v>
      </c>
      <c r="AD197" t="e">
        <v>#VALUE!</v>
      </c>
    </row>
    <row r="198" spans="23:30" x14ac:dyDescent="0.25">
      <c r="W198" t="b">
        <v>0</v>
      </c>
      <c r="Z198" s="8"/>
      <c r="AA198" s="11">
        <v>19</v>
      </c>
      <c r="AB198" s="11">
        <v>12</v>
      </c>
      <c r="AC198" s="11" t="s">
        <v>220</v>
      </c>
      <c r="AD198" t="e">
        <v>#VALUE!</v>
      </c>
    </row>
    <row r="199" spans="23:30" x14ac:dyDescent="0.25">
      <c r="W199" t="b">
        <v>0</v>
      </c>
      <c r="Z199" s="8"/>
      <c r="AA199" s="11">
        <v>19</v>
      </c>
      <c r="AB199" s="11">
        <v>13</v>
      </c>
      <c r="AC199" s="11" t="s">
        <v>220</v>
      </c>
      <c r="AD199">
        <v>1</v>
      </c>
    </row>
    <row r="200" spans="23:30" x14ac:dyDescent="0.25">
      <c r="W200" t="b">
        <v>0</v>
      </c>
      <c r="Z200" s="8"/>
      <c r="AA200" s="11">
        <v>19</v>
      </c>
      <c r="AB200" s="11">
        <v>14</v>
      </c>
      <c r="AC200" s="11" t="s">
        <v>220</v>
      </c>
      <c r="AD200" t="e">
        <v>#VALUE!</v>
      </c>
    </row>
    <row r="201" spans="23:30" x14ac:dyDescent="0.25">
      <c r="W201" t="b">
        <v>0</v>
      </c>
      <c r="Z201" s="8"/>
      <c r="AA201" s="11">
        <v>19</v>
      </c>
      <c r="AB201" s="11">
        <v>15</v>
      </c>
      <c r="AC201" s="11" t="s">
        <v>209</v>
      </c>
      <c r="AD201" t="e">
        <v>#VALUE!</v>
      </c>
    </row>
    <row r="202" spans="23:30" x14ac:dyDescent="0.25">
      <c r="W202" t="b">
        <v>0</v>
      </c>
      <c r="Z202" s="8"/>
      <c r="AA202" s="11">
        <v>19</v>
      </c>
      <c r="AB202" s="11">
        <v>16</v>
      </c>
      <c r="AC202" s="11" t="s">
        <v>209</v>
      </c>
      <c r="AD202" t="e">
        <v>#VALUE!</v>
      </c>
    </row>
    <row r="203" spans="23:30" x14ac:dyDescent="0.25">
      <c r="W203" t="b">
        <v>0</v>
      </c>
      <c r="Z203" s="8"/>
      <c r="AA203" s="11">
        <v>20</v>
      </c>
      <c r="AB203" s="11">
        <v>8</v>
      </c>
      <c r="AC203" s="11" t="s">
        <v>214</v>
      </c>
      <c r="AD203" t="e">
        <v>#VALUE!</v>
      </c>
    </row>
    <row r="204" spans="23:30" x14ac:dyDescent="0.25">
      <c r="W204" t="b">
        <v>0</v>
      </c>
      <c r="Z204" s="8"/>
      <c r="AA204" s="11">
        <v>20</v>
      </c>
      <c r="AB204" s="11">
        <v>9</v>
      </c>
      <c r="AC204" s="11" t="s">
        <v>214</v>
      </c>
      <c r="AD204" t="e">
        <v>#VALUE!</v>
      </c>
    </row>
    <row r="205" spans="23:30" x14ac:dyDescent="0.25">
      <c r="W205" t="b">
        <v>0</v>
      </c>
      <c r="Z205" s="8"/>
      <c r="AA205" s="11">
        <v>20</v>
      </c>
      <c r="AB205" s="11">
        <v>10</v>
      </c>
      <c r="AC205" s="11" t="s">
        <v>216</v>
      </c>
      <c r="AD205" t="e">
        <v>#VALUE!</v>
      </c>
    </row>
    <row r="206" spans="23:30" x14ac:dyDescent="0.25">
      <c r="W206" t="b">
        <v>0</v>
      </c>
      <c r="Z206" s="8"/>
      <c r="AA206" s="11">
        <v>20</v>
      </c>
      <c r="AB206" s="11">
        <v>11</v>
      </c>
      <c r="AC206" s="11" t="s">
        <v>216</v>
      </c>
      <c r="AD206" t="e">
        <v>#VALUE!</v>
      </c>
    </row>
    <row r="207" spans="23:30" x14ac:dyDescent="0.25">
      <c r="W207" t="b">
        <v>0</v>
      </c>
      <c r="Z207" s="8"/>
      <c r="AA207" s="11">
        <v>20</v>
      </c>
      <c r="AB207" s="11">
        <v>12</v>
      </c>
      <c r="AC207" s="11" t="s">
        <v>220</v>
      </c>
      <c r="AD207" t="e">
        <v>#VALUE!</v>
      </c>
    </row>
    <row r="208" spans="23:30" x14ac:dyDescent="0.25">
      <c r="W208" t="b">
        <v>0</v>
      </c>
      <c r="Z208" s="8"/>
      <c r="AA208" s="11">
        <v>20</v>
      </c>
      <c r="AB208" s="11">
        <v>13</v>
      </c>
      <c r="AC208" s="11" t="s">
        <v>220</v>
      </c>
      <c r="AD208" t="e">
        <v>#VALUE!</v>
      </c>
    </row>
    <row r="209" spans="23:30" x14ac:dyDescent="0.25">
      <c r="W209" t="b">
        <v>0</v>
      </c>
      <c r="Z209" s="8"/>
      <c r="AA209" s="11">
        <v>20</v>
      </c>
      <c r="AB209" s="11">
        <v>14</v>
      </c>
      <c r="AC209" s="11" t="s">
        <v>220</v>
      </c>
      <c r="AD209" t="e">
        <v>#VALUE!</v>
      </c>
    </row>
    <row r="210" spans="23:30" x14ac:dyDescent="0.25">
      <c r="W210" t="b">
        <v>0</v>
      </c>
      <c r="Z210" s="8"/>
      <c r="AA210" s="11">
        <v>20</v>
      </c>
      <c r="AB210" s="11">
        <v>15</v>
      </c>
      <c r="AC210" s="11" t="s">
        <v>209</v>
      </c>
      <c r="AD210" t="e">
        <v>#VALUE!</v>
      </c>
    </row>
    <row r="211" spans="23:30" x14ac:dyDescent="0.25">
      <c r="W211" t="b">
        <v>0</v>
      </c>
      <c r="Z211" s="8"/>
      <c r="AA211" s="11">
        <v>20</v>
      </c>
      <c r="AB211" s="11">
        <v>16</v>
      </c>
      <c r="AC211" s="11" t="s">
        <v>209</v>
      </c>
      <c r="AD211" t="e">
        <v>#VALUE!</v>
      </c>
    </row>
    <row r="212" spans="23:30" x14ac:dyDescent="0.25">
      <c r="W212" t="b">
        <v>0</v>
      </c>
      <c r="Z212" s="8"/>
      <c r="AA212" s="11">
        <v>21</v>
      </c>
      <c r="AB212" s="11">
        <v>4</v>
      </c>
      <c r="AC212" s="11" t="s">
        <v>214</v>
      </c>
      <c r="AD212" t="e">
        <v>#VALUE!</v>
      </c>
    </row>
    <row r="213" spans="23:30" x14ac:dyDescent="0.25">
      <c r="W213" t="b">
        <v>0</v>
      </c>
      <c r="Z213" s="8"/>
      <c r="AA213" s="11">
        <v>21</v>
      </c>
      <c r="AB213" s="11">
        <v>5</v>
      </c>
      <c r="AC213" s="11" t="s">
        <v>214</v>
      </c>
      <c r="AD213" t="e">
        <v>#VALUE!</v>
      </c>
    </row>
    <row r="214" spans="23:30" x14ac:dyDescent="0.25">
      <c r="W214" t="b">
        <v>0</v>
      </c>
      <c r="Z214" s="8"/>
      <c r="AA214" s="11">
        <v>21</v>
      </c>
      <c r="AB214" s="11">
        <v>8</v>
      </c>
      <c r="AC214" s="11" t="s">
        <v>214</v>
      </c>
      <c r="AD214" t="e">
        <v>#VALUE!</v>
      </c>
    </row>
    <row r="215" spans="23:30" x14ac:dyDescent="0.25">
      <c r="W215" t="b">
        <v>0</v>
      </c>
      <c r="Z215" s="8"/>
      <c r="AA215" s="11">
        <v>21</v>
      </c>
      <c r="AB215" s="11">
        <v>9</v>
      </c>
      <c r="AC215" s="11" t="s">
        <v>214</v>
      </c>
      <c r="AD215" t="e">
        <v>#VALUE!</v>
      </c>
    </row>
    <row r="216" spans="23:30" x14ac:dyDescent="0.25">
      <c r="W216" t="b">
        <v>0</v>
      </c>
      <c r="Z216" s="8"/>
      <c r="AA216" s="11">
        <v>21</v>
      </c>
      <c r="AB216" s="11">
        <v>10</v>
      </c>
      <c r="AC216" s="11" t="s">
        <v>216</v>
      </c>
      <c r="AD216" t="e">
        <v>#VALUE!</v>
      </c>
    </row>
    <row r="217" spans="23:30" x14ac:dyDescent="0.25">
      <c r="W217" t="b">
        <v>0</v>
      </c>
      <c r="Z217" s="8"/>
      <c r="AA217" s="11">
        <v>21</v>
      </c>
      <c r="AB217" s="11">
        <v>11</v>
      </c>
      <c r="AC217" s="11" t="s">
        <v>216</v>
      </c>
      <c r="AD217" t="e">
        <v>#VALUE!</v>
      </c>
    </row>
    <row r="218" spans="23:30" x14ac:dyDescent="0.25">
      <c r="W218" t="b">
        <v>0</v>
      </c>
      <c r="Z218" s="8"/>
      <c r="AA218" s="11">
        <v>21</v>
      </c>
      <c r="AB218" s="11">
        <v>12</v>
      </c>
      <c r="AC218" s="11" t="s">
        <v>216</v>
      </c>
      <c r="AD218" t="e">
        <v>#VALUE!</v>
      </c>
    </row>
    <row r="219" spans="23:30" x14ac:dyDescent="0.25">
      <c r="W219" t="b">
        <v>0</v>
      </c>
      <c r="Z219" s="8"/>
      <c r="AA219" s="11">
        <v>21</v>
      </c>
      <c r="AB219" s="11">
        <v>13</v>
      </c>
      <c r="AC219" s="11" t="s">
        <v>220</v>
      </c>
      <c r="AD219">
        <v>1</v>
      </c>
    </row>
    <row r="220" spans="23:30" x14ac:dyDescent="0.25">
      <c r="W220" t="b">
        <v>0</v>
      </c>
      <c r="Z220" s="8"/>
      <c r="AA220" s="11">
        <v>21</v>
      </c>
      <c r="AB220" s="11">
        <v>14</v>
      </c>
      <c r="AC220" s="11" t="s">
        <v>220</v>
      </c>
      <c r="AD220" t="e">
        <v>#VALUE!</v>
      </c>
    </row>
    <row r="221" spans="23:30" x14ac:dyDescent="0.25">
      <c r="W221" t="b">
        <v>0</v>
      </c>
      <c r="Z221" s="8"/>
      <c r="AA221" s="11">
        <v>21</v>
      </c>
      <c r="AB221" s="11">
        <v>15</v>
      </c>
      <c r="AC221" s="11" t="s">
        <v>209</v>
      </c>
      <c r="AD221" t="e">
        <v>#VALUE!</v>
      </c>
    </row>
    <row r="222" spans="23:30" x14ac:dyDescent="0.25">
      <c r="W222" t="b">
        <v>0</v>
      </c>
      <c r="Z222" s="8"/>
      <c r="AA222" s="11">
        <v>22</v>
      </c>
      <c r="AB222" s="11">
        <v>4</v>
      </c>
      <c r="AC222" s="11" t="s">
        <v>214</v>
      </c>
      <c r="AD222" t="e">
        <v>#VALUE!</v>
      </c>
    </row>
    <row r="223" spans="23:30" x14ac:dyDescent="0.25">
      <c r="W223" t="b">
        <v>0</v>
      </c>
      <c r="Z223" s="8"/>
      <c r="AA223" s="11">
        <v>22</v>
      </c>
      <c r="AB223" s="11">
        <v>5</v>
      </c>
      <c r="AC223" s="11" t="s">
        <v>214</v>
      </c>
      <c r="AD223" t="e">
        <v>#VALUE!</v>
      </c>
    </row>
    <row r="224" spans="23:30" x14ac:dyDescent="0.25">
      <c r="W224" t="b">
        <v>0</v>
      </c>
      <c r="Z224" s="8"/>
      <c r="AA224" s="11">
        <v>22</v>
      </c>
      <c r="AB224" s="11">
        <v>6</v>
      </c>
      <c r="AC224" s="11" t="s">
        <v>214</v>
      </c>
      <c r="AD224" t="e">
        <v>#VALUE!</v>
      </c>
    </row>
    <row r="225" spans="23:30" x14ac:dyDescent="0.25">
      <c r="W225" t="b">
        <v>0</v>
      </c>
      <c r="Z225" s="8"/>
      <c r="AA225" s="11">
        <v>22</v>
      </c>
      <c r="AB225" s="11">
        <v>7</v>
      </c>
      <c r="AC225" s="11" t="s">
        <v>214</v>
      </c>
      <c r="AD225" t="e">
        <v>#VALUE!</v>
      </c>
    </row>
    <row r="226" spans="23:30" x14ac:dyDescent="0.25">
      <c r="W226" t="b">
        <v>0</v>
      </c>
      <c r="Z226" s="8"/>
      <c r="AA226" s="11">
        <v>22</v>
      </c>
      <c r="AB226" s="11">
        <v>8</v>
      </c>
      <c r="AC226" s="11" t="s">
        <v>214</v>
      </c>
      <c r="AD226" t="e">
        <v>#VALUE!</v>
      </c>
    </row>
    <row r="227" spans="23:30" x14ac:dyDescent="0.25">
      <c r="W227" t="b">
        <v>0</v>
      </c>
      <c r="Z227" s="8"/>
      <c r="AA227" s="11">
        <v>22</v>
      </c>
      <c r="AB227" s="11">
        <v>9</v>
      </c>
      <c r="AC227" s="11" t="s">
        <v>214</v>
      </c>
      <c r="AD227" t="e">
        <v>#VALUE!</v>
      </c>
    </row>
    <row r="228" spans="23:30" x14ac:dyDescent="0.25">
      <c r="W228" t="b">
        <v>0</v>
      </c>
      <c r="Z228" s="8"/>
      <c r="AA228" s="11">
        <v>22</v>
      </c>
      <c r="AB228" s="11">
        <v>10</v>
      </c>
      <c r="AC228" s="11" t="s">
        <v>216</v>
      </c>
      <c r="AD228" t="e">
        <v>#VALUE!</v>
      </c>
    </row>
    <row r="229" spans="23:30" x14ac:dyDescent="0.25">
      <c r="W229" t="b">
        <v>0</v>
      </c>
      <c r="Z229" s="8"/>
      <c r="AA229" s="11">
        <v>22</v>
      </c>
      <c r="AB229" s="11">
        <v>11</v>
      </c>
      <c r="AC229" s="11" t="s">
        <v>216</v>
      </c>
      <c r="AD229" t="e">
        <v>#VALUE!</v>
      </c>
    </row>
    <row r="230" spans="23:30" x14ac:dyDescent="0.25">
      <c r="W230" t="b">
        <v>0</v>
      </c>
      <c r="Z230" s="8"/>
      <c r="AA230" s="11">
        <v>22</v>
      </c>
      <c r="AB230" s="11">
        <v>12</v>
      </c>
      <c r="AC230" s="11" t="s">
        <v>216</v>
      </c>
      <c r="AD230" t="e">
        <v>#VALUE!</v>
      </c>
    </row>
    <row r="231" spans="23:30" x14ac:dyDescent="0.25">
      <c r="W231" t="b">
        <v>0</v>
      </c>
      <c r="Z231" s="8"/>
      <c r="AA231" s="11">
        <v>22</v>
      </c>
      <c r="AB231" s="11">
        <v>13</v>
      </c>
      <c r="AC231" s="11" t="s">
        <v>215</v>
      </c>
      <c r="AD231" t="e">
        <v>#VALUE!</v>
      </c>
    </row>
    <row r="232" spans="23:30" x14ac:dyDescent="0.25">
      <c r="W232" t="b">
        <v>0</v>
      </c>
      <c r="Z232" s="8"/>
      <c r="AA232" s="11">
        <v>22</v>
      </c>
      <c r="AB232" s="11">
        <v>14</v>
      </c>
      <c r="AC232" s="11" t="s">
        <v>219</v>
      </c>
      <c r="AD232" t="e">
        <v>#VALUE!</v>
      </c>
    </row>
    <row r="233" spans="23:30" x14ac:dyDescent="0.25">
      <c r="W233" t="b">
        <v>0</v>
      </c>
      <c r="Z233" s="8"/>
      <c r="AA233" s="11">
        <v>22</v>
      </c>
      <c r="AB233" s="11">
        <v>15</v>
      </c>
      <c r="AC233" s="11" t="s">
        <v>219</v>
      </c>
      <c r="AD233" t="e">
        <v>#VALUE!</v>
      </c>
    </row>
    <row r="234" spans="23:30" x14ac:dyDescent="0.25">
      <c r="W234" t="b">
        <v>0</v>
      </c>
      <c r="Z234" s="8"/>
      <c r="AA234" s="11">
        <v>23</v>
      </c>
      <c r="AB234" s="11">
        <v>2</v>
      </c>
      <c r="AC234" s="11" t="s">
        <v>207</v>
      </c>
      <c r="AD234" t="e">
        <v>#VALUE!</v>
      </c>
    </row>
    <row r="235" spans="23:30" x14ac:dyDescent="0.25">
      <c r="W235" t="b">
        <v>0</v>
      </c>
      <c r="Z235" s="8"/>
      <c r="AA235" s="11">
        <v>23</v>
      </c>
      <c r="AB235" s="11">
        <v>5</v>
      </c>
      <c r="AC235" s="11" t="s">
        <v>214</v>
      </c>
      <c r="AD235" t="e">
        <v>#VALUE!</v>
      </c>
    </row>
    <row r="236" spans="23:30" x14ac:dyDescent="0.25">
      <c r="W236" t="b">
        <v>0</v>
      </c>
      <c r="Z236" s="8"/>
      <c r="AA236" s="11">
        <v>23</v>
      </c>
      <c r="AB236" s="11">
        <v>6</v>
      </c>
      <c r="AC236" s="11" t="s">
        <v>214</v>
      </c>
      <c r="AD236" t="e">
        <v>#VALUE!</v>
      </c>
    </row>
    <row r="237" spans="23:30" x14ac:dyDescent="0.25">
      <c r="W237" t="b">
        <v>0</v>
      </c>
      <c r="Z237" s="8"/>
      <c r="AA237" s="11">
        <v>23</v>
      </c>
      <c r="AB237" s="11">
        <v>7</v>
      </c>
      <c r="AC237" s="11" t="s">
        <v>214</v>
      </c>
      <c r="AD237" t="e">
        <v>#VALUE!</v>
      </c>
    </row>
    <row r="238" spans="23:30" x14ac:dyDescent="0.25">
      <c r="W238" t="b">
        <v>0</v>
      </c>
      <c r="Z238" s="8"/>
      <c r="AA238" s="11">
        <v>23</v>
      </c>
      <c r="AB238" s="11">
        <v>8</v>
      </c>
      <c r="AC238" s="11" t="s">
        <v>214</v>
      </c>
      <c r="AD238" t="e">
        <v>#VALUE!</v>
      </c>
    </row>
    <row r="239" spans="23:30" x14ac:dyDescent="0.25">
      <c r="W239" t="b">
        <v>0</v>
      </c>
      <c r="Z239" s="8"/>
      <c r="AA239" s="11">
        <v>23</v>
      </c>
      <c r="AB239" s="11">
        <v>9</v>
      </c>
      <c r="AC239" s="11" t="s">
        <v>214</v>
      </c>
      <c r="AD239" t="e">
        <v>#VALUE!</v>
      </c>
    </row>
    <row r="240" spans="23:30" x14ac:dyDescent="0.25">
      <c r="W240" t="b">
        <v>0</v>
      </c>
      <c r="Z240" s="8"/>
      <c r="AA240" s="11">
        <v>23</v>
      </c>
      <c r="AB240" s="11">
        <v>10</v>
      </c>
      <c r="AC240" s="11" t="s">
        <v>216</v>
      </c>
      <c r="AD240" t="e">
        <v>#VALUE!</v>
      </c>
    </row>
    <row r="241" spans="23:30" x14ac:dyDescent="0.25">
      <c r="W241" t="b">
        <v>0</v>
      </c>
      <c r="Z241" s="8"/>
      <c r="AA241" s="11">
        <v>23</v>
      </c>
      <c r="AB241" s="11">
        <v>11</v>
      </c>
      <c r="AC241" s="11" t="s">
        <v>216</v>
      </c>
      <c r="AD241" t="e">
        <v>#VALUE!</v>
      </c>
    </row>
    <row r="242" spans="23:30" x14ac:dyDescent="0.25">
      <c r="W242" t="b">
        <v>0</v>
      </c>
      <c r="Z242" s="8"/>
      <c r="AA242" s="11">
        <v>23</v>
      </c>
      <c r="AB242" s="11">
        <v>12</v>
      </c>
      <c r="AC242" s="11" t="s">
        <v>216</v>
      </c>
      <c r="AD242" t="e">
        <v>#VALUE!</v>
      </c>
    </row>
    <row r="243" spans="23:30" x14ac:dyDescent="0.25">
      <c r="W243" t="b">
        <v>0</v>
      </c>
      <c r="Z243" s="8"/>
      <c r="AA243" s="11">
        <v>23</v>
      </c>
      <c r="AB243" s="11">
        <v>13</v>
      </c>
      <c r="AC243" s="11" t="s">
        <v>215</v>
      </c>
      <c r="AD243" t="e">
        <v>#VALUE!</v>
      </c>
    </row>
    <row r="244" spans="23:30" x14ac:dyDescent="0.25">
      <c r="W244" t="b">
        <v>0</v>
      </c>
      <c r="Z244" s="8"/>
      <c r="AA244" s="11">
        <v>23</v>
      </c>
      <c r="AB244" s="11">
        <v>14</v>
      </c>
      <c r="AC244" s="11" t="s">
        <v>215</v>
      </c>
      <c r="AD244" t="e">
        <v>#VALUE!</v>
      </c>
    </row>
    <row r="245" spans="23:30" x14ac:dyDescent="0.25">
      <c r="W245" t="b">
        <v>0</v>
      </c>
      <c r="Z245" s="8"/>
      <c r="AA245" s="11">
        <v>23</v>
      </c>
      <c r="AB245" s="11">
        <v>15</v>
      </c>
      <c r="AC245" s="11" t="s">
        <v>219</v>
      </c>
      <c r="AD245" t="e">
        <v>#VALUE!</v>
      </c>
    </row>
    <row r="246" spans="23:30" x14ac:dyDescent="0.25">
      <c r="W246" t="b">
        <v>0</v>
      </c>
      <c r="Z246" s="8"/>
      <c r="AA246" s="11">
        <v>24</v>
      </c>
      <c r="AB246" s="11">
        <v>2</v>
      </c>
      <c r="AC246" s="11" t="s">
        <v>207</v>
      </c>
      <c r="AD246" t="e">
        <v>#VALUE!</v>
      </c>
    </row>
    <row r="247" spans="23:30" x14ac:dyDescent="0.25">
      <c r="W247" t="b">
        <v>0</v>
      </c>
      <c r="Z247" s="8"/>
      <c r="AA247" s="11">
        <v>24</v>
      </c>
      <c r="AB247" s="11">
        <v>3</v>
      </c>
      <c r="AC247" s="11" t="s">
        <v>207</v>
      </c>
      <c r="AD247" t="e">
        <v>#VALUE!</v>
      </c>
    </row>
    <row r="248" spans="23:30" x14ac:dyDescent="0.25">
      <c r="W248" t="b">
        <v>0</v>
      </c>
      <c r="Z248" s="8"/>
      <c r="AA248" s="11">
        <v>24</v>
      </c>
      <c r="AB248" s="11">
        <v>4</v>
      </c>
      <c r="AC248" s="11" t="s">
        <v>207</v>
      </c>
      <c r="AD248" t="e">
        <v>#VALUE!</v>
      </c>
    </row>
    <row r="249" spans="23:30" x14ac:dyDescent="0.25">
      <c r="W249" t="b">
        <v>0</v>
      </c>
      <c r="Z249" s="8"/>
      <c r="AA249" s="11">
        <v>24</v>
      </c>
      <c r="AB249" s="11">
        <v>5</v>
      </c>
      <c r="AC249" s="11" t="s">
        <v>214</v>
      </c>
      <c r="AD249" t="e">
        <v>#VALUE!</v>
      </c>
    </row>
    <row r="250" spans="23:30" x14ac:dyDescent="0.25">
      <c r="W250" t="b">
        <v>0</v>
      </c>
      <c r="Z250" s="8"/>
      <c r="AA250" s="11">
        <v>24</v>
      </c>
      <c r="AB250" s="11">
        <v>6</v>
      </c>
      <c r="AC250" s="11" t="s">
        <v>214</v>
      </c>
      <c r="AD250" t="e">
        <v>#VALUE!</v>
      </c>
    </row>
    <row r="251" spans="23:30" x14ac:dyDescent="0.25">
      <c r="W251" t="b">
        <v>0</v>
      </c>
      <c r="Z251" s="8"/>
      <c r="AA251" s="11">
        <v>24</v>
      </c>
      <c r="AB251" s="11">
        <v>7</v>
      </c>
      <c r="AC251" s="11" t="s">
        <v>214</v>
      </c>
      <c r="AD251" t="e">
        <v>#VALUE!</v>
      </c>
    </row>
    <row r="252" spans="23:30" x14ac:dyDescent="0.25">
      <c r="W252" t="b">
        <v>0</v>
      </c>
      <c r="Z252" s="8"/>
      <c r="AA252" s="11">
        <v>24</v>
      </c>
      <c r="AB252" s="11">
        <v>8</v>
      </c>
      <c r="AC252" s="11" t="s">
        <v>214</v>
      </c>
      <c r="AD252" t="e">
        <v>#VALUE!</v>
      </c>
    </row>
    <row r="253" spans="23:30" x14ac:dyDescent="0.25">
      <c r="W253" t="b">
        <v>0</v>
      </c>
      <c r="Z253" s="8"/>
      <c r="AA253" s="11">
        <v>24</v>
      </c>
      <c r="AB253" s="11">
        <v>9</v>
      </c>
      <c r="AC253" s="11" t="s">
        <v>214</v>
      </c>
      <c r="AD253" t="e">
        <v>#VALUE!</v>
      </c>
    </row>
    <row r="254" spans="23:30" x14ac:dyDescent="0.25">
      <c r="W254" t="b">
        <v>0</v>
      </c>
      <c r="Z254" s="8"/>
      <c r="AA254" s="11">
        <v>24</v>
      </c>
      <c r="AB254" s="11">
        <v>10</v>
      </c>
      <c r="AC254" s="11" t="s">
        <v>216</v>
      </c>
      <c r="AD254" t="e">
        <v>#VALUE!</v>
      </c>
    </row>
    <row r="255" spans="23:30" x14ac:dyDescent="0.25">
      <c r="W255" t="b">
        <v>0</v>
      </c>
      <c r="Z255" s="8"/>
      <c r="AA255" s="11">
        <v>24</v>
      </c>
      <c r="AB255" s="11">
        <v>11</v>
      </c>
      <c r="AC255" s="11" t="s">
        <v>216</v>
      </c>
      <c r="AD255" t="e">
        <v>#VALUE!</v>
      </c>
    </row>
    <row r="256" spans="23:30" x14ac:dyDescent="0.25">
      <c r="W256" t="b">
        <v>0</v>
      </c>
      <c r="Z256" s="8"/>
      <c r="AA256" s="11">
        <v>24</v>
      </c>
      <c r="AB256" s="11">
        <v>12</v>
      </c>
      <c r="AC256" s="11" t="s">
        <v>215</v>
      </c>
      <c r="AD256" t="e">
        <v>#VALUE!</v>
      </c>
    </row>
    <row r="257" spans="23:30" x14ac:dyDescent="0.25">
      <c r="W257" t="b">
        <v>0</v>
      </c>
      <c r="Z257" s="8"/>
      <c r="AA257" s="11">
        <v>24</v>
      </c>
      <c r="AB257" s="11">
        <v>13</v>
      </c>
      <c r="AC257" s="11" t="s">
        <v>215</v>
      </c>
      <c r="AD257" t="e">
        <v>#VALUE!</v>
      </c>
    </row>
    <row r="258" spans="23:30" x14ac:dyDescent="0.25">
      <c r="W258" t="b">
        <v>0</v>
      </c>
      <c r="Z258" s="8"/>
      <c r="AA258" s="11">
        <v>24</v>
      </c>
      <c r="AB258" s="11">
        <v>14</v>
      </c>
      <c r="AC258" s="11" t="s">
        <v>219</v>
      </c>
      <c r="AD258" t="e">
        <v>#VALUE!</v>
      </c>
    </row>
    <row r="259" spans="23:30" x14ac:dyDescent="0.25">
      <c r="W259" t="b">
        <v>0</v>
      </c>
      <c r="Z259" s="8"/>
      <c r="AA259" s="11">
        <v>24</v>
      </c>
      <c r="AB259" s="11">
        <v>15</v>
      </c>
      <c r="AC259" s="11" t="s">
        <v>219</v>
      </c>
      <c r="AD259" t="e">
        <v>#VALUE!</v>
      </c>
    </row>
    <row r="260" spans="23:30" x14ac:dyDescent="0.25">
      <c r="W260" t="b">
        <v>0</v>
      </c>
      <c r="Z260" s="8"/>
      <c r="AA260" s="11">
        <v>25</v>
      </c>
      <c r="AB260" s="11">
        <v>1</v>
      </c>
      <c r="AC260" s="11" t="s">
        <v>207</v>
      </c>
      <c r="AD260" t="e">
        <v>#VALUE!</v>
      </c>
    </row>
    <row r="261" spans="23:30" x14ac:dyDescent="0.25">
      <c r="W261" t="b">
        <v>0</v>
      </c>
      <c r="Z261" s="8"/>
      <c r="AA261" s="11">
        <v>25</v>
      </c>
      <c r="AB261" s="11">
        <v>2</v>
      </c>
      <c r="AC261" s="11" t="s">
        <v>207</v>
      </c>
      <c r="AD261" t="e">
        <v>#VALUE!</v>
      </c>
    </row>
    <row r="262" spans="23:30" x14ac:dyDescent="0.25">
      <c r="W262" t="b">
        <v>0</v>
      </c>
      <c r="Z262" s="8"/>
      <c r="AA262" s="11">
        <v>25</v>
      </c>
      <c r="AB262" s="11">
        <v>3</v>
      </c>
      <c r="AC262" s="11" t="s">
        <v>207</v>
      </c>
      <c r="AD262" t="e">
        <v>#VALUE!</v>
      </c>
    </row>
    <row r="263" spans="23:30" x14ac:dyDescent="0.25">
      <c r="W263" t="b">
        <v>0</v>
      </c>
      <c r="Z263" s="8"/>
      <c r="AA263" s="11">
        <v>25</v>
      </c>
      <c r="AB263" s="11">
        <v>4</v>
      </c>
      <c r="AC263" s="11" t="s">
        <v>214</v>
      </c>
      <c r="AD263" t="e">
        <v>#VALUE!</v>
      </c>
    </row>
    <row r="264" spans="23:30" x14ac:dyDescent="0.25">
      <c r="W264" t="b">
        <v>0</v>
      </c>
      <c r="Z264" s="8"/>
      <c r="AA264" s="11">
        <v>25</v>
      </c>
      <c r="AB264" s="11">
        <v>5</v>
      </c>
      <c r="AC264" s="11" t="s">
        <v>214</v>
      </c>
      <c r="AD264" t="e">
        <v>#VALUE!</v>
      </c>
    </row>
    <row r="265" spans="23:30" x14ac:dyDescent="0.25">
      <c r="W265" t="b">
        <v>0</v>
      </c>
      <c r="Z265" s="8"/>
      <c r="AA265" s="11">
        <v>25</v>
      </c>
      <c r="AB265" s="11">
        <v>6</v>
      </c>
      <c r="AC265" s="11" t="s">
        <v>214</v>
      </c>
      <c r="AD265" t="e">
        <v>#VALUE!</v>
      </c>
    </row>
    <row r="266" spans="23:30" x14ac:dyDescent="0.25">
      <c r="W266" t="b">
        <v>0</v>
      </c>
      <c r="Z266" s="8"/>
      <c r="AA266" s="11">
        <v>25</v>
      </c>
      <c r="AB266" s="11">
        <v>7</v>
      </c>
      <c r="AC266" s="11" t="s">
        <v>214</v>
      </c>
      <c r="AD266" t="e">
        <v>#VALUE!</v>
      </c>
    </row>
    <row r="267" spans="23:30" x14ac:dyDescent="0.25">
      <c r="W267" t="b">
        <v>0</v>
      </c>
      <c r="Z267" s="8"/>
      <c r="AA267" s="11">
        <v>25</v>
      </c>
      <c r="AB267" s="11">
        <v>8</v>
      </c>
      <c r="AC267" s="11" t="s">
        <v>214</v>
      </c>
      <c r="AD267" t="e">
        <v>#VALUE!</v>
      </c>
    </row>
    <row r="268" spans="23:30" x14ac:dyDescent="0.25">
      <c r="W268" t="b">
        <v>0</v>
      </c>
      <c r="Z268" s="8"/>
      <c r="AA268" s="11">
        <v>25</v>
      </c>
      <c r="AB268" s="11">
        <v>9</v>
      </c>
      <c r="AC268" s="11" t="s">
        <v>214</v>
      </c>
      <c r="AD268" t="e">
        <v>#VALUE!</v>
      </c>
    </row>
    <row r="269" spans="23:30" x14ac:dyDescent="0.25">
      <c r="W269" t="b">
        <v>0</v>
      </c>
      <c r="Z269" s="8"/>
      <c r="AA269" s="11">
        <v>25</v>
      </c>
      <c r="AB269" s="11">
        <v>10</v>
      </c>
      <c r="AC269" s="11" t="s">
        <v>216</v>
      </c>
      <c r="AD269" t="e">
        <v>#VALUE!</v>
      </c>
    </row>
    <row r="270" spans="23:30" x14ac:dyDescent="0.25">
      <c r="W270" t="b">
        <v>0</v>
      </c>
      <c r="Z270" s="8"/>
      <c r="AA270" s="11">
        <v>25</v>
      </c>
      <c r="AB270" s="11">
        <v>11</v>
      </c>
      <c r="AC270" s="11" t="s">
        <v>216</v>
      </c>
      <c r="AD270" t="e">
        <v>#VALUE!</v>
      </c>
    </row>
    <row r="271" spans="23:30" x14ac:dyDescent="0.25">
      <c r="W271" t="b">
        <v>0</v>
      </c>
      <c r="Z271" s="8"/>
      <c r="AA271" s="11">
        <v>25</v>
      </c>
      <c r="AB271" s="11">
        <v>12</v>
      </c>
      <c r="AC271" s="11" t="s">
        <v>215</v>
      </c>
      <c r="AD271" t="e">
        <v>#VALUE!</v>
      </c>
    </row>
    <row r="272" spans="23:30" x14ac:dyDescent="0.25">
      <c r="W272" t="b">
        <v>0</v>
      </c>
      <c r="Z272" s="8"/>
      <c r="AA272" s="11">
        <v>25</v>
      </c>
      <c r="AB272" s="11">
        <v>13</v>
      </c>
      <c r="AC272" s="11" t="s">
        <v>215</v>
      </c>
      <c r="AD272" t="e">
        <v>#VALUE!</v>
      </c>
    </row>
    <row r="273" spans="23:30" x14ac:dyDescent="0.25">
      <c r="W273" t="b">
        <v>0</v>
      </c>
      <c r="Z273" s="8"/>
      <c r="AA273" s="11">
        <v>25</v>
      </c>
      <c r="AB273" s="11">
        <v>14</v>
      </c>
      <c r="AC273" s="11" t="s">
        <v>219</v>
      </c>
      <c r="AD273" t="e">
        <v>#VALUE!</v>
      </c>
    </row>
    <row r="274" spans="23:30" x14ac:dyDescent="0.25">
      <c r="W274" t="b">
        <v>0</v>
      </c>
      <c r="Z274" s="8"/>
      <c r="AA274" s="11">
        <v>25</v>
      </c>
      <c r="AB274" s="11">
        <v>15</v>
      </c>
      <c r="AC274" s="11" t="s">
        <v>208</v>
      </c>
      <c r="AD274" t="e">
        <v>#VALUE!</v>
      </c>
    </row>
    <row r="275" spans="23:30" x14ac:dyDescent="0.25">
      <c r="W275" t="b">
        <v>0</v>
      </c>
      <c r="Z275" s="8"/>
      <c r="AA275" s="11">
        <v>25</v>
      </c>
      <c r="AB275" s="11">
        <v>16</v>
      </c>
      <c r="AC275" s="11" t="s">
        <v>208</v>
      </c>
      <c r="AD275" t="e">
        <v>#VALUE!</v>
      </c>
    </row>
    <row r="276" spans="23:30" x14ac:dyDescent="0.25">
      <c r="W276" t="b">
        <v>0</v>
      </c>
      <c r="Z276" s="8"/>
      <c r="AA276" s="11">
        <v>26</v>
      </c>
      <c r="AB276" s="11">
        <v>2</v>
      </c>
      <c r="AC276" s="11" t="s">
        <v>207</v>
      </c>
      <c r="AD276" t="e">
        <v>#VALUE!</v>
      </c>
    </row>
    <row r="277" spans="23:30" x14ac:dyDescent="0.25">
      <c r="W277" t="b">
        <v>0</v>
      </c>
      <c r="Z277" s="8"/>
      <c r="AA277" s="11">
        <v>26</v>
      </c>
      <c r="AB277" s="11">
        <v>3</v>
      </c>
      <c r="AC277" s="11" t="s">
        <v>214</v>
      </c>
      <c r="AD277" t="e">
        <v>#VALUE!</v>
      </c>
    </row>
    <row r="278" spans="23:30" x14ac:dyDescent="0.25">
      <c r="W278" t="b">
        <v>0</v>
      </c>
      <c r="Z278" s="8"/>
      <c r="AA278" s="11">
        <v>26</v>
      </c>
      <c r="AB278" s="11">
        <v>4</v>
      </c>
      <c r="AC278" s="11" t="s">
        <v>214</v>
      </c>
      <c r="AD278" t="e">
        <v>#VALUE!</v>
      </c>
    </row>
    <row r="279" spans="23:30" x14ac:dyDescent="0.25">
      <c r="W279" t="b">
        <v>0</v>
      </c>
      <c r="Z279" s="8"/>
      <c r="AA279" s="11">
        <v>26</v>
      </c>
      <c r="AB279" s="11">
        <v>5</v>
      </c>
      <c r="AC279" s="11" t="s">
        <v>214</v>
      </c>
      <c r="AD279" t="e">
        <v>#VALUE!</v>
      </c>
    </row>
    <row r="280" spans="23:30" x14ac:dyDescent="0.25">
      <c r="W280" t="b">
        <v>0</v>
      </c>
      <c r="Z280" s="8"/>
      <c r="AA280" s="11">
        <v>26</v>
      </c>
      <c r="AB280" s="11">
        <v>6</v>
      </c>
      <c r="AC280" s="11" t="s">
        <v>214</v>
      </c>
      <c r="AD280" t="e">
        <v>#VALUE!</v>
      </c>
    </row>
    <row r="281" spans="23:30" x14ac:dyDescent="0.25">
      <c r="W281" t="b">
        <v>0</v>
      </c>
      <c r="Z281" s="8"/>
      <c r="AA281" s="11">
        <v>26</v>
      </c>
      <c r="AB281" s="11">
        <v>7</v>
      </c>
      <c r="AC281" s="11" t="s">
        <v>214</v>
      </c>
      <c r="AD281" t="e">
        <v>#VALUE!</v>
      </c>
    </row>
    <row r="282" spans="23:30" x14ac:dyDescent="0.25">
      <c r="W282" t="b">
        <v>0</v>
      </c>
      <c r="Z282" s="8"/>
      <c r="AA282" s="11">
        <v>26</v>
      </c>
      <c r="AB282" s="11">
        <v>8</v>
      </c>
      <c r="AC282" s="11" t="s">
        <v>214</v>
      </c>
      <c r="AD282" t="e">
        <v>#VALUE!</v>
      </c>
    </row>
    <row r="283" spans="23:30" x14ac:dyDescent="0.25">
      <c r="W283" t="b">
        <v>0</v>
      </c>
      <c r="Z283" s="8"/>
      <c r="AA283" s="11">
        <v>26</v>
      </c>
      <c r="AB283" s="11">
        <v>9</v>
      </c>
      <c r="AC283" s="11" t="s">
        <v>216</v>
      </c>
      <c r="AD283" t="e">
        <v>#VALUE!</v>
      </c>
    </row>
    <row r="284" spans="23:30" x14ac:dyDescent="0.25">
      <c r="W284" t="b">
        <v>0</v>
      </c>
      <c r="Z284" s="8"/>
      <c r="AA284" s="11">
        <v>26</v>
      </c>
      <c r="AB284" s="11">
        <v>10</v>
      </c>
      <c r="AC284" s="11" t="s">
        <v>216</v>
      </c>
      <c r="AD284" t="e">
        <v>#VALUE!</v>
      </c>
    </row>
    <row r="285" spans="23:30" x14ac:dyDescent="0.25">
      <c r="W285" t="b">
        <v>0</v>
      </c>
      <c r="Z285" s="8"/>
      <c r="AA285" s="11">
        <v>26</v>
      </c>
      <c r="AB285" s="11">
        <v>11</v>
      </c>
      <c r="AC285" s="11" t="s">
        <v>204</v>
      </c>
      <c r="AD285" t="e">
        <v>#VALUE!</v>
      </c>
    </row>
    <row r="286" spans="23:30" x14ac:dyDescent="0.25">
      <c r="W286" t="b">
        <v>0</v>
      </c>
      <c r="Z286" s="8"/>
      <c r="AA286" s="11">
        <v>26</v>
      </c>
      <c r="AB286" s="11">
        <v>12</v>
      </c>
      <c r="AC286" s="11" t="s">
        <v>204</v>
      </c>
      <c r="AD286" t="e">
        <v>#VALUE!</v>
      </c>
    </row>
    <row r="287" spans="23:30" x14ac:dyDescent="0.25">
      <c r="W287" t="b">
        <v>0</v>
      </c>
      <c r="Z287" s="8"/>
      <c r="AA287" s="11">
        <v>26</v>
      </c>
      <c r="AB287" s="11">
        <v>13</v>
      </c>
      <c r="AC287" s="11" t="s">
        <v>215</v>
      </c>
      <c r="AD287" t="e">
        <v>#VALUE!</v>
      </c>
    </row>
    <row r="288" spans="23:30" x14ac:dyDescent="0.25">
      <c r="W288" t="b">
        <v>0</v>
      </c>
      <c r="Z288" s="8"/>
      <c r="AA288" s="11">
        <v>26</v>
      </c>
      <c r="AB288" s="11">
        <v>14</v>
      </c>
      <c r="AC288" s="11" t="s">
        <v>219</v>
      </c>
      <c r="AD288" t="e">
        <v>#VALUE!</v>
      </c>
    </row>
    <row r="289" spans="23:30" x14ac:dyDescent="0.25">
      <c r="W289" t="b">
        <v>0</v>
      </c>
      <c r="Z289" s="8"/>
      <c r="AA289" s="11">
        <v>26</v>
      </c>
      <c r="AB289" s="11">
        <v>15</v>
      </c>
      <c r="AC289" s="11" t="s">
        <v>208</v>
      </c>
      <c r="AD289" t="e">
        <v>#VALUE!</v>
      </c>
    </row>
    <row r="290" spans="23:30" x14ac:dyDescent="0.25">
      <c r="W290" t="b">
        <v>0</v>
      </c>
      <c r="Z290" s="8"/>
      <c r="AA290" s="11">
        <v>26</v>
      </c>
      <c r="AB290" s="11">
        <v>16</v>
      </c>
      <c r="AC290" s="11" t="s">
        <v>208</v>
      </c>
      <c r="AD290" t="e">
        <v>#VALUE!</v>
      </c>
    </row>
    <row r="291" spans="23:30" x14ac:dyDescent="0.25">
      <c r="W291" t="b">
        <v>0</v>
      </c>
      <c r="Z291" s="8"/>
      <c r="AA291" s="11">
        <v>27</v>
      </c>
      <c r="AB291" s="11">
        <v>2</v>
      </c>
      <c r="AC291" s="11" t="s">
        <v>207</v>
      </c>
      <c r="AD291" t="e">
        <v>#VALUE!</v>
      </c>
    </row>
    <row r="292" spans="23:30" x14ac:dyDescent="0.25">
      <c r="W292" t="b">
        <v>0</v>
      </c>
      <c r="Z292" s="8"/>
      <c r="AA292" s="11">
        <v>27</v>
      </c>
      <c r="AB292" s="11">
        <v>3</v>
      </c>
      <c r="AC292" s="11" t="s">
        <v>207</v>
      </c>
      <c r="AD292" t="e">
        <v>#VALUE!</v>
      </c>
    </row>
    <row r="293" spans="23:30" x14ac:dyDescent="0.25">
      <c r="W293" t="b">
        <v>0</v>
      </c>
      <c r="Z293" s="8"/>
      <c r="AA293" s="11">
        <v>27</v>
      </c>
      <c r="AB293" s="11">
        <v>4</v>
      </c>
      <c r="AC293" s="11" t="s">
        <v>214</v>
      </c>
      <c r="AD293" t="e">
        <v>#VALUE!</v>
      </c>
    </row>
    <row r="294" spans="23:30" x14ac:dyDescent="0.25">
      <c r="W294" t="b">
        <v>0</v>
      </c>
      <c r="Z294" s="8"/>
      <c r="AA294" s="11">
        <v>27</v>
      </c>
      <c r="AB294" s="11">
        <v>5</v>
      </c>
      <c r="AC294" s="11" t="s">
        <v>214</v>
      </c>
      <c r="AD294" t="e">
        <v>#VALUE!</v>
      </c>
    </row>
    <row r="295" spans="23:30" x14ac:dyDescent="0.25">
      <c r="W295" t="b">
        <v>0</v>
      </c>
      <c r="Z295" s="8"/>
      <c r="AA295" s="11">
        <v>27</v>
      </c>
      <c r="AB295" s="11">
        <v>6</v>
      </c>
      <c r="AC295" s="11" t="s">
        <v>214</v>
      </c>
      <c r="AD295" t="e">
        <v>#VALUE!</v>
      </c>
    </row>
    <row r="296" spans="23:30" x14ac:dyDescent="0.25">
      <c r="W296" t="b">
        <v>0</v>
      </c>
      <c r="Z296" s="8"/>
      <c r="AA296" s="11">
        <v>27</v>
      </c>
      <c r="AB296" s="11">
        <v>7</v>
      </c>
      <c r="AC296" s="11" t="s">
        <v>214</v>
      </c>
      <c r="AD296" t="e">
        <v>#VALUE!</v>
      </c>
    </row>
    <row r="297" spans="23:30" x14ac:dyDescent="0.25">
      <c r="W297" t="b">
        <v>0</v>
      </c>
      <c r="Z297" s="8"/>
      <c r="AA297" s="11">
        <v>27</v>
      </c>
      <c r="AB297" s="11">
        <v>8</v>
      </c>
      <c r="AC297" s="11" t="s">
        <v>214</v>
      </c>
      <c r="AD297" t="e">
        <v>#VALUE!</v>
      </c>
    </row>
    <row r="298" spans="23:30" x14ac:dyDescent="0.25">
      <c r="W298" t="b">
        <v>0</v>
      </c>
      <c r="Z298" s="8"/>
      <c r="AA298" s="11">
        <v>27</v>
      </c>
      <c r="AB298" s="11">
        <v>9</v>
      </c>
      <c r="AC298" s="11" t="s">
        <v>216</v>
      </c>
      <c r="AD298" t="e">
        <v>#VALUE!</v>
      </c>
    </row>
    <row r="299" spans="23:30" x14ac:dyDescent="0.25">
      <c r="W299" t="b">
        <v>0</v>
      </c>
      <c r="Z299" s="8"/>
      <c r="AA299" s="11">
        <v>27</v>
      </c>
      <c r="AB299" s="11">
        <v>10</v>
      </c>
      <c r="AC299" s="11" t="s">
        <v>216</v>
      </c>
      <c r="AD299" t="e">
        <v>#VALUE!</v>
      </c>
    </row>
    <row r="300" spans="23:30" x14ac:dyDescent="0.25">
      <c r="W300" t="b">
        <v>0</v>
      </c>
      <c r="Z300" s="8"/>
      <c r="AA300" s="11">
        <v>27</v>
      </c>
      <c r="AB300" s="11">
        <v>11</v>
      </c>
      <c r="AC300" s="11" t="s">
        <v>204</v>
      </c>
      <c r="AD300" t="e">
        <v>#VALUE!</v>
      </c>
    </row>
    <row r="301" spans="23:30" x14ac:dyDescent="0.25">
      <c r="W301" t="b">
        <v>0</v>
      </c>
      <c r="Z301" s="8"/>
      <c r="AA301" s="11">
        <v>27</v>
      </c>
      <c r="AB301" s="11">
        <v>12</v>
      </c>
      <c r="AC301" s="11" t="s">
        <v>204</v>
      </c>
      <c r="AD301" t="e">
        <v>#VALUE!</v>
      </c>
    </row>
    <row r="302" spans="23:30" x14ac:dyDescent="0.25">
      <c r="W302" t="b">
        <v>0</v>
      </c>
      <c r="Z302" s="8"/>
      <c r="AA302" s="11">
        <v>27</v>
      </c>
      <c r="AB302" s="11">
        <v>13</v>
      </c>
      <c r="AC302" s="11" t="s">
        <v>219</v>
      </c>
      <c r="AD302" t="e">
        <v>#VALUE!</v>
      </c>
    </row>
    <row r="303" spans="23:30" x14ac:dyDescent="0.25">
      <c r="W303" t="b">
        <v>0</v>
      </c>
      <c r="Z303" s="8"/>
      <c r="AA303" s="11">
        <v>27</v>
      </c>
      <c r="AB303" s="11">
        <v>14</v>
      </c>
      <c r="AC303" s="11" t="s">
        <v>219</v>
      </c>
      <c r="AD303" t="e">
        <v>#VALUE!</v>
      </c>
    </row>
    <row r="304" spans="23:30" x14ac:dyDescent="0.25">
      <c r="W304" t="b">
        <v>0</v>
      </c>
      <c r="Z304" s="8"/>
      <c r="AA304" s="11">
        <v>27</v>
      </c>
      <c r="AB304" s="11">
        <v>15</v>
      </c>
      <c r="AC304" s="11" t="s">
        <v>219</v>
      </c>
      <c r="AD304" t="e">
        <v>#VALUE!</v>
      </c>
    </row>
    <row r="305" spans="23:30" x14ac:dyDescent="0.25">
      <c r="W305" t="b">
        <v>0</v>
      </c>
      <c r="Z305" s="8"/>
      <c r="AA305" s="11">
        <v>27</v>
      </c>
      <c r="AB305" s="11">
        <v>16</v>
      </c>
      <c r="AC305" s="11" t="s">
        <v>208</v>
      </c>
      <c r="AD305" t="e">
        <v>#VALUE!</v>
      </c>
    </row>
    <row r="306" spans="23:30" x14ac:dyDescent="0.25">
      <c r="W306" t="b">
        <v>0</v>
      </c>
      <c r="Z306" s="8"/>
      <c r="AA306" s="11">
        <v>28</v>
      </c>
      <c r="AB306" s="11">
        <v>2</v>
      </c>
      <c r="AC306" s="11" t="s">
        <v>207</v>
      </c>
      <c r="AD306" t="e">
        <v>#VALUE!</v>
      </c>
    </row>
    <row r="307" spans="23:30" x14ac:dyDescent="0.25">
      <c r="W307" t="b">
        <v>0</v>
      </c>
      <c r="Z307" s="8"/>
      <c r="AA307" s="11">
        <v>28</v>
      </c>
      <c r="AB307" s="11">
        <v>3</v>
      </c>
      <c r="AC307" s="11" t="s">
        <v>207</v>
      </c>
      <c r="AD307" t="e">
        <v>#VALUE!</v>
      </c>
    </row>
    <row r="308" spans="23:30" x14ac:dyDescent="0.25">
      <c r="W308" t="b">
        <v>0</v>
      </c>
      <c r="Z308" s="8"/>
      <c r="AA308" s="11">
        <v>28</v>
      </c>
      <c r="AB308" s="11">
        <v>4</v>
      </c>
      <c r="AC308" s="11" t="s">
        <v>207</v>
      </c>
      <c r="AD308" t="e">
        <v>#VALUE!</v>
      </c>
    </row>
    <row r="309" spans="23:30" x14ac:dyDescent="0.25">
      <c r="W309" t="b">
        <v>0</v>
      </c>
      <c r="Z309" s="8"/>
      <c r="AA309" s="11">
        <v>28</v>
      </c>
      <c r="AB309" s="11">
        <v>5</v>
      </c>
      <c r="AC309" s="11" t="s">
        <v>207</v>
      </c>
      <c r="AD309" t="e">
        <v>#VALUE!</v>
      </c>
    </row>
    <row r="310" spans="23:30" x14ac:dyDescent="0.25">
      <c r="W310" t="b">
        <v>0</v>
      </c>
      <c r="Z310" s="8"/>
      <c r="AA310" s="11">
        <v>28</v>
      </c>
      <c r="AB310" s="11">
        <v>6</v>
      </c>
      <c r="AC310" s="11" t="s">
        <v>207</v>
      </c>
      <c r="AD310" t="e">
        <v>#VALUE!</v>
      </c>
    </row>
    <row r="311" spans="23:30" x14ac:dyDescent="0.25">
      <c r="W311" t="b">
        <v>0</v>
      </c>
      <c r="Z311" s="8"/>
      <c r="AA311" s="11">
        <v>28</v>
      </c>
      <c r="AB311" s="11">
        <v>7</v>
      </c>
      <c r="AC311" s="11" t="s">
        <v>214</v>
      </c>
      <c r="AD311" t="e">
        <v>#VALUE!</v>
      </c>
    </row>
    <row r="312" spans="23:30" x14ac:dyDescent="0.25">
      <c r="W312" t="b">
        <v>0</v>
      </c>
      <c r="Z312" s="8"/>
      <c r="AA312" s="11">
        <v>28</v>
      </c>
      <c r="AB312" s="11">
        <v>8</v>
      </c>
      <c r="AC312" s="11" t="s">
        <v>214</v>
      </c>
      <c r="AD312" t="e">
        <v>#VALUE!</v>
      </c>
    </row>
    <row r="313" spans="23:30" x14ac:dyDescent="0.25">
      <c r="W313" t="b">
        <v>0</v>
      </c>
      <c r="Z313" s="8"/>
      <c r="AA313" s="11">
        <v>28</v>
      </c>
      <c r="AB313" s="11">
        <v>9</v>
      </c>
      <c r="AC313" s="11" t="s">
        <v>221</v>
      </c>
      <c r="AD313" t="e">
        <v>#VALUE!</v>
      </c>
    </row>
    <row r="314" spans="23:30" x14ac:dyDescent="0.25">
      <c r="W314" t="b">
        <v>0</v>
      </c>
      <c r="Z314" s="8"/>
      <c r="AA314" s="11">
        <v>28</v>
      </c>
      <c r="AB314" s="11">
        <v>10</v>
      </c>
      <c r="AC314" s="11" t="s">
        <v>204</v>
      </c>
      <c r="AD314" t="e">
        <v>#VALUE!</v>
      </c>
    </row>
    <row r="315" spans="23:30" x14ac:dyDescent="0.25">
      <c r="W315" t="b">
        <v>0</v>
      </c>
      <c r="Z315" s="8"/>
      <c r="AA315" s="11">
        <v>28</v>
      </c>
      <c r="AB315" s="11">
        <v>11</v>
      </c>
      <c r="AC315" s="11" t="s">
        <v>204</v>
      </c>
      <c r="AD315" t="e">
        <v>#VALUE!</v>
      </c>
    </row>
    <row r="316" spans="23:30" x14ac:dyDescent="0.25">
      <c r="W316" t="b">
        <v>0</v>
      </c>
      <c r="Z316" s="8"/>
      <c r="AA316" s="11">
        <v>28</v>
      </c>
      <c r="AB316" s="11">
        <v>12</v>
      </c>
      <c r="AC316" s="11" t="s">
        <v>204</v>
      </c>
      <c r="AD316" t="e">
        <v>#VALUE!</v>
      </c>
    </row>
    <row r="317" spans="23:30" x14ac:dyDescent="0.25">
      <c r="W317" t="b">
        <v>0</v>
      </c>
      <c r="Z317" s="8"/>
      <c r="AA317" s="11">
        <v>28</v>
      </c>
      <c r="AB317" s="11">
        <v>13</v>
      </c>
      <c r="AC317" s="11" t="s">
        <v>218</v>
      </c>
      <c r="AD317" t="e">
        <v>#VALUE!</v>
      </c>
    </row>
    <row r="318" spans="23:30" x14ac:dyDescent="0.25">
      <c r="W318" t="b">
        <v>0</v>
      </c>
      <c r="Z318" s="8"/>
      <c r="AA318" s="11">
        <v>28</v>
      </c>
      <c r="AB318" s="11">
        <v>14</v>
      </c>
      <c r="AC318" s="11" t="s">
        <v>219</v>
      </c>
      <c r="AD318" t="e">
        <v>#VALUE!</v>
      </c>
    </row>
    <row r="319" spans="23:30" x14ac:dyDescent="0.25">
      <c r="W319" t="b">
        <v>0</v>
      </c>
      <c r="Z319" s="8"/>
      <c r="AA319" s="11">
        <v>28</v>
      </c>
      <c r="AB319" s="11">
        <v>15</v>
      </c>
      <c r="AC319" s="11" t="s">
        <v>219</v>
      </c>
      <c r="AD319" t="e">
        <v>#VALUE!</v>
      </c>
    </row>
    <row r="320" spans="23:30" x14ac:dyDescent="0.25">
      <c r="W320" t="b">
        <v>0</v>
      </c>
      <c r="Z320" s="8"/>
      <c r="AA320" s="11">
        <v>28</v>
      </c>
      <c r="AB320" s="11">
        <v>16</v>
      </c>
      <c r="AC320" s="11" t="s">
        <v>208</v>
      </c>
      <c r="AD320" t="e">
        <v>#VALUE!</v>
      </c>
    </row>
    <row r="321" spans="23:30" x14ac:dyDescent="0.25">
      <c r="W321" t="b">
        <v>0</v>
      </c>
      <c r="Z321" s="8"/>
      <c r="AA321" s="11">
        <v>29</v>
      </c>
      <c r="AB321" s="11">
        <v>2</v>
      </c>
      <c r="AC321" s="11" t="s">
        <v>207</v>
      </c>
      <c r="AD321" t="e">
        <v>#VALUE!</v>
      </c>
    </row>
    <row r="322" spans="23:30" x14ac:dyDescent="0.25">
      <c r="W322" t="b">
        <v>0</v>
      </c>
      <c r="Z322" s="8"/>
      <c r="AA322" s="11">
        <v>29</v>
      </c>
      <c r="AB322" s="11">
        <v>4</v>
      </c>
      <c r="AC322" s="11" t="s">
        <v>211</v>
      </c>
      <c r="AD322" t="e">
        <v>#VALUE!</v>
      </c>
    </row>
    <row r="323" spans="23:30" x14ac:dyDescent="0.25">
      <c r="W323" t="b">
        <v>0</v>
      </c>
      <c r="Z323" s="8"/>
      <c r="AA323" s="11">
        <v>29</v>
      </c>
      <c r="AB323" s="11">
        <v>5</v>
      </c>
      <c r="AC323" s="11" t="s">
        <v>211</v>
      </c>
      <c r="AD323" t="e">
        <v>#VALUE!</v>
      </c>
    </row>
    <row r="324" spans="23:30" x14ac:dyDescent="0.25">
      <c r="W324" t="b">
        <v>0</v>
      </c>
      <c r="Z324" s="8"/>
      <c r="AA324" s="11">
        <v>29</v>
      </c>
      <c r="AB324" s="11">
        <v>6</v>
      </c>
      <c r="AC324" s="11" t="s">
        <v>211</v>
      </c>
      <c r="AD324" t="e">
        <v>#VALUE!</v>
      </c>
    </row>
    <row r="325" spans="23:30" x14ac:dyDescent="0.25">
      <c r="W325" t="b">
        <v>0</v>
      </c>
      <c r="Z325" s="8"/>
      <c r="AA325" s="11">
        <v>29</v>
      </c>
      <c r="AB325" s="11">
        <v>7</v>
      </c>
      <c r="AC325" s="11" t="s">
        <v>221</v>
      </c>
      <c r="AD325" t="e">
        <v>#VALUE!</v>
      </c>
    </row>
    <row r="326" spans="23:30" x14ac:dyDescent="0.25">
      <c r="W326" t="b">
        <v>0</v>
      </c>
      <c r="Z326" s="8"/>
      <c r="AA326" s="11">
        <v>29</v>
      </c>
      <c r="AB326" s="11">
        <v>8</v>
      </c>
      <c r="AC326" s="11" t="s">
        <v>221</v>
      </c>
      <c r="AD326" t="e">
        <v>#VALUE!</v>
      </c>
    </row>
    <row r="327" spans="23:30" x14ac:dyDescent="0.25">
      <c r="W327" t="b">
        <v>0</v>
      </c>
      <c r="Z327" s="8"/>
      <c r="AA327" s="11">
        <v>29</v>
      </c>
      <c r="AB327" s="11">
        <v>9</v>
      </c>
      <c r="AC327" s="11" t="s">
        <v>221</v>
      </c>
      <c r="AD327" t="e">
        <v>#VALUE!</v>
      </c>
    </row>
    <row r="328" spans="23:30" x14ac:dyDescent="0.25">
      <c r="W328" t="b">
        <v>0</v>
      </c>
      <c r="Z328" s="8"/>
      <c r="AA328" s="11">
        <v>29</v>
      </c>
      <c r="AB328" s="11">
        <v>10</v>
      </c>
      <c r="AC328" s="11" t="s">
        <v>217</v>
      </c>
      <c r="AD328" t="e">
        <v>#VALUE!</v>
      </c>
    </row>
    <row r="329" spans="23:30" x14ac:dyDescent="0.25">
      <c r="W329" t="b">
        <v>0</v>
      </c>
      <c r="Z329" s="8"/>
      <c r="AA329" s="11">
        <v>29</v>
      </c>
      <c r="AB329" s="11">
        <v>11</v>
      </c>
      <c r="AC329" s="11" t="s">
        <v>217</v>
      </c>
      <c r="AD329" t="e">
        <v>#VALUE!</v>
      </c>
    </row>
    <row r="330" spans="23:30" x14ac:dyDescent="0.25">
      <c r="W330" t="b">
        <v>0</v>
      </c>
      <c r="Z330" s="8"/>
      <c r="AA330" s="11">
        <v>29</v>
      </c>
      <c r="AB330" s="11">
        <v>12</v>
      </c>
      <c r="AC330" s="11" t="s">
        <v>204</v>
      </c>
      <c r="AD330" t="e">
        <v>#VALUE!</v>
      </c>
    </row>
    <row r="331" spans="23:30" x14ac:dyDescent="0.25">
      <c r="W331" t="b">
        <v>0</v>
      </c>
      <c r="Z331" s="8"/>
      <c r="AA331" s="11">
        <v>29</v>
      </c>
      <c r="AB331" s="11">
        <v>13</v>
      </c>
      <c r="AC331" s="11" t="s">
        <v>218</v>
      </c>
      <c r="AD331" t="e">
        <v>#VALUE!</v>
      </c>
    </row>
    <row r="332" spans="23:30" x14ac:dyDescent="0.25">
      <c r="W332" t="b">
        <v>0</v>
      </c>
      <c r="Z332" s="8"/>
      <c r="AA332" s="11">
        <v>29</v>
      </c>
      <c r="AB332" s="11">
        <v>14</v>
      </c>
      <c r="AC332" s="11" t="s">
        <v>218</v>
      </c>
      <c r="AD332" t="e">
        <v>#VALUE!</v>
      </c>
    </row>
    <row r="333" spans="23:30" x14ac:dyDescent="0.25">
      <c r="W333" t="b">
        <v>0</v>
      </c>
      <c r="Z333" s="8"/>
      <c r="AA333" s="11">
        <v>29</v>
      </c>
      <c r="AB333" s="11">
        <v>15</v>
      </c>
      <c r="AC333" s="11" t="s">
        <v>218</v>
      </c>
      <c r="AD333" t="e">
        <v>#VALUE!</v>
      </c>
    </row>
    <row r="334" spans="23:30" x14ac:dyDescent="0.25">
      <c r="W334" t="b">
        <v>0</v>
      </c>
      <c r="Z334" s="8"/>
      <c r="AA334" s="11">
        <v>30</v>
      </c>
      <c r="AB334" s="11">
        <v>5</v>
      </c>
      <c r="AC334" s="11" t="s">
        <v>211</v>
      </c>
      <c r="AD334" t="e">
        <v>#VALUE!</v>
      </c>
    </row>
    <row r="335" spans="23:30" x14ac:dyDescent="0.25">
      <c r="W335" t="b">
        <v>0</v>
      </c>
      <c r="Z335" s="8"/>
      <c r="AA335" s="11">
        <v>30</v>
      </c>
      <c r="AB335" s="11">
        <v>6</v>
      </c>
      <c r="AC335" s="11" t="s">
        <v>211</v>
      </c>
      <c r="AD335" t="e">
        <v>#VALUE!</v>
      </c>
    </row>
    <row r="336" spans="23:30" x14ac:dyDescent="0.25">
      <c r="W336" t="b">
        <v>0</v>
      </c>
      <c r="Z336" s="8"/>
      <c r="AA336" s="11">
        <v>30</v>
      </c>
      <c r="AB336" s="11">
        <v>7</v>
      </c>
      <c r="AC336" s="11" t="s">
        <v>211</v>
      </c>
      <c r="AD336" t="e">
        <v>#VALUE!</v>
      </c>
    </row>
    <row r="337" spans="23:30" x14ac:dyDescent="0.25">
      <c r="W337" t="b">
        <v>0</v>
      </c>
      <c r="Z337" s="8"/>
      <c r="AA337" s="11">
        <v>30</v>
      </c>
      <c r="AB337" s="11">
        <v>8</v>
      </c>
      <c r="AC337" s="11" t="s">
        <v>221</v>
      </c>
      <c r="AD337" t="e">
        <v>#VALUE!</v>
      </c>
    </row>
    <row r="338" spans="23:30" x14ac:dyDescent="0.25">
      <c r="W338" t="b">
        <v>0</v>
      </c>
      <c r="Z338" s="8"/>
      <c r="AA338" s="11">
        <v>30</v>
      </c>
      <c r="AB338" s="11">
        <v>9</v>
      </c>
      <c r="AC338" s="11" t="s">
        <v>221</v>
      </c>
      <c r="AD338" t="e">
        <v>#VALUE!</v>
      </c>
    </row>
    <row r="339" spans="23:30" x14ac:dyDescent="0.25">
      <c r="W339" t="b">
        <v>0</v>
      </c>
      <c r="Z339" s="8"/>
      <c r="AA339" s="11">
        <v>30</v>
      </c>
      <c r="AB339" s="11">
        <v>10</v>
      </c>
      <c r="AC339" s="11" t="s">
        <v>217</v>
      </c>
      <c r="AD339" t="e">
        <v>#VALUE!</v>
      </c>
    </row>
    <row r="340" spans="23:30" x14ac:dyDescent="0.25">
      <c r="W340" t="b">
        <v>0</v>
      </c>
      <c r="Z340" s="8"/>
      <c r="AA340" s="11">
        <v>30</v>
      </c>
      <c r="AB340" s="11">
        <v>11</v>
      </c>
      <c r="AC340" s="11" t="s">
        <v>217</v>
      </c>
      <c r="AD340" t="e">
        <v>#VALUE!</v>
      </c>
    </row>
    <row r="341" spans="23:30" x14ac:dyDescent="0.25">
      <c r="W341" t="b">
        <v>0</v>
      </c>
      <c r="Z341" s="8"/>
      <c r="AA341" s="11">
        <v>30</v>
      </c>
      <c r="AB341" s="11">
        <v>12</v>
      </c>
      <c r="AC341" s="11" t="s">
        <v>217</v>
      </c>
      <c r="AD341" t="e">
        <v>#VALUE!</v>
      </c>
    </row>
    <row r="342" spans="23:30" x14ac:dyDescent="0.25">
      <c r="W342" t="b">
        <v>0</v>
      </c>
      <c r="Z342" s="8"/>
      <c r="AA342" s="11">
        <v>30</v>
      </c>
      <c r="AB342" s="11">
        <v>13</v>
      </c>
      <c r="AC342" s="11" t="s">
        <v>218</v>
      </c>
      <c r="AD342" t="e">
        <v>#VALUE!</v>
      </c>
    </row>
    <row r="343" spans="23:30" x14ac:dyDescent="0.25">
      <c r="W343" t="b">
        <v>0</v>
      </c>
      <c r="Z343" s="8"/>
      <c r="AA343" s="11">
        <v>30</v>
      </c>
      <c r="AB343" s="11">
        <v>14</v>
      </c>
      <c r="AC343" s="11" t="s">
        <v>218</v>
      </c>
      <c r="AD343" t="e">
        <v>#VALUE!</v>
      </c>
    </row>
    <row r="344" spans="23:30" x14ac:dyDescent="0.25">
      <c r="W344" t="b">
        <v>0</v>
      </c>
      <c r="Z344" s="8"/>
      <c r="AA344" s="11">
        <v>30</v>
      </c>
      <c r="AB344" s="11">
        <v>15</v>
      </c>
      <c r="AC344" s="11" t="s">
        <v>218</v>
      </c>
      <c r="AD344" t="e">
        <v>#VALUE!</v>
      </c>
    </row>
    <row r="345" spans="23:30" x14ac:dyDescent="0.25">
      <c r="W345" t="b">
        <v>0</v>
      </c>
      <c r="Z345" s="8"/>
      <c r="AA345" s="11">
        <v>31</v>
      </c>
      <c r="AB345" s="11">
        <v>5</v>
      </c>
      <c r="AC345" s="11" t="s">
        <v>211</v>
      </c>
      <c r="AD345" t="e">
        <v>#VALUE!</v>
      </c>
    </row>
    <row r="346" spans="23:30" x14ac:dyDescent="0.25">
      <c r="W346" t="b">
        <v>0</v>
      </c>
      <c r="Z346" s="8"/>
      <c r="AA346" s="11">
        <v>31</v>
      </c>
      <c r="AB346" s="11">
        <v>6</v>
      </c>
      <c r="AC346" s="11" t="s">
        <v>211</v>
      </c>
      <c r="AD346" t="e">
        <v>#VALUE!</v>
      </c>
    </row>
    <row r="347" spans="23:30" x14ac:dyDescent="0.25">
      <c r="W347" t="b">
        <v>0</v>
      </c>
      <c r="Z347" s="8"/>
      <c r="AA347" s="11">
        <v>31</v>
      </c>
      <c r="AB347" s="11">
        <v>7</v>
      </c>
      <c r="AC347" s="11" t="s">
        <v>211</v>
      </c>
      <c r="AD347" t="e">
        <v>#VALUE!</v>
      </c>
    </row>
    <row r="348" spans="23:30" x14ac:dyDescent="0.25">
      <c r="W348" t="b">
        <v>0</v>
      </c>
      <c r="Z348" s="8"/>
      <c r="AA348" s="11">
        <v>31</v>
      </c>
      <c r="AB348" s="11">
        <v>8</v>
      </c>
      <c r="AC348" s="11" t="s">
        <v>221</v>
      </c>
      <c r="AD348" t="e">
        <v>#VALUE!</v>
      </c>
    </row>
    <row r="349" spans="23:30" x14ac:dyDescent="0.25">
      <c r="W349" t="b">
        <v>0</v>
      </c>
      <c r="Z349" s="8"/>
      <c r="AA349" s="11">
        <v>31</v>
      </c>
      <c r="AB349" s="11">
        <v>9</v>
      </c>
      <c r="AC349" s="11" t="s">
        <v>221</v>
      </c>
      <c r="AD349" t="e">
        <v>#VALUE!</v>
      </c>
    </row>
    <row r="350" spans="23:30" x14ac:dyDescent="0.25">
      <c r="W350" t="b">
        <v>0</v>
      </c>
      <c r="Z350" s="8"/>
      <c r="AA350" s="11">
        <v>31</v>
      </c>
      <c r="AB350" s="11">
        <v>10</v>
      </c>
      <c r="AC350" s="11" t="s">
        <v>217</v>
      </c>
      <c r="AD350" t="e">
        <v>#VALUE!</v>
      </c>
    </row>
    <row r="351" spans="23:30" x14ac:dyDescent="0.25">
      <c r="W351" t="b">
        <v>0</v>
      </c>
      <c r="Z351" s="8"/>
      <c r="AA351" s="11">
        <v>31</v>
      </c>
      <c r="AB351" s="11">
        <v>11</v>
      </c>
      <c r="AC351" s="11" t="s">
        <v>217</v>
      </c>
      <c r="AD351" t="e">
        <v>#VALUE!</v>
      </c>
    </row>
    <row r="352" spans="23:30" x14ac:dyDescent="0.25">
      <c r="W352" t="b">
        <v>0</v>
      </c>
      <c r="Z352" s="8"/>
      <c r="AA352" s="11">
        <v>31</v>
      </c>
      <c r="AB352" s="11">
        <v>12</v>
      </c>
      <c r="AC352" s="11" t="s">
        <v>218</v>
      </c>
      <c r="AD352" t="e">
        <v>#VALUE!</v>
      </c>
    </row>
    <row r="353" spans="23:30" x14ac:dyDescent="0.25">
      <c r="W353" t="b">
        <v>0</v>
      </c>
      <c r="Z353" s="8"/>
      <c r="AA353" s="11">
        <v>31</v>
      </c>
      <c r="AB353" s="11">
        <v>13</v>
      </c>
      <c r="AC353" s="11" t="s">
        <v>218</v>
      </c>
      <c r="AD353">
        <v>1</v>
      </c>
    </row>
    <row r="354" spans="23:30" x14ac:dyDescent="0.25">
      <c r="W354" t="b">
        <v>0</v>
      </c>
      <c r="Z354" s="8"/>
      <c r="AA354" s="11">
        <v>31</v>
      </c>
      <c r="AB354" s="11">
        <v>14</v>
      </c>
      <c r="AC354" s="11" t="s">
        <v>218</v>
      </c>
      <c r="AD354" t="e">
        <v>#VALUE!</v>
      </c>
    </row>
    <row r="355" spans="23:30" x14ac:dyDescent="0.25">
      <c r="W355" t="b">
        <v>0</v>
      </c>
      <c r="Z355" s="8"/>
      <c r="AA355" s="11">
        <v>31</v>
      </c>
      <c r="AB355" s="11">
        <v>15</v>
      </c>
      <c r="AC355" s="11" t="s">
        <v>218</v>
      </c>
      <c r="AD355" t="e">
        <v>#VALUE!</v>
      </c>
    </row>
    <row r="356" spans="23:30" x14ac:dyDescent="0.25">
      <c r="W356" t="b">
        <v>0</v>
      </c>
      <c r="Z356" s="8"/>
      <c r="AA356" s="11">
        <v>32</v>
      </c>
      <c r="AB356" s="11">
        <v>6</v>
      </c>
      <c r="AC356" s="11" t="s">
        <v>211</v>
      </c>
      <c r="AD356" t="e">
        <v>#VALUE!</v>
      </c>
    </row>
    <row r="357" spans="23:30" x14ac:dyDescent="0.25">
      <c r="W357" t="b">
        <v>0</v>
      </c>
      <c r="Z357" s="8"/>
      <c r="AA357" s="11">
        <v>32</v>
      </c>
      <c r="AB357" s="11">
        <v>7</v>
      </c>
      <c r="AC357" s="11" t="s">
        <v>211</v>
      </c>
      <c r="AD357" t="e">
        <v>#VALUE!</v>
      </c>
    </row>
    <row r="358" spans="23:30" x14ac:dyDescent="0.25">
      <c r="W358" t="b">
        <v>0</v>
      </c>
      <c r="Z358" s="8"/>
      <c r="AA358" s="11">
        <v>32</v>
      </c>
      <c r="AB358" s="11">
        <v>8</v>
      </c>
      <c r="AC358" s="11" t="s">
        <v>211</v>
      </c>
      <c r="AD358" t="e">
        <v>#VALUE!</v>
      </c>
    </row>
    <row r="359" spans="23:30" x14ac:dyDescent="0.25">
      <c r="W359" t="b">
        <v>0</v>
      </c>
      <c r="Z359" s="8"/>
      <c r="AA359" s="11">
        <v>32</v>
      </c>
      <c r="AB359" s="11">
        <v>9</v>
      </c>
      <c r="AC359" s="11" t="s">
        <v>221</v>
      </c>
      <c r="AD359" t="e">
        <v>#VALUE!</v>
      </c>
    </row>
    <row r="360" spans="23:30" x14ac:dyDescent="0.25">
      <c r="W360" t="b">
        <v>0</v>
      </c>
      <c r="Z360" s="8"/>
      <c r="AA360" s="11">
        <v>32</v>
      </c>
      <c r="AB360" s="11">
        <v>10</v>
      </c>
      <c r="AC360" s="11" t="s">
        <v>217</v>
      </c>
      <c r="AD360" t="e">
        <v>#VALUE!</v>
      </c>
    </row>
    <row r="361" spans="23:30" x14ac:dyDescent="0.25">
      <c r="W361" t="b">
        <v>0</v>
      </c>
      <c r="Z361" s="8"/>
      <c r="AA361" s="11">
        <v>32</v>
      </c>
      <c r="AB361" s="11">
        <v>11</v>
      </c>
      <c r="AC361" s="11" t="s">
        <v>217</v>
      </c>
      <c r="AD361" t="e">
        <v>#VALUE!</v>
      </c>
    </row>
    <row r="362" spans="23:30" x14ac:dyDescent="0.25">
      <c r="W362" t="b">
        <v>0</v>
      </c>
      <c r="Z362" s="8"/>
      <c r="AA362" s="11">
        <v>32</v>
      </c>
      <c r="AB362" s="11">
        <v>12</v>
      </c>
      <c r="AC362" s="11" t="s">
        <v>218</v>
      </c>
      <c r="AD362" t="e">
        <v>#VALUE!</v>
      </c>
    </row>
    <row r="363" spans="23:30" x14ac:dyDescent="0.25">
      <c r="W363" t="b">
        <v>0</v>
      </c>
      <c r="Z363" s="8"/>
      <c r="AA363" s="11">
        <v>32</v>
      </c>
      <c r="AB363" s="11">
        <v>13</v>
      </c>
      <c r="AC363" s="11" t="s">
        <v>218</v>
      </c>
      <c r="AD363" t="e">
        <v>#VALUE!</v>
      </c>
    </row>
    <row r="364" spans="23:30" x14ac:dyDescent="0.25">
      <c r="W364" t="b">
        <v>0</v>
      </c>
      <c r="Z364" s="8"/>
      <c r="AA364" s="11">
        <v>33</v>
      </c>
      <c r="AB364" s="11">
        <v>6</v>
      </c>
      <c r="AC364" s="11" t="s">
        <v>211</v>
      </c>
      <c r="AD364" t="e">
        <v>#VALUE!</v>
      </c>
    </row>
    <row r="365" spans="23:30" x14ac:dyDescent="0.25">
      <c r="W365" t="b">
        <v>0</v>
      </c>
      <c r="Z365" s="8"/>
      <c r="AA365" s="11">
        <v>33</v>
      </c>
      <c r="AB365" s="11">
        <v>7</v>
      </c>
      <c r="AC365" s="11" t="s">
        <v>211</v>
      </c>
      <c r="AD365" t="e">
        <v>#VALUE!</v>
      </c>
    </row>
    <row r="366" spans="23:30" x14ac:dyDescent="0.25">
      <c r="W366" t="b">
        <v>0</v>
      </c>
      <c r="Z366" s="8"/>
      <c r="AA366" s="11">
        <v>33</v>
      </c>
      <c r="AB366" s="11">
        <v>8</v>
      </c>
      <c r="AC366" s="11" t="s">
        <v>211</v>
      </c>
      <c r="AD366" t="e">
        <v>#VALUE!</v>
      </c>
    </row>
    <row r="367" spans="23:30" x14ac:dyDescent="0.25">
      <c r="W367" t="b">
        <v>0</v>
      </c>
      <c r="Z367" s="8"/>
      <c r="AA367" s="11">
        <v>33</v>
      </c>
      <c r="AB367" s="11">
        <v>9</v>
      </c>
      <c r="AC367" s="11" t="s">
        <v>221</v>
      </c>
      <c r="AD367" t="e">
        <v>#VALUE!</v>
      </c>
    </row>
    <row r="368" spans="23:30" x14ac:dyDescent="0.25">
      <c r="W368" t="b">
        <v>0</v>
      </c>
      <c r="Z368" s="8"/>
      <c r="AA368" s="11">
        <v>33</v>
      </c>
      <c r="AB368" s="11">
        <v>10</v>
      </c>
      <c r="AC368" s="11" t="s">
        <v>221</v>
      </c>
      <c r="AD368" t="e">
        <v>#VALUE!</v>
      </c>
    </row>
    <row r="369" spans="23:30" x14ac:dyDescent="0.25">
      <c r="W369" t="b">
        <v>0</v>
      </c>
      <c r="Z369" s="8"/>
      <c r="AA369" s="11">
        <v>33</v>
      </c>
      <c r="AB369" s="11">
        <v>11</v>
      </c>
      <c r="AC369" s="11" t="s">
        <v>217</v>
      </c>
      <c r="AD369" t="e">
        <v>#VALUE!</v>
      </c>
    </row>
    <row r="370" spans="23:30" x14ac:dyDescent="0.25">
      <c r="W370" t="b">
        <v>0</v>
      </c>
      <c r="Z370" s="8"/>
      <c r="AA370" s="11">
        <v>33</v>
      </c>
      <c r="AB370" s="11">
        <v>12</v>
      </c>
      <c r="AC370" s="11" t="s">
        <v>218</v>
      </c>
      <c r="AD370" t="e">
        <v>#VALUE!</v>
      </c>
    </row>
    <row r="371" spans="23:30" x14ac:dyDescent="0.25">
      <c r="W371" t="b">
        <v>0</v>
      </c>
      <c r="Z371" s="8"/>
      <c r="AA371" s="11">
        <v>33</v>
      </c>
      <c r="AB371" s="11">
        <v>13</v>
      </c>
      <c r="AC371" s="11" t="s">
        <v>218</v>
      </c>
      <c r="AD371" t="e">
        <v>#VALUE!</v>
      </c>
    </row>
    <row r="372" spans="23:30" x14ac:dyDescent="0.25">
      <c r="W372" t="b">
        <v>0</v>
      </c>
      <c r="Z372" s="8"/>
      <c r="AA372" s="11">
        <v>33</v>
      </c>
      <c r="AB372" s="11">
        <v>14</v>
      </c>
      <c r="AC372" s="11" t="s">
        <v>218</v>
      </c>
      <c r="AD372" t="e">
        <v>#VALUE!</v>
      </c>
    </row>
    <row r="373" spans="23:30" x14ac:dyDescent="0.25">
      <c r="W373" t="b">
        <v>0</v>
      </c>
      <c r="Z373" s="8"/>
      <c r="AA373" s="11">
        <v>34</v>
      </c>
      <c r="AB373" s="11">
        <v>7</v>
      </c>
      <c r="AC373" s="11" t="s">
        <v>211</v>
      </c>
      <c r="AD373" t="e">
        <v>#VALUE!</v>
      </c>
    </row>
    <row r="374" spans="23:30" x14ac:dyDescent="0.25">
      <c r="W374" t="b">
        <v>0</v>
      </c>
      <c r="Z374" s="8"/>
      <c r="AA374" s="11">
        <v>34</v>
      </c>
      <c r="AB374" s="11">
        <v>8</v>
      </c>
      <c r="AC374" s="11" t="s">
        <v>211</v>
      </c>
      <c r="AD374" t="e">
        <v>#VALUE!</v>
      </c>
    </row>
    <row r="375" spans="23:30" x14ac:dyDescent="0.25">
      <c r="W375" t="b">
        <v>0</v>
      </c>
      <c r="Z375" s="8"/>
      <c r="AA375" s="11">
        <v>34</v>
      </c>
      <c r="AB375" s="11">
        <v>9</v>
      </c>
      <c r="AC375" s="11" t="s">
        <v>211</v>
      </c>
      <c r="AD375" t="e">
        <v>#VALUE!</v>
      </c>
    </row>
    <row r="376" spans="23:30" x14ac:dyDescent="0.25">
      <c r="W376" t="b">
        <v>0</v>
      </c>
      <c r="Z376" s="8"/>
      <c r="AA376" s="11">
        <v>34</v>
      </c>
      <c r="AB376" s="11">
        <v>10</v>
      </c>
      <c r="AC376" s="11" t="s">
        <v>221</v>
      </c>
      <c r="AD376" t="e">
        <v>#VALUE!</v>
      </c>
    </row>
    <row r="377" spans="23:30" x14ac:dyDescent="0.25">
      <c r="W377" t="b">
        <v>0</v>
      </c>
      <c r="Z377" s="8"/>
      <c r="AA377" s="11">
        <v>34</v>
      </c>
      <c r="AB377" s="11">
        <v>11</v>
      </c>
      <c r="AC377" s="11" t="s">
        <v>222</v>
      </c>
      <c r="AD377" t="e">
        <v>#VALUE!</v>
      </c>
    </row>
    <row r="378" spans="23:30" x14ac:dyDescent="0.25">
      <c r="W378" t="b">
        <v>0</v>
      </c>
      <c r="Z378" s="8"/>
      <c r="AA378" s="11">
        <v>34</v>
      </c>
      <c r="AB378" s="11">
        <v>12</v>
      </c>
      <c r="AC378" s="11" t="s">
        <v>222</v>
      </c>
      <c r="AD378" t="e">
        <v>#VALUE!</v>
      </c>
    </row>
    <row r="379" spans="23:30" x14ac:dyDescent="0.25">
      <c r="W379" t="b">
        <v>0</v>
      </c>
      <c r="Z379" s="8"/>
      <c r="AA379" s="11">
        <v>34</v>
      </c>
      <c r="AB379" s="11">
        <v>13</v>
      </c>
      <c r="AC379" s="11" t="s">
        <v>218</v>
      </c>
      <c r="AD379" t="e">
        <v>#VALUE!</v>
      </c>
    </row>
    <row r="380" spans="23:30" x14ac:dyDescent="0.25">
      <c r="W380" t="b">
        <v>0</v>
      </c>
      <c r="Z380" s="8"/>
      <c r="AA380" s="11">
        <v>34</v>
      </c>
      <c r="AB380" s="11">
        <v>14</v>
      </c>
      <c r="AC380" s="11" t="s">
        <v>218</v>
      </c>
      <c r="AD380" t="e">
        <v>#VALUE!</v>
      </c>
    </row>
    <row r="381" spans="23:30" x14ac:dyDescent="0.25">
      <c r="W381" t="b">
        <v>0</v>
      </c>
      <c r="Z381" s="8"/>
      <c r="AA381" s="11">
        <v>35</v>
      </c>
      <c r="AB381" s="11">
        <v>7</v>
      </c>
      <c r="AC381" s="11" t="s">
        <v>211</v>
      </c>
      <c r="AD381" t="e">
        <v>#VALUE!</v>
      </c>
    </row>
    <row r="382" spans="23:30" x14ac:dyDescent="0.25">
      <c r="W382" t="b">
        <v>0</v>
      </c>
      <c r="Z382" s="8"/>
      <c r="AA382" s="11">
        <v>35</v>
      </c>
      <c r="AB382" s="11">
        <v>8</v>
      </c>
      <c r="AC382" s="11" t="s">
        <v>211</v>
      </c>
      <c r="AD382" t="e">
        <v>#VALUE!</v>
      </c>
    </row>
    <row r="383" spans="23:30" x14ac:dyDescent="0.25">
      <c r="W383" t="b">
        <v>0</v>
      </c>
      <c r="Z383" s="8"/>
      <c r="AA383" s="11">
        <v>35</v>
      </c>
      <c r="AB383" s="11">
        <v>9</v>
      </c>
      <c r="AC383" s="11" t="s">
        <v>211</v>
      </c>
      <c r="AD383" t="e">
        <v>#VALUE!</v>
      </c>
    </row>
    <row r="384" spans="23:30" x14ac:dyDescent="0.25">
      <c r="W384" t="b">
        <v>0</v>
      </c>
      <c r="Z384" s="8"/>
      <c r="AA384" s="11">
        <v>35</v>
      </c>
      <c r="AB384" s="11">
        <v>10</v>
      </c>
      <c r="AC384" s="11" t="s">
        <v>221</v>
      </c>
      <c r="AD384" t="e">
        <v>#VALUE!</v>
      </c>
    </row>
    <row r="385" spans="23:30" x14ac:dyDescent="0.25">
      <c r="W385" t="b">
        <v>0</v>
      </c>
      <c r="Z385" s="8"/>
      <c r="AA385" s="11">
        <v>35</v>
      </c>
      <c r="AB385" s="11">
        <v>11</v>
      </c>
      <c r="AC385" s="11" t="s">
        <v>222</v>
      </c>
      <c r="AD385" t="e">
        <v>#VALUE!</v>
      </c>
    </row>
    <row r="386" spans="23:30" x14ac:dyDescent="0.25">
      <c r="W386" t="b">
        <v>0</v>
      </c>
      <c r="Z386" s="8"/>
      <c r="AA386" s="11">
        <v>35</v>
      </c>
      <c r="AB386" s="11">
        <v>12</v>
      </c>
      <c r="AC386" s="11" t="s">
        <v>222</v>
      </c>
      <c r="AD386" t="e">
        <v>#VALUE!</v>
      </c>
    </row>
    <row r="387" spans="23:30" x14ac:dyDescent="0.25">
      <c r="W387" t="b">
        <v>0</v>
      </c>
      <c r="Z387" s="8"/>
      <c r="AA387" s="11">
        <v>35</v>
      </c>
      <c r="AB387" s="11">
        <v>13</v>
      </c>
      <c r="AC387" s="11" t="s">
        <v>218</v>
      </c>
      <c r="AD387" t="e">
        <v>#VALUE!</v>
      </c>
    </row>
    <row r="388" spans="23:30" x14ac:dyDescent="0.25">
      <c r="W388" t="b">
        <v>0</v>
      </c>
      <c r="Z388" s="8"/>
      <c r="AA388" s="11">
        <v>35</v>
      </c>
      <c r="AB388" s="11">
        <v>14</v>
      </c>
      <c r="AC388" s="11" t="s">
        <v>218</v>
      </c>
      <c r="AD388" t="e">
        <v>#VALUE!</v>
      </c>
    </row>
    <row r="389" spans="23:30" x14ac:dyDescent="0.25">
      <c r="W389" t="b">
        <v>0</v>
      </c>
      <c r="Z389" s="8"/>
      <c r="AA389" s="11">
        <v>36</v>
      </c>
      <c r="AB389" s="11">
        <v>7</v>
      </c>
      <c r="AC389" s="11" t="s">
        <v>211</v>
      </c>
      <c r="AD389" t="e">
        <v>#VALUE!</v>
      </c>
    </row>
    <row r="390" spans="23:30" x14ac:dyDescent="0.25">
      <c r="W390" t="b">
        <v>0</v>
      </c>
      <c r="Z390" s="8"/>
      <c r="AA390" s="11">
        <v>36</v>
      </c>
      <c r="AB390" s="11">
        <v>8</v>
      </c>
      <c r="AC390" s="11" t="s">
        <v>211</v>
      </c>
      <c r="AD390" t="e">
        <v>#VALUE!</v>
      </c>
    </row>
    <row r="391" spans="23:30" x14ac:dyDescent="0.25">
      <c r="W391" t="b">
        <v>0</v>
      </c>
      <c r="Z391" s="8"/>
      <c r="AA391" s="11">
        <v>36</v>
      </c>
      <c r="AB391" s="11">
        <v>9</v>
      </c>
      <c r="AC391" s="11" t="s">
        <v>211</v>
      </c>
      <c r="AD391" t="e">
        <v>#VALUE!</v>
      </c>
    </row>
    <row r="392" spans="23:30" x14ac:dyDescent="0.25">
      <c r="W392" t="b">
        <v>0</v>
      </c>
      <c r="Z392" s="8"/>
      <c r="AA392" s="11">
        <v>36</v>
      </c>
      <c r="AB392" s="11">
        <v>10</v>
      </c>
      <c r="AC392" s="11" t="s">
        <v>211</v>
      </c>
      <c r="AD392" t="e">
        <v>#VALUE!</v>
      </c>
    </row>
    <row r="393" spans="23:30" x14ac:dyDescent="0.25">
      <c r="W393" t="b">
        <v>0</v>
      </c>
      <c r="Z393" s="8"/>
      <c r="AA393" s="11">
        <v>36</v>
      </c>
      <c r="AB393" s="11">
        <v>11</v>
      </c>
      <c r="AC393" s="11" t="s">
        <v>222</v>
      </c>
      <c r="AD393" t="e">
        <v>#VALUE!</v>
      </c>
    </row>
    <row r="394" spans="23:30" x14ac:dyDescent="0.25">
      <c r="W394" t="b">
        <v>0</v>
      </c>
      <c r="Z394" s="8"/>
      <c r="AA394" s="11">
        <v>36</v>
      </c>
      <c r="AB394" s="11">
        <v>12</v>
      </c>
      <c r="AC394" s="11" t="s">
        <v>222</v>
      </c>
      <c r="AD394" t="e">
        <v>#VALUE!</v>
      </c>
    </row>
    <row r="395" spans="23:30" x14ac:dyDescent="0.25">
      <c r="W395" t="b">
        <v>0</v>
      </c>
      <c r="Z395" s="8"/>
      <c r="AA395" s="11">
        <v>36</v>
      </c>
      <c r="AB395" s="11">
        <v>13</v>
      </c>
      <c r="AC395" s="11" t="s">
        <v>222</v>
      </c>
      <c r="AD395" t="e">
        <v>#VALUE!</v>
      </c>
    </row>
    <row r="396" spans="23:30" x14ac:dyDescent="0.25">
      <c r="W396" t="b">
        <v>0</v>
      </c>
      <c r="Z396" s="8"/>
      <c r="AA396" s="11">
        <v>36</v>
      </c>
      <c r="AB396" s="11">
        <v>14</v>
      </c>
      <c r="AC396" s="11" t="s">
        <v>218</v>
      </c>
      <c r="AD396" t="e">
        <v>#VALUE!</v>
      </c>
    </row>
    <row r="397" spans="23:30" x14ac:dyDescent="0.25">
      <c r="W397" t="b">
        <v>0</v>
      </c>
      <c r="Z397" s="8"/>
      <c r="AA397" s="11">
        <v>37</v>
      </c>
      <c r="AB397" s="11">
        <v>8</v>
      </c>
      <c r="AC397" s="11" t="s">
        <v>211</v>
      </c>
      <c r="AD397" t="e">
        <v>#VALUE!</v>
      </c>
    </row>
    <row r="398" spans="23:30" x14ac:dyDescent="0.25">
      <c r="W398" t="b">
        <v>0</v>
      </c>
      <c r="Z398" s="8"/>
      <c r="AA398" s="11">
        <v>37</v>
      </c>
      <c r="AB398" s="11">
        <v>9</v>
      </c>
      <c r="AC398" s="11" t="s">
        <v>211</v>
      </c>
      <c r="AD398" t="e">
        <v>#VALUE!</v>
      </c>
    </row>
    <row r="399" spans="23:30" x14ac:dyDescent="0.25">
      <c r="W399" t="b">
        <v>0</v>
      </c>
      <c r="Z399" s="8"/>
      <c r="AA399" s="11">
        <v>37</v>
      </c>
      <c r="AB399" s="11">
        <v>11</v>
      </c>
      <c r="AC399" s="11" t="s">
        <v>222</v>
      </c>
      <c r="AD399" t="e">
        <v>#VALUE!</v>
      </c>
    </row>
    <row r="400" spans="23:30" x14ac:dyDescent="0.25">
      <c r="W400" t="b">
        <v>0</v>
      </c>
      <c r="Z400" s="8"/>
      <c r="AA400" s="11">
        <v>37</v>
      </c>
      <c r="AB400" s="11">
        <v>12</v>
      </c>
      <c r="AC400" s="11" t="s">
        <v>222</v>
      </c>
      <c r="AD400" t="e">
        <v>#VALUE!</v>
      </c>
    </row>
    <row r="401" spans="23:30" x14ac:dyDescent="0.25">
      <c r="W401" t="b">
        <v>0</v>
      </c>
      <c r="Z401" s="8"/>
      <c r="AA401" s="11">
        <v>37</v>
      </c>
      <c r="AB401" s="11">
        <v>13</v>
      </c>
      <c r="AC401" s="11" t="s">
        <v>222</v>
      </c>
      <c r="AD401" t="e">
        <v>#VALUE!</v>
      </c>
    </row>
    <row r="402" spans="23:30" x14ac:dyDescent="0.25">
      <c r="W402" t="b">
        <v>0</v>
      </c>
      <c r="Z402" s="8"/>
      <c r="AA402" s="11">
        <v>38</v>
      </c>
      <c r="AB402" s="11">
        <v>8</v>
      </c>
      <c r="AC402" s="11" t="s">
        <v>211</v>
      </c>
      <c r="AD402" t="e">
        <v>#VALUE!</v>
      </c>
    </row>
    <row r="403" spans="23:30" x14ac:dyDescent="0.25">
      <c r="W403" t="b">
        <v>0</v>
      </c>
      <c r="Z403" s="8"/>
      <c r="AA403" s="11">
        <v>38</v>
      </c>
      <c r="AB403" s="11">
        <v>11</v>
      </c>
      <c r="AC403" s="11" t="s">
        <v>222</v>
      </c>
      <c r="AD403" t="e">
        <v>#VALUE!</v>
      </c>
    </row>
    <row r="404" spans="23:30" x14ac:dyDescent="0.25">
      <c r="W404" t="b">
        <v>0</v>
      </c>
      <c r="Z404" s="8"/>
      <c r="AA404" s="11">
        <v>38</v>
      </c>
      <c r="AB404" s="11">
        <v>12</v>
      </c>
      <c r="AC404" s="11" t="s">
        <v>222</v>
      </c>
      <c r="AD404" t="e">
        <v>#VALUE!</v>
      </c>
    </row>
    <row r="405" spans="23:30" x14ac:dyDescent="0.25">
      <c r="W405" t="b">
        <v>0</v>
      </c>
      <c r="Z405" s="8"/>
      <c r="AA405" s="11">
        <v>38</v>
      </c>
      <c r="AB405" s="11">
        <v>13</v>
      </c>
      <c r="AC405" s="11" t="s">
        <v>222</v>
      </c>
      <c r="AD405" t="e">
        <v>#VALUE!</v>
      </c>
    </row>
    <row r="406" spans="23:30" x14ac:dyDescent="0.25">
      <c r="W406" t="b">
        <v>0</v>
      </c>
      <c r="Z406" s="8"/>
      <c r="AA406" s="11">
        <v>38</v>
      </c>
      <c r="AB406" s="11">
        <v>14</v>
      </c>
      <c r="AC406" s="11" t="s">
        <v>222</v>
      </c>
      <c r="AD406" t="e">
        <v>#VALUE!</v>
      </c>
    </row>
    <row r="407" spans="23:30" x14ac:dyDescent="0.25">
      <c r="W407" t="b">
        <v>0</v>
      </c>
      <c r="Z407" s="8"/>
      <c r="AA407" s="11">
        <v>39</v>
      </c>
      <c r="AB407" s="11">
        <v>11</v>
      </c>
      <c r="AC407" s="11" t="s">
        <v>222</v>
      </c>
      <c r="AD407" t="e">
        <v>#VALUE!</v>
      </c>
    </row>
    <row r="408" spans="23:30" x14ac:dyDescent="0.25">
      <c r="W408" t="b">
        <v>0</v>
      </c>
      <c r="Z408" s="8"/>
      <c r="AA408" s="11">
        <v>39</v>
      </c>
      <c r="AB408" s="11">
        <v>12</v>
      </c>
      <c r="AC408" s="11" t="s">
        <v>222</v>
      </c>
      <c r="AD408" t="e">
        <v>#VALUE!</v>
      </c>
    </row>
    <row r="409" spans="23:30" x14ac:dyDescent="0.25">
      <c r="W409" t="b">
        <v>0</v>
      </c>
      <c r="Z409" s="8"/>
      <c r="AA409" s="11">
        <v>39</v>
      </c>
      <c r="AB409" s="11">
        <v>13</v>
      </c>
      <c r="AC409" s="11" t="s">
        <v>222</v>
      </c>
      <c r="AD409" t="e">
        <v>#VALUE!</v>
      </c>
    </row>
    <row r="410" spans="23:30" x14ac:dyDescent="0.25">
      <c r="W410" t="b">
        <v>0</v>
      </c>
      <c r="Z410" s="8"/>
      <c r="AA410" s="11">
        <v>40</v>
      </c>
      <c r="AB410" s="11">
        <v>11</v>
      </c>
      <c r="AC410" s="11" t="s">
        <v>222</v>
      </c>
      <c r="AD410" t="e">
        <v>#VALUE!</v>
      </c>
    </row>
    <row r="411" spans="23:30" x14ac:dyDescent="0.25">
      <c r="W411" t="b">
        <v>0</v>
      </c>
      <c r="Z411" s="8"/>
      <c r="AA411" s="11">
        <v>40</v>
      </c>
      <c r="AB411" s="11">
        <v>12</v>
      </c>
      <c r="AC411" s="11" t="s">
        <v>222</v>
      </c>
      <c r="AD411" t="e">
        <v>#VALUE!</v>
      </c>
    </row>
    <row r="412" spans="23:30" x14ac:dyDescent="0.25">
      <c r="W412" t="b">
        <v>0</v>
      </c>
      <c r="Z412" s="8"/>
      <c r="AA412" s="11">
        <v>40</v>
      </c>
      <c r="AB412" s="11">
        <v>13</v>
      </c>
      <c r="AC412" s="11" t="s">
        <v>222</v>
      </c>
      <c r="AD412" t="e">
        <v>#VALUE!</v>
      </c>
    </row>
    <row r="413" spans="23:30" x14ac:dyDescent="0.25">
      <c r="W413" t="b">
        <v>0</v>
      </c>
      <c r="Z413" s="8"/>
      <c r="AA413" s="11">
        <v>41</v>
      </c>
      <c r="AB413" s="11">
        <v>11</v>
      </c>
      <c r="AC413" s="11" t="s">
        <v>222</v>
      </c>
      <c r="AD413" t="e">
        <v>#VALUE!</v>
      </c>
    </row>
    <row r="414" spans="23:30" x14ac:dyDescent="0.25">
      <c r="W414" t="b">
        <v>0</v>
      </c>
      <c r="Z414" s="8"/>
      <c r="AA414" s="11">
        <v>41</v>
      </c>
      <c r="AB414" s="11">
        <v>12</v>
      </c>
      <c r="AC414" s="11" t="s">
        <v>222</v>
      </c>
      <c r="AD414" t="e">
        <v>#VALUE!</v>
      </c>
    </row>
    <row r="415" spans="23:30" x14ac:dyDescent="0.25">
      <c r="W415" t="b">
        <v>0</v>
      </c>
      <c r="Z415" s="8"/>
      <c r="AA415" s="11">
        <v>41</v>
      </c>
      <c r="AB415" s="11">
        <v>13</v>
      </c>
      <c r="AC415" s="11" t="s">
        <v>222</v>
      </c>
      <c r="AD415">
        <v>1</v>
      </c>
    </row>
    <row r="416" spans="23:30" x14ac:dyDescent="0.25">
      <c r="W416" t="b">
        <v>0</v>
      </c>
      <c r="Z416" s="8"/>
      <c r="AA416" s="11">
        <v>42</v>
      </c>
      <c r="AB416" s="11">
        <v>12</v>
      </c>
      <c r="AC416" s="11" t="s">
        <v>222</v>
      </c>
      <c r="AD416" t="e">
        <v>#VALUE!</v>
      </c>
    </row>
    <row r="417" spans="23:30" x14ac:dyDescent="0.25">
      <c r="W417" t="b">
        <v>0</v>
      </c>
      <c r="Z417" s="8"/>
      <c r="AA417" s="11">
        <v>42</v>
      </c>
      <c r="AB417" s="11">
        <v>13</v>
      </c>
      <c r="AC417" s="11" t="s">
        <v>222</v>
      </c>
      <c r="AD417" t="e">
        <v>#VALUE!</v>
      </c>
    </row>
    <row r="418" spans="23:30" x14ac:dyDescent="0.25">
      <c r="W418" t="b">
        <v>0</v>
      </c>
      <c r="Z418" s="8"/>
      <c r="AA418" s="11">
        <v>43</v>
      </c>
      <c r="AB418" s="11">
        <v>12</v>
      </c>
      <c r="AC418" s="11" t="s">
        <v>222</v>
      </c>
      <c r="AD418" t="e">
        <v>#VALUE!</v>
      </c>
    </row>
    <row r="419" spans="23:30" x14ac:dyDescent="0.25">
      <c r="W419" t="b">
        <v>0</v>
      </c>
      <c r="Z419" s="8"/>
      <c r="AA419" s="11">
        <v>43</v>
      </c>
      <c r="AB419" s="11">
        <v>13</v>
      </c>
      <c r="AC419" s="11" t="s">
        <v>222</v>
      </c>
      <c r="AD419" t="e">
        <v>#VALUE!</v>
      </c>
    </row>
    <row r="420" spans="23:30" x14ac:dyDescent="0.25">
      <c r="W420" t="b">
        <v>0</v>
      </c>
    </row>
  </sheetData>
  <mergeCells count="6">
    <mergeCell ref="B11:B53"/>
    <mergeCell ref="D2:I2"/>
    <mergeCell ref="D3:S6"/>
    <mergeCell ref="W3:Y6"/>
    <mergeCell ref="AA8:AC8"/>
    <mergeCell ref="D9:T9"/>
  </mergeCells>
  <conditionalFormatting sqref="D11:T53">
    <cfRule type="expression" dxfId="7" priority="1">
      <formula>IF(AND(D11&gt;247,D11&lt;=321),1,0)</formula>
    </cfRule>
    <cfRule type="expression" dxfId="6" priority="2">
      <formula>IF(AND(D11&gt;144,D11&lt;=246),1,0)</formula>
    </cfRule>
    <cfRule type="expression" dxfId="5" priority="3">
      <formula>IF(AND(D11&gt;9,D11&lt;=143),1,0)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C01A-E8F1-4227-A950-577A7B0FA6CD}">
  <sheetPr codeName="Hoja11"/>
  <dimension ref="B1:P111"/>
  <sheetViews>
    <sheetView showGridLines="0" topLeftCell="A11" zoomScale="104" zoomScaleNormal="100" workbookViewId="0">
      <selection activeCell="M15" sqref="M15"/>
    </sheetView>
  </sheetViews>
  <sheetFormatPr baseColWidth="10" defaultColWidth="11.42578125" defaultRowHeight="15" x14ac:dyDescent="0.25"/>
  <cols>
    <col min="1" max="1" width="4.140625" customWidth="1"/>
    <col min="2" max="2" width="19.5703125" bestFit="1" customWidth="1"/>
    <col min="3" max="3" width="12.140625" bestFit="1" customWidth="1"/>
    <col min="4" max="4" width="14.28515625" bestFit="1" customWidth="1"/>
    <col min="5" max="5" width="13.7109375" bestFit="1" customWidth="1"/>
    <col min="6" max="6" width="18.28515625" bestFit="1" customWidth="1"/>
    <col min="7" max="7" width="5.7109375" bestFit="1" customWidth="1"/>
    <col min="8" max="8" width="8" bestFit="1" customWidth="1"/>
    <col min="9" max="10" width="4.140625" customWidth="1"/>
    <col min="11" max="11" width="24.5703125" customWidth="1"/>
    <col min="12" max="12" width="24" customWidth="1"/>
    <col min="13" max="13" width="16.140625" customWidth="1"/>
    <col min="14" max="14" width="23.5703125" customWidth="1"/>
    <col min="15" max="15" width="13.42578125" customWidth="1"/>
    <col min="16" max="16" width="20.42578125" customWidth="1"/>
    <col min="17" max="20" width="4.140625" customWidth="1"/>
    <col min="21" max="21" width="24.42578125" customWidth="1"/>
    <col min="22" max="22" width="22.28515625" customWidth="1"/>
    <col min="23" max="23" width="14.5703125" customWidth="1"/>
    <col min="24" max="25" width="7.28515625" customWidth="1"/>
    <col min="26" max="26" width="9.5703125" bestFit="1" customWidth="1"/>
    <col min="27" max="27" width="18.7109375" bestFit="1" customWidth="1"/>
    <col min="28" max="28" width="6.85546875" customWidth="1"/>
  </cols>
  <sheetData>
    <row r="1" spans="2:16" ht="15.75" thickBot="1" x14ac:dyDescent="0.3"/>
    <row r="2" spans="2:16" ht="15.75" thickBot="1" x14ac:dyDescent="0.3">
      <c r="B2" s="110" t="s">
        <v>223</v>
      </c>
      <c r="C2" s="108"/>
      <c r="D2" s="108"/>
      <c r="E2" s="108"/>
      <c r="F2" s="108"/>
      <c r="G2" s="109"/>
      <c r="K2" s="93" t="s">
        <v>224</v>
      </c>
    </row>
    <row r="3" spans="2:16" ht="18" customHeight="1" x14ac:dyDescent="0.25">
      <c r="B3" s="173" t="s">
        <v>225</v>
      </c>
      <c r="C3" s="177"/>
      <c r="D3" s="177"/>
      <c r="E3" s="177"/>
      <c r="F3" s="177"/>
      <c r="G3" s="175"/>
      <c r="I3" s="37"/>
      <c r="K3" s="105" t="s">
        <v>226</v>
      </c>
      <c r="L3" s="105" t="s">
        <v>227</v>
      </c>
    </row>
    <row r="4" spans="2:16" ht="15.75" customHeight="1" x14ac:dyDescent="0.25">
      <c r="B4" s="176"/>
      <c r="C4" s="177"/>
      <c r="D4" s="177"/>
      <c r="E4" s="177"/>
      <c r="F4" s="177"/>
      <c r="G4" s="178"/>
      <c r="H4" s="92"/>
      <c r="K4" s="91" t="s">
        <v>228</v>
      </c>
      <c r="L4" s="91" t="s">
        <v>229</v>
      </c>
      <c r="P4" s="103"/>
    </row>
    <row r="5" spans="2:16" ht="17.25" customHeight="1" x14ac:dyDescent="0.25">
      <c r="B5" s="176"/>
      <c r="C5" s="177"/>
      <c r="D5" s="177"/>
      <c r="E5" s="177"/>
      <c r="F5" s="177"/>
      <c r="G5" s="178"/>
      <c r="H5" s="92"/>
      <c r="K5" s="91" t="s">
        <v>230</v>
      </c>
      <c r="L5" s="91" t="s">
        <v>231</v>
      </c>
    </row>
    <row r="6" spans="2:16" ht="17.25" x14ac:dyDescent="0.25">
      <c r="B6" s="176"/>
      <c r="C6" s="177"/>
      <c r="D6" s="177"/>
      <c r="E6" s="177"/>
      <c r="F6" s="177"/>
      <c r="G6" s="178"/>
      <c r="H6" s="92"/>
      <c r="K6" s="91" t="s">
        <v>232</v>
      </c>
      <c r="L6" s="91" t="s">
        <v>233</v>
      </c>
    </row>
    <row r="7" spans="2:16" ht="27.75" customHeight="1" thickBot="1" x14ac:dyDescent="0.3">
      <c r="B7" s="179"/>
      <c r="C7" s="180"/>
      <c r="D7" s="180"/>
      <c r="E7" s="180"/>
      <c r="F7" s="180"/>
      <c r="G7" s="181"/>
      <c r="H7" s="92"/>
      <c r="K7" s="91" t="s">
        <v>234</v>
      </c>
      <c r="L7" s="91" t="s">
        <v>235</v>
      </c>
    </row>
    <row r="8" spans="2:16" ht="17.25" x14ac:dyDescent="0.25">
      <c r="B8" s="85"/>
      <c r="C8" s="85"/>
      <c r="D8" s="85"/>
      <c r="E8" s="85"/>
      <c r="F8" s="98"/>
      <c r="G8" s="85"/>
      <c r="H8" s="92"/>
      <c r="K8" s="91" t="s">
        <v>236</v>
      </c>
      <c r="L8" s="91" t="s">
        <v>237</v>
      </c>
    </row>
    <row r="9" spans="2:16" ht="17.25" x14ac:dyDescent="0.25">
      <c r="B9" s="85"/>
      <c r="C9" s="85"/>
      <c r="D9" s="85"/>
      <c r="E9" s="85"/>
      <c r="F9" s="103"/>
      <c r="G9" s="85"/>
      <c r="H9" s="92"/>
      <c r="K9" s="91" t="s">
        <v>238</v>
      </c>
      <c r="L9" s="91" t="s">
        <v>239</v>
      </c>
    </row>
    <row r="10" spans="2:16" x14ac:dyDescent="0.25">
      <c r="B10" s="93" t="s">
        <v>240</v>
      </c>
      <c r="M10" s="16" t="s">
        <v>15</v>
      </c>
    </row>
    <row r="11" spans="2:16" x14ac:dyDescent="0.25">
      <c r="B11" s="96" t="s">
        <v>241</v>
      </c>
      <c r="C11" s="96" t="s">
        <v>228</v>
      </c>
      <c r="D11" s="96" t="s">
        <v>230</v>
      </c>
      <c r="E11" s="96" t="s">
        <v>232</v>
      </c>
      <c r="F11" s="96" t="s">
        <v>234</v>
      </c>
      <c r="G11" s="96" t="s">
        <v>236</v>
      </c>
      <c r="H11" s="96" t="s">
        <v>238</v>
      </c>
      <c r="K11" s="96" t="s">
        <v>242</v>
      </c>
      <c r="L11" s="27" t="s">
        <v>230</v>
      </c>
      <c r="M11" s="60" t="s">
        <v>230</v>
      </c>
    </row>
    <row r="12" spans="2:16" x14ac:dyDescent="0.25">
      <c r="B12" s="27" t="s">
        <v>243</v>
      </c>
      <c r="C12" s="27">
        <v>7.4</v>
      </c>
      <c r="D12" s="27">
        <v>0.7</v>
      </c>
      <c r="E12" s="27">
        <v>1.9</v>
      </c>
      <c r="F12" s="27">
        <v>34</v>
      </c>
      <c r="G12" s="27">
        <v>3.51</v>
      </c>
      <c r="H12" s="27">
        <v>9.4</v>
      </c>
      <c r="K12" s="96" t="s">
        <v>244</v>
      </c>
      <c r="L12" s="27" t="s">
        <v>245</v>
      </c>
      <c r="M12" s="60" t="s">
        <v>245</v>
      </c>
    </row>
    <row r="13" spans="2:16" x14ac:dyDescent="0.25">
      <c r="B13" s="27" t="s">
        <v>245</v>
      </c>
      <c r="C13" s="27">
        <v>7.8</v>
      </c>
      <c r="D13" s="27">
        <v>0.88</v>
      </c>
      <c r="E13" s="27">
        <v>2.6</v>
      </c>
      <c r="F13" s="27">
        <v>67</v>
      </c>
      <c r="G13" s="27">
        <v>3.2</v>
      </c>
      <c r="H13" s="27">
        <v>9.8000000000000007</v>
      </c>
    </row>
    <row r="14" spans="2:16" x14ac:dyDescent="0.25">
      <c r="B14" s="27" t="s">
        <v>246</v>
      </c>
      <c r="C14" s="27">
        <v>7.8</v>
      </c>
      <c r="D14" s="27">
        <v>0.76</v>
      </c>
      <c r="E14" s="27">
        <v>2.2999999999999998</v>
      </c>
      <c r="F14" s="27">
        <v>54</v>
      </c>
      <c r="G14" s="27">
        <v>3.26</v>
      </c>
      <c r="H14" s="27">
        <v>9.8000000000000007</v>
      </c>
      <c r="K14" s="96" t="s">
        <v>247</v>
      </c>
      <c r="L14" s="111" cm="1">
        <f t="array" ref="L14">INDEX(B11:H111,MATCH(L12,B11:B111,0),MATCH(L11,B11:H11,0))/AVERAGE(IF(L11=C11:H11,(C12:H111),""))</f>
        <v>1.5700267618198038</v>
      </c>
      <c r="M14" s="112">
        <v>1.5700267618198038</v>
      </c>
    </row>
    <row r="15" spans="2:16" x14ac:dyDescent="0.25">
      <c r="B15" s="27" t="s">
        <v>248</v>
      </c>
      <c r="C15" s="27">
        <v>11.2</v>
      </c>
      <c r="D15" s="27">
        <v>0.28000000000000003</v>
      </c>
      <c r="E15" s="27">
        <v>1.9</v>
      </c>
      <c r="F15" s="27">
        <v>60</v>
      </c>
      <c r="G15" s="27">
        <v>3.16</v>
      </c>
      <c r="H15" s="27">
        <v>9.8000000000000007</v>
      </c>
      <c r="L15" cm="1">
        <f t="array" ref="L15">INDEX(C12:H111,MATCH(L12,B12:B111,0),MATCH(L11,C11:H11,0))/AVERAGE(IF(L11=C11:H11,C12:H111,""))</f>
        <v>1.5700267618198038</v>
      </c>
    </row>
    <row r="16" spans="2:16" x14ac:dyDescent="0.25">
      <c r="B16" s="27" t="s">
        <v>249</v>
      </c>
      <c r="C16" s="27">
        <v>7.4</v>
      </c>
      <c r="D16" s="27">
        <v>0.7</v>
      </c>
      <c r="E16" s="27">
        <v>1.9</v>
      </c>
      <c r="F16" s="27">
        <v>34</v>
      </c>
      <c r="G16" s="27">
        <v>3.51</v>
      </c>
      <c r="H16" s="27">
        <v>9.4</v>
      </c>
    </row>
    <row r="17" spans="2:12" x14ac:dyDescent="0.25">
      <c r="B17" s="27" t="s">
        <v>250</v>
      </c>
      <c r="C17" s="27">
        <v>7.4</v>
      </c>
      <c r="D17" s="27">
        <v>0.66</v>
      </c>
      <c r="E17" s="27">
        <v>1.8</v>
      </c>
      <c r="F17" s="27">
        <v>40</v>
      </c>
      <c r="G17" s="27">
        <v>3.51</v>
      </c>
      <c r="H17" s="27">
        <v>9.4</v>
      </c>
      <c r="K17" s="93"/>
      <c r="L17" cm="1">
        <f t="array" ref="L17">AVERAGE(IF(L11=C11:H11,(C12:H111),""))</f>
        <v>0.5605</v>
      </c>
    </row>
    <row r="18" spans="2:12" x14ac:dyDescent="0.25">
      <c r="B18" s="27" t="s">
        <v>251</v>
      </c>
      <c r="C18" s="27">
        <v>7.9</v>
      </c>
      <c r="D18" s="27">
        <v>0.6</v>
      </c>
      <c r="E18" s="27">
        <v>1.6</v>
      </c>
      <c r="F18" s="27">
        <v>59</v>
      </c>
      <c r="G18" s="27">
        <v>3.3</v>
      </c>
      <c r="H18" s="27">
        <v>9.4</v>
      </c>
    </row>
    <row r="19" spans="2:12" x14ac:dyDescent="0.25">
      <c r="B19" s="27" t="s">
        <v>252</v>
      </c>
      <c r="C19" s="27">
        <v>7.3</v>
      </c>
      <c r="D19" s="27">
        <v>0.65</v>
      </c>
      <c r="E19" s="27">
        <v>1.2</v>
      </c>
      <c r="F19" s="27">
        <v>21</v>
      </c>
      <c r="G19" s="27">
        <v>3.39</v>
      </c>
      <c r="H19" s="27">
        <v>10</v>
      </c>
    </row>
    <row r="20" spans="2:12" x14ac:dyDescent="0.25">
      <c r="B20" s="27" t="s">
        <v>253</v>
      </c>
      <c r="C20" s="27">
        <v>7.8</v>
      </c>
      <c r="D20" s="27">
        <v>0.57999999999999996</v>
      </c>
      <c r="E20" s="27">
        <v>2</v>
      </c>
      <c r="F20" s="27">
        <v>18</v>
      </c>
      <c r="G20" s="27">
        <v>3.36</v>
      </c>
      <c r="H20" s="27">
        <v>9.5</v>
      </c>
    </row>
    <row r="21" spans="2:12" x14ac:dyDescent="0.25">
      <c r="B21" s="27" t="s">
        <v>254</v>
      </c>
      <c r="C21" s="27">
        <v>7.5</v>
      </c>
      <c r="D21" s="27">
        <v>0.5</v>
      </c>
      <c r="E21" s="27">
        <v>6.1</v>
      </c>
      <c r="F21" s="27">
        <v>102</v>
      </c>
      <c r="G21" s="27">
        <v>3.35</v>
      </c>
      <c r="H21" s="27">
        <v>10.5</v>
      </c>
    </row>
    <row r="22" spans="2:12" x14ac:dyDescent="0.25">
      <c r="B22" s="27" t="s">
        <v>255</v>
      </c>
      <c r="C22" s="27">
        <v>6.7</v>
      </c>
      <c r="D22" s="27">
        <v>0.57999999999999996</v>
      </c>
      <c r="E22" s="27">
        <v>1.8</v>
      </c>
      <c r="F22" s="27">
        <v>65</v>
      </c>
      <c r="G22" s="27">
        <v>3.28</v>
      </c>
      <c r="H22" s="27">
        <v>9.1999999999999993</v>
      </c>
    </row>
    <row r="23" spans="2:12" x14ac:dyDescent="0.25">
      <c r="B23" s="27" t="s">
        <v>256</v>
      </c>
      <c r="C23" s="27">
        <v>7.5</v>
      </c>
      <c r="D23" s="27">
        <v>0.5</v>
      </c>
      <c r="E23" s="27">
        <v>6.1</v>
      </c>
      <c r="F23" s="27">
        <v>102</v>
      </c>
      <c r="G23" s="27">
        <v>3.35</v>
      </c>
      <c r="H23" s="27">
        <v>10.5</v>
      </c>
    </row>
    <row r="24" spans="2:12" x14ac:dyDescent="0.25">
      <c r="B24" s="27" t="s">
        <v>257</v>
      </c>
      <c r="C24" s="27">
        <v>5.6</v>
      </c>
      <c r="D24" s="27">
        <v>0.61499999999999999</v>
      </c>
      <c r="E24" s="27">
        <v>1.6</v>
      </c>
      <c r="F24" s="27">
        <v>59</v>
      </c>
      <c r="G24" s="27">
        <v>3.58</v>
      </c>
      <c r="H24" s="27">
        <v>9.9</v>
      </c>
    </row>
    <row r="25" spans="2:12" x14ac:dyDescent="0.25">
      <c r="B25" s="27" t="s">
        <v>258</v>
      </c>
      <c r="C25" s="27">
        <v>7.8</v>
      </c>
      <c r="D25" s="27">
        <v>0.61</v>
      </c>
      <c r="E25" s="27">
        <v>1.6</v>
      </c>
      <c r="F25" s="27">
        <v>29</v>
      </c>
      <c r="G25" s="27">
        <v>3.26</v>
      </c>
      <c r="H25" s="27">
        <v>9.1</v>
      </c>
    </row>
    <row r="26" spans="2:12" x14ac:dyDescent="0.25">
      <c r="B26" s="27" t="s">
        <v>259</v>
      </c>
      <c r="C26" s="27">
        <v>8.9</v>
      </c>
      <c r="D26" s="27">
        <v>0.62</v>
      </c>
      <c r="E26" s="27">
        <v>3.8</v>
      </c>
      <c r="F26" s="27">
        <v>145</v>
      </c>
      <c r="G26" s="27">
        <v>3.16</v>
      </c>
      <c r="H26" s="27">
        <v>9.1999999999999993</v>
      </c>
    </row>
    <row r="27" spans="2:12" x14ac:dyDescent="0.25">
      <c r="B27" s="27" t="s">
        <v>260</v>
      </c>
      <c r="C27" s="27">
        <v>8.9</v>
      </c>
      <c r="D27" s="27">
        <v>0.62</v>
      </c>
      <c r="E27" s="27">
        <v>3.9</v>
      </c>
      <c r="F27" s="27">
        <v>148</v>
      </c>
      <c r="G27" s="27">
        <v>3.17</v>
      </c>
      <c r="H27" s="27">
        <v>9.1999999999999993</v>
      </c>
    </row>
    <row r="28" spans="2:12" x14ac:dyDescent="0.25">
      <c r="B28" s="27" t="s">
        <v>261</v>
      </c>
      <c r="C28" s="27">
        <v>8.5</v>
      </c>
      <c r="D28" s="27">
        <v>0.28000000000000003</v>
      </c>
      <c r="E28" s="27">
        <v>1.8</v>
      </c>
      <c r="F28" s="27">
        <v>103</v>
      </c>
      <c r="G28" s="27">
        <v>3.3</v>
      </c>
      <c r="H28" s="27">
        <v>10.5</v>
      </c>
    </row>
    <row r="29" spans="2:12" x14ac:dyDescent="0.25">
      <c r="B29" s="27" t="s">
        <v>262</v>
      </c>
      <c r="C29" s="27">
        <v>8.1</v>
      </c>
      <c r="D29" s="27">
        <v>0.56000000000000005</v>
      </c>
      <c r="E29" s="27">
        <v>1.7</v>
      </c>
      <c r="F29" s="27">
        <v>56</v>
      </c>
      <c r="G29" s="27">
        <v>3.11</v>
      </c>
      <c r="H29" s="27">
        <v>9.3000000000000007</v>
      </c>
    </row>
    <row r="30" spans="2:12" x14ac:dyDescent="0.25">
      <c r="B30" s="27" t="s">
        <v>263</v>
      </c>
      <c r="C30" s="27">
        <v>7.4</v>
      </c>
      <c r="D30" s="27">
        <v>0.59</v>
      </c>
      <c r="E30" s="27">
        <v>4.4000000000000004</v>
      </c>
      <c r="F30" s="27">
        <v>29</v>
      </c>
      <c r="G30" s="27">
        <v>3.38</v>
      </c>
      <c r="H30" s="27">
        <v>9</v>
      </c>
    </row>
    <row r="31" spans="2:12" x14ac:dyDescent="0.25">
      <c r="B31" s="27" t="s">
        <v>264</v>
      </c>
      <c r="C31" s="27">
        <v>7.9</v>
      </c>
      <c r="D31" s="27">
        <v>0.32</v>
      </c>
      <c r="E31" s="27">
        <v>1.8</v>
      </c>
      <c r="F31" s="27">
        <v>56</v>
      </c>
      <c r="G31" s="27">
        <v>3.04</v>
      </c>
      <c r="H31" s="27">
        <v>9.1999999999999993</v>
      </c>
    </row>
    <row r="32" spans="2:12" x14ac:dyDescent="0.25">
      <c r="B32" s="27" t="s">
        <v>265</v>
      </c>
      <c r="C32" s="27">
        <v>8.9</v>
      </c>
      <c r="D32" s="27">
        <v>0.22</v>
      </c>
      <c r="E32" s="27">
        <v>1.8</v>
      </c>
      <c r="F32" s="27">
        <v>60</v>
      </c>
      <c r="G32" s="27">
        <v>3.39</v>
      </c>
      <c r="H32" s="27">
        <v>9.4</v>
      </c>
    </row>
    <row r="33" spans="2:8" x14ac:dyDescent="0.25">
      <c r="B33" s="27" t="s">
        <v>266</v>
      </c>
      <c r="C33" s="27">
        <v>7.6</v>
      </c>
      <c r="D33" s="27">
        <v>0.39</v>
      </c>
      <c r="E33" s="27">
        <v>2.2999999999999998</v>
      </c>
      <c r="F33" s="27">
        <v>71</v>
      </c>
      <c r="G33" s="27">
        <v>3.52</v>
      </c>
      <c r="H33" s="27">
        <v>9.6999999999999993</v>
      </c>
    </row>
    <row r="34" spans="2:8" x14ac:dyDescent="0.25">
      <c r="B34" s="27" t="s">
        <v>267</v>
      </c>
      <c r="C34" s="27">
        <v>7.9</v>
      </c>
      <c r="D34" s="27">
        <v>0.43</v>
      </c>
      <c r="E34" s="27">
        <v>1.6</v>
      </c>
      <c r="F34" s="27">
        <v>37</v>
      </c>
      <c r="G34" s="27">
        <v>3.17</v>
      </c>
      <c r="H34" s="27">
        <v>9.5</v>
      </c>
    </row>
    <row r="35" spans="2:8" x14ac:dyDescent="0.25">
      <c r="B35" s="27" t="s">
        <v>268</v>
      </c>
      <c r="C35" s="27">
        <v>8.5</v>
      </c>
      <c r="D35" s="27">
        <v>0.49</v>
      </c>
      <c r="E35" s="27">
        <v>2.2999999999999998</v>
      </c>
      <c r="F35" s="27">
        <v>67</v>
      </c>
      <c r="G35" s="27">
        <v>3.17</v>
      </c>
      <c r="H35" s="27">
        <v>9.4</v>
      </c>
    </row>
    <row r="36" spans="2:8" x14ac:dyDescent="0.25">
      <c r="B36" s="27" t="s">
        <v>269</v>
      </c>
      <c r="C36" s="27">
        <v>6.9</v>
      </c>
      <c r="D36" s="27">
        <v>0.4</v>
      </c>
      <c r="E36" s="27">
        <v>2.4</v>
      </c>
      <c r="F36" s="27">
        <v>40</v>
      </c>
      <c r="G36" s="27">
        <v>3.43</v>
      </c>
      <c r="H36" s="27">
        <v>9.6999999999999993</v>
      </c>
    </row>
    <row r="37" spans="2:8" x14ac:dyDescent="0.25">
      <c r="B37" s="27" t="s">
        <v>270</v>
      </c>
      <c r="C37" s="27">
        <v>6.3</v>
      </c>
      <c r="D37" s="27">
        <v>0.39</v>
      </c>
      <c r="E37" s="27">
        <v>1.4</v>
      </c>
      <c r="F37" s="27">
        <v>23</v>
      </c>
      <c r="G37" s="27">
        <v>3.34</v>
      </c>
      <c r="H37" s="27">
        <v>9.3000000000000007</v>
      </c>
    </row>
    <row r="38" spans="2:8" x14ac:dyDescent="0.25">
      <c r="B38" s="27" t="s">
        <v>271</v>
      </c>
      <c r="C38" s="27">
        <v>7.6</v>
      </c>
      <c r="D38" s="27">
        <v>0.41</v>
      </c>
      <c r="E38" s="27">
        <v>1.8</v>
      </c>
      <c r="F38" s="27">
        <v>11</v>
      </c>
      <c r="G38" s="27">
        <v>3.28</v>
      </c>
      <c r="H38" s="27">
        <v>9.5</v>
      </c>
    </row>
    <row r="39" spans="2:8" x14ac:dyDescent="0.25">
      <c r="B39" s="27" t="s">
        <v>272</v>
      </c>
      <c r="C39" s="27">
        <v>7.9</v>
      </c>
      <c r="D39" s="27">
        <v>0.43</v>
      </c>
      <c r="E39" s="27">
        <v>1.6</v>
      </c>
      <c r="F39" s="27">
        <v>37</v>
      </c>
      <c r="G39" s="27">
        <v>3.17</v>
      </c>
      <c r="H39" s="27">
        <v>9.5</v>
      </c>
    </row>
    <row r="40" spans="2:8" x14ac:dyDescent="0.25">
      <c r="B40" s="27" t="s">
        <v>273</v>
      </c>
      <c r="C40" s="27">
        <v>7.1</v>
      </c>
      <c r="D40" s="27">
        <v>0.71</v>
      </c>
      <c r="E40" s="27">
        <v>1.9</v>
      </c>
      <c r="F40" s="27">
        <v>35</v>
      </c>
      <c r="G40" s="27">
        <v>3.47</v>
      </c>
      <c r="H40" s="27">
        <v>9.4</v>
      </c>
    </row>
    <row r="41" spans="2:8" x14ac:dyDescent="0.25">
      <c r="B41" s="27" t="s">
        <v>274</v>
      </c>
      <c r="C41" s="27">
        <v>7.8</v>
      </c>
      <c r="D41" s="27">
        <v>0.64500000000000002</v>
      </c>
      <c r="E41" s="27">
        <v>2</v>
      </c>
      <c r="F41" s="27">
        <v>16</v>
      </c>
      <c r="G41" s="27">
        <v>3.38</v>
      </c>
      <c r="H41" s="27">
        <v>9.8000000000000007</v>
      </c>
    </row>
    <row r="42" spans="2:8" x14ac:dyDescent="0.25">
      <c r="B42" s="27" t="s">
        <v>275</v>
      </c>
      <c r="C42" s="27">
        <v>6.7</v>
      </c>
      <c r="D42" s="27">
        <v>0.67500000000000004</v>
      </c>
      <c r="E42" s="27">
        <v>2.4</v>
      </c>
      <c r="F42" s="27">
        <v>82</v>
      </c>
      <c r="G42" s="27">
        <v>3.35</v>
      </c>
      <c r="H42" s="27">
        <v>10.1</v>
      </c>
    </row>
    <row r="43" spans="2:8" x14ac:dyDescent="0.25">
      <c r="B43" s="27" t="s">
        <v>276</v>
      </c>
      <c r="C43" s="27">
        <v>6.9</v>
      </c>
      <c r="D43" s="27">
        <v>0.68500000000000005</v>
      </c>
      <c r="E43" s="27">
        <v>2.5</v>
      </c>
      <c r="F43" s="27">
        <v>37</v>
      </c>
      <c r="G43" s="27">
        <v>3.46</v>
      </c>
      <c r="H43" s="27">
        <v>10.6</v>
      </c>
    </row>
    <row r="44" spans="2:8" x14ac:dyDescent="0.25">
      <c r="B44" s="27" t="s">
        <v>277</v>
      </c>
      <c r="C44" s="27">
        <v>8.3000000000000007</v>
      </c>
      <c r="D44" s="27">
        <v>0.65500000000000003</v>
      </c>
      <c r="E44" s="27">
        <v>2.2999999999999998</v>
      </c>
      <c r="F44" s="27">
        <v>113</v>
      </c>
      <c r="G44" s="27">
        <v>3.17</v>
      </c>
      <c r="H44" s="27">
        <v>9.8000000000000007</v>
      </c>
    </row>
    <row r="45" spans="2:8" x14ac:dyDescent="0.25">
      <c r="B45" s="27" t="s">
        <v>278</v>
      </c>
      <c r="C45" s="27">
        <v>6.9</v>
      </c>
      <c r="D45" s="27">
        <v>0.60499999999999998</v>
      </c>
      <c r="E45" s="27">
        <v>10.7</v>
      </c>
      <c r="F45" s="27">
        <v>83</v>
      </c>
      <c r="G45" s="27">
        <v>3.45</v>
      </c>
      <c r="H45" s="27">
        <v>9.4</v>
      </c>
    </row>
    <row r="46" spans="2:8" x14ac:dyDescent="0.25">
      <c r="B46" s="27" t="s">
        <v>279</v>
      </c>
      <c r="C46" s="27">
        <v>5.2</v>
      </c>
      <c r="D46" s="27">
        <v>0.32</v>
      </c>
      <c r="E46" s="27">
        <v>1.8</v>
      </c>
      <c r="F46" s="27">
        <v>50</v>
      </c>
      <c r="G46" s="27">
        <v>3.38</v>
      </c>
      <c r="H46" s="27">
        <v>9.1999999999999993</v>
      </c>
    </row>
    <row r="47" spans="2:8" x14ac:dyDescent="0.25">
      <c r="B47" s="27" t="s">
        <v>280</v>
      </c>
      <c r="C47" s="27">
        <v>7.8</v>
      </c>
      <c r="D47" s="27">
        <v>0.64500000000000002</v>
      </c>
      <c r="E47" s="27">
        <v>5.5</v>
      </c>
      <c r="F47" s="27">
        <v>18</v>
      </c>
      <c r="G47" s="27">
        <v>3.4</v>
      </c>
      <c r="H47" s="27">
        <v>9.6</v>
      </c>
    </row>
    <row r="48" spans="2:8" x14ac:dyDescent="0.25">
      <c r="B48" s="27" t="s">
        <v>281</v>
      </c>
      <c r="C48" s="27">
        <v>7.8</v>
      </c>
      <c r="D48" s="27">
        <v>0.6</v>
      </c>
      <c r="E48" s="27">
        <v>2.4</v>
      </c>
      <c r="F48" s="27">
        <v>15</v>
      </c>
      <c r="G48" s="27">
        <v>3.42</v>
      </c>
      <c r="H48" s="27">
        <v>10.8</v>
      </c>
    </row>
    <row r="49" spans="2:8" x14ac:dyDescent="0.25">
      <c r="B49" s="27" t="s">
        <v>282</v>
      </c>
      <c r="C49" s="27">
        <v>8.1</v>
      </c>
      <c r="D49" s="27">
        <v>0.38</v>
      </c>
      <c r="E49" s="27">
        <v>2.1</v>
      </c>
      <c r="F49" s="27">
        <v>30</v>
      </c>
      <c r="G49" s="27">
        <v>3.23</v>
      </c>
      <c r="H49" s="27">
        <v>9.6999999999999993</v>
      </c>
    </row>
    <row r="50" spans="2:8" x14ac:dyDescent="0.25">
      <c r="B50" s="27" t="s">
        <v>283</v>
      </c>
      <c r="C50" s="27">
        <v>5.7</v>
      </c>
      <c r="D50" s="27">
        <v>1.1299999999999999</v>
      </c>
      <c r="E50" s="27">
        <v>1.5</v>
      </c>
      <c r="F50" s="27">
        <v>19</v>
      </c>
      <c r="G50" s="27">
        <v>3.5</v>
      </c>
      <c r="H50" s="27">
        <v>9.8000000000000007</v>
      </c>
    </row>
    <row r="51" spans="2:8" x14ac:dyDescent="0.25">
      <c r="B51" s="27" t="s">
        <v>284</v>
      </c>
      <c r="C51" s="27">
        <v>7.3</v>
      </c>
      <c r="D51" s="27">
        <v>0.45</v>
      </c>
      <c r="E51" s="27">
        <v>5.9</v>
      </c>
      <c r="F51" s="27">
        <v>87</v>
      </c>
      <c r="G51" s="27">
        <v>3.33</v>
      </c>
      <c r="H51" s="27">
        <v>10.5</v>
      </c>
    </row>
    <row r="52" spans="2:8" x14ac:dyDescent="0.25">
      <c r="B52" s="27" t="s">
        <v>285</v>
      </c>
      <c r="C52" s="27">
        <v>7.3</v>
      </c>
      <c r="D52" s="27">
        <v>0.45</v>
      </c>
      <c r="E52" s="27">
        <v>5.9</v>
      </c>
      <c r="F52" s="27">
        <v>87</v>
      </c>
      <c r="G52" s="27">
        <v>3.33</v>
      </c>
      <c r="H52" s="27">
        <v>10.5</v>
      </c>
    </row>
    <row r="53" spans="2:8" x14ac:dyDescent="0.25">
      <c r="B53" s="27" t="s">
        <v>286</v>
      </c>
      <c r="C53" s="27">
        <v>8.8000000000000007</v>
      </c>
      <c r="D53" s="27">
        <v>0.61</v>
      </c>
      <c r="E53" s="27">
        <v>2.8</v>
      </c>
      <c r="F53" s="27">
        <v>46</v>
      </c>
      <c r="G53" s="27">
        <v>3.26</v>
      </c>
      <c r="H53" s="27">
        <v>9.3000000000000007</v>
      </c>
    </row>
    <row r="54" spans="2:8" x14ac:dyDescent="0.25">
      <c r="B54" s="27" t="s">
        <v>287</v>
      </c>
      <c r="C54" s="27">
        <v>7.5</v>
      </c>
      <c r="D54" s="27">
        <v>0.49</v>
      </c>
      <c r="E54" s="27">
        <v>2.6</v>
      </c>
      <c r="F54" s="27">
        <v>14</v>
      </c>
      <c r="G54" s="27">
        <v>3.21</v>
      </c>
      <c r="H54" s="27">
        <v>10.5</v>
      </c>
    </row>
    <row r="55" spans="2:8" x14ac:dyDescent="0.25">
      <c r="B55" s="27" t="s">
        <v>288</v>
      </c>
      <c r="C55" s="27">
        <v>8.1</v>
      </c>
      <c r="D55" s="27">
        <v>0.66</v>
      </c>
      <c r="E55" s="27">
        <v>2.2000000000000002</v>
      </c>
      <c r="F55" s="27">
        <v>23</v>
      </c>
      <c r="G55" s="27">
        <v>3.3</v>
      </c>
      <c r="H55" s="27">
        <v>10.3</v>
      </c>
    </row>
    <row r="56" spans="2:8" x14ac:dyDescent="0.25">
      <c r="B56" s="27" t="s">
        <v>289</v>
      </c>
      <c r="C56" s="27">
        <v>6.8</v>
      </c>
      <c r="D56" s="27">
        <v>0.67</v>
      </c>
      <c r="E56" s="27">
        <v>1.8</v>
      </c>
      <c r="F56" s="27">
        <v>11</v>
      </c>
      <c r="G56" s="27">
        <v>3.48</v>
      </c>
      <c r="H56" s="27">
        <v>9.5</v>
      </c>
    </row>
    <row r="57" spans="2:8" x14ac:dyDescent="0.25">
      <c r="B57" s="27" t="s">
        <v>290</v>
      </c>
      <c r="C57" s="27">
        <v>4.5999999999999996</v>
      </c>
      <c r="D57" s="27">
        <v>0.52</v>
      </c>
      <c r="E57" s="27">
        <v>2.1</v>
      </c>
      <c r="F57" s="27">
        <v>65</v>
      </c>
      <c r="G57" s="27">
        <v>3.9</v>
      </c>
      <c r="H57" s="27">
        <v>13.1</v>
      </c>
    </row>
    <row r="58" spans="2:8" x14ac:dyDescent="0.25">
      <c r="B58" s="27" t="s">
        <v>291</v>
      </c>
      <c r="C58" s="27">
        <v>7.7</v>
      </c>
      <c r="D58" s="27">
        <v>0.93500000000000005</v>
      </c>
      <c r="E58" s="27">
        <v>2.2000000000000002</v>
      </c>
      <c r="F58" s="27">
        <v>114</v>
      </c>
      <c r="G58" s="27">
        <v>3.25</v>
      </c>
      <c r="H58" s="27">
        <v>9.1999999999999993</v>
      </c>
    </row>
    <row r="59" spans="2:8" x14ac:dyDescent="0.25">
      <c r="B59" s="27" t="s">
        <v>292</v>
      </c>
      <c r="C59" s="27">
        <v>8.6999999999999993</v>
      </c>
      <c r="D59" s="27">
        <v>0.28999999999999998</v>
      </c>
      <c r="E59" s="27">
        <v>1.6</v>
      </c>
      <c r="F59" s="27">
        <v>37</v>
      </c>
      <c r="G59" s="27">
        <v>3.25</v>
      </c>
      <c r="H59" s="27">
        <v>9.5</v>
      </c>
    </row>
    <row r="60" spans="2:8" x14ac:dyDescent="0.25">
      <c r="B60" s="27" t="s">
        <v>293</v>
      </c>
      <c r="C60" s="27">
        <v>6.4</v>
      </c>
      <c r="D60" s="27">
        <v>0.4</v>
      </c>
      <c r="E60" s="27">
        <v>1.6</v>
      </c>
      <c r="F60" s="27">
        <v>12</v>
      </c>
      <c r="G60" s="27">
        <v>3.34</v>
      </c>
      <c r="H60" s="27">
        <v>9.1999999999999993</v>
      </c>
    </row>
    <row r="61" spans="2:8" x14ac:dyDescent="0.25">
      <c r="B61" s="27" t="s">
        <v>294</v>
      </c>
      <c r="C61" s="27">
        <v>5.6</v>
      </c>
      <c r="D61" s="27">
        <v>0.31</v>
      </c>
      <c r="E61" s="27">
        <v>1.4</v>
      </c>
      <c r="F61" s="27">
        <v>96</v>
      </c>
      <c r="G61" s="27">
        <v>3.32</v>
      </c>
      <c r="H61" s="27">
        <v>9.1999999999999993</v>
      </c>
    </row>
    <row r="62" spans="2:8" x14ac:dyDescent="0.25">
      <c r="B62" s="27" t="s">
        <v>295</v>
      </c>
      <c r="C62" s="27">
        <v>8.8000000000000007</v>
      </c>
      <c r="D62" s="27">
        <v>0.66</v>
      </c>
      <c r="E62" s="27">
        <v>1.7</v>
      </c>
      <c r="F62" s="27">
        <v>23</v>
      </c>
      <c r="G62" s="27">
        <v>3.15</v>
      </c>
      <c r="H62" s="27">
        <v>9.1999999999999993</v>
      </c>
    </row>
    <row r="63" spans="2:8" x14ac:dyDescent="0.25">
      <c r="B63" s="27" t="s">
        <v>296</v>
      </c>
      <c r="C63" s="27">
        <v>6.6</v>
      </c>
      <c r="D63" s="27">
        <v>0.52</v>
      </c>
      <c r="E63" s="27">
        <v>2.2000000000000002</v>
      </c>
      <c r="F63" s="27">
        <v>15</v>
      </c>
      <c r="G63" s="27">
        <v>3.4</v>
      </c>
      <c r="H63" s="27">
        <v>9.4</v>
      </c>
    </row>
    <row r="64" spans="2:8" x14ac:dyDescent="0.25">
      <c r="B64" s="27" t="s">
        <v>297</v>
      </c>
      <c r="C64" s="27">
        <v>6.6</v>
      </c>
      <c r="D64" s="27">
        <v>0.5</v>
      </c>
      <c r="E64" s="27">
        <v>2.1</v>
      </c>
      <c r="F64" s="27">
        <v>14</v>
      </c>
      <c r="G64" s="27">
        <v>3.39</v>
      </c>
      <c r="H64" s="27">
        <v>9.4</v>
      </c>
    </row>
    <row r="65" spans="2:8" x14ac:dyDescent="0.25">
      <c r="B65" s="27" t="s">
        <v>298</v>
      </c>
      <c r="C65" s="27">
        <v>8.6</v>
      </c>
      <c r="D65" s="27">
        <v>0.38</v>
      </c>
      <c r="E65" s="27">
        <v>3</v>
      </c>
      <c r="F65" s="27">
        <v>119</v>
      </c>
      <c r="G65" s="27">
        <v>3.2</v>
      </c>
      <c r="H65" s="27">
        <v>9.4</v>
      </c>
    </row>
    <row r="66" spans="2:8" x14ac:dyDescent="0.25">
      <c r="B66" s="27" t="s">
        <v>299</v>
      </c>
      <c r="C66" s="27">
        <v>7.6</v>
      </c>
      <c r="D66" s="27">
        <v>0.51</v>
      </c>
      <c r="E66" s="27">
        <v>2.8</v>
      </c>
      <c r="F66" s="27">
        <v>73</v>
      </c>
      <c r="G66" s="27">
        <v>3.17</v>
      </c>
      <c r="H66" s="27">
        <v>10.199999999999999</v>
      </c>
    </row>
    <row r="67" spans="2:8" x14ac:dyDescent="0.25">
      <c r="B67" s="27" t="s">
        <v>300</v>
      </c>
      <c r="C67" s="27">
        <v>7.7</v>
      </c>
      <c r="D67" s="27">
        <v>0.62</v>
      </c>
      <c r="E67" s="27">
        <v>3.8</v>
      </c>
      <c r="F67" s="27">
        <v>45</v>
      </c>
      <c r="G67" s="27">
        <v>3.34</v>
      </c>
      <c r="H67" s="27">
        <v>9.5</v>
      </c>
    </row>
    <row r="68" spans="2:8" x14ac:dyDescent="0.25">
      <c r="B68" s="27" t="s">
        <v>301</v>
      </c>
      <c r="C68" s="27">
        <v>10.199999999999999</v>
      </c>
      <c r="D68" s="27">
        <v>0.42</v>
      </c>
      <c r="E68" s="27">
        <v>3.4</v>
      </c>
      <c r="F68" s="27">
        <v>10</v>
      </c>
      <c r="G68" s="27">
        <v>3.04</v>
      </c>
      <c r="H68" s="27">
        <v>9.6</v>
      </c>
    </row>
    <row r="69" spans="2:8" x14ac:dyDescent="0.25">
      <c r="B69" s="27" t="s">
        <v>302</v>
      </c>
      <c r="C69" s="27">
        <v>7.5</v>
      </c>
      <c r="D69" s="27">
        <v>0.63</v>
      </c>
      <c r="E69" s="27">
        <v>5.0999999999999996</v>
      </c>
      <c r="F69" s="27">
        <v>110</v>
      </c>
      <c r="G69" s="27">
        <v>3.26</v>
      </c>
      <c r="H69" s="27">
        <v>9.4</v>
      </c>
    </row>
    <row r="70" spans="2:8" x14ac:dyDescent="0.25">
      <c r="B70" s="27" t="s">
        <v>280</v>
      </c>
      <c r="C70" s="27">
        <v>7.8</v>
      </c>
      <c r="D70" s="27">
        <v>0.59</v>
      </c>
      <c r="E70" s="27">
        <v>2.2999999999999998</v>
      </c>
      <c r="F70" s="27">
        <v>54</v>
      </c>
      <c r="G70" s="27">
        <v>3.43</v>
      </c>
      <c r="H70" s="27">
        <v>10</v>
      </c>
    </row>
    <row r="71" spans="2:8" x14ac:dyDescent="0.25">
      <c r="B71" s="27" t="s">
        <v>303</v>
      </c>
      <c r="C71" s="27">
        <v>7.3</v>
      </c>
      <c r="D71" s="27">
        <v>0.39</v>
      </c>
      <c r="E71" s="27">
        <v>2.4</v>
      </c>
      <c r="F71" s="27">
        <v>46</v>
      </c>
      <c r="G71" s="27">
        <v>3.41</v>
      </c>
      <c r="H71" s="27">
        <v>9.4</v>
      </c>
    </row>
    <row r="72" spans="2:8" x14ac:dyDescent="0.25">
      <c r="B72" s="27" t="s">
        <v>304</v>
      </c>
      <c r="C72" s="27">
        <v>8.8000000000000007</v>
      </c>
      <c r="D72" s="27">
        <v>0.4</v>
      </c>
      <c r="E72" s="27">
        <v>2.2000000000000002</v>
      </c>
      <c r="F72" s="27">
        <v>52</v>
      </c>
      <c r="G72" s="27">
        <v>3.44</v>
      </c>
      <c r="H72" s="27">
        <v>9.1999999999999993</v>
      </c>
    </row>
    <row r="73" spans="2:8" x14ac:dyDescent="0.25">
      <c r="B73" s="27" t="s">
        <v>305</v>
      </c>
      <c r="C73" s="27">
        <v>7.7</v>
      </c>
      <c r="D73" s="27">
        <v>0.69</v>
      </c>
      <c r="E73" s="27">
        <v>1.8</v>
      </c>
      <c r="F73" s="27">
        <v>112</v>
      </c>
      <c r="G73" s="27">
        <v>3.21</v>
      </c>
      <c r="H73" s="27">
        <v>9.3000000000000007</v>
      </c>
    </row>
    <row r="74" spans="2:8" x14ac:dyDescent="0.25">
      <c r="B74" s="27" t="s">
        <v>306</v>
      </c>
      <c r="C74" s="27">
        <v>7.5</v>
      </c>
      <c r="D74" s="27">
        <v>0.52</v>
      </c>
      <c r="E74" s="27">
        <v>1.9</v>
      </c>
      <c r="F74" s="27">
        <v>35</v>
      </c>
      <c r="G74" s="27">
        <v>3.38</v>
      </c>
      <c r="H74" s="27">
        <v>9.5</v>
      </c>
    </row>
    <row r="75" spans="2:8" x14ac:dyDescent="0.25">
      <c r="B75" s="27" t="s">
        <v>307</v>
      </c>
      <c r="C75" s="27">
        <v>7</v>
      </c>
      <c r="D75" s="27">
        <v>0.73499999999999999</v>
      </c>
      <c r="E75" s="27">
        <v>2</v>
      </c>
      <c r="F75" s="27">
        <v>54</v>
      </c>
      <c r="G75" s="27">
        <v>3.39</v>
      </c>
      <c r="H75" s="27">
        <v>9.8000000000000007</v>
      </c>
    </row>
    <row r="76" spans="2:8" x14ac:dyDescent="0.25">
      <c r="B76" s="27" t="s">
        <v>308</v>
      </c>
      <c r="C76" s="27">
        <v>7.2</v>
      </c>
      <c r="D76" s="27">
        <v>0.72499999999999998</v>
      </c>
      <c r="E76" s="27">
        <v>4.6500000000000004</v>
      </c>
      <c r="F76" s="27">
        <v>11</v>
      </c>
      <c r="G76" s="27">
        <v>3.41</v>
      </c>
      <c r="H76" s="27">
        <v>10.9</v>
      </c>
    </row>
    <row r="77" spans="2:8" x14ac:dyDescent="0.25">
      <c r="B77" s="27" t="s">
        <v>309</v>
      </c>
      <c r="C77" s="27">
        <v>7.2</v>
      </c>
      <c r="D77" s="27">
        <v>0.72499999999999998</v>
      </c>
      <c r="E77" s="27">
        <v>4.6500000000000004</v>
      </c>
      <c r="F77" s="27">
        <v>11</v>
      </c>
      <c r="G77" s="27">
        <v>3.41</v>
      </c>
      <c r="H77" s="27">
        <v>10.9</v>
      </c>
    </row>
    <row r="78" spans="2:8" x14ac:dyDescent="0.25">
      <c r="B78" s="27" t="s">
        <v>310</v>
      </c>
      <c r="C78" s="27">
        <v>7.5</v>
      </c>
      <c r="D78" s="27">
        <v>0.52</v>
      </c>
      <c r="E78" s="27">
        <v>1.5</v>
      </c>
      <c r="F78" s="27">
        <v>39</v>
      </c>
      <c r="G78" s="27">
        <v>3.42</v>
      </c>
      <c r="H78" s="27">
        <v>9.6</v>
      </c>
    </row>
    <row r="79" spans="2:8" x14ac:dyDescent="0.25">
      <c r="B79" s="27" t="s">
        <v>311</v>
      </c>
      <c r="C79" s="27">
        <v>6.6</v>
      </c>
      <c r="D79" s="27">
        <v>0.70499999999999996</v>
      </c>
      <c r="E79" s="27">
        <v>1.6</v>
      </c>
      <c r="F79" s="27">
        <v>15</v>
      </c>
      <c r="G79" s="27">
        <v>3.44</v>
      </c>
      <c r="H79" s="27">
        <v>10.7</v>
      </c>
    </row>
    <row r="80" spans="2:8" x14ac:dyDescent="0.25">
      <c r="B80" s="27" t="s">
        <v>312</v>
      </c>
      <c r="C80" s="27">
        <v>9.3000000000000007</v>
      </c>
      <c r="D80" s="27">
        <v>0.32</v>
      </c>
      <c r="E80" s="27">
        <v>2</v>
      </c>
      <c r="F80" s="27">
        <v>65</v>
      </c>
      <c r="G80" s="27">
        <v>3.28</v>
      </c>
      <c r="H80" s="27">
        <v>10.7</v>
      </c>
    </row>
    <row r="81" spans="2:8" x14ac:dyDescent="0.25">
      <c r="B81" s="27" t="s">
        <v>313</v>
      </c>
      <c r="C81" s="27">
        <v>8</v>
      </c>
      <c r="D81" s="27">
        <v>0.70499999999999996</v>
      </c>
      <c r="E81" s="27">
        <v>1.9</v>
      </c>
      <c r="F81" s="27">
        <v>19</v>
      </c>
      <c r="G81" s="27">
        <v>3.34</v>
      </c>
      <c r="H81" s="27">
        <v>10.5</v>
      </c>
    </row>
    <row r="82" spans="2:8" x14ac:dyDescent="0.25">
      <c r="B82" s="27" t="s">
        <v>314</v>
      </c>
      <c r="C82" s="27">
        <v>7.7</v>
      </c>
      <c r="D82" s="27">
        <v>0.63</v>
      </c>
      <c r="E82" s="27">
        <v>1.9</v>
      </c>
      <c r="F82" s="27">
        <v>27</v>
      </c>
      <c r="G82" s="27">
        <v>3.32</v>
      </c>
      <c r="H82" s="27">
        <v>9.5</v>
      </c>
    </row>
    <row r="83" spans="2:8" x14ac:dyDescent="0.25">
      <c r="B83" s="27" t="s">
        <v>315</v>
      </c>
      <c r="C83" s="27">
        <v>7.7</v>
      </c>
      <c r="D83" s="27">
        <v>0.67</v>
      </c>
      <c r="E83" s="27">
        <v>2.1</v>
      </c>
      <c r="F83" s="27">
        <v>96</v>
      </c>
      <c r="G83" s="27">
        <v>3.32</v>
      </c>
      <c r="H83" s="27">
        <v>9.5</v>
      </c>
    </row>
    <row r="84" spans="2:8" x14ac:dyDescent="0.25">
      <c r="B84" s="27" t="s">
        <v>316</v>
      </c>
      <c r="C84" s="27">
        <v>7.7</v>
      </c>
      <c r="D84" s="27">
        <v>0.69</v>
      </c>
      <c r="E84" s="27">
        <v>1.9</v>
      </c>
      <c r="F84" s="27">
        <v>94</v>
      </c>
      <c r="G84" s="27">
        <v>3.31</v>
      </c>
      <c r="H84" s="27">
        <v>9.5</v>
      </c>
    </row>
    <row r="85" spans="2:8" x14ac:dyDescent="0.25">
      <c r="B85" s="27" t="s">
        <v>306</v>
      </c>
      <c r="C85" s="27">
        <v>8.3000000000000007</v>
      </c>
      <c r="D85" s="27">
        <v>0.67500000000000004</v>
      </c>
      <c r="E85" s="27">
        <v>2.1</v>
      </c>
      <c r="F85" s="27">
        <v>43</v>
      </c>
      <c r="G85" s="27">
        <v>3.31</v>
      </c>
      <c r="H85" s="27">
        <v>9.1999999999999993</v>
      </c>
    </row>
    <row r="86" spans="2:8" x14ac:dyDescent="0.25">
      <c r="B86" s="27" t="s">
        <v>317</v>
      </c>
      <c r="C86" s="27">
        <v>9.6999999999999993</v>
      </c>
      <c r="D86" s="27">
        <v>0.32</v>
      </c>
      <c r="E86" s="27">
        <v>2.5</v>
      </c>
      <c r="F86" s="27">
        <v>83</v>
      </c>
      <c r="G86" s="27">
        <v>3.28</v>
      </c>
      <c r="H86" s="27">
        <v>9.6</v>
      </c>
    </row>
    <row r="87" spans="2:8" x14ac:dyDescent="0.25">
      <c r="B87" s="27" t="s">
        <v>318</v>
      </c>
      <c r="C87" s="27">
        <v>8.8000000000000007</v>
      </c>
      <c r="D87" s="27">
        <v>0.41</v>
      </c>
      <c r="E87" s="27">
        <v>2.2000000000000002</v>
      </c>
      <c r="F87" s="27">
        <v>42</v>
      </c>
      <c r="G87" s="27">
        <v>3.54</v>
      </c>
      <c r="H87" s="27">
        <v>10.5</v>
      </c>
    </row>
    <row r="88" spans="2:8" x14ac:dyDescent="0.25">
      <c r="B88" s="27" t="s">
        <v>319</v>
      </c>
      <c r="C88" s="27">
        <v>8.8000000000000007</v>
      </c>
      <c r="D88" s="27">
        <v>0.41</v>
      </c>
      <c r="E88" s="27">
        <v>2.2000000000000002</v>
      </c>
      <c r="F88" s="27">
        <v>42</v>
      </c>
      <c r="G88" s="27">
        <v>3.54</v>
      </c>
      <c r="H88" s="27">
        <v>10.5</v>
      </c>
    </row>
    <row r="89" spans="2:8" x14ac:dyDescent="0.25">
      <c r="B89" s="27" t="s">
        <v>284</v>
      </c>
      <c r="C89" s="27">
        <v>6.8</v>
      </c>
      <c r="D89" s="27">
        <v>0.78500000000000003</v>
      </c>
      <c r="E89" s="27">
        <v>2.4</v>
      </c>
      <c r="F89" s="27">
        <v>30</v>
      </c>
      <c r="G89" s="27">
        <v>3.52</v>
      </c>
      <c r="H89" s="27">
        <v>10.7</v>
      </c>
    </row>
    <row r="90" spans="2:8" x14ac:dyDescent="0.25">
      <c r="B90" s="27" t="s">
        <v>320</v>
      </c>
      <c r="C90" s="27">
        <v>6.7</v>
      </c>
      <c r="D90" s="27">
        <v>0.75</v>
      </c>
      <c r="E90" s="27">
        <v>2</v>
      </c>
      <c r="F90" s="27">
        <v>80</v>
      </c>
      <c r="G90" s="27">
        <v>3.38</v>
      </c>
      <c r="H90" s="27">
        <v>10.1</v>
      </c>
    </row>
    <row r="91" spans="2:8" x14ac:dyDescent="0.25">
      <c r="B91" s="27" t="s">
        <v>321</v>
      </c>
      <c r="C91" s="27">
        <v>8.3000000000000007</v>
      </c>
      <c r="D91" s="27">
        <v>0.625</v>
      </c>
      <c r="E91" s="27">
        <v>1.5</v>
      </c>
      <c r="F91" s="27">
        <v>119</v>
      </c>
      <c r="G91" s="27">
        <v>3.16</v>
      </c>
      <c r="H91" s="27">
        <v>9.1</v>
      </c>
    </row>
    <row r="92" spans="2:8" x14ac:dyDescent="0.25">
      <c r="B92" s="27" t="s">
        <v>322</v>
      </c>
      <c r="C92" s="27">
        <v>6.2</v>
      </c>
      <c r="D92" s="27">
        <v>0.45</v>
      </c>
      <c r="E92" s="27">
        <v>1.6</v>
      </c>
      <c r="F92" s="27">
        <v>15</v>
      </c>
      <c r="G92" s="27">
        <v>3.41</v>
      </c>
      <c r="H92" s="27">
        <v>9.1999999999999993</v>
      </c>
    </row>
    <row r="93" spans="2:8" x14ac:dyDescent="0.25">
      <c r="B93" s="27" t="s">
        <v>323</v>
      </c>
      <c r="C93" s="27">
        <v>7.8</v>
      </c>
      <c r="D93" s="27">
        <v>0.43</v>
      </c>
      <c r="E93" s="27">
        <v>1.9</v>
      </c>
      <c r="F93" s="27">
        <v>67</v>
      </c>
      <c r="G93" s="27">
        <v>3.13</v>
      </c>
      <c r="H93" s="27">
        <v>9.4</v>
      </c>
    </row>
    <row r="94" spans="2:8" x14ac:dyDescent="0.25">
      <c r="B94" s="27" t="s">
        <v>324</v>
      </c>
      <c r="C94" s="27">
        <v>7.4</v>
      </c>
      <c r="D94" s="27">
        <v>0.5</v>
      </c>
      <c r="E94" s="27">
        <v>2</v>
      </c>
      <c r="F94" s="27">
        <v>73</v>
      </c>
      <c r="G94" s="27">
        <v>3.36</v>
      </c>
      <c r="H94" s="27">
        <v>9.1</v>
      </c>
    </row>
    <row r="95" spans="2:8" x14ac:dyDescent="0.25">
      <c r="B95" s="27" t="s">
        <v>325</v>
      </c>
      <c r="C95" s="27">
        <v>7.3</v>
      </c>
      <c r="D95" s="27">
        <v>0.67</v>
      </c>
      <c r="E95" s="27">
        <v>1.8</v>
      </c>
      <c r="F95" s="27">
        <v>51</v>
      </c>
      <c r="G95" s="27">
        <v>3.16</v>
      </c>
      <c r="H95" s="27">
        <v>9.4</v>
      </c>
    </row>
    <row r="96" spans="2:8" x14ac:dyDescent="0.25">
      <c r="B96" s="27" t="s">
        <v>326</v>
      </c>
      <c r="C96" s="27">
        <v>6.3</v>
      </c>
      <c r="D96" s="27">
        <v>0.3</v>
      </c>
      <c r="E96" s="27">
        <v>1.8</v>
      </c>
      <c r="F96" s="27">
        <v>61</v>
      </c>
      <c r="G96" s="27">
        <v>3.44</v>
      </c>
      <c r="H96" s="27">
        <v>10.3</v>
      </c>
    </row>
    <row r="97" spans="2:8" x14ac:dyDescent="0.25">
      <c r="B97" s="27" t="s">
        <v>327</v>
      </c>
      <c r="C97" s="27">
        <v>6.9</v>
      </c>
      <c r="D97" s="27">
        <v>0.55000000000000004</v>
      </c>
      <c r="E97" s="27">
        <v>2.2000000000000002</v>
      </c>
      <c r="F97" s="27">
        <v>40</v>
      </c>
      <c r="G97" s="27">
        <v>3.41</v>
      </c>
      <c r="H97" s="27">
        <v>10.1</v>
      </c>
    </row>
    <row r="98" spans="2:8" x14ac:dyDescent="0.25">
      <c r="B98" s="27" t="s">
        <v>328</v>
      </c>
      <c r="C98" s="27">
        <v>8.6</v>
      </c>
      <c r="D98" s="27">
        <v>0.49</v>
      </c>
      <c r="E98" s="27">
        <v>1.9</v>
      </c>
      <c r="F98" s="27">
        <v>136</v>
      </c>
      <c r="G98" s="27">
        <v>2.93</v>
      </c>
      <c r="H98" s="27">
        <v>9.9</v>
      </c>
    </row>
    <row r="99" spans="2:8" x14ac:dyDescent="0.25">
      <c r="B99" s="27" t="s">
        <v>329</v>
      </c>
      <c r="C99" s="27">
        <v>7.7</v>
      </c>
      <c r="D99" s="27">
        <v>0.49</v>
      </c>
      <c r="E99" s="27">
        <v>1.9</v>
      </c>
      <c r="F99" s="27">
        <v>31</v>
      </c>
      <c r="G99" s="27">
        <v>3.39</v>
      </c>
      <c r="H99" s="27">
        <v>9.6</v>
      </c>
    </row>
    <row r="100" spans="2:8" x14ac:dyDescent="0.25">
      <c r="B100" s="27" t="s">
        <v>330</v>
      </c>
      <c r="C100" s="27">
        <v>9.3000000000000007</v>
      </c>
      <c r="D100" s="27">
        <v>0.39</v>
      </c>
      <c r="E100" s="27">
        <v>2.1</v>
      </c>
      <c r="F100" s="27">
        <v>125</v>
      </c>
      <c r="G100" s="27">
        <v>3.14</v>
      </c>
      <c r="H100" s="27">
        <v>9.5</v>
      </c>
    </row>
    <row r="101" spans="2:8" x14ac:dyDescent="0.25">
      <c r="B101" s="27" t="s">
        <v>331</v>
      </c>
      <c r="C101" s="27">
        <v>7</v>
      </c>
      <c r="D101" s="27">
        <v>0.62</v>
      </c>
      <c r="E101" s="27">
        <v>1.8</v>
      </c>
      <c r="F101" s="27">
        <v>24</v>
      </c>
      <c r="G101" s="27">
        <v>3.48</v>
      </c>
      <c r="H101" s="27">
        <v>9</v>
      </c>
    </row>
    <row r="102" spans="2:8" x14ac:dyDescent="0.25">
      <c r="B102" s="27" t="s">
        <v>332</v>
      </c>
      <c r="C102" s="27">
        <v>7.9</v>
      </c>
      <c r="D102" s="27">
        <v>0.52</v>
      </c>
      <c r="E102" s="27">
        <v>1.9</v>
      </c>
      <c r="F102" s="27">
        <v>140</v>
      </c>
      <c r="G102" s="27">
        <v>3.23</v>
      </c>
      <c r="H102" s="27">
        <v>9.5</v>
      </c>
    </row>
    <row r="103" spans="2:8" x14ac:dyDescent="0.25">
      <c r="B103" s="27" t="s">
        <v>333</v>
      </c>
      <c r="C103" s="27">
        <v>8.6</v>
      </c>
      <c r="D103" s="27">
        <v>0.49</v>
      </c>
      <c r="E103" s="27">
        <v>1.9</v>
      </c>
      <c r="F103" s="27">
        <v>136</v>
      </c>
      <c r="G103" s="27">
        <v>2.93</v>
      </c>
      <c r="H103" s="27">
        <v>9.9</v>
      </c>
    </row>
    <row r="104" spans="2:8" x14ac:dyDescent="0.25">
      <c r="B104" s="27" t="s">
        <v>334</v>
      </c>
      <c r="C104" s="27">
        <v>8.6</v>
      </c>
      <c r="D104" s="27">
        <v>0.49</v>
      </c>
      <c r="E104" s="27">
        <v>2</v>
      </c>
      <c r="F104" s="27">
        <v>133</v>
      </c>
      <c r="G104" s="27">
        <v>2.93</v>
      </c>
      <c r="H104" s="27">
        <v>9.8000000000000007</v>
      </c>
    </row>
    <row r="105" spans="2:8" x14ac:dyDescent="0.25">
      <c r="B105" s="27" t="s">
        <v>335</v>
      </c>
      <c r="C105" s="27">
        <v>7.7</v>
      </c>
      <c r="D105" s="27">
        <v>0.49</v>
      </c>
      <c r="E105" s="27">
        <v>1.9</v>
      </c>
      <c r="F105" s="27">
        <v>31</v>
      </c>
      <c r="G105" s="27">
        <v>3.39</v>
      </c>
      <c r="H105" s="27">
        <v>9.6</v>
      </c>
    </row>
    <row r="106" spans="2:8" x14ac:dyDescent="0.25">
      <c r="B106" s="27" t="s">
        <v>336</v>
      </c>
      <c r="C106" s="27">
        <v>5</v>
      </c>
      <c r="D106" s="27">
        <v>1.02</v>
      </c>
      <c r="E106" s="27">
        <v>1.4</v>
      </c>
      <c r="F106" s="27">
        <v>85</v>
      </c>
      <c r="G106" s="27">
        <v>3.75</v>
      </c>
      <c r="H106" s="27">
        <v>10.5</v>
      </c>
    </row>
    <row r="107" spans="2:8" x14ac:dyDescent="0.25">
      <c r="B107" s="27" t="s">
        <v>337</v>
      </c>
      <c r="C107" s="27">
        <v>4.7</v>
      </c>
      <c r="D107" s="27">
        <v>0.6</v>
      </c>
      <c r="E107" s="27">
        <v>2.2999999999999998</v>
      </c>
      <c r="F107" s="27">
        <v>106</v>
      </c>
      <c r="G107" s="27">
        <v>3.85</v>
      </c>
      <c r="H107" s="27">
        <v>12.9</v>
      </c>
    </row>
    <row r="108" spans="2:8" x14ac:dyDescent="0.25">
      <c r="B108" s="27" t="s">
        <v>338</v>
      </c>
      <c r="C108" s="27">
        <v>6.8</v>
      </c>
      <c r="D108" s="27">
        <v>0.77500000000000002</v>
      </c>
      <c r="E108" s="27">
        <v>3</v>
      </c>
      <c r="F108" s="27">
        <v>23</v>
      </c>
      <c r="G108" s="27">
        <v>3.45</v>
      </c>
      <c r="H108" s="27">
        <v>10.7</v>
      </c>
    </row>
    <row r="109" spans="2:8" x14ac:dyDescent="0.25">
      <c r="B109" s="27" t="s">
        <v>339</v>
      </c>
      <c r="C109" s="27">
        <v>7</v>
      </c>
      <c r="D109" s="27">
        <v>0.5</v>
      </c>
      <c r="E109" s="27">
        <v>2</v>
      </c>
      <c r="F109" s="27">
        <v>22</v>
      </c>
      <c r="G109" s="27">
        <v>3.25</v>
      </c>
      <c r="H109" s="27">
        <v>9.1999999999999993</v>
      </c>
    </row>
    <row r="110" spans="2:8" x14ac:dyDescent="0.25">
      <c r="B110" s="27" t="s">
        <v>340</v>
      </c>
      <c r="C110" s="27">
        <v>7.6</v>
      </c>
      <c r="D110" s="27">
        <v>0.9</v>
      </c>
      <c r="E110" s="27">
        <v>2.5</v>
      </c>
      <c r="F110" s="27">
        <v>10</v>
      </c>
      <c r="G110" s="27">
        <v>3.39</v>
      </c>
      <c r="H110" s="27">
        <v>9.8000000000000007</v>
      </c>
    </row>
    <row r="111" spans="2:8" x14ac:dyDescent="0.25">
      <c r="B111" s="27" t="s">
        <v>341</v>
      </c>
      <c r="C111" s="27">
        <v>8.1</v>
      </c>
      <c r="D111" s="27">
        <v>0.54500000000000004</v>
      </c>
      <c r="E111" s="27">
        <v>1.9</v>
      </c>
      <c r="F111" s="27">
        <v>35</v>
      </c>
      <c r="G111" s="27">
        <v>3.3</v>
      </c>
      <c r="H111" s="27">
        <v>9</v>
      </c>
    </row>
  </sheetData>
  <mergeCells count="1">
    <mergeCell ref="B3:G7"/>
  </mergeCells>
  <dataValidations count="2">
    <dataValidation type="list" allowBlank="1" showInputMessage="1" showErrorMessage="1" sqref="L11" xr:uid="{2B920172-21BD-4BFE-811C-74F78E1B21CA}">
      <formula1>$C$11:$H$11</formula1>
    </dataValidation>
    <dataValidation type="list" allowBlank="1" showInputMessage="1" showErrorMessage="1" sqref="L12" xr:uid="{36ABCF86-FB39-40A5-830D-A5C16FD7354D}">
      <formula1>$B$12:$B$111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9193-EAC2-42AE-8BA6-3C2DC54960AE}">
  <sheetPr codeName="Hoja7"/>
  <dimension ref="A1:Q41"/>
  <sheetViews>
    <sheetView showGridLines="0" topLeftCell="A18" zoomScale="80" zoomScaleNormal="70" workbookViewId="0">
      <selection activeCell="M29" sqref="M29"/>
    </sheetView>
  </sheetViews>
  <sheetFormatPr baseColWidth="10" defaultColWidth="11.42578125" defaultRowHeight="15" x14ac:dyDescent="0.25"/>
  <cols>
    <col min="2" max="2" width="20.28515625" bestFit="1" customWidth="1"/>
    <col min="3" max="3" width="13.28515625" bestFit="1" customWidth="1"/>
    <col min="4" max="4" width="13.85546875" customWidth="1"/>
    <col min="5" max="7" width="13.28515625" bestFit="1" customWidth="1"/>
    <col min="8" max="8" width="15.5703125" customWidth="1"/>
    <col min="11" max="12" width="13.28515625" bestFit="1" customWidth="1"/>
    <col min="13" max="13" width="11.5703125" bestFit="1" customWidth="1"/>
    <col min="14" max="16" width="13.28515625" bestFit="1" customWidth="1"/>
    <col min="17" max="17" width="11.5703125" bestFit="1" customWidth="1"/>
  </cols>
  <sheetData>
    <row r="1" spans="2:17" ht="15.75" thickBot="1" x14ac:dyDescent="0.3"/>
    <row r="2" spans="2:17" ht="15.75" thickBot="1" x14ac:dyDescent="0.3">
      <c r="B2" s="12" t="s">
        <v>342</v>
      </c>
      <c r="C2" s="8"/>
      <c r="D2" s="8"/>
    </row>
    <row r="3" spans="2:17" ht="14.45" customHeight="1" x14ac:dyDescent="0.25">
      <c r="B3" s="173" t="s">
        <v>343</v>
      </c>
      <c r="C3" s="174"/>
      <c r="D3" s="174"/>
      <c r="E3" s="174"/>
      <c r="F3" s="174"/>
      <c r="G3" s="175"/>
    </row>
    <row r="4" spans="2:17" x14ac:dyDescent="0.25">
      <c r="B4" s="176"/>
      <c r="C4" s="177"/>
      <c r="D4" s="177"/>
      <c r="E4" s="177"/>
      <c r="F4" s="177"/>
      <c r="G4" s="178"/>
    </row>
    <row r="5" spans="2:17" x14ac:dyDescent="0.25">
      <c r="B5" s="176"/>
      <c r="C5" s="177"/>
      <c r="D5" s="177"/>
      <c r="E5" s="177"/>
      <c r="F5" s="177"/>
      <c r="G5" s="178"/>
      <c r="I5" s="37"/>
    </row>
    <row r="6" spans="2:17" x14ac:dyDescent="0.25">
      <c r="B6" s="176"/>
      <c r="C6" s="177"/>
      <c r="D6" s="177"/>
      <c r="E6" s="177"/>
      <c r="F6" s="177"/>
      <c r="G6" s="178"/>
      <c r="I6" s="37"/>
    </row>
    <row r="7" spans="2:17" x14ac:dyDescent="0.25">
      <c r="B7" s="176"/>
      <c r="C7" s="177"/>
      <c r="D7" s="177"/>
      <c r="E7" s="177"/>
      <c r="F7" s="177"/>
      <c r="G7" s="178"/>
    </row>
    <row r="8" spans="2:17" x14ac:dyDescent="0.25">
      <c r="B8" s="176"/>
      <c r="C8" s="177"/>
      <c r="D8" s="177"/>
      <c r="E8" s="177"/>
      <c r="F8" s="177"/>
      <c r="G8" s="178"/>
    </row>
    <row r="9" spans="2:17" ht="25.5" customHeight="1" x14ac:dyDescent="0.25">
      <c r="B9" s="176"/>
      <c r="C9" s="177"/>
      <c r="D9" s="177"/>
      <c r="E9" s="177"/>
      <c r="F9" s="177"/>
      <c r="G9" s="178"/>
    </row>
    <row r="10" spans="2:17" ht="15.75" thickBot="1" x14ac:dyDescent="0.3">
      <c r="B10" s="179"/>
      <c r="C10" s="180"/>
      <c r="D10" s="180"/>
      <c r="E10" s="180"/>
      <c r="F10" s="180"/>
      <c r="G10" s="181"/>
    </row>
    <row r="12" spans="2:17" ht="15.75" thickBot="1" x14ac:dyDescent="0.3">
      <c r="K12" s="16" t="s">
        <v>15</v>
      </c>
    </row>
    <row r="13" spans="2:17" x14ac:dyDescent="0.25">
      <c r="B13" s="49">
        <v>42813</v>
      </c>
      <c r="C13" s="50">
        <v>42837</v>
      </c>
      <c r="D13" s="50">
        <v>40444</v>
      </c>
      <c r="E13" s="50">
        <v>43376</v>
      </c>
      <c r="F13" s="50">
        <v>46889</v>
      </c>
      <c r="G13" s="50">
        <v>39970</v>
      </c>
      <c r="H13" s="51">
        <v>47780</v>
      </c>
      <c r="I13" s="8"/>
      <c r="J13" s="8"/>
      <c r="K13" s="49">
        <v>42813</v>
      </c>
      <c r="L13" s="50">
        <v>42837</v>
      </c>
      <c r="M13" s="50">
        <v>40444</v>
      </c>
      <c r="N13" s="73">
        <v>43376</v>
      </c>
      <c r="O13" s="50">
        <v>46889</v>
      </c>
      <c r="P13" s="50">
        <v>39970</v>
      </c>
      <c r="Q13" s="51">
        <v>47780</v>
      </c>
    </row>
    <row r="14" spans="2:17" x14ac:dyDescent="0.25">
      <c r="B14" s="52">
        <v>42870</v>
      </c>
      <c r="C14" s="53">
        <v>43678</v>
      </c>
      <c r="D14" s="53">
        <v>46679</v>
      </c>
      <c r="E14" s="53">
        <v>43268</v>
      </c>
      <c r="F14" s="53">
        <v>44993</v>
      </c>
      <c r="G14" s="53">
        <v>46512</v>
      </c>
      <c r="H14" s="54">
        <v>47896</v>
      </c>
      <c r="I14" s="8"/>
      <c r="J14" s="8"/>
      <c r="K14" s="52">
        <v>42870</v>
      </c>
      <c r="L14" s="53">
        <v>43678</v>
      </c>
      <c r="M14" s="53">
        <v>46679</v>
      </c>
      <c r="N14" s="53">
        <v>43268</v>
      </c>
      <c r="O14" s="53">
        <v>44993</v>
      </c>
      <c r="P14" s="53">
        <v>46512</v>
      </c>
      <c r="Q14" s="54">
        <v>47896</v>
      </c>
    </row>
    <row r="15" spans="2:17" x14ac:dyDescent="0.25">
      <c r="B15" s="52">
        <v>43400</v>
      </c>
      <c r="C15" s="53">
        <v>47727</v>
      </c>
      <c r="D15" s="53">
        <v>49141</v>
      </c>
      <c r="E15" s="53">
        <v>47366</v>
      </c>
      <c r="F15" s="53">
        <v>47831</v>
      </c>
      <c r="G15" s="53">
        <v>48187</v>
      </c>
      <c r="H15" s="54">
        <v>44312</v>
      </c>
      <c r="I15" s="8"/>
      <c r="J15" s="8"/>
      <c r="K15" s="52">
        <v>43400</v>
      </c>
      <c r="L15" s="74">
        <v>47727</v>
      </c>
      <c r="M15" s="53">
        <v>49141</v>
      </c>
      <c r="N15" s="53">
        <v>47366</v>
      </c>
      <c r="O15" s="53">
        <v>47831</v>
      </c>
      <c r="P15" s="53">
        <v>48187</v>
      </c>
      <c r="Q15" s="54">
        <v>44312</v>
      </c>
    </row>
    <row r="16" spans="2:17" x14ac:dyDescent="0.25">
      <c r="B16" s="52">
        <v>42951</v>
      </c>
      <c r="C16" s="53">
        <v>49411</v>
      </c>
      <c r="D16" s="53">
        <v>46933</v>
      </c>
      <c r="E16" s="53">
        <v>43083</v>
      </c>
      <c r="F16" s="53">
        <v>45769</v>
      </c>
      <c r="G16" s="53">
        <v>41552</v>
      </c>
      <c r="H16" s="54">
        <v>42530</v>
      </c>
      <c r="I16" s="8"/>
      <c r="J16" s="8"/>
      <c r="K16" s="52">
        <v>42951</v>
      </c>
      <c r="L16" s="53">
        <v>49411</v>
      </c>
      <c r="M16" s="53">
        <v>46933</v>
      </c>
      <c r="N16" s="53">
        <v>43083</v>
      </c>
      <c r="O16" s="53">
        <v>45769</v>
      </c>
      <c r="P16" s="53">
        <v>41552</v>
      </c>
      <c r="Q16" s="54">
        <v>42530</v>
      </c>
    </row>
    <row r="17" spans="2:17" x14ac:dyDescent="0.25">
      <c r="B17" s="52">
        <v>47954</v>
      </c>
      <c r="C17" s="53">
        <v>47020</v>
      </c>
      <c r="D17" s="53">
        <v>44640</v>
      </c>
      <c r="E17" s="53">
        <v>44788</v>
      </c>
      <c r="F17" s="53">
        <v>42993</v>
      </c>
      <c r="G17" s="53">
        <v>40149</v>
      </c>
      <c r="H17" s="54">
        <v>49022</v>
      </c>
      <c r="I17" s="8"/>
      <c r="J17" s="8"/>
      <c r="K17" s="52">
        <v>47954</v>
      </c>
      <c r="L17" s="53">
        <v>47020</v>
      </c>
      <c r="M17" s="53">
        <v>44640</v>
      </c>
      <c r="N17" s="53">
        <v>44788</v>
      </c>
      <c r="O17" s="53">
        <v>42993</v>
      </c>
      <c r="P17" s="74">
        <v>40149</v>
      </c>
      <c r="Q17" s="54">
        <v>49022</v>
      </c>
    </row>
    <row r="18" spans="2:17" x14ac:dyDescent="0.25">
      <c r="B18" s="52">
        <v>44627</v>
      </c>
      <c r="C18" s="53">
        <v>42613</v>
      </c>
      <c r="D18" s="53">
        <v>40379</v>
      </c>
      <c r="E18" s="53">
        <v>40268</v>
      </c>
      <c r="F18" s="53">
        <v>44973</v>
      </c>
      <c r="G18" s="53">
        <v>49487</v>
      </c>
      <c r="H18" s="54">
        <v>45301</v>
      </c>
      <c r="I18" s="8"/>
      <c r="J18" s="8"/>
      <c r="K18" s="52">
        <v>44627</v>
      </c>
      <c r="L18" s="53">
        <v>42613</v>
      </c>
      <c r="M18" s="53">
        <v>40379</v>
      </c>
      <c r="N18" s="53">
        <v>40268</v>
      </c>
      <c r="O18" s="53">
        <v>44973</v>
      </c>
      <c r="P18" s="53">
        <v>49487</v>
      </c>
      <c r="Q18" s="54">
        <v>45301</v>
      </c>
    </row>
    <row r="19" spans="2:17" x14ac:dyDescent="0.25">
      <c r="B19" s="52">
        <v>46157</v>
      </c>
      <c r="C19" s="53">
        <v>43648</v>
      </c>
      <c r="D19" s="53">
        <v>42521</v>
      </c>
      <c r="E19" s="53">
        <v>44722</v>
      </c>
      <c r="F19" s="53">
        <v>45051</v>
      </c>
      <c r="G19" s="53">
        <v>46098</v>
      </c>
      <c r="H19" s="54">
        <v>49446</v>
      </c>
      <c r="I19" s="8"/>
      <c r="J19" s="8"/>
      <c r="K19" s="52">
        <v>46157</v>
      </c>
      <c r="L19" s="74">
        <v>43648</v>
      </c>
      <c r="M19" s="53">
        <v>42521</v>
      </c>
      <c r="N19" s="53">
        <v>44722</v>
      </c>
      <c r="O19" s="74">
        <v>45051</v>
      </c>
      <c r="P19" s="53">
        <v>46098</v>
      </c>
      <c r="Q19" s="54">
        <v>49446</v>
      </c>
    </row>
    <row r="20" spans="2:17" x14ac:dyDescent="0.25">
      <c r="B20" s="52">
        <v>48142</v>
      </c>
      <c r="C20" s="53">
        <v>45592</v>
      </c>
      <c r="D20" s="53">
        <v>45087</v>
      </c>
      <c r="E20" s="53">
        <v>40897</v>
      </c>
      <c r="F20" s="53">
        <v>44472</v>
      </c>
      <c r="G20" s="53">
        <v>48115</v>
      </c>
      <c r="H20" s="54">
        <v>42871</v>
      </c>
      <c r="I20" s="8"/>
      <c r="J20" s="8"/>
      <c r="K20" s="52">
        <v>48142</v>
      </c>
      <c r="L20" s="53">
        <v>45592</v>
      </c>
      <c r="M20" s="53">
        <v>45087</v>
      </c>
      <c r="N20" s="53">
        <v>40897</v>
      </c>
      <c r="O20" s="53">
        <v>44472</v>
      </c>
      <c r="P20" s="53">
        <v>48115</v>
      </c>
      <c r="Q20" s="54">
        <v>42871</v>
      </c>
    </row>
    <row r="21" spans="2:17" x14ac:dyDescent="0.25">
      <c r="B21" s="52">
        <v>42098</v>
      </c>
      <c r="C21" s="53">
        <v>47160</v>
      </c>
      <c r="D21" s="53">
        <v>40514</v>
      </c>
      <c r="E21" s="53">
        <v>40691</v>
      </c>
      <c r="F21" s="53">
        <v>45145</v>
      </c>
      <c r="G21" s="53">
        <v>44363</v>
      </c>
      <c r="H21" s="54">
        <v>40541</v>
      </c>
      <c r="I21" s="8"/>
      <c r="J21" s="8"/>
      <c r="K21" s="52">
        <v>42098</v>
      </c>
      <c r="L21" s="53">
        <v>47160</v>
      </c>
      <c r="M21" s="53">
        <v>40514</v>
      </c>
      <c r="N21" s="53">
        <v>40691</v>
      </c>
      <c r="O21" s="53">
        <v>45145</v>
      </c>
      <c r="P21" s="53">
        <v>44363</v>
      </c>
      <c r="Q21" s="54">
        <v>40541</v>
      </c>
    </row>
    <row r="22" spans="2:17" x14ac:dyDescent="0.25">
      <c r="B22" s="52">
        <v>49645</v>
      </c>
      <c r="C22" s="53">
        <v>40411</v>
      </c>
      <c r="D22" s="53">
        <v>41037</v>
      </c>
      <c r="E22" s="53">
        <v>43435</v>
      </c>
      <c r="F22" s="53">
        <v>45161</v>
      </c>
      <c r="G22" s="53">
        <v>47575</v>
      </c>
      <c r="H22" s="54">
        <v>46884</v>
      </c>
      <c r="I22" s="8"/>
      <c r="J22" s="8"/>
      <c r="K22" s="52">
        <v>49645</v>
      </c>
      <c r="L22" s="53">
        <v>40411</v>
      </c>
      <c r="M22" s="53">
        <v>41037</v>
      </c>
      <c r="N22" s="53">
        <v>43435</v>
      </c>
      <c r="O22" s="53">
        <v>45161</v>
      </c>
      <c r="P22" s="74">
        <v>47575</v>
      </c>
      <c r="Q22" s="54">
        <v>46884</v>
      </c>
    </row>
    <row r="23" spans="2:17" x14ac:dyDescent="0.25">
      <c r="B23" s="52">
        <v>41730</v>
      </c>
      <c r="C23" s="53">
        <v>40239</v>
      </c>
      <c r="D23" s="53">
        <v>41811</v>
      </c>
      <c r="E23" s="53">
        <v>46650</v>
      </c>
      <c r="F23" s="53">
        <v>47021</v>
      </c>
      <c r="G23" s="53">
        <v>47766</v>
      </c>
      <c r="H23" s="54">
        <v>49959</v>
      </c>
      <c r="I23" s="8"/>
      <c r="J23" s="8"/>
      <c r="K23" s="75">
        <v>41730</v>
      </c>
      <c r="L23" s="53">
        <v>40239</v>
      </c>
      <c r="M23" s="53">
        <v>41811</v>
      </c>
      <c r="N23" s="53">
        <v>46650</v>
      </c>
      <c r="O23" s="53">
        <v>47021</v>
      </c>
      <c r="P23" s="53">
        <v>47766</v>
      </c>
      <c r="Q23" s="54">
        <v>49959</v>
      </c>
    </row>
    <row r="24" spans="2:17" x14ac:dyDescent="0.25">
      <c r="B24" s="52">
        <v>48605</v>
      </c>
      <c r="C24" s="53">
        <v>48860</v>
      </c>
      <c r="D24" s="53">
        <v>42300</v>
      </c>
      <c r="E24" s="53">
        <v>45307</v>
      </c>
      <c r="F24" s="53">
        <v>45400</v>
      </c>
      <c r="G24" s="53">
        <v>45343</v>
      </c>
      <c r="H24" s="54">
        <v>46244</v>
      </c>
      <c r="I24" s="8"/>
      <c r="J24" s="8"/>
      <c r="K24" s="52">
        <v>48605</v>
      </c>
      <c r="L24" s="53">
        <v>48860</v>
      </c>
      <c r="M24" s="53">
        <v>42300</v>
      </c>
      <c r="N24" s="53">
        <v>45307</v>
      </c>
      <c r="O24" s="53">
        <v>45400</v>
      </c>
      <c r="P24" s="53">
        <v>45343</v>
      </c>
      <c r="Q24" s="54">
        <v>46244</v>
      </c>
    </row>
    <row r="25" spans="2:17" ht="15.75" thickBot="1" x14ac:dyDescent="0.3">
      <c r="B25" s="55">
        <v>41379</v>
      </c>
      <c r="C25" s="56">
        <v>40412</v>
      </c>
      <c r="D25" s="56">
        <v>43874</v>
      </c>
      <c r="E25" s="56">
        <v>41447</v>
      </c>
      <c r="F25" s="56">
        <v>49981</v>
      </c>
      <c r="G25" s="56">
        <v>41894</v>
      </c>
      <c r="H25" s="57">
        <v>42000</v>
      </c>
      <c r="I25" s="8"/>
      <c r="J25" s="8"/>
      <c r="K25" s="55">
        <v>41379</v>
      </c>
      <c r="L25" s="56">
        <v>40412</v>
      </c>
      <c r="M25" s="56">
        <v>43874</v>
      </c>
      <c r="N25" s="56">
        <v>41447</v>
      </c>
      <c r="O25" s="56">
        <v>49981</v>
      </c>
      <c r="P25" s="56">
        <v>41894</v>
      </c>
      <c r="Q25" s="57">
        <v>42000</v>
      </c>
    </row>
    <row r="26" spans="2:17" x14ac:dyDescent="0.25">
      <c r="B26" t="b" cm="1">
        <f t="array" ref="B26">DAY(B13)=SUM(IF(YEAR(B13)=YEAR(B$13:B$25),1,0))</f>
        <v>0</v>
      </c>
      <c r="C26" t="b" cm="1">
        <f t="array" ref="C26">DAY(C13)=SUM(IF(YEAR(C13)=YEAR(C$13:C$25),1,0))</f>
        <v>0</v>
      </c>
      <c r="D26" t="b" cm="1">
        <f t="array" ref="D26">DAY(D13)=SUM(IF(YEAR(D13)=YEAR(D$13:D$25),1,0))</f>
        <v>0</v>
      </c>
      <c r="E26" t="b" cm="1">
        <f t="array" ref="E26">DAY(E13)=SUM(IF(YEAR(E13)=YEAR(E$13:E$25),1,0))</f>
        <v>1</v>
      </c>
      <c r="F26" t="b" cm="1">
        <f t="array" ref="F26">DAY(F13)=SUM(IF(YEAR(F13)=YEAR(F$13:F$25),1,0))</f>
        <v>0</v>
      </c>
      <c r="G26" t="b" cm="1">
        <f t="array" ref="G26">DAY(G13)=SUM(IF(YEAR(G13)=YEAR(G$13:G$25),1,0))</f>
        <v>0</v>
      </c>
      <c r="H26" t="b" cm="1">
        <f t="array" ref="H26">DAY(H13)=SUM(IF(YEAR(H13)=YEAR(H$13:H$25),1,0))</f>
        <v>0</v>
      </c>
      <c r="K26" cm="1">
        <f t="array" ref="K26">IF(SUM(IF(YEAR(B13)=YEAR($B$13:$B$25),1,0))=DAY(B13),1,0)</f>
        <v>0</v>
      </c>
    </row>
    <row r="27" spans="2:17" x14ac:dyDescent="0.25">
      <c r="B27" t="b" cm="1">
        <f t="array" ref="B27">DAY(B14)=SUM(IF(YEAR(B14)=YEAR(B$13:B$25),1,0))</f>
        <v>0</v>
      </c>
      <c r="C27" t="b" cm="1">
        <f t="array" ref="C27">DAY(C14)=SUM(IF(YEAR(C14)=YEAR(C$13:C$25),1,0))</f>
        <v>0</v>
      </c>
      <c r="D27" t="b" cm="1">
        <f t="array" ref="D27">DAY(D14)=SUM(IF(YEAR(D14)=YEAR(D$13:D$25),1,0))</f>
        <v>0</v>
      </c>
      <c r="E27" t="b" cm="1">
        <f t="array" ref="E27">DAY(E14)=SUM(IF(YEAR(E14)=YEAR(E$13:E$25),1,0))</f>
        <v>0</v>
      </c>
      <c r="F27" t="b" cm="1">
        <f t="array" ref="F27">DAY(F14)=SUM(IF(YEAR(F14)=YEAR(F$13:F$25),1,0))</f>
        <v>0</v>
      </c>
      <c r="G27" t="b" cm="1">
        <f t="array" ref="G27">DAY(G14)=SUM(IF(YEAR(G14)=YEAR(G$13:G$25),1,0))</f>
        <v>0</v>
      </c>
      <c r="H27" t="b" cm="1">
        <f t="array" ref="H27">DAY(H14)=SUM(IF(YEAR(H14)=YEAR(H$13:H$25),1,0))</f>
        <v>0</v>
      </c>
      <c r="K27" cm="1">
        <f t="array" ref="K27">IF(SUM(IF(YEAR(B14)=YEAR($B$13:$B$25),1,0))=DAY(B14),1,0)</f>
        <v>0</v>
      </c>
    </row>
    <row r="28" spans="2:17" x14ac:dyDescent="0.25">
      <c r="B28" t="b" cm="1">
        <f t="array" ref="B28">DAY(B15)=SUM(IF(YEAR(B15)=YEAR(B$13:B$25),1,0))</f>
        <v>0</v>
      </c>
      <c r="C28" t="b" cm="1">
        <f t="array" ref="C28">DAY(C15)=SUM(IF(YEAR(C15)=YEAR(C$13:C$25),1,0))</f>
        <v>1</v>
      </c>
      <c r="D28" t="b" cm="1">
        <f t="array" ref="D28">DAY(D15)=SUM(IF(YEAR(D15)=YEAR(D$13:D$25),1,0))</f>
        <v>0</v>
      </c>
      <c r="E28" t="b" cm="1">
        <f t="array" ref="E28">DAY(E15)=SUM(IF(YEAR(E15)=YEAR(E$13:E$25),1,0))</f>
        <v>0</v>
      </c>
      <c r="F28" t="b" cm="1">
        <f t="array" ref="F28">DAY(F15)=SUM(IF(YEAR(F15)=YEAR(F$13:F$25),1,0))</f>
        <v>0</v>
      </c>
      <c r="G28" t="b" cm="1">
        <f t="array" ref="G28">DAY(G15)=SUM(IF(YEAR(G15)=YEAR(G$13:G$25),1,0))</f>
        <v>0</v>
      </c>
      <c r="H28" t="b" cm="1">
        <f t="array" ref="H28">DAY(H15)=SUM(IF(YEAR(H15)=YEAR(H$13:H$25),1,0))</f>
        <v>0</v>
      </c>
      <c r="K28" cm="1">
        <f t="array" ref="K28">IF(SUM(IF(YEAR(B15)=YEAR($B$13:$B$25),1,0))=DAY(B15),1,0)</f>
        <v>0</v>
      </c>
    </row>
    <row r="29" spans="2:17" x14ac:dyDescent="0.25">
      <c r="B29" t="b" cm="1">
        <f t="array" ref="B29">DAY(B16)=SUM(IF(YEAR(B16)=YEAR(B$13:B$25),1,0))</f>
        <v>0</v>
      </c>
      <c r="C29" t="b" cm="1">
        <f t="array" ref="C29">DAY(C16)=SUM(IF(YEAR(C16)=YEAR(C$13:C$25),1,0))</f>
        <v>0</v>
      </c>
      <c r="D29" t="b" cm="1">
        <f t="array" ref="D29">DAY(D16)=SUM(IF(YEAR(D16)=YEAR(D$13:D$25),1,0))</f>
        <v>0</v>
      </c>
      <c r="E29" t="b" cm="1">
        <f t="array" ref="E29">DAY(E16)=SUM(IF(YEAR(E16)=YEAR(E$13:E$25),1,0))</f>
        <v>0</v>
      </c>
      <c r="F29" t="b" cm="1">
        <f t="array" ref="F29">DAY(F16)=SUM(IF(YEAR(F16)=YEAR(F$13:F$25),1,0))</f>
        <v>0</v>
      </c>
      <c r="G29" t="b" cm="1">
        <f t="array" ref="G29">DAY(G16)=SUM(IF(YEAR(G16)=YEAR(G$13:G$25),1,0))</f>
        <v>0</v>
      </c>
      <c r="H29" t="b" cm="1">
        <f t="array" ref="H29">DAY(H16)=SUM(IF(YEAR(H16)=YEAR(H$13:H$25),1,0))</f>
        <v>0</v>
      </c>
      <c r="K29" cm="1">
        <f t="array" ref="K29">IF(SUM(IF(YEAR(B16)=YEAR($B$13:$B$25),1,0))=DAY(B16),1,0)</f>
        <v>0</v>
      </c>
    </row>
    <row r="30" spans="2:17" x14ac:dyDescent="0.25">
      <c r="B30" t="b" cm="1">
        <f t="array" ref="B30">DAY(B17)=SUM(IF(YEAR(B17)=YEAR(B$13:B$25),1,0))</f>
        <v>0</v>
      </c>
      <c r="C30" t="b" cm="1">
        <f t="array" ref="C30">DAY(C17)=SUM(IF(YEAR(C17)=YEAR(C$13:C$25),1,0))</f>
        <v>0</v>
      </c>
      <c r="D30" t="b" cm="1">
        <f t="array" ref="D30">DAY(D17)=SUM(IF(YEAR(D17)=YEAR(D$13:D$25),1,0))</f>
        <v>0</v>
      </c>
      <c r="E30" t="b" cm="1">
        <f t="array" ref="E30">DAY(E17)=SUM(IF(YEAR(E17)=YEAR(E$13:E$25),1,0))</f>
        <v>0</v>
      </c>
      <c r="F30" t="b" cm="1">
        <f t="array" ref="F30">DAY(F17)=SUM(IF(YEAR(F17)=YEAR(F$13:F$25),1,0))</f>
        <v>0</v>
      </c>
      <c r="G30" t="b" cm="1">
        <f t="array" ref="G30">DAY(G17)=SUM(IF(YEAR(G17)=YEAR(G$13:G$25),1,0))</f>
        <v>1</v>
      </c>
      <c r="H30" t="b" cm="1">
        <f t="array" ref="H30">DAY(H17)=SUM(IF(YEAR(H17)=YEAR(H$13:H$25),1,0))</f>
        <v>0</v>
      </c>
      <c r="K30" cm="1">
        <f t="array" ref="K30">IF(SUM(IF(YEAR(B17)=YEAR($B$13:$B$25),1,0))=DAY(B17),1,0)</f>
        <v>0</v>
      </c>
    </row>
    <row r="31" spans="2:17" x14ac:dyDescent="0.25">
      <c r="B31" t="b" cm="1">
        <f t="array" ref="B31">DAY(B18)=SUM(IF(YEAR(B18)=YEAR(B$13:B$25),1,0))</f>
        <v>0</v>
      </c>
      <c r="C31" t="b" cm="1">
        <f t="array" ref="C31">DAY(C18)=SUM(IF(YEAR(C18)=YEAR(C$13:C$25),1,0))</f>
        <v>0</v>
      </c>
      <c r="D31" t="b" cm="1">
        <f t="array" ref="D31">DAY(D18)=SUM(IF(YEAR(D18)=YEAR(D$13:D$25),1,0))</f>
        <v>0</v>
      </c>
      <c r="E31" t="b" cm="1">
        <f t="array" ref="E31">DAY(E18)=SUM(IF(YEAR(E18)=YEAR(E$13:E$25),1,0))</f>
        <v>0</v>
      </c>
      <c r="F31" t="b" cm="1">
        <f t="array" ref="F31">DAY(F18)=SUM(IF(YEAR(F18)=YEAR(F$13:F$25),1,0))</f>
        <v>0</v>
      </c>
      <c r="G31" t="b" cm="1">
        <f t="array" ref="G31">DAY(G18)=SUM(IF(YEAR(G18)=YEAR(G$13:G$25),1,0))</f>
        <v>0</v>
      </c>
      <c r="H31" t="b" cm="1">
        <f t="array" ref="H31">DAY(H18)=SUM(IF(YEAR(H18)=YEAR(H$13:H$25),1,0))</f>
        <v>0</v>
      </c>
      <c r="K31" cm="1">
        <f t="array" ref="K31">IF(SUM(IF(YEAR(B18)=YEAR($B$13:$B$25),1,0))=DAY(B18),1,0)</f>
        <v>0</v>
      </c>
    </row>
    <row r="32" spans="2:17" x14ac:dyDescent="0.25">
      <c r="B32" t="b" cm="1">
        <f t="array" ref="B32">DAY(B19)=SUM(IF(YEAR(B19)=YEAR(B$13:B$25),1,0))</f>
        <v>0</v>
      </c>
      <c r="C32" t="b" cm="1">
        <f t="array" ref="C32">DAY(C19)=SUM(IF(YEAR(C19)=YEAR(C$13:C$25),1,0))</f>
        <v>1</v>
      </c>
      <c r="D32" t="b" cm="1">
        <f t="array" ref="D32">DAY(D19)=SUM(IF(YEAR(D19)=YEAR(D$13:D$25),1,0))</f>
        <v>0</v>
      </c>
      <c r="E32" t="b" cm="1">
        <f t="array" ref="E32">DAY(E19)=SUM(IF(YEAR(E19)=YEAR(E$13:E$25),1,0))</f>
        <v>0</v>
      </c>
      <c r="F32" t="b" cm="1">
        <f t="array" ref="F32">DAY(F19)=SUM(IF(YEAR(F19)=YEAR(F$13:F$25),1,0))</f>
        <v>1</v>
      </c>
      <c r="G32" t="b" cm="1">
        <f t="array" ref="G32">DAY(G19)=SUM(IF(YEAR(G19)=YEAR(G$13:G$25),1,0))</f>
        <v>0</v>
      </c>
      <c r="H32" t="b" cm="1">
        <f t="array" ref="H32">DAY(H19)=SUM(IF(YEAR(H19)=YEAR(H$13:H$25),1,0))</f>
        <v>0</v>
      </c>
      <c r="K32" cm="1">
        <f t="array" ref="K32">IF(SUM(IF(YEAR(B19)=YEAR($B$13:$B$25),1,0))=DAY(B19),1,0)</f>
        <v>0</v>
      </c>
    </row>
    <row r="33" spans="1:11" x14ac:dyDescent="0.25">
      <c r="B33" t="b" cm="1">
        <f t="array" ref="B33">DAY(B20)=SUM(IF(YEAR(B20)=YEAR(B$13:B$25),1,0))</f>
        <v>0</v>
      </c>
      <c r="C33" t="b" cm="1">
        <f t="array" ref="C33">DAY(C20)=SUM(IF(YEAR(C20)=YEAR(C$13:C$25),1,0))</f>
        <v>0</v>
      </c>
      <c r="D33" t="b" cm="1">
        <f t="array" ref="D33">DAY(D20)=SUM(IF(YEAR(D20)=YEAR(D$13:D$25),1,0))</f>
        <v>0</v>
      </c>
      <c r="E33" t="b" cm="1">
        <f t="array" ref="E33">DAY(E20)=SUM(IF(YEAR(E20)=YEAR(E$13:E$25),1,0))</f>
        <v>0</v>
      </c>
      <c r="F33" t="b" cm="1">
        <f t="array" ref="F33">DAY(F20)=SUM(IF(YEAR(F20)=YEAR(F$13:F$25),1,0))</f>
        <v>0</v>
      </c>
      <c r="G33" t="b" cm="1">
        <f t="array" ref="G33">DAY(G20)=SUM(IF(YEAR(G20)=YEAR(G$13:G$25),1,0))</f>
        <v>0</v>
      </c>
      <c r="H33" t="b" cm="1">
        <f t="array" ref="H33">DAY(H20)=SUM(IF(YEAR(H20)=YEAR(H$13:H$25),1,0))</f>
        <v>0</v>
      </c>
      <c r="K33" cm="1">
        <f t="array" ref="K33">IF(SUM(IF(YEAR(B20)=YEAR($B$13:$B$25),1,0))=DAY(B20),1,0)</f>
        <v>0</v>
      </c>
    </row>
    <row r="34" spans="1:11" x14ac:dyDescent="0.25">
      <c r="B34" t="b" cm="1">
        <f t="array" ref="B34">DAY(B21)=SUM(IF(YEAR(B21)=YEAR(B$13:B$25),1,0))</f>
        <v>0</v>
      </c>
      <c r="C34" t="b" cm="1">
        <f t="array" ref="C34">DAY(C21)=SUM(IF(YEAR(C21)=YEAR(C$13:C$25),1,0))</f>
        <v>0</v>
      </c>
      <c r="D34" t="b" cm="1">
        <f t="array" ref="D34">DAY(D21)=SUM(IF(YEAR(D21)=YEAR(D$13:D$25),1,0))</f>
        <v>0</v>
      </c>
      <c r="E34" t="b" cm="1">
        <f t="array" ref="E34">DAY(E21)=SUM(IF(YEAR(E21)=YEAR(E$13:E$25),1,0))</f>
        <v>0</v>
      </c>
      <c r="F34" t="b" cm="1">
        <f t="array" ref="F34">DAY(F21)=SUM(IF(YEAR(F21)=YEAR(F$13:F$25),1,0))</f>
        <v>0</v>
      </c>
      <c r="G34" t="b" cm="1">
        <f t="array" ref="G34">DAY(G21)=SUM(IF(YEAR(G21)=YEAR(G$13:G$25),1,0))</f>
        <v>0</v>
      </c>
      <c r="H34" t="b" cm="1">
        <f t="array" ref="H34">DAY(H21)=SUM(IF(YEAR(H21)=YEAR(H$13:H$25),1,0))</f>
        <v>0</v>
      </c>
      <c r="K34" cm="1">
        <f t="array" ref="K34">IF(SUM(IF(YEAR(B21)=YEAR($B$13:$B$25),1,0))=DAY(B21),1,0)</f>
        <v>0</v>
      </c>
    </row>
    <row r="35" spans="1:11" x14ac:dyDescent="0.25">
      <c r="B35" t="b" cm="1">
        <f t="array" ref="B35">DAY(B22)=SUM(IF(YEAR(B22)=YEAR(B$13:B$25),1,0))</f>
        <v>0</v>
      </c>
      <c r="C35" t="b" cm="1">
        <f t="array" ref="C35">DAY(C22)=SUM(IF(YEAR(C22)=YEAR(C$13:C$25),1,0))</f>
        <v>0</v>
      </c>
      <c r="D35" t="b" cm="1">
        <f t="array" ref="D35">DAY(D22)=SUM(IF(YEAR(D22)=YEAR(D$13:D$25),1,0))</f>
        <v>0</v>
      </c>
      <c r="E35" t="b" cm="1">
        <f t="array" ref="E35">DAY(E22)=SUM(IF(YEAR(E22)=YEAR(E$13:E$25),1,0))</f>
        <v>0</v>
      </c>
      <c r="F35" t="b" cm="1">
        <f t="array" ref="F35">DAY(F22)=SUM(IF(YEAR(F22)=YEAR(F$13:F$25),1,0))</f>
        <v>0</v>
      </c>
      <c r="G35" t="b" cm="1">
        <f t="array" ref="G35">DAY(G22)=SUM(IF(YEAR(G22)=YEAR(G$13:G$25),1,0))</f>
        <v>1</v>
      </c>
      <c r="H35" t="b" cm="1">
        <f t="array" ref="H35">DAY(H22)=SUM(IF(YEAR(H22)=YEAR(H$13:H$25),1,0))</f>
        <v>0</v>
      </c>
      <c r="K35" cm="1">
        <f t="array" ref="K35">IF(SUM(IF(YEAR(B22)=YEAR($B$13:$B$25),1,0))=DAY(B22),1,0)</f>
        <v>0</v>
      </c>
    </row>
    <row r="36" spans="1:11" x14ac:dyDescent="0.25">
      <c r="B36" t="b" cm="1">
        <f t="array" ref="B36">DAY(B23)=SUM(IF(YEAR(B23)=YEAR(B$13:B$25),1,0))</f>
        <v>1</v>
      </c>
      <c r="C36" t="b" cm="1">
        <f t="array" ref="C36">DAY(C23)=SUM(IF(YEAR(C23)=YEAR(C$13:C$25),1,0))</f>
        <v>0</v>
      </c>
      <c r="D36" t="b" cm="1">
        <f t="array" ref="D36">DAY(D23)=SUM(IF(YEAR(D23)=YEAR(D$13:D$25),1,0))</f>
        <v>0</v>
      </c>
      <c r="E36" t="b" cm="1">
        <f t="array" ref="E36">DAY(E23)=SUM(IF(YEAR(E23)=YEAR(E$13:E$25),1,0))</f>
        <v>0</v>
      </c>
      <c r="F36" t="b" cm="1">
        <f t="array" ref="F36">DAY(F23)=SUM(IF(YEAR(F23)=YEAR(F$13:F$25),1,0))</f>
        <v>0</v>
      </c>
      <c r="G36" t="b" cm="1">
        <f t="array" ref="G36">DAY(G23)=SUM(IF(YEAR(G23)=YEAR(G$13:G$25),1,0))</f>
        <v>0</v>
      </c>
      <c r="H36" t="b" cm="1">
        <f t="array" ref="H36">DAY(H23)=SUM(IF(YEAR(H23)=YEAR(H$13:H$25),1,0))</f>
        <v>0</v>
      </c>
      <c r="K36" cm="1">
        <f t="array" ref="K36">IF(SUM(IF(YEAR(B23)=YEAR($B$13:$B$25),1,0))=DAY(B23),1,0)</f>
        <v>1</v>
      </c>
    </row>
    <row r="37" spans="1:11" x14ac:dyDescent="0.25">
      <c r="B37" t="b" cm="1">
        <f t="array" ref="B37">DAY(B24)=SUM(IF(YEAR(B24)=YEAR(B$13:B$25),1,0))</f>
        <v>0</v>
      </c>
      <c r="C37" t="b" cm="1">
        <f t="array" ref="C37">DAY(C24)=SUM(IF(YEAR(C24)=YEAR(C$13:C$25),1,0))</f>
        <v>0</v>
      </c>
      <c r="D37" t="b" cm="1">
        <f t="array" ref="D37">DAY(D24)=SUM(IF(YEAR(D24)=YEAR(D$13:D$25),1,0))</f>
        <v>0</v>
      </c>
      <c r="E37" t="b" cm="1">
        <f t="array" ref="E37">DAY(E24)=SUM(IF(YEAR(E24)=YEAR(E$13:E$25),1,0))</f>
        <v>0</v>
      </c>
      <c r="F37" t="b" cm="1">
        <f t="array" ref="F37">DAY(F24)=SUM(IF(YEAR(F24)=YEAR(F$13:F$25),1,0))</f>
        <v>0</v>
      </c>
      <c r="G37" t="b" cm="1">
        <f t="array" ref="G37">DAY(G24)=SUM(IF(YEAR(G24)=YEAR(G$13:G$25),1,0))</f>
        <v>0</v>
      </c>
      <c r="H37" t="b" cm="1">
        <f t="array" ref="H37">DAY(H24)=SUM(IF(YEAR(H24)=YEAR(H$13:H$25),1,0))</f>
        <v>0</v>
      </c>
      <c r="K37" cm="1">
        <f t="array" ref="K37">IF(SUM(IF(YEAR(B24)=YEAR($B$13:$B$25),1,0))=DAY(B24),1,0)</f>
        <v>0</v>
      </c>
    </row>
    <row r="38" spans="1:11" x14ac:dyDescent="0.25">
      <c r="A38">
        <v>4</v>
      </c>
      <c r="B38" t="b" cm="1">
        <f t="array" ref="B38">DAY(B25)=SUM(IF(YEAR(B25)=YEAR(B$13:B$25),1,0))</f>
        <v>0</v>
      </c>
      <c r="C38" t="b" cm="1">
        <f t="array" ref="C38">DAY(C25)=SUM(IF(YEAR(C25)=YEAR(C$13:C$25),1,0))</f>
        <v>0</v>
      </c>
      <c r="D38" t="b" cm="1">
        <f t="array" ref="D38">DAY(D25)=SUM(IF(YEAR(D25)=YEAR(D$13:D$25),1,0))</f>
        <v>0</v>
      </c>
      <c r="E38" t="b" cm="1">
        <f t="array" ref="E38">DAY(E25)=SUM(IF(YEAR(E25)=YEAR(E$13:E$25),1,0))</f>
        <v>0</v>
      </c>
      <c r="F38" t="b" cm="1">
        <f t="array" ref="F38">DAY(F25)=SUM(IF(YEAR(F25)=YEAR(F$13:F$25),1,0))</f>
        <v>0</v>
      </c>
      <c r="G38" t="b" cm="1">
        <f t="array" ref="G38">DAY(G25)=SUM(IF(YEAR(G25)=YEAR(G$13:G$25),1,0))</f>
        <v>0</v>
      </c>
      <c r="H38" t="b" cm="1">
        <f t="array" ref="H38">DAY(H25)=SUM(IF(YEAR(H25)=YEAR(H$13:H$25),1,0))</f>
        <v>0</v>
      </c>
      <c r="K38" cm="1">
        <f t="array" ref="K38">IF(SUM(IF(YEAR(B25)=YEAR($B$13:$B$25),1,0))=DAY(B25),1,0)</f>
        <v>0</v>
      </c>
    </row>
    <row r="39" spans="1:11" x14ac:dyDescent="0.25">
      <c r="B39" t="b" cm="1">
        <f t="array" ref="B39">DAY(B26)=SUM(IF(YEAR(B26)=YEAR(B$13:B$25),1,0))</f>
        <v>1</v>
      </c>
      <c r="C39" t="b" cm="1">
        <f t="array" ref="C39">DAY(C26)=SUM(IF(YEAR(C26)=YEAR(C$13:C$25),1,0))</f>
        <v>1</v>
      </c>
      <c r="D39" t="b" cm="1">
        <f t="array" ref="D39">DAY(D26)=SUM(IF(YEAR(D26)=YEAR(D$13:D$25),1,0))</f>
        <v>1</v>
      </c>
      <c r="E39" t="b" cm="1">
        <f t="array" ref="E39">DAY(E26)=SUM(IF(YEAR(E26)=YEAR(E$13:E$25),1,0))</f>
        <v>0</v>
      </c>
      <c r="F39" t="b" cm="1">
        <f t="array" ref="F39">DAY(F26)=SUM(IF(YEAR(F26)=YEAR(F$13:F$25),1,0))</f>
        <v>1</v>
      </c>
      <c r="G39" t="b" cm="1">
        <f t="array" ref="G39">DAY(G26)=SUM(IF(YEAR(G26)=YEAR(G$13:G$25),1,0))</f>
        <v>1</v>
      </c>
      <c r="H39" t="b" cm="1">
        <f t="array" ref="H39">DAY(H26)=SUM(IF(YEAR(H26)=YEAR(H$13:H$25),1,0))</f>
        <v>1</v>
      </c>
      <c r="K39" cm="1">
        <f t="array" ref="K39">IF(SUM(IF(YEAR(B26)=YEAR($B$13:$B$25),1,0))=DAY(B26),1,0)</f>
        <v>1</v>
      </c>
    </row>
    <row r="40" spans="1:11" x14ac:dyDescent="0.25">
      <c r="B40" t="b" cm="1">
        <f t="array" ref="B40">DAY(B27)=SUM(IF(YEAR(B27)=YEAR(B$13:B$25),1,0))</f>
        <v>1</v>
      </c>
      <c r="C40" t="b" cm="1">
        <f t="array" ref="C40">DAY(C27)=SUM(IF(YEAR(C27)=YEAR(C$13:C$25),1,0))</f>
        <v>1</v>
      </c>
      <c r="D40" t="b" cm="1">
        <f t="array" ref="D40">DAY(D27)=SUM(IF(YEAR(D27)=YEAR(D$13:D$25),1,0))</f>
        <v>1</v>
      </c>
      <c r="E40" t="b" cm="1">
        <f t="array" ref="E40">DAY(E27)=SUM(IF(YEAR(E27)=YEAR(E$13:E$25),1,0))</f>
        <v>1</v>
      </c>
      <c r="F40" t="b" cm="1">
        <f t="array" ref="F40">DAY(F27)=SUM(IF(YEAR(F27)=YEAR(F$13:F$25),1,0))</f>
        <v>1</v>
      </c>
      <c r="G40" t="b" cm="1">
        <f t="array" ref="G40">DAY(G27)=SUM(IF(YEAR(G27)=YEAR(G$13:G$25),1,0))</f>
        <v>1</v>
      </c>
      <c r="H40" t="b" cm="1">
        <f t="array" ref="H40">DAY(H27)=SUM(IF(YEAR(H27)=YEAR(H$13:H$25),1,0))</f>
        <v>1</v>
      </c>
      <c r="K40" cm="1">
        <f t="array" ref="K40">IF(SUM(IF(YEAR(B27)=YEAR($B$13:$B$25),1,0))=DAY(B27),1,0)</f>
        <v>1</v>
      </c>
    </row>
    <row r="41" spans="1:11" x14ac:dyDescent="0.25">
      <c r="B41" t="b" cm="1">
        <f t="array" ref="B41">DAY(B28)=SUM(IF(YEAR(B28)=YEAR(B$13:B$25),1,0))</f>
        <v>1</v>
      </c>
      <c r="C41" t="b" cm="1">
        <f t="array" ref="C41">DAY(C28)=SUM(IF(YEAR(C28)=YEAR(C$13:C$25),1,0))</f>
        <v>0</v>
      </c>
      <c r="D41" t="b" cm="1">
        <f t="array" ref="D41">DAY(D28)=SUM(IF(YEAR(D28)=YEAR(D$13:D$25),1,0))</f>
        <v>1</v>
      </c>
      <c r="E41" t="b" cm="1">
        <f t="array" ref="E41">DAY(E28)=SUM(IF(YEAR(E28)=YEAR(E$13:E$25),1,0))</f>
        <v>1</v>
      </c>
      <c r="F41" t="b" cm="1">
        <f t="array" ref="F41">DAY(F28)=SUM(IF(YEAR(F28)=YEAR(F$13:F$25),1,0))</f>
        <v>1</v>
      </c>
      <c r="G41" t="b" cm="1">
        <f t="array" ref="G41">DAY(G28)=SUM(IF(YEAR(G28)=YEAR(G$13:G$25),1,0))</f>
        <v>1</v>
      </c>
      <c r="H41" t="b" cm="1">
        <f t="array" ref="H41">DAY(H28)=SUM(IF(YEAR(H28)=YEAR(H$13:H$25),1,0))</f>
        <v>1</v>
      </c>
      <c r="K41" cm="1">
        <f t="array" ref="K41">IF(SUM(IF(YEAR(B28)=YEAR($B$13:$B$25),1,0))=DAY(B28),1,0)</f>
        <v>1</v>
      </c>
    </row>
  </sheetData>
  <mergeCells count="1">
    <mergeCell ref="B3:G10"/>
  </mergeCells>
  <conditionalFormatting sqref="B13:H25">
    <cfRule type="expression" dxfId="4" priority="1">
      <formula>DAY(B13)=SUM(IF(YEAR(B$13:B$25)=YEAR(B13),1,0))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C580-D304-4796-A0C3-69D738E048E7}">
  <sheetPr codeName="Hoja8"/>
  <dimension ref="B2:G33"/>
  <sheetViews>
    <sheetView showGridLines="0" topLeftCell="A3" zoomScale="127" zoomScaleNormal="85" workbookViewId="0">
      <selection activeCell="C14" sqref="C14"/>
    </sheetView>
  </sheetViews>
  <sheetFormatPr baseColWidth="10" defaultColWidth="11.42578125" defaultRowHeight="15" x14ac:dyDescent="0.25"/>
  <cols>
    <col min="2" max="2" width="16.85546875" bestFit="1" customWidth="1"/>
    <col min="3" max="3" width="12.140625" bestFit="1" customWidth="1"/>
    <col min="5" max="5" width="11.85546875" bestFit="1" customWidth="1"/>
  </cols>
  <sheetData>
    <row r="2" spans="2:7" ht="15.75" thickBot="1" x14ac:dyDescent="0.3"/>
    <row r="3" spans="2:7" ht="15.75" thickBot="1" x14ac:dyDescent="0.3">
      <c r="B3" s="12" t="s">
        <v>344</v>
      </c>
      <c r="C3" s="8"/>
      <c r="D3" s="8"/>
    </row>
    <row r="4" spans="2:7" x14ac:dyDescent="0.25">
      <c r="B4" s="173" t="s">
        <v>345</v>
      </c>
      <c r="C4" s="174"/>
      <c r="D4" s="174"/>
      <c r="E4" s="174"/>
      <c r="F4" s="174"/>
      <c r="G4" s="175"/>
    </row>
    <row r="5" spans="2:7" x14ac:dyDescent="0.25">
      <c r="B5" s="176"/>
      <c r="C5" s="177"/>
      <c r="D5" s="177"/>
      <c r="E5" s="177"/>
      <c r="F5" s="177"/>
      <c r="G5" s="178"/>
    </row>
    <row r="6" spans="2:7" x14ac:dyDescent="0.25">
      <c r="B6" s="176"/>
      <c r="C6" s="177"/>
      <c r="D6" s="177"/>
      <c r="E6" s="177"/>
      <c r="F6" s="177"/>
      <c r="G6" s="178"/>
    </row>
    <row r="7" spans="2:7" x14ac:dyDescent="0.25">
      <c r="B7" s="176"/>
      <c r="C7" s="177"/>
      <c r="D7" s="177"/>
      <c r="E7" s="177"/>
      <c r="F7" s="177"/>
      <c r="G7" s="178"/>
    </row>
    <row r="8" spans="2:7" x14ac:dyDescent="0.25">
      <c r="B8" s="176"/>
      <c r="C8" s="177"/>
      <c r="D8" s="177"/>
      <c r="E8" s="177"/>
      <c r="F8" s="177"/>
      <c r="G8" s="178"/>
    </row>
    <row r="9" spans="2:7" x14ac:dyDescent="0.25">
      <c r="B9" s="176"/>
      <c r="C9" s="177"/>
      <c r="D9" s="177"/>
      <c r="E9" s="177"/>
      <c r="F9" s="177"/>
      <c r="G9" s="178"/>
    </row>
    <row r="10" spans="2:7" ht="15.75" thickBot="1" x14ac:dyDescent="0.3">
      <c r="B10" s="179"/>
      <c r="C10" s="180"/>
      <c r="D10" s="180"/>
      <c r="E10" s="180"/>
      <c r="F10" s="180"/>
      <c r="G10" s="181"/>
    </row>
    <row r="12" spans="2:7" x14ac:dyDescent="0.25">
      <c r="B12" s="9" t="s">
        <v>346</v>
      </c>
      <c r="C12" s="8"/>
      <c r="D12" s="16" t="s">
        <v>15</v>
      </c>
    </row>
    <row r="13" spans="2:7" x14ac:dyDescent="0.25">
      <c r="B13" s="13" t="s">
        <v>347</v>
      </c>
      <c r="C13" s="13" t="s">
        <v>348</v>
      </c>
      <c r="D13" s="13" t="s">
        <v>348</v>
      </c>
      <c r="F13" s="44"/>
    </row>
    <row r="14" spans="2:7" x14ac:dyDescent="0.25">
      <c r="B14" s="11" t="s">
        <v>349</v>
      </c>
      <c r="C14" s="25" t="str" cm="1">
        <f t="array" ref="C14">_xlfn.UNICHAR(LARGE(_xlfn.UNICODE(MID(B14,_xlfn.SEQUENCE(LEN(B14)),1)),1))</f>
        <v>r</v>
      </c>
      <c r="D14" s="58" t="s">
        <v>350</v>
      </c>
      <c r="F14" s="104"/>
    </row>
    <row r="15" spans="2:7" x14ac:dyDescent="0.25">
      <c r="B15" s="11" t="s">
        <v>351</v>
      </c>
      <c r="C15" s="25" t="str" cm="1">
        <f t="array" ref="C15">_xlfn.UNICHAR(LARGE(_xlfn.UNICODE(MID(B15,_xlfn.SEQUENCE(LEN(B15)),1)),1))</f>
        <v>s</v>
      </c>
      <c r="D15" s="58" t="s">
        <v>352</v>
      </c>
      <c r="F15" s="104"/>
    </row>
    <row r="16" spans="2:7" x14ac:dyDescent="0.25">
      <c r="B16" s="11" t="s">
        <v>353</v>
      </c>
      <c r="C16" s="25" t="str" cm="1">
        <f t="array" ref="C16">_xlfn.UNICHAR(LARGE(_xlfn.UNICODE(MID(B16,_xlfn.SEQUENCE(LEN(B16)),1)),1))</f>
        <v>s</v>
      </c>
      <c r="D16" s="58" t="s">
        <v>352</v>
      </c>
      <c r="F16" s="104"/>
    </row>
    <row r="17" spans="2:6" x14ac:dyDescent="0.25">
      <c r="B17" s="11" t="s">
        <v>354</v>
      </c>
      <c r="C17" s="25" t="str" cm="1">
        <f t="array" ref="C17">_xlfn.UNICHAR(LARGE(_xlfn.UNICODE(MID(B17,_xlfn.SEQUENCE(LEN(B17)),1)),1))</f>
        <v>p</v>
      </c>
      <c r="D17" s="58" t="s">
        <v>355</v>
      </c>
      <c r="F17" s="104"/>
    </row>
    <row r="18" spans="2:6" x14ac:dyDescent="0.25">
      <c r="B18" s="11" t="s">
        <v>356</v>
      </c>
      <c r="C18" s="25" t="str" cm="1">
        <f t="array" ref="C18">_xlfn.UNICHAR(LARGE(_xlfn.UNICODE(MID(B18,_xlfn.SEQUENCE(LEN(B18)),1)),1))</f>
        <v>o</v>
      </c>
      <c r="D18" s="58" t="s">
        <v>357</v>
      </c>
      <c r="F18" s="104"/>
    </row>
    <row r="19" spans="2:6" x14ac:dyDescent="0.25">
      <c r="B19" s="11" t="s">
        <v>358</v>
      </c>
      <c r="C19" s="25" t="str" cm="1">
        <f t="array" ref="C19">_xlfn.UNICHAR(LARGE(_xlfn.UNICODE(MID(B19,_xlfn.SEQUENCE(LEN(B19)),1)),1))</f>
        <v>s</v>
      </c>
      <c r="D19" s="58" t="s">
        <v>352</v>
      </c>
      <c r="F19" s="104"/>
    </row>
    <row r="20" spans="2:6" x14ac:dyDescent="0.25">
      <c r="B20" s="11" t="s">
        <v>359</v>
      </c>
      <c r="C20" s="25" t="str" cm="1">
        <f t="array" ref="C20">_xlfn.UNICHAR(LARGE(_xlfn.UNICODE(MID(B20,_xlfn.SEQUENCE(LEN(B20)),1)),1))</f>
        <v>r</v>
      </c>
      <c r="D20" s="58" t="s">
        <v>350</v>
      </c>
      <c r="F20" s="104"/>
    </row>
    <row r="21" spans="2:6" x14ac:dyDescent="0.25">
      <c r="B21" s="11" t="s">
        <v>360</v>
      </c>
      <c r="C21" s="25" t="str" cm="1">
        <f t="array" ref="C21">_xlfn.UNICHAR(LARGE(_xlfn.UNICODE(MID(B21,_xlfn.SEQUENCE(LEN(B21)),1)),1))</f>
        <v>z</v>
      </c>
      <c r="D21" s="58" t="s">
        <v>361</v>
      </c>
      <c r="F21" s="104"/>
    </row>
    <row r="22" spans="2:6" x14ac:dyDescent="0.25">
      <c r="B22" s="11" t="s">
        <v>362</v>
      </c>
      <c r="C22" s="25" t="str" cm="1">
        <f t="array" ref="C22">_xlfn.UNICHAR(LARGE(_xlfn.UNICODE(MID(B22,_xlfn.SEQUENCE(LEN(B22)),1)),1))</f>
        <v>r</v>
      </c>
      <c r="D22" s="58" t="s">
        <v>350</v>
      </c>
      <c r="F22" s="104"/>
    </row>
    <row r="23" spans="2:6" x14ac:dyDescent="0.25">
      <c r="B23" s="11" t="s">
        <v>363</v>
      </c>
      <c r="C23" s="25" t="str" cm="1">
        <f t="array" ref="C23">_xlfn.UNICHAR(LARGE(_xlfn.UNICODE(MID(B23,_xlfn.SEQUENCE(LEN(B23)),1)),1))</f>
        <v>u</v>
      </c>
      <c r="D23" s="58" t="s">
        <v>364</v>
      </c>
      <c r="F23" s="104"/>
    </row>
    <row r="24" spans="2:6" x14ac:dyDescent="0.25">
      <c r="B24" s="11" t="s">
        <v>365</v>
      </c>
      <c r="C24" s="25" t="str" cm="1">
        <f t="array" ref="C24">_xlfn.UNICHAR(LARGE(_xlfn.UNICODE(MID(B24,_xlfn.SEQUENCE(LEN(B24)),1)),1))</f>
        <v>r</v>
      </c>
      <c r="D24" s="58" t="s">
        <v>350</v>
      </c>
      <c r="F24" s="104"/>
    </row>
    <row r="25" spans="2:6" x14ac:dyDescent="0.25">
      <c r="B25" s="11" t="s">
        <v>366</v>
      </c>
      <c r="C25" s="25" t="str" cm="1">
        <f t="array" ref="C25">_xlfn.UNICHAR(LARGE(_xlfn.UNICODE(MID(B25,_xlfn.SEQUENCE(LEN(B25)),1)),1))</f>
        <v>u</v>
      </c>
      <c r="D25" s="58" t="s">
        <v>364</v>
      </c>
      <c r="F25" s="104"/>
    </row>
    <row r="26" spans="2:6" x14ac:dyDescent="0.25">
      <c r="B26" s="11" t="s">
        <v>367</v>
      </c>
      <c r="C26" s="25" t="str" cm="1">
        <f t="array" ref="C26">_xlfn.UNICHAR(LARGE(_xlfn.UNICODE(MID(B26,_xlfn.SEQUENCE(LEN(B26)),1)),1))</f>
        <v>r</v>
      </c>
      <c r="D26" s="58" t="s">
        <v>350</v>
      </c>
      <c r="F26" s="104"/>
    </row>
    <row r="27" spans="2:6" x14ac:dyDescent="0.25">
      <c r="B27" s="11" t="s">
        <v>368</v>
      </c>
      <c r="C27" s="25" t="str" cm="1">
        <f t="array" ref="C27">_xlfn.UNICHAR(LARGE(_xlfn.UNICODE(MID(B27,_xlfn.SEQUENCE(LEN(B27)),1)),1))</f>
        <v>r</v>
      </c>
      <c r="D27" s="58" t="s">
        <v>350</v>
      </c>
      <c r="F27" s="104"/>
    </row>
    <row r="28" spans="2:6" x14ac:dyDescent="0.25">
      <c r="B28" s="11" t="s">
        <v>369</v>
      </c>
      <c r="C28" s="25" t="str" cm="1">
        <f t="array" ref="C28">_xlfn.UNICHAR(LARGE(_xlfn.UNICODE(MID(B28,_xlfn.SEQUENCE(LEN(B28)),1)),1))</f>
        <v>o</v>
      </c>
      <c r="D28" s="58" t="s">
        <v>357</v>
      </c>
      <c r="F28" s="104"/>
    </row>
    <row r="29" spans="2:6" x14ac:dyDescent="0.25">
      <c r="B29" s="11" t="s">
        <v>370</v>
      </c>
      <c r="C29" s="25" t="str" cm="1">
        <f t="array" ref="C29">_xlfn.UNICHAR(LARGE(_xlfn.UNICODE(MID(B29,_xlfn.SEQUENCE(LEN(B29)),1)),1))</f>
        <v>r</v>
      </c>
      <c r="D29" s="58" t="s">
        <v>350</v>
      </c>
      <c r="F29" s="104"/>
    </row>
    <row r="30" spans="2:6" x14ac:dyDescent="0.25">
      <c r="B30" s="11" t="s">
        <v>371</v>
      </c>
      <c r="C30" s="25" t="str" cm="1">
        <f t="array" ref="C30">_xlfn.UNICHAR(LARGE(_xlfn.UNICODE(MID(B30,_xlfn.SEQUENCE(LEN(B30)),1)),1))</f>
        <v>t</v>
      </c>
      <c r="D30" s="58" t="s">
        <v>372</v>
      </c>
      <c r="F30" s="104"/>
    </row>
    <row r="31" spans="2:6" x14ac:dyDescent="0.25">
      <c r="B31" s="11" t="s">
        <v>373</v>
      </c>
      <c r="C31" s="25" t="str" cm="1">
        <f t="array" ref="C31">_xlfn.UNICHAR(LARGE(_xlfn.UNICODE(MID(B31,_xlfn.SEQUENCE(LEN(B31)),1)),1))</f>
        <v>u</v>
      </c>
      <c r="D31" s="58" t="s">
        <v>364</v>
      </c>
      <c r="F31" s="104"/>
    </row>
    <row r="32" spans="2:6" x14ac:dyDescent="0.25">
      <c r="B32" s="11" t="s">
        <v>374</v>
      </c>
      <c r="C32" s="25" t="str" cm="1">
        <f t="array" ref="C32">_xlfn.UNICHAR(LARGE(_xlfn.UNICODE(MID(B32,_xlfn.SEQUENCE(LEN(B32)),1)),1))</f>
        <v>v</v>
      </c>
      <c r="D32" s="58" t="s">
        <v>375</v>
      </c>
      <c r="F32" s="104"/>
    </row>
    <row r="33" spans="2:6" x14ac:dyDescent="0.25">
      <c r="B33" s="11" t="s">
        <v>376</v>
      </c>
      <c r="C33" s="25" t="str" cm="1">
        <f t="array" ref="C33">_xlfn.UNICHAR(LARGE(_xlfn.UNICODE(MID(B33,_xlfn.SEQUENCE(LEN(B33)),1)),1))</f>
        <v>r</v>
      </c>
      <c r="D33" s="58" t="s">
        <v>350</v>
      </c>
      <c r="F33" s="104"/>
    </row>
  </sheetData>
  <mergeCells count="1">
    <mergeCell ref="B4:G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B1AD-13FD-4297-9407-02219B360F78}">
  <sheetPr codeName="Hoja9"/>
  <dimension ref="B2:J70"/>
  <sheetViews>
    <sheetView showGridLines="0" topLeftCell="B11" zoomScale="104" zoomScaleNormal="70" workbookViewId="0">
      <selection activeCell="E18" sqref="E18"/>
    </sheetView>
  </sheetViews>
  <sheetFormatPr baseColWidth="10" defaultColWidth="11.42578125" defaultRowHeight="15" x14ac:dyDescent="0.25"/>
  <cols>
    <col min="2" max="2" width="23.28515625" customWidth="1"/>
    <col min="3" max="3" width="34.42578125" customWidth="1"/>
    <col min="4" max="4" width="13.5703125" customWidth="1"/>
    <col min="5" max="5" width="25" customWidth="1"/>
    <col min="6" max="6" width="23.5703125" customWidth="1"/>
    <col min="7" max="7" width="11.85546875" bestFit="1" customWidth="1"/>
    <col min="8" max="8" width="14.42578125" bestFit="1" customWidth="1"/>
    <col min="12" max="12" width="11.85546875" bestFit="1" customWidth="1"/>
  </cols>
  <sheetData>
    <row r="2" spans="2:7" ht="15.75" thickBot="1" x14ac:dyDescent="0.3"/>
    <row r="3" spans="2:7" ht="15.75" thickBot="1" x14ac:dyDescent="0.3">
      <c r="B3" s="12" t="s">
        <v>377</v>
      </c>
      <c r="C3" s="8"/>
      <c r="D3" s="8"/>
    </row>
    <row r="4" spans="2:7" ht="66.75" customHeight="1" x14ac:dyDescent="0.25">
      <c r="B4" s="173" t="s">
        <v>378</v>
      </c>
      <c r="C4" s="174"/>
      <c r="D4" s="175"/>
      <c r="E4" s="23"/>
      <c r="F4" s="23"/>
      <c r="G4" s="23"/>
    </row>
    <row r="5" spans="2:7" x14ac:dyDescent="0.25">
      <c r="B5" s="176"/>
      <c r="C5" s="177"/>
      <c r="D5" s="178"/>
      <c r="E5" s="23"/>
      <c r="F5" s="23"/>
      <c r="G5" s="23"/>
    </row>
    <row r="6" spans="2:7" x14ac:dyDescent="0.25">
      <c r="B6" s="176"/>
      <c r="C6" s="177"/>
      <c r="D6" s="178"/>
      <c r="E6" s="23"/>
      <c r="F6" s="23"/>
      <c r="G6" s="23"/>
    </row>
    <row r="7" spans="2:7" ht="15.75" thickBot="1" x14ac:dyDescent="0.3">
      <c r="B7" s="179"/>
      <c r="C7" s="180"/>
      <c r="D7" s="181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x14ac:dyDescent="0.25">
      <c r="B9" s="23"/>
      <c r="C9" s="23"/>
      <c r="D9" s="23"/>
      <c r="E9" s="23"/>
      <c r="F9" s="23"/>
      <c r="G9" s="23"/>
    </row>
    <row r="10" spans="2:7" x14ac:dyDescent="0.25">
      <c r="B10" s="23"/>
      <c r="C10" s="23"/>
      <c r="D10" s="23"/>
      <c r="E10" s="23"/>
      <c r="F10" s="23"/>
      <c r="G10" s="23"/>
    </row>
    <row r="11" spans="2:7" ht="15.75" thickBot="1" x14ac:dyDescent="0.3">
      <c r="B11" s="8"/>
      <c r="C11" s="8" t="b">
        <f>ISNUMBER(C12)</f>
        <v>1</v>
      </c>
      <c r="D11" s="16" t="s">
        <v>15</v>
      </c>
      <c r="E11" s="16" t="s">
        <v>15</v>
      </c>
      <c r="F11" s="8"/>
      <c r="G11" s="8"/>
    </row>
    <row r="12" spans="2:7" ht="15.75" thickBot="1" x14ac:dyDescent="0.3">
      <c r="B12" s="12" t="s">
        <v>379</v>
      </c>
      <c r="C12" s="113">
        <v>51</v>
      </c>
      <c r="D12" s="58">
        <v>51</v>
      </c>
      <c r="E12" s="58">
        <v>430</v>
      </c>
      <c r="F12" s="8"/>
      <c r="G12" s="8"/>
    </row>
    <row r="13" spans="2:7" x14ac:dyDescent="0.25">
      <c r="B13" s="12" t="s">
        <v>380</v>
      </c>
      <c r="C13" s="114" cm="1">
        <f t="array" ref="C13">SUM(IF(LEFT(SUBSTITUTE(B18:B69," a "," "),SEARCH(" ",SUBSTITUTE(B18:B69," a "," "))-1)+0&lt;=C12,IF(C12&lt;=RIGHT(SUBSTITUTE(B18:B69," a "," "),LEN(SUBSTITUTE(B18:B69," a "," "))-SEARCH(" ",SUBSTITUTE(B18:B69," a "," ")))+0,C18:C69*C12)))</f>
        <v>28458</v>
      </c>
      <c r="D13" s="59">
        <v>28458</v>
      </c>
      <c r="E13" s="59">
        <v>124700</v>
      </c>
      <c r="F13" s="8"/>
      <c r="G13" s="8"/>
    </row>
    <row r="14" spans="2:7" x14ac:dyDescent="0.25">
      <c r="B14" s="8"/>
      <c r="C14" s="8"/>
      <c r="D14" s="8"/>
      <c r="E14" s="8"/>
      <c r="F14" s="8"/>
      <c r="G14" s="8"/>
    </row>
    <row r="15" spans="2:7" x14ac:dyDescent="0.25">
      <c r="B15" s="8"/>
      <c r="C15" s="8"/>
      <c r="D15" s="8"/>
      <c r="E15" s="8"/>
      <c r="F15" s="8"/>
      <c r="G15" s="8"/>
    </row>
    <row r="16" spans="2:7" x14ac:dyDescent="0.25">
      <c r="B16" s="9" t="s">
        <v>381</v>
      </c>
      <c r="C16" s="8"/>
      <c r="D16" s="8"/>
      <c r="E16" s="8"/>
      <c r="F16" s="8"/>
      <c r="G16" s="8"/>
    </row>
    <row r="17" spans="2:8" x14ac:dyDescent="0.25">
      <c r="B17" s="13" t="s">
        <v>379</v>
      </c>
      <c r="C17" s="13" t="s">
        <v>382</v>
      </c>
      <c r="D17" s="8"/>
      <c r="E17" s="8"/>
      <c r="F17" s="8"/>
      <c r="G17" s="8"/>
    </row>
    <row r="18" spans="2:8" x14ac:dyDescent="0.25">
      <c r="B18" s="47" t="s">
        <v>383</v>
      </c>
      <c r="C18" s="48">
        <v>600</v>
      </c>
      <c r="D18" s="8"/>
      <c r="E18" s="8"/>
      <c r="F18" s="8" cm="1">
        <f t="array" ref="F18:F69">INT(MID(B18:B69,1,SEARCH(" ",B18:B69)-1))</f>
        <v>1</v>
      </c>
      <c r="G18" s="8" cm="1">
        <f t="array" ref="G18:G69">INT(MID(B18:B69,SEARCH("a",B18:B69)+2,LEN(B18:B69)-SEARCH("a",B18:B69)+1))</f>
        <v>5</v>
      </c>
      <c r="H18" s="8" t="b">
        <f>IF(AND($C$12&gt;=F18,$C$12&lt;=G18),C18)</f>
        <v>0</v>
      </c>
    </row>
    <row r="19" spans="2:8" x14ac:dyDescent="0.25">
      <c r="B19" s="47" t="s">
        <v>384</v>
      </c>
      <c r="C19" s="48">
        <v>593</v>
      </c>
      <c r="D19" s="8"/>
      <c r="E19" s="8"/>
      <c r="F19" s="8">
        <v>6</v>
      </c>
      <c r="G19" s="8">
        <v>10</v>
      </c>
      <c r="H19" s="8" t="b">
        <f t="shared" ref="H19:H69" si="0">IF(AND($C$12&gt;=F19,$C$12&lt;=G19),C19)</f>
        <v>0</v>
      </c>
    </row>
    <row r="20" spans="2:8" x14ac:dyDescent="0.25">
      <c r="B20" s="47" t="s">
        <v>385</v>
      </c>
      <c r="C20" s="48">
        <v>587</v>
      </c>
      <c r="D20" s="8"/>
      <c r="E20" s="8"/>
      <c r="F20" s="8">
        <v>11</v>
      </c>
      <c r="G20" s="8">
        <v>17</v>
      </c>
      <c r="H20" s="8" t="b">
        <f t="shared" si="0"/>
        <v>0</v>
      </c>
    </row>
    <row r="21" spans="2:8" x14ac:dyDescent="0.25">
      <c r="B21" s="47" t="s">
        <v>386</v>
      </c>
      <c r="C21" s="48">
        <v>581</v>
      </c>
      <c r="D21" s="8"/>
      <c r="E21" s="8"/>
      <c r="F21" s="8">
        <v>18</v>
      </c>
      <c r="G21" s="8">
        <v>25</v>
      </c>
      <c r="H21" s="8" t="b">
        <f t="shared" si="0"/>
        <v>0</v>
      </c>
    </row>
    <row r="22" spans="2:8" x14ac:dyDescent="0.25">
      <c r="B22" s="47" t="s">
        <v>387</v>
      </c>
      <c r="C22" s="48">
        <v>574</v>
      </c>
      <c r="D22" s="8"/>
      <c r="E22" s="8"/>
      <c r="F22" s="8">
        <v>26</v>
      </c>
      <c r="G22" s="8">
        <v>33</v>
      </c>
      <c r="H22" s="8" t="b">
        <f t="shared" si="0"/>
        <v>0</v>
      </c>
    </row>
    <row r="23" spans="2:8" x14ac:dyDescent="0.25">
      <c r="B23" s="47" t="s">
        <v>388</v>
      </c>
      <c r="C23" s="48">
        <v>570</v>
      </c>
      <c r="D23" s="8"/>
      <c r="E23" s="8"/>
      <c r="F23" s="8">
        <v>34</v>
      </c>
      <c r="G23" s="8">
        <v>41</v>
      </c>
      <c r="H23" s="8" t="b">
        <f t="shared" si="0"/>
        <v>0</v>
      </c>
    </row>
    <row r="24" spans="2:8" x14ac:dyDescent="0.25">
      <c r="B24" s="47" t="s">
        <v>389</v>
      </c>
      <c r="C24" s="48">
        <v>563</v>
      </c>
      <c r="D24" s="8"/>
      <c r="E24" s="8"/>
      <c r="F24" s="8">
        <v>42</v>
      </c>
      <c r="G24" s="8">
        <v>49</v>
      </c>
      <c r="H24" s="8" t="b">
        <f t="shared" si="0"/>
        <v>0</v>
      </c>
    </row>
    <row r="25" spans="2:8" x14ac:dyDescent="0.25">
      <c r="B25" s="47" t="s">
        <v>390</v>
      </c>
      <c r="C25" s="48">
        <v>558</v>
      </c>
      <c r="D25" s="8"/>
      <c r="E25" s="251"/>
      <c r="F25" s="8">
        <v>50</v>
      </c>
      <c r="G25" s="8">
        <v>57</v>
      </c>
      <c r="H25" s="8">
        <f t="shared" si="0"/>
        <v>558</v>
      </c>
    </row>
    <row r="26" spans="2:8" x14ac:dyDescent="0.25">
      <c r="B26" s="47" t="s">
        <v>391</v>
      </c>
      <c r="C26" s="48">
        <v>551</v>
      </c>
      <c r="D26" s="8"/>
      <c r="E26" s="8"/>
      <c r="F26" s="8">
        <v>58</v>
      </c>
      <c r="G26" s="8">
        <v>65</v>
      </c>
      <c r="H26" s="8" t="b">
        <f t="shared" si="0"/>
        <v>0</v>
      </c>
    </row>
    <row r="27" spans="2:8" x14ac:dyDescent="0.25">
      <c r="B27" s="47" t="s">
        <v>392</v>
      </c>
      <c r="C27" s="48">
        <v>544</v>
      </c>
      <c r="D27" s="8"/>
      <c r="E27" s="8"/>
      <c r="F27" s="8">
        <v>66</v>
      </c>
      <c r="G27" s="8">
        <v>73</v>
      </c>
      <c r="H27" s="8" t="b">
        <f t="shared" si="0"/>
        <v>0</v>
      </c>
    </row>
    <row r="28" spans="2:8" x14ac:dyDescent="0.25">
      <c r="B28" s="47" t="s">
        <v>393</v>
      </c>
      <c r="C28" s="48">
        <v>538</v>
      </c>
      <c r="D28" s="8"/>
      <c r="E28" s="8"/>
      <c r="F28" s="8">
        <v>74</v>
      </c>
      <c r="G28" s="8">
        <v>81</v>
      </c>
      <c r="H28" s="8" t="b">
        <f t="shared" si="0"/>
        <v>0</v>
      </c>
    </row>
    <row r="29" spans="2:8" x14ac:dyDescent="0.25">
      <c r="B29" s="47" t="s">
        <v>394</v>
      </c>
      <c r="C29" s="48">
        <v>530</v>
      </c>
      <c r="D29" s="8"/>
      <c r="E29" s="8"/>
      <c r="F29" s="8">
        <v>82</v>
      </c>
      <c r="G29" s="8">
        <v>89</v>
      </c>
      <c r="H29" s="8" t="b">
        <f t="shared" si="0"/>
        <v>0</v>
      </c>
    </row>
    <row r="30" spans="2:8" x14ac:dyDescent="0.25">
      <c r="B30" s="47" t="s">
        <v>395</v>
      </c>
      <c r="C30" s="48">
        <v>525</v>
      </c>
      <c r="D30" s="8"/>
      <c r="E30" s="8"/>
      <c r="F30" s="8">
        <v>90</v>
      </c>
      <c r="G30" s="8">
        <v>97</v>
      </c>
      <c r="H30" s="8" t="b">
        <f t="shared" si="0"/>
        <v>0</v>
      </c>
    </row>
    <row r="31" spans="2:8" x14ac:dyDescent="0.25">
      <c r="B31" s="47" t="s">
        <v>396</v>
      </c>
      <c r="C31" s="48">
        <v>517</v>
      </c>
      <c r="D31" s="8"/>
      <c r="E31" s="8"/>
      <c r="F31" s="8">
        <v>98</v>
      </c>
      <c r="G31" s="8">
        <v>105</v>
      </c>
      <c r="H31" s="8" t="b">
        <f t="shared" si="0"/>
        <v>0</v>
      </c>
    </row>
    <row r="32" spans="2:8" x14ac:dyDescent="0.25">
      <c r="B32" s="47" t="s">
        <v>397</v>
      </c>
      <c r="C32" s="48">
        <v>513</v>
      </c>
      <c r="D32" s="8"/>
      <c r="E32" s="8"/>
      <c r="F32" s="8">
        <v>106</v>
      </c>
      <c r="G32" s="8">
        <v>113</v>
      </c>
      <c r="H32" s="8" t="b">
        <f t="shared" si="0"/>
        <v>0</v>
      </c>
    </row>
    <row r="33" spans="2:8" x14ac:dyDescent="0.25">
      <c r="B33" s="47" t="s">
        <v>398</v>
      </c>
      <c r="C33" s="48">
        <v>508</v>
      </c>
      <c r="D33" s="8"/>
      <c r="E33" s="8"/>
      <c r="F33" s="8">
        <v>114</v>
      </c>
      <c r="G33" s="8">
        <v>121</v>
      </c>
      <c r="H33" s="8" t="b">
        <f t="shared" si="0"/>
        <v>0</v>
      </c>
    </row>
    <row r="34" spans="2:8" x14ac:dyDescent="0.25">
      <c r="B34" s="47" t="s">
        <v>399</v>
      </c>
      <c r="C34" s="48">
        <v>502</v>
      </c>
      <c r="D34" s="8"/>
      <c r="E34" s="8"/>
      <c r="F34" s="8">
        <v>122</v>
      </c>
      <c r="G34" s="8">
        <v>129</v>
      </c>
      <c r="H34" s="8" t="b">
        <f t="shared" si="0"/>
        <v>0</v>
      </c>
    </row>
    <row r="35" spans="2:8" x14ac:dyDescent="0.25">
      <c r="B35" s="47" t="s">
        <v>400</v>
      </c>
      <c r="C35" s="48">
        <v>497</v>
      </c>
      <c r="D35" s="8"/>
      <c r="E35" s="8"/>
      <c r="F35" s="8">
        <v>130</v>
      </c>
      <c r="G35" s="8">
        <v>137</v>
      </c>
      <c r="H35" s="8" t="b">
        <f t="shared" si="0"/>
        <v>0</v>
      </c>
    </row>
    <row r="36" spans="2:8" x14ac:dyDescent="0.25">
      <c r="B36" s="47" t="s">
        <v>401</v>
      </c>
      <c r="C36" s="48">
        <v>492</v>
      </c>
      <c r="D36" s="8"/>
      <c r="E36" s="8"/>
      <c r="F36" s="8">
        <v>138</v>
      </c>
      <c r="G36" s="8">
        <v>145</v>
      </c>
      <c r="H36" s="8" t="b">
        <f t="shared" si="0"/>
        <v>0</v>
      </c>
    </row>
    <row r="37" spans="2:8" x14ac:dyDescent="0.25">
      <c r="B37" s="47" t="s">
        <v>402</v>
      </c>
      <c r="C37" s="48">
        <v>484</v>
      </c>
      <c r="D37" s="8"/>
      <c r="E37" s="8"/>
      <c r="F37" s="8">
        <v>146</v>
      </c>
      <c r="G37" s="8">
        <v>153</v>
      </c>
      <c r="H37" s="8" t="b">
        <f t="shared" si="0"/>
        <v>0</v>
      </c>
    </row>
    <row r="38" spans="2:8" x14ac:dyDescent="0.25">
      <c r="B38" s="47" t="s">
        <v>403</v>
      </c>
      <c r="C38" s="48">
        <v>477</v>
      </c>
      <c r="D38" s="8"/>
      <c r="E38" s="8"/>
      <c r="F38" s="8">
        <v>154</v>
      </c>
      <c r="G38" s="8">
        <v>161</v>
      </c>
      <c r="H38" s="8" t="b">
        <f t="shared" si="0"/>
        <v>0</v>
      </c>
    </row>
    <row r="39" spans="2:8" x14ac:dyDescent="0.25">
      <c r="B39" s="47" t="s">
        <v>404</v>
      </c>
      <c r="C39" s="48">
        <v>471</v>
      </c>
      <c r="D39" s="8"/>
      <c r="E39" s="8"/>
      <c r="F39" s="8">
        <v>162</v>
      </c>
      <c r="G39" s="8">
        <v>169</v>
      </c>
      <c r="H39" s="8" t="b">
        <f t="shared" si="0"/>
        <v>0</v>
      </c>
    </row>
    <row r="40" spans="2:8" x14ac:dyDescent="0.25">
      <c r="B40" s="47" t="s">
        <v>405</v>
      </c>
      <c r="C40" s="48">
        <v>464</v>
      </c>
      <c r="D40" s="8"/>
      <c r="E40" s="8"/>
      <c r="F40" s="8">
        <v>170</v>
      </c>
      <c r="G40" s="8">
        <v>177</v>
      </c>
      <c r="H40" s="8" t="b">
        <f t="shared" si="0"/>
        <v>0</v>
      </c>
    </row>
    <row r="41" spans="2:8" x14ac:dyDescent="0.25">
      <c r="B41" s="47" t="s">
        <v>406</v>
      </c>
      <c r="C41" s="48">
        <v>457</v>
      </c>
      <c r="D41" s="8"/>
      <c r="E41" s="8"/>
      <c r="F41" s="8">
        <v>178</v>
      </c>
      <c r="G41" s="8">
        <v>185</v>
      </c>
      <c r="H41" s="8" t="b">
        <f t="shared" si="0"/>
        <v>0</v>
      </c>
    </row>
    <row r="42" spans="2:8" x14ac:dyDescent="0.25">
      <c r="B42" s="47" t="s">
        <v>407</v>
      </c>
      <c r="C42" s="48">
        <v>453</v>
      </c>
      <c r="D42" s="8"/>
      <c r="E42" s="8"/>
      <c r="F42" s="8">
        <v>186</v>
      </c>
      <c r="G42" s="8">
        <v>193</v>
      </c>
      <c r="H42" s="8" t="b">
        <f t="shared" si="0"/>
        <v>0</v>
      </c>
    </row>
    <row r="43" spans="2:8" x14ac:dyDescent="0.25">
      <c r="B43" s="47" t="s">
        <v>408</v>
      </c>
      <c r="C43" s="48">
        <v>447</v>
      </c>
      <c r="D43" s="8"/>
      <c r="E43" s="8"/>
      <c r="F43" s="8">
        <v>194</v>
      </c>
      <c r="G43" s="8">
        <v>201</v>
      </c>
      <c r="H43" s="8" t="b">
        <f t="shared" si="0"/>
        <v>0</v>
      </c>
    </row>
    <row r="44" spans="2:8" x14ac:dyDescent="0.25">
      <c r="B44" s="47" t="s">
        <v>409</v>
      </c>
      <c r="C44" s="48">
        <v>439</v>
      </c>
      <c r="D44" s="8"/>
      <c r="E44" s="8"/>
      <c r="F44" s="8">
        <v>202</v>
      </c>
      <c r="G44" s="8">
        <v>209</v>
      </c>
      <c r="H44" s="8" t="b">
        <f t="shared" si="0"/>
        <v>0</v>
      </c>
    </row>
    <row r="45" spans="2:8" x14ac:dyDescent="0.25">
      <c r="B45" s="47" t="s">
        <v>410</v>
      </c>
      <c r="C45" s="48">
        <v>432</v>
      </c>
      <c r="D45" s="8"/>
      <c r="E45" s="8"/>
      <c r="F45" s="8">
        <v>210</v>
      </c>
      <c r="G45" s="8">
        <v>217</v>
      </c>
      <c r="H45" s="8" t="b">
        <f t="shared" si="0"/>
        <v>0</v>
      </c>
    </row>
    <row r="46" spans="2:8" x14ac:dyDescent="0.25">
      <c r="B46" s="47" t="s">
        <v>411</v>
      </c>
      <c r="C46" s="48">
        <v>427</v>
      </c>
      <c r="D46" s="8"/>
      <c r="E46" s="8"/>
      <c r="F46" s="8">
        <v>218</v>
      </c>
      <c r="G46" s="8">
        <v>225</v>
      </c>
      <c r="H46" s="8" t="b">
        <f t="shared" si="0"/>
        <v>0</v>
      </c>
    </row>
    <row r="47" spans="2:8" x14ac:dyDescent="0.25">
      <c r="B47" s="47" t="s">
        <v>412</v>
      </c>
      <c r="C47" s="48">
        <v>419</v>
      </c>
      <c r="D47" s="8"/>
      <c r="E47" s="8"/>
      <c r="F47" s="8">
        <v>226</v>
      </c>
      <c r="G47" s="8">
        <v>233</v>
      </c>
      <c r="H47" s="8" t="b">
        <f t="shared" si="0"/>
        <v>0</v>
      </c>
    </row>
    <row r="48" spans="2:8" x14ac:dyDescent="0.25">
      <c r="B48" s="47" t="s">
        <v>413</v>
      </c>
      <c r="C48" s="48">
        <v>413</v>
      </c>
      <c r="D48" s="8"/>
      <c r="E48" s="8"/>
      <c r="F48" s="8">
        <v>234</v>
      </c>
      <c r="G48" s="8">
        <v>241</v>
      </c>
      <c r="H48" s="8" t="b">
        <f t="shared" si="0"/>
        <v>0</v>
      </c>
    </row>
    <row r="49" spans="2:8" x14ac:dyDescent="0.25">
      <c r="B49" s="47" t="s">
        <v>414</v>
      </c>
      <c r="C49" s="48">
        <v>408</v>
      </c>
      <c r="D49" s="8"/>
      <c r="E49" s="8"/>
      <c r="F49" s="8">
        <v>242</v>
      </c>
      <c r="G49" s="8">
        <v>249</v>
      </c>
      <c r="H49" s="8" t="b">
        <f t="shared" si="0"/>
        <v>0</v>
      </c>
    </row>
    <row r="50" spans="2:8" x14ac:dyDescent="0.25">
      <c r="B50" s="47" t="s">
        <v>415</v>
      </c>
      <c r="C50" s="48">
        <v>401</v>
      </c>
      <c r="D50" s="8"/>
      <c r="E50" s="8"/>
      <c r="F50" s="8">
        <v>250</v>
      </c>
      <c r="G50" s="8">
        <v>257</v>
      </c>
      <c r="H50" s="8" t="b">
        <f t="shared" si="0"/>
        <v>0</v>
      </c>
    </row>
    <row r="51" spans="2:8" x14ac:dyDescent="0.25">
      <c r="B51" s="47" t="s">
        <v>416</v>
      </c>
      <c r="C51" s="48">
        <v>395</v>
      </c>
      <c r="D51" s="8"/>
      <c r="E51" s="8"/>
      <c r="F51" s="8">
        <v>258</v>
      </c>
      <c r="G51" s="8">
        <v>265</v>
      </c>
      <c r="H51" s="8" t="b">
        <f t="shared" si="0"/>
        <v>0</v>
      </c>
    </row>
    <row r="52" spans="2:8" x14ac:dyDescent="0.25">
      <c r="B52" s="47" t="s">
        <v>417</v>
      </c>
      <c r="C52" s="48">
        <v>391</v>
      </c>
      <c r="D52" s="8"/>
      <c r="E52" s="8"/>
      <c r="F52" s="8">
        <v>266</v>
      </c>
      <c r="G52" s="8">
        <v>273</v>
      </c>
      <c r="H52" s="8" t="b">
        <f t="shared" si="0"/>
        <v>0</v>
      </c>
    </row>
    <row r="53" spans="2:8" x14ac:dyDescent="0.25">
      <c r="B53" s="47" t="s">
        <v>418</v>
      </c>
      <c r="C53" s="48">
        <v>383</v>
      </c>
      <c r="D53" s="8"/>
      <c r="E53" s="8"/>
      <c r="F53" s="8">
        <v>274</v>
      </c>
      <c r="G53" s="8">
        <v>281</v>
      </c>
      <c r="H53" s="8" t="b">
        <f t="shared" si="0"/>
        <v>0</v>
      </c>
    </row>
    <row r="54" spans="2:8" x14ac:dyDescent="0.25">
      <c r="B54" s="47" t="s">
        <v>419</v>
      </c>
      <c r="C54" s="48">
        <v>375</v>
      </c>
      <c r="D54" s="8"/>
      <c r="E54" s="8"/>
      <c r="F54" s="8">
        <v>282</v>
      </c>
      <c r="G54" s="8">
        <v>289</v>
      </c>
      <c r="H54" s="8" t="b">
        <f t="shared" si="0"/>
        <v>0</v>
      </c>
    </row>
    <row r="55" spans="2:8" x14ac:dyDescent="0.25">
      <c r="B55" s="47" t="s">
        <v>420</v>
      </c>
      <c r="C55" s="48">
        <v>367</v>
      </c>
      <c r="D55" s="8"/>
      <c r="E55" s="8"/>
      <c r="F55" s="8">
        <v>290</v>
      </c>
      <c r="G55" s="8">
        <v>297</v>
      </c>
      <c r="H55" s="8" t="b">
        <f t="shared" si="0"/>
        <v>0</v>
      </c>
    </row>
    <row r="56" spans="2:8" x14ac:dyDescent="0.25">
      <c r="B56" s="47" t="s">
        <v>421</v>
      </c>
      <c r="C56" s="48">
        <v>363</v>
      </c>
      <c r="D56" s="8"/>
      <c r="E56" s="8"/>
      <c r="F56" s="8">
        <v>298</v>
      </c>
      <c r="G56" s="8">
        <v>305</v>
      </c>
      <c r="H56" s="8" t="b">
        <f t="shared" si="0"/>
        <v>0</v>
      </c>
    </row>
    <row r="57" spans="2:8" x14ac:dyDescent="0.25">
      <c r="B57" s="47" t="s">
        <v>422</v>
      </c>
      <c r="C57" s="48">
        <v>355</v>
      </c>
      <c r="D57" s="8"/>
      <c r="E57" s="8"/>
      <c r="F57" s="8">
        <v>306</v>
      </c>
      <c r="G57" s="8">
        <v>313</v>
      </c>
      <c r="H57" s="8" t="b">
        <f t="shared" si="0"/>
        <v>0</v>
      </c>
    </row>
    <row r="58" spans="2:8" x14ac:dyDescent="0.25">
      <c r="B58" s="47" t="s">
        <v>423</v>
      </c>
      <c r="C58" s="48">
        <v>347</v>
      </c>
      <c r="D58" s="8"/>
      <c r="E58" s="8"/>
      <c r="F58" s="8">
        <v>314</v>
      </c>
      <c r="G58" s="8">
        <v>321</v>
      </c>
      <c r="H58" s="8" t="b">
        <f t="shared" si="0"/>
        <v>0</v>
      </c>
    </row>
    <row r="59" spans="2:8" x14ac:dyDescent="0.25">
      <c r="B59" s="47" t="s">
        <v>424</v>
      </c>
      <c r="C59" s="48">
        <v>343</v>
      </c>
      <c r="D59" s="8"/>
      <c r="E59" s="8"/>
      <c r="F59" s="8">
        <v>322</v>
      </c>
      <c r="G59" s="8">
        <v>329</v>
      </c>
      <c r="H59" s="8" t="b">
        <f t="shared" si="0"/>
        <v>0</v>
      </c>
    </row>
    <row r="60" spans="2:8" x14ac:dyDescent="0.25">
      <c r="B60" s="47" t="s">
        <v>425</v>
      </c>
      <c r="C60" s="48">
        <v>339</v>
      </c>
      <c r="D60" s="8"/>
      <c r="E60" s="8"/>
      <c r="F60" s="8">
        <v>330</v>
      </c>
      <c r="G60" s="8">
        <v>337</v>
      </c>
      <c r="H60" s="8" t="b">
        <f t="shared" si="0"/>
        <v>0</v>
      </c>
    </row>
    <row r="61" spans="2:8" x14ac:dyDescent="0.25">
      <c r="B61" s="47" t="s">
        <v>426</v>
      </c>
      <c r="C61" s="48">
        <v>334</v>
      </c>
      <c r="D61" s="8"/>
      <c r="E61" s="8"/>
      <c r="F61" s="8">
        <v>338</v>
      </c>
      <c r="G61" s="8">
        <v>345</v>
      </c>
      <c r="H61" s="8" t="b">
        <f t="shared" si="0"/>
        <v>0</v>
      </c>
    </row>
    <row r="62" spans="2:8" x14ac:dyDescent="0.25">
      <c r="B62" s="47" t="s">
        <v>427</v>
      </c>
      <c r="C62" s="48">
        <v>330</v>
      </c>
      <c r="D62" s="8"/>
      <c r="E62" s="8"/>
      <c r="F62" s="8">
        <v>346</v>
      </c>
      <c r="G62" s="8">
        <v>353</v>
      </c>
      <c r="H62" s="8" t="b">
        <f t="shared" si="0"/>
        <v>0</v>
      </c>
    </row>
    <row r="63" spans="2:8" x14ac:dyDescent="0.25">
      <c r="B63" s="47" t="s">
        <v>428</v>
      </c>
      <c r="C63" s="48">
        <v>325</v>
      </c>
      <c r="D63" s="8"/>
      <c r="E63" s="8"/>
      <c r="F63" s="8">
        <v>354</v>
      </c>
      <c r="G63" s="8">
        <v>361</v>
      </c>
      <c r="H63" s="8" t="b">
        <f t="shared" si="0"/>
        <v>0</v>
      </c>
    </row>
    <row r="64" spans="2:8" x14ac:dyDescent="0.25">
      <c r="B64" s="47" t="s">
        <v>429</v>
      </c>
      <c r="C64" s="48">
        <v>319</v>
      </c>
      <c r="D64" s="8"/>
      <c r="E64" s="8"/>
      <c r="F64" s="8">
        <v>362</v>
      </c>
      <c r="G64" s="8">
        <v>369</v>
      </c>
      <c r="H64" s="8" t="b">
        <f t="shared" si="0"/>
        <v>0</v>
      </c>
    </row>
    <row r="65" spans="2:10" x14ac:dyDescent="0.25">
      <c r="B65" s="47" t="s">
        <v>430</v>
      </c>
      <c r="C65" s="48">
        <v>313</v>
      </c>
      <c r="D65" s="8"/>
      <c r="E65" s="8"/>
      <c r="F65" s="8">
        <v>370</v>
      </c>
      <c r="G65" s="8">
        <v>377</v>
      </c>
      <c r="H65" s="8" t="b">
        <f t="shared" si="0"/>
        <v>0</v>
      </c>
    </row>
    <row r="66" spans="2:10" x14ac:dyDescent="0.25">
      <c r="B66" s="47" t="s">
        <v>431</v>
      </c>
      <c r="C66" s="48">
        <v>307</v>
      </c>
      <c r="D66" s="8"/>
      <c r="E66" s="8"/>
      <c r="F66" s="8">
        <v>378</v>
      </c>
      <c r="G66" s="8">
        <v>385</v>
      </c>
      <c r="H66" s="8" t="b">
        <f t="shared" si="0"/>
        <v>0</v>
      </c>
    </row>
    <row r="67" spans="2:10" x14ac:dyDescent="0.25">
      <c r="B67" s="47" t="s">
        <v>432</v>
      </c>
      <c r="C67" s="48">
        <v>302</v>
      </c>
      <c r="D67" s="8"/>
      <c r="E67" s="8"/>
      <c r="F67" s="8">
        <v>386</v>
      </c>
      <c r="G67" s="8">
        <v>393</v>
      </c>
      <c r="H67" s="8" t="b">
        <f t="shared" si="0"/>
        <v>0</v>
      </c>
    </row>
    <row r="68" spans="2:10" x14ac:dyDescent="0.25">
      <c r="B68" s="47" t="s">
        <v>433</v>
      </c>
      <c r="C68" s="48">
        <v>297</v>
      </c>
      <c r="F68">
        <v>394</v>
      </c>
      <c r="G68" s="8">
        <v>400</v>
      </c>
      <c r="H68" s="8" t="b">
        <f t="shared" si="0"/>
        <v>0</v>
      </c>
    </row>
    <row r="69" spans="2:10" x14ac:dyDescent="0.25">
      <c r="B69" s="47" t="s">
        <v>434</v>
      </c>
      <c r="C69" s="48">
        <v>290</v>
      </c>
      <c r="F69">
        <v>401</v>
      </c>
      <c r="G69" s="8">
        <v>500</v>
      </c>
      <c r="H69" s="8" t="b">
        <f t="shared" si="0"/>
        <v>0</v>
      </c>
    </row>
    <row r="70" spans="2:10" x14ac:dyDescent="0.25">
      <c r="J70">
        <f>IF(AND(H68+0&lt;=C12,C12&lt;=I68+0),1,0)</f>
        <v>0</v>
      </c>
    </row>
  </sheetData>
  <mergeCells count="1">
    <mergeCell ref="B4:D7"/>
  </mergeCells>
  <dataValidations count="1">
    <dataValidation type="whole" allowBlank="1" showInputMessage="1" showErrorMessage="1" errorTitle="¡Error!" error="Las unidades a comprar deben ser mínimo 1 y máximo 500. " sqref="C12:E12" xr:uid="{C31B4D82-1936-481C-9B86-0D69D68B0EE1}">
      <formula1>1</formula1>
      <formula2>500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37B1-3D41-4781-9A10-ACC5B468788C}">
  <sheetPr codeName="Hoja12"/>
  <dimension ref="A1:K156"/>
  <sheetViews>
    <sheetView showGridLines="0" topLeftCell="A3" zoomScale="104" zoomScaleNormal="70" workbookViewId="0">
      <selection activeCell="H5" sqref="H5"/>
    </sheetView>
  </sheetViews>
  <sheetFormatPr baseColWidth="10" defaultColWidth="11.42578125" defaultRowHeight="15" x14ac:dyDescent="0.25"/>
  <cols>
    <col min="2" max="2" width="13.7109375" customWidth="1"/>
    <col min="3" max="3" width="43.42578125" customWidth="1"/>
    <col min="4" max="4" width="14.140625" customWidth="1"/>
    <col min="5" max="5" width="13.140625" customWidth="1"/>
    <col min="6" max="6" width="12.85546875" customWidth="1"/>
    <col min="7" max="7" width="18.42578125" customWidth="1"/>
    <col min="8" max="8" width="20.28515625" bestFit="1" customWidth="1"/>
    <col min="9" max="9" width="19.28515625" bestFit="1" customWidth="1"/>
  </cols>
  <sheetData>
    <row r="1" spans="1:11" ht="15.75" thickBot="1" x14ac:dyDescent="0.3"/>
    <row r="2" spans="1:11" ht="15.75" thickBot="1" x14ac:dyDescent="0.3">
      <c r="B2" s="12" t="s">
        <v>435</v>
      </c>
      <c r="C2" s="8"/>
      <c r="D2" s="8"/>
    </row>
    <row r="3" spans="1:11" ht="14.45" customHeight="1" x14ac:dyDescent="0.25">
      <c r="B3" s="173" t="s">
        <v>436</v>
      </c>
      <c r="C3" s="174"/>
      <c r="D3" s="174"/>
      <c r="E3" s="175"/>
    </row>
    <row r="4" spans="1:11" x14ac:dyDescent="0.25">
      <c r="B4" s="176"/>
      <c r="C4" s="177"/>
      <c r="D4" s="177"/>
      <c r="E4" s="178"/>
      <c r="I4" s="16" t="s">
        <v>15</v>
      </c>
    </row>
    <row r="5" spans="1:11" x14ac:dyDescent="0.25">
      <c r="B5" s="176"/>
      <c r="C5" s="177"/>
      <c r="D5" s="177"/>
      <c r="E5" s="178"/>
      <c r="G5" s="13" t="s">
        <v>437</v>
      </c>
      <c r="H5" s="61" cm="1">
        <f t="array" ref="H5">SUM(IF(E14:E156/F14:F156&lt;5,1,""))</f>
        <v>7</v>
      </c>
      <c r="I5" s="60">
        <v>7</v>
      </c>
    </row>
    <row r="6" spans="1:11" x14ac:dyDescent="0.25">
      <c r="B6" s="176"/>
      <c r="C6" s="177"/>
      <c r="D6" s="177"/>
      <c r="E6" s="178"/>
      <c r="G6" s="13" t="s">
        <v>438</v>
      </c>
      <c r="H6" s="61" cm="1">
        <f t="array" ref="H6">AVERAGE(IF(IFERROR(SEARCH("United States",D14:D156),0),E14:E156*G14:G156,""),IF(IFERROR(SEARCH("United Kingdom",D14:D156),0),E14:E156*G14:G156,""))</f>
        <v>4663.4890540540518</v>
      </c>
      <c r="I6" s="60">
        <v>4663.4890540540537</v>
      </c>
    </row>
    <row r="7" spans="1:11" x14ac:dyDescent="0.25">
      <c r="B7" s="176"/>
      <c r="C7" s="177"/>
      <c r="D7" s="177"/>
      <c r="E7" s="178"/>
      <c r="G7" s="13" t="s">
        <v>439</v>
      </c>
      <c r="H7" s="61" t="str" cm="1">
        <f t="array" ref="H7">INDEX(C14:C156,MATCH(SMALL(ABS(H14:H156-I14:I156),1),ABS(H14:H156-I14:I156),0))</f>
        <v>Columbia University</v>
      </c>
      <c r="I7" s="60" t="s">
        <v>440</v>
      </c>
    </row>
    <row r="8" spans="1:11" x14ac:dyDescent="0.25">
      <c r="B8" s="176"/>
      <c r="C8" s="177"/>
      <c r="D8" s="177"/>
      <c r="E8" s="178"/>
    </row>
    <row r="9" spans="1:11" ht="15.75" thickBot="1" x14ac:dyDescent="0.3">
      <c r="B9" s="179"/>
      <c r="C9" s="180"/>
      <c r="D9" s="180"/>
      <c r="E9" s="181"/>
      <c r="G9">
        <v>1</v>
      </c>
      <c r="H9" cm="1">
        <f t="array" ref="H9">SUM(IF(E14:E156/F14:F156&lt;5,1,0))</f>
        <v>7</v>
      </c>
      <c r="K9" cm="1">
        <f t="array" ref="K9">AVERAGE(IF($D$15=D14:D156,G14:G156*E14:E156,""),IF($D$14=D14:D156,G14:G156*E14:E156,""))</f>
        <v>4663.4890540540555</v>
      </c>
    </row>
    <row r="10" spans="1:11" x14ac:dyDescent="0.25">
      <c r="G10">
        <v>2</v>
      </c>
    </row>
    <row r="12" spans="1:11" s="8" customFormat="1" x14ac:dyDescent="0.25">
      <c r="A12"/>
      <c r="B12" s="9" t="s">
        <v>441</v>
      </c>
      <c r="C12" s="9"/>
    </row>
    <row r="13" spans="1:11" s="8" customFormat="1" ht="37.5" customHeight="1" x14ac:dyDescent="0.25">
      <c r="A13"/>
      <c r="B13" s="34" t="s">
        <v>442</v>
      </c>
      <c r="C13" s="34" t="s">
        <v>443</v>
      </c>
      <c r="D13" s="34" t="s">
        <v>444</v>
      </c>
      <c r="E13" s="34" t="s">
        <v>445</v>
      </c>
      <c r="F13" s="34" t="s">
        <v>446</v>
      </c>
      <c r="G13" s="34" t="s">
        <v>447</v>
      </c>
      <c r="H13" s="34" t="s">
        <v>448</v>
      </c>
      <c r="I13" s="34" t="s">
        <v>449</v>
      </c>
    </row>
    <row r="14" spans="1:11" s="8" customFormat="1" x14ac:dyDescent="0.25">
      <c r="A14"/>
      <c r="B14" s="35">
        <v>1</v>
      </c>
      <c r="C14" s="35" t="s">
        <v>450</v>
      </c>
      <c r="D14" s="35" t="s">
        <v>451</v>
      </c>
      <c r="E14" s="35">
        <v>2243</v>
      </c>
      <c r="F14" s="35">
        <v>326</v>
      </c>
      <c r="G14" s="36">
        <v>0.26</v>
      </c>
      <c r="H14" s="35">
        <v>95.2</v>
      </c>
      <c r="I14" s="35">
        <v>95.6</v>
      </c>
    </row>
    <row r="15" spans="1:11" s="8" customFormat="1" x14ac:dyDescent="0.25">
      <c r="A15"/>
      <c r="B15" s="35">
        <v>2</v>
      </c>
      <c r="C15" s="35" t="s">
        <v>452</v>
      </c>
      <c r="D15" s="35" t="s">
        <v>453</v>
      </c>
      <c r="E15" s="35">
        <v>19920</v>
      </c>
      <c r="F15" s="35">
        <v>1718</v>
      </c>
      <c r="G15" s="36">
        <v>0.34</v>
      </c>
      <c r="H15" s="35">
        <v>94.2</v>
      </c>
      <c r="I15" s="35">
        <v>86.5</v>
      </c>
    </row>
    <row r="16" spans="1:11" s="8" customFormat="1" x14ac:dyDescent="0.25">
      <c r="A16"/>
      <c r="B16" s="35">
        <v>3</v>
      </c>
      <c r="C16" s="35" t="s">
        <v>454</v>
      </c>
      <c r="D16" s="35" t="s">
        <v>451</v>
      </c>
      <c r="E16" s="35">
        <v>15596</v>
      </c>
      <c r="F16" s="35">
        <v>2000</v>
      </c>
      <c r="G16" s="36">
        <v>0.22</v>
      </c>
      <c r="H16" s="35">
        <v>93.9</v>
      </c>
      <c r="I16" s="35">
        <v>92.5</v>
      </c>
    </row>
    <row r="17" spans="1:9" s="8" customFormat="1" x14ac:dyDescent="0.25">
      <c r="A17"/>
      <c r="B17" s="35">
        <v>4</v>
      </c>
      <c r="C17" s="35" t="s">
        <v>455</v>
      </c>
      <c r="D17" s="35" t="s">
        <v>453</v>
      </c>
      <c r="E17" s="35">
        <v>18810</v>
      </c>
      <c r="F17" s="35">
        <v>1595</v>
      </c>
      <c r="G17" s="36">
        <v>0.34</v>
      </c>
      <c r="H17" s="35">
        <v>92.8</v>
      </c>
      <c r="I17" s="35">
        <v>88.2</v>
      </c>
    </row>
    <row r="18" spans="1:9" s="8" customFormat="1" x14ac:dyDescent="0.25">
      <c r="A18"/>
      <c r="B18" s="35">
        <v>5</v>
      </c>
      <c r="C18" s="35" t="s">
        <v>456</v>
      </c>
      <c r="D18" s="35" t="s">
        <v>451</v>
      </c>
      <c r="E18" s="35">
        <v>11074</v>
      </c>
      <c r="F18" s="35">
        <v>1231</v>
      </c>
      <c r="G18" s="36">
        <v>0.33</v>
      </c>
      <c r="H18" s="35">
        <v>92</v>
      </c>
      <c r="I18" s="35">
        <v>89.4</v>
      </c>
    </row>
    <row r="19" spans="1:9" s="8" customFormat="1" x14ac:dyDescent="0.25">
      <c r="A19"/>
      <c r="B19" s="35">
        <v>6</v>
      </c>
      <c r="C19" s="35" t="s">
        <v>457</v>
      </c>
      <c r="D19" s="35" t="s">
        <v>451</v>
      </c>
      <c r="E19" s="35">
        <v>20152</v>
      </c>
      <c r="F19" s="35">
        <v>2265</v>
      </c>
      <c r="G19" s="36">
        <v>0.25</v>
      </c>
      <c r="H19" s="35">
        <v>91.6</v>
      </c>
      <c r="I19" s="35">
        <v>83.6</v>
      </c>
    </row>
    <row r="20" spans="1:9" s="8" customFormat="1" x14ac:dyDescent="0.25">
      <c r="A20"/>
      <c r="B20" s="35">
        <v>7</v>
      </c>
      <c r="C20" s="35" t="s">
        <v>458</v>
      </c>
      <c r="D20" s="35" t="s">
        <v>451</v>
      </c>
      <c r="E20" s="35">
        <v>7929</v>
      </c>
      <c r="F20" s="35">
        <v>944</v>
      </c>
      <c r="G20" s="36">
        <v>0.27</v>
      </c>
      <c r="H20" s="35">
        <v>90.1</v>
      </c>
      <c r="I20" s="35">
        <v>85.1</v>
      </c>
    </row>
    <row r="21" spans="1:9" s="8" customFormat="1" x14ac:dyDescent="0.25">
      <c r="A21"/>
      <c r="B21" s="35">
        <v>8</v>
      </c>
      <c r="C21" s="35" t="s">
        <v>459</v>
      </c>
      <c r="D21" s="35" t="s">
        <v>453</v>
      </c>
      <c r="E21" s="35">
        <v>15060</v>
      </c>
      <c r="F21" s="35">
        <v>1288</v>
      </c>
      <c r="G21" s="36">
        <v>0.51</v>
      </c>
      <c r="H21" s="35">
        <v>89.1</v>
      </c>
      <c r="I21" s="35">
        <v>83.3</v>
      </c>
    </row>
    <row r="22" spans="1:9" s="8" customFormat="1" x14ac:dyDescent="0.25">
      <c r="A22"/>
      <c r="B22" s="35">
        <v>9</v>
      </c>
      <c r="C22" s="35" t="s">
        <v>460</v>
      </c>
      <c r="D22" s="35" t="s">
        <v>461</v>
      </c>
      <c r="E22" s="35">
        <v>18178</v>
      </c>
      <c r="F22" s="35">
        <v>1237</v>
      </c>
      <c r="G22" s="36">
        <v>0.37</v>
      </c>
      <c r="H22" s="35">
        <v>88.3</v>
      </c>
      <c r="I22" s="35">
        <v>77</v>
      </c>
    </row>
    <row r="23" spans="1:9" s="8" customFormat="1" x14ac:dyDescent="0.25">
      <c r="A23"/>
      <c r="B23" s="35">
        <v>10</v>
      </c>
      <c r="C23" s="35" t="s">
        <v>462</v>
      </c>
      <c r="D23" s="35" t="s">
        <v>451</v>
      </c>
      <c r="E23" s="35">
        <v>14221</v>
      </c>
      <c r="F23" s="35">
        <v>2062</v>
      </c>
      <c r="G23" s="36">
        <v>0.2</v>
      </c>
      <c r="H23" s="35">
        <v>87.9</v>
      </c>
      <c r="I23" s="35">
        <v>85.7</v>
      </c>
    </row>
    <row r="24" spans="1:9" s="8" customFormat="1" x14ac:dyDescent="0.25">
      <c r="A24"/>
      <c r="B24" s="35">
        <v>11</v>
      </c>
      <c r="C24" s="35" t="s">
        <v>463</v>
      </c>
      <c r="D24" s="35" t="s">
        <v>451</v>
      </c>
      <c r="E24" s="35">
        <v>15128</v>
      </c>
      <c r="F24" s="35">
        <v>4203</v>
      </c>
      <c r="G24" s="36">
        <v>0.23</v>
      </c>
      <c r="H24" s="35">
        <v>87.6</v>
      </c>
      <c r="I24" s="35">
        <v>77.599999999999994</v>
      </c>
    </row>
    <row r="25" spans="1:9" s="8" customFormat="1" x14ac:dyDescent="0.25">
      <c r="A25"/>
      <c r="B25" s="35">
        <v>12</v>
      </c>
      <c r="C25" s="35" t="s">
        <v>464</v>
      </c>
      <c r="D25" s="35" t="s">
        <v>451</v>
      </c>
      <c r="E25" s="35">
        <v>11751</v>
      </c>
      <c r="F25" s="35">
        <v>2671</v>
      </c>
      <c r="G25" s="36">
        <v>0.2</v>
      </c>
      <c r="H25" s="35">
        <v>87.4</v>
      </c>
      <c r="I25" s="35">
        <v>86.5</v>
      </c>
    </row>
    <row r="26" spans="1:9" s="8" customFormat="1" x14ac:dyDescent="0.25">
      <c r="A26"/>
      <c r="B26" s="35">
        <v>13</v>
      </c>
      <c r="C26" s="35" t="s">
        <v>465</v>
      </c>
      <c r="D26" s="35" t="s">
        <v>451</v>
      </c>
      <c r="E26" s="35">
        <v>36186</v>
      </c>
      <c r="F26" s="35">
        <v>2207</v>
      </c>
      <c r="G26" s="36">
        <v>0.15</v>
      </c>
      <c r="H26" s="35">
        <v>87.2</v>
      </c>
      <c r="I26" s="35">
        <v>80.400000000000006</v>
      </c>
    </row>
    <row r="27" spans="1:9" s="8" customFormat="1" x14ac:dyDescent="0.25">
      <c r="A27"/>
      <c r="B27" s="35">
        <v>14</v>
      </c>
      <c r="C27" s="35" t="s">
        <v>466</v>
      </c>
      <c r="D27" s="35" t="s">
        <v>453</v>
      </c>
      <c r="E27" s="35">
        <v>26605</v>
      </c>
      <c r="F27" s="35">
        <v>2487</v>
      </c>
      <c r="G27" s="36">
        <v>0.46</v>
      </c>
      <c r="H27" s="35">
        <v>87.1</v>
      </c>
      <c r="I27" s="35">
        <v>78.099999999999994</v>
      </c>
    </row>
    <row r="28" spans="1:9" s="8" customFormat="1" x14ac:dyDescent="0.25">
      <c r="A28"/>
      <c r="B28" s="35">
        <v>15</v>
      </c>
      <c r="C28" s="35" t="s">
        <v>440</v>
      </c>
      <c r="D28" s="35" t="s">
        <v>451</v>
      </c>
      <c r="E28" s="35">
        <v>25055</v>
      </c>
      <c r="F28" s="35">
        <v>4247</v>
      </c>
      <c r="G28" s="36">
        <v>0.28000000000000003</v>
      </c>
      <c r="H28" s="35">
        <v>86.1</v>
      </c>
      <c r="I28" s="35">
        <v>85.9</v>
      </c>
    </row>
    <row r="29" spans="1:9" s="8" customFormat="1" x14ac:dyDescent="0.25">
      <c r="A29"/>
      <c r="B29" s="35">
        <v>16</v>
      </c>
      <c r="C29" s="35" t="s">
        <v>467</v>
      </c>
      <c r="D29" s="35" t="s">
        <v>451</v>
      </c>
      <c r="E29" s="35">
        <v>38206</v>
      </c>
      <c r="F29" s="35">
        <v>3710</v>
      </c>
      <c r="G29" s="36">
        <v>0.15</v>
      </c>
      <c r="H29" s="35">
        <v>85.8</v>
      </c>
      <c r="I29" s="35">
        <v>80.8</v>
      </c>
    </row>
    <row r="30" spans="1:9" s="8" customFormat="1" x14ac:dyDescent="0.25">
      <c r="A30"/>
      <c r="B30" s="35">
        <v>17</v>
      </c>
      <c r="C30" s="35" t="s">
        <v>468</v>
      </c>
      <c r="D30" s="35" t="s">
        <v>451</v>
      </c>
      <c r="E30" s="35">
        <v>20376</v>
      </c>
      <c r="F30" s="35">
        <v>3135</v>
      </c>
      <c r="G30" s="36">
        <v>0.2</v>
      </c>
      <c r="H30" s="35">
        <v>85.2</v>
      </c>
      <c r="I30" s="35">
        <v>82</v>
      </c>
    </row>
    <row r="31" spans="1:9" s="8" customFormat="1" x14ac:dyDescent="0.25">
      <c r="A31"/>
      <c r="B31" s="35">
        <v>18</v>
      </c>
      <c r="C31" s="35" t="s">
        <v>469</v>
      </c>
      <c r="D31" s="35" t="s">
        <v>451</v>
      </c>
      <c r="E31" s="35">
        <v>21424</v>
      </c>
      <c r="F31" s="35">
        <v>2101</v>
      </c>
      <c r="G31" s="36">
        <v>0.19</v>
      </c>
      <c r="H31" s="35">
        <v>84</v>
      </c>
      <c r="I31" s="35">
        <v>77.900000000000006</v>
      </c>
    </row>
    <row r="32" spans="1:9" s="8" customFormat="1" x14ac:dyDescent="0.25">
      <c r="A32"/>
      <c r="B32" s="35">
        <v>19</v>
      </c>
      <c r="C32" s="35" t="s">
        <v>470</v>
      </c>
      <c r="D32" s="35" t="s">
        <v>471</v>
      </c>
      <c r="E32" s="35">
        <v>66198</v>
      </c>
      <c r="F32" s="35">
        <v>3395</v>
      </c>
      <c r="G32" s="36">
        <v>0.15</v>
      </c>
      <c r="H32" s="35">
        <v>83.9</v>
      </c>
      <c r="I32" s="35">
        <v>75.900000000000006</v>
      </c>
    </row>
    <row r="33" spans="1:9" s="8" customFormat="1" x14ac:dyDescent="0.25">
      <c r="A33"/>
      <c r="B33" s="35">
        <v>20</v>
      </c>
      <c r="C33" s="35" t="s">
        <v>472</v>
      </c>
      <c r="D33" s="35" t="s">
        <v>451</v>
      </c>
      <c r="E33" s="35">
        <v>15172</v>
      </c>
      <c r="F33" s="35">
        <v>3161</v>
      </c>
      <c r="G33" s="36">
        <v>0.17</v>
      </c>
      <c r="H33" s="35">
        <v>82.7</v>
      </c>
      <c r="I33" s="35">
        <v>76</v>
      </c>
    </row>
    <row r="34" spans="1:9" s="8" customFormat="1" x14ac:dyDescent="0.25">
      <c r="A34"/>
      <c r="B34" s="35">
        <v>21</v>
      </c>
      <c r="C34" s="35" t="s">
        <v>473</v>
      </c>
      <c r="D34" s="35" t="s">
        <v>451</v>
      </c>
      <c r="E34" s="35">
        <v>41786</v>
      </c>
      <c r="F34" s="35">
        <v>4643</v>
      </c>
      <c r="G34" s="36">
        <v>0.16</v>
      </c>
      <c r="H34" s="35">
        <v>82.4</v>
      </c>
      <c r="I34" s="35">
        <v>76.8</v>
      </c>
    </row>
    <row r="35" spans="1:9" s="8" customFormat="1" x14ac:dyDescent="0.25">
      <c r="A35"/>
      <c r="B35" s="35">
        <v>22</v>
      </c>
      <c r="C35" s="35" t="s">
        <v>474</v>
      </c>
      <c r="D35" s="35" t="s">
        <v>451</v>
      </c>
      <c r="E35" s="35">
        <v>11885</v>
      </c>
      <c r="F35" s="35">
        <v>908</v>
      </c>
      <c r="G35" s="36">
        <v>0.35</v>
      </c>
      <c r="H35" s="35">
        <v>82.3</v>
      </c>
      <c r="I35" s="35">
        <v>67.400000000000006</v>
      </c>
    </row>
    <row r="36" spans="1:9" s="8" customFormat="1" x14ac:dyDescent="0.25">
      <c r="A36"/>
      <c r="B36" s="35">
        <v>23</v>
      </c>
      <c r="C36" s="35" t="s">
        <v>475</v>
      </c>
      <c r="D36" s="35" t="s">
        <v>453</v>
      </c>
      <c r="E36" s="35">
        <v>9235</v>
      </c>
      <c r="F36" s="35">
        <v>764</v>
      </c>
      <c r="G36" s="36">
        <v>0.7</v>
      </c>
      <c r="H36" s="35">
        <v>81.3</v>
      </c>
      <c r="I36" s="35">
        <v>69.8</v>
      </c>
    </row>
    <row r="37" spans="1:9" s="8" customFormat="1" x14ac:dyDescent="0.25">
      <c r="A37"/>
      <c r="B37" s="35">
        <v>24</v>
      </c>
      <c r="C37" s="35" t="s">
        <v>476</v>
      </c>
      <c r="D37" s="35" t="s">
        <v>453</v>
      </c>
      <c r="E37" s="35">
        <v>25775</v>
      </c>
      <c r="F37" s="35">
        <v>1829</v>
      </c>
      <c r="G37" s="36">
        <v>0.36</v>
      </c>
      <c r="H37" s="35">
        <v>80.3</v>
      </c>
      <c r="I37" s="35">
        <v>68.599999999999994</v>
      </c>
    </row>
    <row r="38" spans="1:9" s="8" customFormat="1" x14ac:dyDescent="0.25">
      <c r="A38"/>
      <c r="B38" s="35">
        <v>25</v>
      </c>
      <c r="C38" s="35" t="s">
        <v>477</v>
      </c>
      <c r="D38" s="35" t="s">
        <v>451</v>
      </c>
      <c r="E38" s="35">
        <v>18334</v>
      </c>
      <c r="F38" s="35">
        <v>1329</v>
      </c>
      <c r="G38" s="36">
        <v>0.15</v>
      </c>
      <c r="H38" s="35">
        <v>79.5</v>
      </c>
      <c r="I38" s="35">
        <v>69.8</v>
      </c>
    </row>
    <row r="39" spans="1:9" s="8" customFormat="1" x14ac:dyDescent="0.25">
      <c r="A39"/>
      <c r="B39" s="35">
        <v>26</v>
      </c>
      <c r="C39" s="35" t="s">
        <v>478</v>
      </c>
      <c r="D39" s="35" t="s">
        <v>479</v>
      </c>
      <c r="E39" s="35">
        <v>31592</v>
      </c>
      <c r="F39" s="35">
        <v>2039</v>
      </c>
      <c r="G39" s="36">
        <v>0.34</v>
      </c>
      <c r="H39" s="35">
        <v>79.2</v>
      </c>
      <c r="I39" s="35">
        <v>71.7</v>
      </c>
    </row>
    <row r="40" spans="1:9" s="8" customFormat="1" x14ac:dyDescent="0.25">
      <c r="A40"/>
      <c r="B40" s="35">
        <v>27</v>
      </c>
      <c r="C40" s="35" t="s">
        <v>480</v>
      </c>
      <c r="D40" s="35" t="s">
        <v>453</v>
      </c>
      <c r="E40" s="35">
        <v>21395</v>
      </c>
      <c r="F40" s="35">
        <v>1877</v>
      </c>
      <c r="G40" s="36">
        <v>0.37</v>
      </c>
      <c r="H40" s="35">
        <v>78.2</v>
      </c>
      <c r="I40" s="35">
        <v>64.5</v>
      </c>
    </row>
    <row r="41" spans="1:9" s="8" customFormat="1" x14ac:dyDescent="0.25">
      <c r="A41"/>
      <c r="B41" s="35">
        <v>28</v>
      </c>
      <c r="C41" s="35" t="s">
        <v>481</v>
      </c>
      <c r="D41" s="35" t="s">
        <v>482</v>
      </c>
      <c r="E41" s="35">
        <v>7774</v>
      </c>
      <c r="F41" s="35">
        <v>676</v>
      </c>
      <c r="G41" s="36">
        <v>0.22</v>
      </c>
      <c r="H41" s="35">
        <v>77.5</v>
      </c>
      <c r="I41" s="35">
        <v>60.6</v>
      </c>
    </row>
    <row r="42" spans="1:9" s="8" customFormat="1" x14ac:dyDescent="0.25">
      <c r="A42"/>
      <c r="B42" s="35">
        <v>29</v>
      </c>
      <c r="C42" s="35" t="s">
        <v>483</v>
      </c>
      <c r="D42" s="35" t="s">
        <v>484</v>
      </c>
      <c r="E42" s="35">
        <v>35691</v>
      </c>
      <c r="F42" s="35">
        <v>2303</v>
      </c>
      <c r="G42" s="36">
        <v>0.13</v>
      </c>
      <c r="H42" s="35">
        <v>77.3</v>
      </c>
      <c r="I42" s="35">
        <v>70.5</v>
      </c>
    </row>
    <row r="43" spans="1:9" s="8" customFormat="1" x14ac:dyDescent="0.25">
      <c r="A43"/>
      <c r="B43" s="35">
        <v>30</v>
      </c>
      <c r="C43" s="35" t="s">
        <v>485</v>
      </c>
      <c r="D43" s="35" t="s">
        <v>451</v>
      </c>
      <c r="E43" s="35">
        <v>42056</v>
      </c>
      <c r="F43" s="35">
        <v>6185</v>
      </c>
      <c r="G43" s="36">
        <v>0.19</v>
      </c>
      <c r="H43" s="35">
        <v>77.2</v>
      </c>
      <c r="I43" s="35">
        <v>74.7</v>
      </c>
    </row>
    <row r="44" spans="1:9" s="8" customFormat="1" x14ac:dyDescent="0.25">
      <c r="A44"/>
      <c r="B44" s="35">
        <v>31</v>
      </c>
      <c r="C44" s="35" t="s">
        <v>486</v>
      </c>
      <c r="D44" s="35" t="s">
        <v>461</v>
      </c>
      <c r="E44" s="35">
        <v>9666</v>
      </c>
      <c r="F44" s="35">
        <v>921</v>
      </c>
      <c r="G44" s="36">
        <v>0.54</v>
      </c>
      <c r="H44" s="35">
        <v>76.099999999999994</v>
      </c>
      <c r="I44" s="35">
        <v>61.3</v>
      </c>
    </row>
    <row r="45" spans="1:9" s="8" customFormat="1" x14ac:dyDescent="0.25">
      <c r="A45"/>
      <c r="B45" s="35">
        <v>32</v>
      </c>
      <c r="C45" s="35" t="s">
        <v>487</v>
      </c>
      <c r="D45" s="35" t="s">
        <v>451</v>
      </c>
      <c r="E45" s="35">
        <v>44020</v>
      </c>
      <c r="F45" s="35">
        <v>3731</v>
      </c>
      <c r="G45" s="36">
        <v>0.13</v>
      </c>
      <c r="H45" s="35">
        <v>75.599999999999994</v>
      </c>
      <c r="I45" s="35">
        <v>67.099999999999994</v>
      </c>
    </row>
    <row r="46" spans="1:9" s="8" customFormat="1" x14ac:dyDescent="0.25">
      <c r="A46"/>
      <c r="B46" s="35">
        <v>33</v>
      </c>
      <c r="C46" s="35" t="s">
        <v>488</v>
      </c>
      <c r="D46" s="35" t="s">
        <v>489</v>
      </c>
      <c r="E46" s="35">
        <v>40128</v>
      </c>
      <c r="F46" s="35">
        <v>1694</v>
      </c>
      <c r="G46" s="36">
        <v>0.35</v>
      </c>
      <c r="H46" s="35">
        <v>75.400000000000006</v>
      </c>
      <c r="I46" s="35">
        <v>62</v>
      </c>
    </row>
    <row r="47" spans="1:9" s="8" customFormat="1" x14ac:dyDescent="0.25">
      <c r="A47"/>
      <c r="B47" s="35">
        <v>34</v>
      </c>
      <c r="C47" s="35" t="s">
        <v>490</v>
      </c>
      <c r="D47" s="35" t="s">
        <v>471</v>
      </c>
      <c r="E47" s="35">
        <v>50152</v>
      </c>
      <c r="F47" s="35">
        <v>2850</v>
      </c>
      <c r="G47" s="36">
        <v>0.25</v>
      </c>
      <c r="H47" s="35">
        <v>75.3</v>
      </c>
      <c r="I47" s="35">
        <v>60.2</v>
      </c>
    </row>
    <row r="48" spans="1:9" s="8" customFormat="1" x14ac:dyDescent="0.25">
      <c r="A48"/>
      <c r="B48" s="35">
        <v>35</v>
      </c>
      <c r="C48" s="35" t="s">
        <v>491</v>
      </c>
      <c r="D48" s="35" t="s">
        <v>492</v>
      </c>
      <c r="E48" s="35">
        <v>42503</v>
      </c>
      <c r="F48" s="35">
        <v>1015</v>
      </c>
      <c r="G48" s="36">
        <v>0.18</v>
      </c>
      <c r="H48" s="35">
        <v>74.8</v>
      </c>
      <c r="I48" s="35">
        <v>59.9</v>
      </c>
    </row>
    <row r="49" spans="1:9" s="8" customFormat="1" x14ac:dyDescent="0.25">
      <c r="A49"/>
      <c r="B49" s="35">
        <v>36</v>
      </c>
      <c r="C49" s="35" t="s">
        <v>493</v>
      </c>
      <c r="D49" s="35" t="s">
        <v>451</v>
      </c>
      <c r="E49" s="35">
        <v>42727</v>
      </c>
      <c r="F49" s="35">
        <v>2285</v>
      </c>
      <c r="G49" s="36">
        <v>0.2</v>
      </c>
      <c r="H49" s="35">
        <v>74.5</v>
      </c>
      <c r="I49" s="35">
        <v>64.5</v>
      </c>
    </row>
    <row r="50" spans="1:9" s="8" customFormat="1" x14ac:dyDescent="0.25">
      <c r="A50"/>
      <c r="B50" s="35">
        <v>37</v>
      </c>
      <c r="C50" s="35" t="s">
        <v>494</v>
      </c>
      <c r="D50" s="35" t="s">
        <v>484</v>
      </c>
      <c r="E50" s="35">
        <v>28881</v>
      </c>
      <c r="F50" s="35">
        <v>1179</v>
      </c>
      <c r="G50" s="36">
        <v>0.17</v>
      </c>
      <c r="H50" s="35">
        <v>74.400000000000006</v>
      </c>
      <c r="I50" s="35">
        <v>68.8</v>
      </c>
    </row>
    <row r="51" spans="1:9" s="8" customFormat="1" x14ac:dyDescent="0.25">
      <c r="A51"/>
      <c r="B51" s="35">
        <v>38</v>
      </c>
      <c r="C51" s="35" t="s">
        <v>495</v>
      </c>
      <c r="D51" s="35" t="s">
        <v>471</v>
      </c>
      <c r="E51" s="35">
        <v>31326</v>
      </c>
      <c r="F51" s="35">
        <v>2287</v>
      </c>
      <c r="G51" s="36">
        <v>0.23</v>
      </c>
      <c r="H51" s="35">
        <v>72.599999999999994</v>
      </c>
      <c r="I51" s="35">
        <v>66.099999999999994</v>
      </c>
    </row>
    <row r="52" spans="1:9" s="8" customFormat="1" x14ac:dyDescent="0.25">
      <c r="A52"/>
      <c r="B52" s="35">
        <v>39</v>
      </c>
      <c r="C52" s="35" t="s">
        <v>496</v>
      </c>
      <c r="D52" s="35" t="s">
        <v>451</v>
      </c>
      <c r="E52" s="35">
        <v>27233</v>
      </c>
      <c r="F52" s="35">
        <v>4190</v>
      </c>
      <c r="G52" s="36">
        <v>0.11</v>
      </c>
      <c r="H52" s="35">
        <v>72.2</v>
      </c>
      <c r="I52" s="35">
        <v>56.9</v>
      </c>
    </row>
    <row r="53" spans="1:9" s="8" customFormat="1" x14ac:dyDescent="0.25">
      <c r="A53"/>
      <c r="B53" s="35">
        <v>39</v>
      </c>
      <c r="C53" s="35" t="s">
        <v>497</v>
      </c>
      <c r="D53" s="35" t="s">
        <v>451</v>
      </c>
      <c r="E53" s="35">
        <v>22020</v>
      </c>
      <c r="F53" s="35">
        <v>807</v>
      </c>
      <c r="G53" s="36">
        <v>0.11</v>
      </c>
      <c r="H53" s="35">
        <v>72.2</v>
      </c>
      <c r="I53" s="35">
        <v>52.6</v>
      </c>
    </row>
    <row r="54" spans="1:9" s="8" customFormat="1" x14ac:dyDescent="0.25">
      <c r="A54"/>
      <c r="B54" s="35">
        <v>41</v>
      </c>
      <c r="C54" s="35" t="s">
        <v>498</v>
      </c>
      <c r="D54" s="35" t="s">
        <v>451</v>
      </c>
      <c r="E54" s="35">
        <v>19967</v>
      </c>
      <c r="F54" s="35">
        <v>994</v>
      </c>
      <c r="G54" s="36">
        <v>0.26</v>
      </c>
      <c r="H54" s="35">
        <v>72.099999999999994</v>
      </c>
      <c r="I54" s="35">
        <v>57.8</v>
      </c>
    </row>
    <row r="55" spans="1:9" s="8" customFormat="1" x14ac:dyDescent="0.25">
      <c r="A55"/>
      <c r="B55" s="35">
        <v>42</v>
      </c>
      <c r="C55" s="35" t="s">
        <v>499</v>
      </c>
      <c r="D55" s="35" t="s">
        <v>500</v>
      </c>
      <c r="E55" s="35">
        <v>40148</v>
      </c>
      <c r="F55" s="35">
        <v>4838</v>
      </c>
      <c r="G55" s="36">
        <v>0.14000000000000001</v>
      </c>
      <c r="H55" s="35">
        <v>72</v>
      </c>
      <c r="I55" s="35">
        <v>77.8</v>
      </c>
    </row>
    <row r="56" spans="1:9" s="8" customFormat="1" x14ac:dyDescent="0.25">
      <c r="A56"/>
      <c r="B56" s="35">
        <v>43</v>
      </c>
      <c r="C56" s="35" t="s">
        <v>501</v>
      </c>
      <c r="D56" s="35" t="s">
        <v>502</v>
      </c>
      <c r="E56" s="35">
        <v>26199</v>
      </c>
      <c r="F56" s="35">
        <v>4597</v>
      </c>
      <c r="G56" s="36">
        <v>0.1</v>
      </c>
      <c r="H56" s="35">
        <v>71.099999999999994</v>
      </c>
      <c r="I56" s="35">
        <v>81.400000000000006</v>
      </c>
    </row>
    <row r="57" spans="1:9" s="8" customFormat="1" x14ac:dyDescent="0.25">
      <c r="A57"/>
      <c r="B57" s="35">
        <v>44</v>
      </c>
      <c r="C57" s="35" t="s">
        <v>503</v>
      </c>
      <c r="D57" s="35" t="s">
        <v>504</v>
      </c>
      <c r="E57" s="35">
        <v>19835</v>
      </c>
      <c r="F57" s="35">
        <v>1127</v>
      </c>
      <c r="G57" s="36">
        <v>0.38</v>
      </c>
      <c r="H57" s="35">
        <v>71</v>
      </c>
      <c r="I57" s="35">
        <v>64.599999999999994</v>
      </c>
    </row>
    <row r="58" spans="1:9" s="8" customFormat="1" x14ac:dyDescent="0.25">
      <c r="A58"/>
      <c r="B58" s="35">
        <v>44</v>
      </c>
      <c r="C58" s="35" t="s">
        <v>505</v>
      </c>
      <c r="D58" s="35" t="s">
        <v>451</v>
      </c>
      <c r="E58" s="35">
        <v>35364</v>
      </c>
      <c r="F58" s="35">
        <v>2545</v>
      </c>
      <c r="G58" s="36">
        <v>0.13</v>
      </c>
      <c r="H58" s="35">
        <v>71</v>
      </c>
      <c r="I58" s="35">
        <v>60.1</v>
      </c>
    </row>
    <row r="59" spans="1:9" s="8" customFormat="1" x14ac:dyDescent="0.25">
      <c r="A59"/>
      <c r="B59" s="35">
        <v>46</v>
      </c>
      <c r="C59" s="35" t="s">
        <v>506</v>
      </c>
      <c r="D59" s="35" t="s">
        <v>451</v>
      </c>
      <c r="E59" s="35">
        <v>49427</v>
      </c>
      <c r="F59" s="35">
        <v>2841</v>
      </c>
      <c r="G59" s="36">
        <v>0.09</v>
      </c>
      <c r="H59" s="35">
        <v>70.3</v>
      </c>
      <c r="I59" s="35">
        <v>59.3</v>
      </c>
    </row>
    <row r="60" spans="1:9" s="8" customFormat="1" x14ac:dyDescent="0.25">
      <c r="A60"/>
      <c r="B60" s="35">
        <v>47</v>
      </c>
      <c r="C60" s="35" t="s">
        <v>507</v>
      </c>
      <c r="D60" s="35" t="s">
        <v>500</v>
      </c>
      <c r="E60" s="35">
        <v>39763</v>
      </c>
      <c r="F60" s="35">
        <v>2903</v>
      </c>
      <c r="G60" s="36">
        <v>0.1</v>
      </c>
      <c r="H60" s="35">
        <v>70</v>
      </c>
      <c r="I60" s="35">
        <v>73.3</v>
      </c>
    </row>
    <row r="61" spans="1:9" s="8" customFormat="1" x14ac:dyDescent="0.25">
      <c r="A61"/>
      <c r="B61" s="35">
        <v>47</v>
      </c>
      <c r="C61" s="35" t="s">
        <v>508</v>
      </c>
      <c r="D61" s="35" t="s">
        <v>509</v>
      </c>
      <c r="E61" s="35">
        <v>9248</v>
      </c>
      <c r="F61" s="35">
        <v>544</v>
      </c>
      <c r="G61" s="36">
        <v>0.21</v>
      </c>
      <c r="H61" s="35">
        <v>70</v>
      </c>
      <c r="I61" s="35">
        <v>52.6</v>
      </c>
    </row>
    <row r="62" spans="1:9" s="8" customFormat="1" x14ac:dyDescent="0.25">
      <c r="A62"/>
      <c r="B62" s="35">
        <v>49</v>
      </c>
      <c r="C62" s="35" t="s">
        <v>510</v>
      </c>
      <c r="D62" s="35" t="s">
        <v>484</v>
      </c>
      <c r="E62" s="35">
        <v>29987</v>
      </c>
      <c r="F62" s="35">
        <v>572</v>
      </c>
      <c r="G62" s="36">
        <v>0.16</v>
      </c>
      <c r="H62" s="35">
        <v>69.900000000000006</v>
      </c>
      <c r="I62" s="35">
        <v>63.7</v>
      </c>
    </row>
    <row r="63" spans="1:9" s="8" customFormat="1" x14ac:dyDescent="0.25">
      <c r="A63"/>
      <c r="B63" s="35">
        <v>50</v>
      </c>
      <c r="C63" s="35" t="s">
        <v>511</v>
      </c>
      <c r="D63" s="35" t="s">
        <v>451</v>
      </c>
      <c r="E63" s="35">
        <v>39655</v>
      </c>
      <c r="F63" s="35">
        <v>3672</v>
      </c>
      <c r="G63" s="36">
        <v>0.11</v>
      </c>
      <c r="H63" s="35">
        <v>69.7</v>
      </c>
      <c r="I63" s="35">
        <v>65.099999999999994</v>
      </c>
    </row>
    <row r="64" spans="1:9" s="8" customFormat="1" x14ac:dyDescent="0.25">
      <c r="A64"/>
      <c r="B64" s="35">
        <v>51</v>
      </c>
      <c r="C64" s="35" t="s">
        <v>512</v>
      </c>
      <c r="D64" s="35" t="s">
        <v>451</v>
      </c>
      <c r="E64" s="35">
        <v>8653</v>
      </c>
      <c r="F64" s="35">
        <v>857</v>
      </c>
      <c r="G64" s="36">
        <v>0.19</v>
      </c>
      <c r="H64" s="35">
        <v>69.599999999999994</v>
      </c>
      <c r="I64" s="35">
        <v>62.8</v>
      </c>
    </row>
    <row r="65" spans="1:9" s="8" customFormat="1" x14ac:dyDescent="0.25">
      <c r="A65"/>
      <c r="B65" s="35">
        <v>52</v>
      </c>
      <c r="C65" s="35" t="s">
        <v>513</v>
      </c>
      <c r="D65" s="35" t="s">
        <v>489</v>
      </c>
      <c r="E65" s="35">
        <v>14604</v>
      </c>
      <c r="F65" s="35">
        <v>761</v>
      </c>
      <c r="G65" s="36">
        <v>0.35</v>
      </c>
      <c r="H65" s="35">
        <v>69.5</v>
      </c>
      <c r="I65" s="35">
        <v>54.7</v>
      </c>
    </row>
    <row r="66" spans="1:9" s="8" customFormat="1" x14ac:dyDescent="0.25">
      <c r="A66"/>
      <c r="B66" s="35">
        <v>53</v>
      </c>
      <c r="C66" s="35" t="s">
        <v>514</v>
      </c>
      <c r="D66" s="35" t="s">
        <v>484</v>
      </c>
      <c r="E66" s="35">
        <v>35565</v>
      </c>
      <c r="F66" s="35">
        <v>1130</v>
      </c>
      <c r="G66" s="36">
        <v>0.2</v>
      </c>
      <c r="H66" s="35">
        <v>69.400000000000006</v>
      </c>
      <c r="I66" s="35">
        <v>61</v>
      </c>
    </row>
    <row r="67" spans="1:9" s="8" customFormat="1" x14ac:dyDescent="0.25">
      <c r="A67"/>
      <c r="B67" s="35">
        <v>54</v>
      </c>
      <c r="C67" s="35" t="s">
        <v>515</v>
      </c>
      <c r="D67" s="35" t="s">
        <v>516</v>
      </c>
      <c r="E67" s="35">
        <v>2400</v>
      </c>
      <c r="F67" s="35">
        <v>304</v>
      </c>
      <c r="G67" s="36">
        <v>0.2</v>
      </c>
      <c r="H67" s="35">
        <v>69</v>
      </c>
      <c r="I67" s="35">
        <v>70.599999999999994</v>
      </c>
    </row>
    <row r="68" spans="1:9" s="8" customFormat="1" x14ac:dyDescent="0.25">
      <c r="A68"/>
      <c r="B68" s="35">
        <v>55</v>
      </c>
      <c r="C68" s="35" t="s">
        <v>517</v>
      </c>
      <c r="D68" s="35" t="s">
        <v>479</v>
      </c>
      <c r="E68" s="35">
        <v>25028</v>
      </c>
      <c r="F68" s="35">
        <v>1545</v>
      </c>
      <c r="G68" s="36">
        <v>0.33</v>
      </c>
      <c r="H68" s="35">
        <v>68.2</v>
      </c>
      <c r="I68" s="35">
        <v>48.4</v>
      </c>
    </row>
    <row r="69" spans="1:9" s="8" customFormat="1" x14ac:dyDescent="0.25">
      <c r="A69"/>
      <c r="B69" s="35">
        <v>56</v>
      </c>
      <c r="C69" s="35" t="s">
        <v>518</v>
      </c>
      <c r="D69" s="35" t="s">
        <v>453</v>
      </c>
      <c r="E69" s="35">
        <v>34940</v>
      </c>
      <c r="F69" s="35">
        <v>2284</v>
      </c>
      <c r="G69" s="36">
        <v>0.34</v>
      </c>
      <c r="H69" s="35">
        <v>68.099999999999994</v>
      </c>
      <c r="I69" s="35">
        <v>58.4</v>
      </c>
    </row>
    <row r="70" spans="1:9" s="8" customFormat="1" x14ac:dyDescent="0.25">
      <c r="A70"/>
      <c r="B70" s="35">
        <v>56</v>
      </c>
      <c r="C70" s="35" t="s">
        <v>519</v>
      </c>
      <c r="D70" s="35" t="s">
        <v>489</v>
      </c>
      <c r="E70" s="35">
        <v>41868</v>
      </c>
      <c r="F70" s="35">
        <v>2073</v>
      </c>
      <c r="G70" s="36">
        <v>0.28000000000000003</v>
      </c>
      <c r="H70" s="35">
        <v>68.099999999999994</v>
      </c>
      <c r="I70" s="35">
        <v>54.3</v>
      </c>
    </row>
    <row r="71" spans="1:9" s="8" customFormat="1" x14ac:dyDescent="0.25">
      <c r="A71"/>
      <c r="B71" s="35">
        <v>58</v>
      </c>
      <c r="C71" s="35" t="s">
        <v>520</v>
      </c>
      <c r="D71" s="35" t="s">
        <v>509</v>
      </c>
      <c r="E71" s="35">
        <v>24570</v>
      </c>
      <c r="F71" s="35">
        <v>1707</v>
      </c>
      <c r="G71" s="36">
        <v>0.11</v>
      </c>
      <c r="H71" s="35">
        <v>67.8</v>
      </c>
      <c r="I71" s="35">
        <v>52.2</v>
      </c>
    </row>
    <row r="72" spans="1:9" s="8" customFormat="1" x14ac:dyDescent="0.25">
      <c r="A72"/>
      <c r="B72" s="35">
        <v>59</v>
      </c>
      <c r="C72" s="35" t="s">
        <v>521</v>
      </c>
      <c r="D72" s="35" t="s">
        <v>504</v>
      </c>
      <c r="E72" s="35">
        <v>11385</v>
      </c>
      <c r="F72" s="35">
        <v>479</v>
      </c>
      <c r="G72" s="36">
        <v>0.36</v>
      </c>
      <c r="H72" s="35">
        <v>67.2</v>
      </c>
      <c r="I72" s="35">
        <v>49.4</v>
      </c>
    </row>
    <row r="73" spans="1:9" s="8" customFormat="1" x14ac:dyDescent="0.25">
      <c r="A73"/>
      <c r="B73" s="35">
        <v>60</v>
      </c>
      <c r="C73" s="35" t="s">
        <v>522</v>
      </c>
      <c r="D73" s="35" t="s">
        <v>489</v>
      </c>
      <c r="E73" s="35">
        <v>34718</v>
      </c>
      <c r="F73" s="35">
        <v>1062</v>
      </c>
      <c r="G73" s="36">
        <v>0.27</v>
      </c>
      <c r="H73" s="35">
        <v>67</v>
      </c>
      <c r="I73" s="35">
        <v>49.2</v>
      </c>
    </row>
    <row r="74" spans="1:9" s="8" customFormat="1" x14ac:dyDescent="0.25">
      <c r="A74"/>
      <c r="B74" s="35">
        <v>60</v>
      </c>
      <c r="C74" s="35" t="s">
        <v>523</v>
      </c>
      <c r="D74" s="35" t="s">
        <v>451</v>
      </c>
      <c r="E74" s="35">
        <v>12528</v>
      </c>
      <c r="F74" s="35">
        <v>2198</v>
      </c>
      <c r="G74" s="36">
        <v>0.17</v>
      </c>
      <c r="H74" s="35">
        <v>67</v>
      </c>
      <c r="I74" s="35">
        <v>54.3</v>
      </c>
    </row>
    <row r="75" spans="1:9" s="8" customFormat="1" x14ac:dyDescent="0.25">
      <c r="A75"/>
      <c r="B75" s="35">
        <v>62</v>
      </c>
      <c r="C75" s="35" t="s">
        <v>524</v>
      </c>
      <c r="D75" s="35" t="s">
        <v>509</v>
      </c>
      <c r="E75" s="35">
        <v>30779</v>
      </c>
      <c r="F75" s="35">
        <v>1999</v>
      </c>
      <c r="G75" s="36">
        <v>7.0000000000000007E-2</v>
      </c>
      <c r="H75" s="35">
        <v>66.599999999999994</v>
      </c>
      <c r="I75" s="35">
        <v>48.1</v>
      </c>
    </row>
    <row r="76" spans="1:9" s="8" customFormat="1" x14ac:dyDescent="0.25">
      <c r="A76"/>
      <c r="B76" s="35">
        <v>63</v>
      </c>
      <c r="C76" s="35" t="s">
        <v>525</v>
      </c>
      <c r="D76" s="35" t="s">
        <v>451</v>
      </c>
      <c r="E76" s="35">
        <v>26518</v>
      </c>
      <c r="F76" s="35">
        <v>3633</v>
      </c>
      <c r="G76" s="36">
        <v>0.08</v>
      </c>
      <c r="H76" s="35">
        <v>66.400000000000006</v>
      </c>
      <c r="I76" s="35">
        <v>58</v>
      </c>
    </row>
    <row r="77" spans="1:9" s="8" customFormat="1" x14ac:dyDescent="0.25">
      <c r="A77"/>
      <c r="B77" s="35">
        <v>64</v>
      </c>
      <c r="C77" s="35" t="s">
        <v>526</v>
      </c>
      <c r="D77" s="35" t="s">
        <v>451</v>
      </c>
      <c r="E77" s="35">
        <v>24789</v>
      </c>
      <c r="F77" s="35">
        <v>2883</v>
      </c>
      <c r="G77" s="36">
        <v>0.17</v>
      </c>
      <c r="H77" s="35">
        <v>66.099999999999994</v>
      </c>
      <c r="I77" s="35">
        <v>57.8</v>
      </c>
    </row>
    <row r="78" spans="1:9" s="8" customFormat="1" x14ac:dyDescent="0.25">
      <c r="A78"/>
      <c r="B78" s="35">
        <v>65</v>
      </c>
      <c r="C78" s="35" t="s">
        <v>527</v>
      </c>
      <c r="D78" s="35" t="s">
        <v>509</v>
      </c>
      <c r="E78" s="35">
        <v>15920</v>
      </c>
      <c r="F78" s="35">
        <v>821</v>
      </c>
      <c r="G78" s="36">
        <v>0.25</v>
      </c>
      <c r="H78" s="35">
        <v>65.900000000000006</v>
      </c>
      <c r="I78" s="35">
        <v>55</v>
      </c>
    </row>
    <row r="79" spans="1:9" s="8" customFormat="1" x14ac:dyDescent="0.25">
      <c r="A79"/>
      <c r="B79" s="35">
        <v>65</v>
      </c>
      <c r="C79" s="35" t="s">
        <v>528</v>
      </c>
      <c r="D79" s="35" t="s">
        <v>451</v>
      </c>
      <c r="E79" s="35">
        <v>46825</v>
      </c>
      <c r="F79" s="35">
        <v>2602</v>
      </c>
      <c r="G79" s="36">
        <v>0.12</v>
      </c>
      <c r="H79" s="35">
        <v>65.900000000000006</v>
      </c>
      <c r="I79" s="35">
        <v>53.5</v>
      </c>
    </row>
    <row r="80" spans="1:9" s="8" customFormat="1" x14ac:dyDescent="0.25">
      <c r="A80"/>
      <c r="B80" s="35">
        <v>67</v>
      </c>
      <c r="C80" s="35" t="s">
        <v>529</v>
      </c>
      <c r="D80" s="35" t="s">
        <v>509</v>
      </c>
      <c r="E80" s="35">
        <v>21222</v>
      </c>
      <c r="F80" s="35">
        <v>1242</v>
      </c>
      <c r="G80" s="36">
        <v>0.09</v>
      </c>
      <c r="H80" s="35">
        <v>65.7</v>
      </c>
      <c r="I80" s="35">
        <v>50.5</v>
      </c>
    </row>
    <row r="81" spans="1:9" s="8" customFormat="1" x14ac:dyDescent="0.25">
      <c r="A81"/>
      <c r="B81" s="35">
        <v>68</v>
      </c>
      <c r="C81" s="35" t="s">
        <v>530</v>
      </c>
      <c r="D81" s="35" t="s">
        <v>451</v>
      </c>
      <c r="E81" s="35">
        <v>36534</v>
      </c>
      <c r="F81" s="35">
        <v>2833</v>
      </c>
      <c r="G81" s="36">
        <v>0.2</v>
      </c>
      <c r="H81" s="35">
        <v>65.5</v>
      </c>
      <c r="I81" s="35">
        <v>49.3</v>
      </c>
    </row>
    <row r="82" spans="1:9" s="8" customFormat="1" x14ac:dyDescent="0.25">
      <c r="A82"/>
      <c r="B82" s="35">
        <v>69</v>
      </c>
      <c r="C82" s="35" t="s">
        <v>531</v>
      </c>
      <c r="D82" s="35" t="s">
        <v>453</v>
      </c>
      <c r="E82" s="35">
        <v>17905</v>
      </c>
      <c r="F82" s="35">
        <v>1279</v>
      </c>
      <c r="G82" s="36">
        <v>0.25</v>
      </c>
      <c r="H82" s="35">
        <v>64.3</v>
      </c>
      <c r="I82" s="35">
        <v>47.6</v>
      </c>
    </row>
    <row r="83" spans="1:9" s="8" customFormat="1" x14ac:dyDescent="0.25">
      <c r="A83"/>
      <c r="B83" s="35">
        <v>70</v>
      </c>
      <c r="C83" s="35" t="s">
        <v>532</v>
      </c>
      <c r="D83" s="35" t="s">
        <v>453</v>
      </c>
      <c r="E83" s="35">
        <v>15490</v>
      </c>
      <c r="F83" s="35">
        <v>987</v>
      </c>
      <c r="G83" s="36">
        <v>0.24</v>
      </c>
      <c r="H83" s="35">
        <v>63.6</v>
      </c>
      <c r="I83" s="35">
        <v>47.9</v>
      </c>
    </row>
    <row r="84" spans="1:9" s="8" customFormat="1" x14ac:dyDescent="0.25">
      <c r="A84"/>
      <c r="B84" s="35">
        <v>71</v>
      </c>
      <c r="C84" s="35" t="s">
        <v>533</v>
      </c>
      <c r="D84" s="35" t="s">
        <v>509</v>
      </c>
      <c r="E84" s="35">
        <v>20580</v>
      </c>
      <c r="F84" s="35">
        <v>1089</v>
      </c>
      <c r="G84" s="36">
        <v>0.17</v>
      </c>
      <c r="H84" s="35">
        <v>63.5</v>
      </c>
      <c r="I84" s="35">
        <v>37.200000000000003</v>
      </c>
    </row>
    <row r="85" spans="1:9" s="8" customFormat="1" x14ac:dyDescent="0.25">
      <c r="A85"/>
      <c r="B85" s="35">
        <v>72</v>
      </c>
      <c r="C85" s="35" t="s">
        <v>534</v>
      </c>
      <c r="D85" s="35" t="s">
        <v>484</v>
      </c>
      <c r="E85" s="35">
        <v>33062</v>
      </c>
      <c r="F85" s="35">
        <v>842</v>
      </c>
      <c r="G85" s="36">
        <v>0.2</v>
      </c>
      <c r="H85" s="35">
        <v>63.2</v>
      </c>
      <c r="I85" s="35">
        <v>57.9</v>
      </c>
    </row>
    <row r="86" spans="1:9" s="8" customFormat="1" x14ac:dyDescent="0.25">
      <c r="A86"/>
      <c r="B86" s="35">
        <v>73</v>
      </c>
      <c r="C86" s="35" t="s">
        <v>535</v>
      </c>
      <c r="D86" s="35" t="s">
        <v>489</v>
      </c>
      <c r="E86" s="35">
        <v>50882</v>
      </c>
      <c r="F86" s="35">
        <v>1257</v>
      </c>
      <c r="G86" s="36">
        <v>0.36</v>
      </c>
      <c r="H86" s="35">
        <v>62.8</v>
      </c>
      <c r="I86" s="35">
        <v>48.3</v>
      </c>
    </row>
    <row r="87" spans="1:9" s="8" customFormat="1" x14ac:dyDescent="0.25">
      <c r="A87"/>
      <c r="B87" s="35">
        <v>74</v>
      </c>
      <c r="C87" s="35" t="s">
        <v>536</v>
      </c>
      <c r="D87" s="35" t="s">
        <v>509</v>
      </c>
      <c r="E87" s="35">
        <v>24556</v>
      </c>
      <c r="F87" s="35">
        <v>960</v>
      </c>
      <c r="G87" s="36">
        <v>0.11</v>
      </c>
      <c r="H87" s="35">
        <v>62.4</v>
      </c>
      <c r="I87" s="35">
        <v>43.3</v>
      </c>
    </row>
    <row r="88" spans="1:9" s="8" customFormat="1" x14ac:dyDescent="0.25">
      <c r="A88"/>
      <c r="B88" s="35">
        <v>75</v>
      </c>
      <c r="C88" s="35" t="s">
        <v>537</v>
      </c>
      <c r="D88" s="35" t="s">
        <v>451</v>
      </c>
      <c r="E88" s="35">
        <v>44501</v>
      </c>
      <c r="F88" s="35">
        <v>3589</v>
      </c>
      <c r="G88" s="36">
        <v>0.12</v>
      </c>
      <c r="H88" s="35">
        <v>62.3</v>
      </c>
      <c r="I88" s="35">
        <v>50.4</v>
      </c>
    </row>
    <row r="89" spans="1:9" s="8" customFormat="1" x14ac:dyDescent="0.25">
      <c r="A89"/>
      <c r="B89" s="35">
        <v>76</v>
      </c>
      <c r="C89" s="35" t="s">
        <v>538</v>
      </c>
      <c r="D89" s="35" t="s">
        <v>539</v>
      </c>
      <c r="E89" s="35">
        <v>23505</v>
      </c>
      <c r="F89" s="35">
        <v>1557</v>
      </c>
      <c r="G89" s="36">
        <v>0.06</v>
      </c>
      <c r="H89" s="35">
        <v>61.9</v>
      </c>
      <c r="I89" s="35">
        <v>48.4</v>
      </c>
    </row>
    <row r="90" spans="1:9" s="8" customFormat="1" x14ac:dyDescent="0.25">
      <c r="A90"/>
      <c r="B90" s="35">
        <v>76</v>
      </c>
      <c r="C90" s="35" t="s">
        <v>540</v>
      </c>
      <c r="D90" s="35" t="s">
        <v>453</v>
      </c>
      <c r="E90" s="35">
        <v>22615</v>
      </c>
      <c r="F90" s="35">
        <v>1414</v>
      </c>
      <c r="G90" s="36">
        <v>0.28999999999999998</v>
      </c>
      <c r="H90" s="35">
        <v>61.9</v>
      </c>
      <c r="I90" s="35">
        <v>41.6</v>
      </c>
    </row>
    <row r="91" spans="1:9" s="8" customFormat="1" x14ac:dyDescent="0.25">
      <c r="A91"/>
      <c r="B91" s="35">
        <v>78</v>
      </c>
      <c r="C91" s="35" t="s">
        <v>541</v>
      </c>
      <c r="D91" s="35" t="s">
        <v>484</v>
      </c>
      <c r="E91" s="35">
        <v>28327</v>
      </c>
      <c r="F91" s="35">
        <v>729</v>
      </c>
      <c r="G91" s="36">
        <v>0.12</v>
      </c>
      <c r="H91" s="35">
        <v>61.7</v>
      </c>
      <c r="I91" s="35">
        <v>47</v>
      </c>
    </row>
    <row r="92" spans="1:9" s="8" customFormat="1" x14ac:dyDescent="0.25">
      <c r="A92"/>
      <c r="B92" s="35">
        <v>79</v>
      </c>
      <c r="C92" s="35" t="s">
        <v>542</v>
      </c>
      <c r="D92" s="35" t="s">
        <v>451</v>
      </c>
      <c r="E92" s="35">
        <v>26485</v>
      </c>
      <c r="F92" s="35">
        <v>4567</v>
      </c>
      <c r="G92" s="36">
        <v>0.1</v>
      </c>
      <c r="H92" s="35">
        <v>61.5</v>
      </c>
      <c r="I92" s="35">
        <v>50.6</v>
      </c>
    </row>
    <row r="93" spans="1:9" s="8" customFormat="1" x14ac:dyDescent="0.25">
      <c r="A93"/>
      <c r="B93" s="35">
        <v>80</v>
      </c>
      <c r="C93" s="35" t="s">
        <v>543</v>
      </c>
      <c r="D93" s="35" t="s">
        <v>453</v>
      </c>
      <c r="E93" s="35">
        <v>18530</v>
      </c>
      <c r="F93" s="35">
        <v>1117</v>
      </c>
      <c r="G93" s="36">
        <v>0.37</v>
      </c>
      <c r="H93" s="35">
        <v>61.3</v>
      </c>
      <c r="I93" s="35">
        <v>47.4</v>
      </c>
    </row>
    <row r="94" spans="1:9" s="8" customFormat="1" x14ac:dyDescent="0.25">
      <c r="A94"/>
      <c r="B94" s="35">
        <v>81</v>
      </c>
      <c r="C94" s="35" t="s">
        <v>544</v>
      </c>
      <c r="D94" s="35" t="s">
        <v>482</v>
      </c>
      <c r="E94" s="35">
        <v>25266</v>
      </c>
      <c r="F94" s="35">
        <v>1389</v>
      </c>
      <c r="G94" s="36">
        <v>0.12</v>
      </c>
      <c r="H94" s="35">
        <v>61.2</v>
      </c>
      <c r="I94" s="35">
        <v>44.1</v>
      </c>
    </row>
    <row r="95" spans="1:9" s="8" customFormat="1" x14ac:dyDescent="0.25">
      <c r="A95"/>
      <c r="B95" s="35">
        <v>82</v>
      </c>
      <c r="C95" s="35" t="s">
        <v>545</v>
      </c>
      <c r="D95" s="35" t="s">
        <v>546</v>
      </c>
      <c r="E95" s="35">
        <v>27545</v>
      </c>
      <c r="F95" s="35">
        <v>6719</v>
      </c>
      <c r="G95" s="36">
        <v>0.19</v>
      </c>
      <c r="H95" s="35">
        <v>61</v>
      </c>
      <c r="I95" s="35">
        <v>49.8</v>
      </c>
    </row>
    <row r="96" spans="1:9" s="8" customFormat="1" x14ac:dyDescent="0.25">
      <c r="A96"/>
      <c r="B96" s="35">
        <v>82</v>
      </c>
      <c r="C96" s="35" t="s">
        <v>547</v>
      </c>
      <c r="D96" s="35" t="s">
        <v>489</v>
      </c>
      <c r="E96" s="35">
        <v>38309</v>
      </c>
      <c r="F96" s="35">
        <v>1480</v>
      </c>
      <c r="G96" s="36">
        <v>0.32</v>
      </c>
      <c r="H96" s="35">
        <v>61</v>
      </c>
      <c r="I96" s="35">
        <v>40.700000000000003</v>
      </c>
    </row>
    <row r="97" spans="1:9" s="8" customFormat="1" x14ac:dyDescent="0.25">
      <c r="A97"/>
      <c r="B97" s="35">
        <v>84</v>
      </c>
      <c r="C97" s="35" t="s">
        <v>548</v>
      </c>
      <c r="D97" s="35" t="s">
        <v>484</v>
      </c>
      <c r="E97" s="35">
        <v>26467</v>
      </c>
      <c r="F97" s="35">
        <v>849</v>
      </c>
      <c r="G97" s="36">
        <v>0.16</v>
      </c>
      <c r="H97" s="35">
        <v>60.7</v>
      </c>
      <c r="I97" s="35">
        <v>47.4</v>
      </c>
    </row>
    <row r="98" spans="1:9" s="8" customFormat="1" x14ac:dyDescent="0.25">
      <c r="A98"/>
      <c r="B98" s="35">
        <v>85</v>
      </c>
      <c r="C98" s="35" t="s">
        <v>549</v>
      </c>
      <c r="D98" s="35" t="s">
        <v>550</v>
      </c>
      <c r="E98" s="35">
        <v>26389</v>
      </c>
      <c r="F98" s="35">
        <v>1899</v>
      </c>
      <c r="G98" s="36">
        <v>0.1</v>
      </c>
      <c r="H98" s="35">
        <v>60.5</v>
      </c>
      <c r="I98" s="35">
        <v>66.5</v>
      </c>
    </row>
    <row r="99" spans="1:9" s="8" customFormat="1" x14ac:dyDescent="0.25">
      <c r="A99"/>
      <c r="B99" s="35">
        <v>86</v>
      </c>
      <c r="C99" s="35" t="s">
        <v>551</v>
      </c>
      <c r="D99" s="35" t="s">
        <v>453</v>
      </c>
      <c r="E99" s="35">
        <v>8340</v>
      </c>
      <c r="F99" s="35">
        <v>657</v>
      </c>
      <c r="G99" s="36">
        <v>0.47</v>
      </c>
      <c r="H99" s="35">
        <v>60.4</v>
      </c>
      <c r="I99" s="35">
        <v>49.7</v>
      </c>
    </row>
    <row r="100" spans="1:9" s="8" customFormat="1" x14ac:dyDescent="0.25">
      <c r="A100"/>
      <c r="B100" s="35">
        <v>87</v>
      </c>
      <c r="C100" s="35" t="s">
        <v>552</v>
      </c>
      <c r="D100" s="35" t="s">
        <v>451</v>
      </c>
      <c r="E100" s="35">
        <v>12161</v>
      </c>
      <c r="F100" s="35">
        <v>3379</v>
      </c>
      <c r="G100" s="36">
        <v>0.09</v>
      </c>
      <c r="H100" s="35">
        <v>60.1</v>
      </c>
      <c r="I100" s="35">
        <v>47.8</v>
      </c>
    </row>
    <row r="101" spans="1:9" s="8" customFormat="1" x14ac:dyDescent="0.25">
      <c r="A101"/>
      <c r="B101" s="35">
        <v>88</v>
      </c>
      <c r="C101" s="35" t="s">
        <v>553</v>
      </c>
      <c r="D101" s="35" t="s">
        <v>509</v>
      </c>
      <c r="E101" s="35">
        <v>15626</v>
      </c>
      <c r="F101" s="35">
        <v>827</v>
      </c>
      <c r="G101" s="36">
        <v>0.48</v>
      </c>
      <c r="H101" s="35">
        <v>59.9</v>
      </c>
      <c r="I101" s="35">
        <v>37.5</v>
      </c>
    </row>
    <row r="102" spans="1:9" s="8" customFormat="1" x14ac:dyDescent="0.25">
      <c r="A102"/>
      <c r="B102" s="35">
        <v>88</v>
      </c>
      <c r="C102" s="35" t="s">
        <v>554</v>
      </c>
      <c r="D102" s="35" t="s">
        <v>502</v>
      </c>
      <c r="E102" s="35">
        <v>22809</v>
      </c>
      <c r="F102" s="35">
        <v>4074</v>
      </c>
      <c r="G102" s="36">
        <v>7.0000000000000007E-2</v>
      </c>
      <c r="H102" s="35">
        <v>59.9</v>
      </c>
      <c r="I102" s="35">
        <v>70.599999999999994</v>
      </c>
    </row>
    <row r="103" spans="1:9" s="8" customFormat="1" x14ac:dyDescent="0.25">
      <c r="A103"/>
      <c r="B103" s="35">
        <v>90</v>
      </c>
      <c r="C103" s="35" t="s">
        <v>555</v>
      </c>
      <c r="D103" s="35" t="s">
        <v>451</v>
      </c>
      <c r="E103" s="35">
        <v>51462</v>
      </c>
      <c r="F103" s="35">
        <v>3841</v>
      </c>
      <c r="G103" s="36">
        <v>0.12</v>
      </c>
      <c r="H103" s="35">
        <v>59.7</v>
      </c>
      <c r="I103" s="35">
        <v>51.6</v>
      </c>
    </row>
    <row r="104" spans="1:9" s="8" customFormat="1" x14ac:dyDescent="0.25">
      <c r="A104"/>
      <c r="B104" s="35">
        <v>90</v>
      </c>
      <c r="C104" s="35" t="s">
        <v>556</v>
      </c>
      <c r="D104" s="35" t="s">
        <v>451</v>
      </c>
      <c r="E104" s="35">
        <v>12338</v>
      </c>
      <c r="F104" s="35">
        <v>2742</v>
      </c>
      <c r="G104" s="36">
        <v>0.18</v>
      </c>
      <c r="H104" s="35">
        <v>59.7</v>
      </c>
      <c r="I104" s="35">
        <v>48.3</v>
      </c>
    </row>
    <row r="105" spans="1:9" s="8" customFormat="1" x14ac:dyDescent="0.25">
      <c r="A105"/>
      <c r="B105" s="35">
        <v>90</v>
      </c>
      <c r="C105" s="35" t="s">
        <v>557</v>
      </c>
      <c r="D105" s="35" t="s">
        <v>482</v>
      </c>
      <c r="E105" s="35">
        <v>28251</v>
      </c>
      <c r="F105" s="35">
        <v>2457</v>
      </c>
      <c r="G105" s="36">
        <v>0.15</v>
      </c>
      <c r="H105" s="35">
        <v>59.7</v>
      </c>
      <c r="I105" s="35">
        <v>39.700000000000003</v>
      </c>
    </row>
    <row r="106" spans="1:9" s="8" customFormat="1" x14ac:dyDescent="0.25">
      <c r="A106"/>
      <c r="B106" s="35">
        <v>93</v>
      </c>
      <c r="C106" s="35" t="s">
        <v>558</v>
      </c>
      <c r="D106" s="35" t="s">
        <v>453</v>
      </c>
      <c r="E106" s="35">
        <v>17755</v>
      </c>
      <c r="F106" s="35">
        <v>945</v>
      </c>
      <c r="G106" s="36">
        <v>0.28000000000000003</v>
      </c>
      <c r="H106" s="35">
        <v>59.5</v>
      </c>
      <c r="I106" s="35">
        <v>39.4</v>
      </c>
    </row>
    <row r="107" spans="1:9" s="8" customFormat="1" x14ac:dyDescent="0.25">
      <c r="A107"/>
      <c r="B107" s="35">
        <v>94</v>
      </c>
      <c r="C107" s="35" t="s">
        <v>559</v>
      </c>
      <c r="D107" s="35" t="s">
        <v>484</v>
      </c>
      <c r="E107" s="35">
        <v>32474</v>
      </c>
      <c r="F107" s="35">
        <v>462</v>
      </c>
      <c r="G107" s="36">
        <v>0.12</v>
      </c>
      <c r="H107" s="35">
        <v>58.8</v>
      </c>
      <c r="I107" s="35">
        <v>45.1</v>
      </c>
    </row>
    <row r="108" spans="1:9" s="8" customFormat="1" x14ac:dyDescent="0.25">
      <c r="A108"/>
      <c r="B108" s="35">
        <v>94</v>
      </c>
      <c r="C108" s="35" t="s">
        <v>560</v>
      </c>
      <c r="D108" s="35" t="s">
        <v>451</v>
      </c>
      <c r="E108" s="35">
        <v>15408</v>
      </c>
      <c r="F108" s="35">
        <v>1813</v>
      </c>
      <c r="G108" s="36">
        <v>0.14000000000000001</v>
      </c>
      <c r="H108" s="35">
        <v>58.8</v>
      </c>
      <c r="I108" s="35">
        <v>54.4</v>
      </c>
    </row>
    <row r="109" spans="1:9" s="8" customFormat="1" x14ac:dyDescent="0.25">
      <c r="A109"/>
      <c r="B109" s="35">
        <v>94</v>
      </c>
      <c r="C109" s="35" t="s">
        <v>561</v>
      </c>
      <c r="D109" s="35" t="s">
        <v>471</v>
      </c>
      <c r="E109" s="35">
        <v>23823</v>
      </c>
      <c r="F109" s="35">
        <v>1235</v>
      </c>
      <c r="G109" s="36">
        <v>0.15</v>
      </c>
      <c r="H109" s="35">
        <v>58.8</v>
      </c>
      <c r="I109" s="35">
        <v>39.799999999999997</v>
      </c>
    </row>
    <row r="110" spans="1:9" s="8" customFormat="1" x14ac:dyDescent="0.25">
      <c r="A110"/>
      <c r="B110" s="35">
        <v>97</v>
      </c>
      <c r="C110" s="35" t="s">
        <v>562</v>
      </c>
      <c r="D110" s="35" t="s">
        <v>453</v>
      </c>
      <c r="E110" s="35">
        <v>23310</v>
      </c>
      <c r="F110" s="35">
        <v>1514</v>
      </c>
      <c r="G110" s="36">
        <v>0.31</v>
      </c>
      <c r="H110" s="35">
        <v>58.6</v>
      </c>
      <c r="I110" s="35">
        <v>42.4</v>
      </c>
    </row>
    <row r="111" spans="1:9" s="8" customFormat="1" x14ac:dyDescent="0.25">
      <c r="A111"/>
      <c r="B111" s="35">
        <v>98</v>
      </c>
      <c r="C111" s="35" t="s">
        <v>563</v>
      </c>
      <c r="D111" s="35" t="s">
        <v>453</v>
      </c>
      <c r="E111" s="35">
        <v>14260</v>
      </c>
      <c r="F111" s="35">
        <v>1019</v>
      </c>
      <c r="G111" s="36">
        <v>0.4</v>
      </c>
      <c r="H111" s="35">
        <v>58.5</v>
      </c>
      <c r="I111" s="35">
        <v>34.1</v>
      </c>
    </row>
    <row r="112" spans="1:9" s="8" customFormat="1" x14ac:dyDescent="0.25">
      <c r="A112"/>
      <c r="B112" s="35">
        <v>99</v>
      </c>
      <c r="C112" s="35" t="s">
        <v>564</v>
      </c>
      <c r="D112" s="35" t="s">
        <v>484</v>
      </c>
      <c r="E112" s="35">
        <v>25581</v>
      </c>
      <c r="F112" s="35">
        <v>1000</v>
      </c>
      <c r="G112" s="36">
        <v>0.12</v>
      </c>
      <c r="H112" s="35">
        <v>58</v>
      </c>
      <c r="I112" s="35">
        <v>49.3</v>
      </c>
    </row>
    <row r="113" spans="1:9" s="8" customFormat="1" x14ac:dyDescent="0.25">
      <c r="A113"/>
      <c r="B113" s="35">
        <v>99</v>
      </c>
      <c r="C113" s="35" t="s">
        <v>565</v>
      </c>
      <c r="D113" s="35" t="s">
        <v>451</v>
      </c>
      <c r="E113" s="35">
        <v>44750</v>
      </c>
      <c r="F113" s="35">
        <v>2851</v>
      </c>
      <c r="G113" s="36">
        <v>0.15</v>
      </c>
      <c r="H113" s="35">
        <v>58</v>
      </c>
      <c r="I113" s="35">
        <v>47.3</v>
      </c>
    </row>
    <row r="114" spans="1:9" s="8" customFormat="1" x14ac:dyDescent="0.25">
      <c r="A114"/>
      <c r="B114" s="35">
        <v>101</v>
      </c>
      <c r="C114" s="35" t="s">
        <v>566</v>
      </c>
      <c r="D114" s="35" t="s">
        <v>567</v>
      </c>
      <c r="E114" s="35">
        <v>15520</v>
      </c>
      <c r="F114" s="35">
        <v>696</v>
      </c>
      <c r="G114" s="36">
        <v>0.25</v>
      </c>
      <c r="H114" s="35">
        <v>57.9</v>
      </c>
      <c r="I114" s="35">
        <v>45.5</v>
      </c>
    </row>
    <row r="115" spans="1:9" s="8" customFormat="1" x14ac:dyDescent="0.25">
      <c r="A115"/>
      <c r="B115" s="35">
        <v>101</v>
      </c>
      <c r="C115" s="35" t="s">
        <v>568</v>
      </c>
      <c r="D115" s="35" t="s">
        <v>451</v>
      </c>
      <c r="E115" s="35">
        <v>6333</v>
      </c>
      <c r="F115" s="35">
        <v>704</v>
      </c>
      <c r="G115" s="36">
        <v>0.26</v>
      </c>
      <c r="H115" s="35">
        <v>57.9</v>
      </c>
      <c r="I115" s="35">
        <v>37.9</v>
      </c>
    </row>
    <row r="116" spans="1:9" s="8" customFormat="1" x14ac:dyDescent="0.25">
      <c r="A116"/>
      <c r="B116" s="35">
        <v>101</v>
      </c>
      <c r="C116" s="35" t="s">
        <v>569</v>
      </c>
      <c r="D116" s="35" t="s">
        <v>461</v>
      </c>
      <c r="E116" s="35">
        <v>12551</v>
      </c>
      <c r="F116" s="35">
        <v>726</v>
      </c>
      <c r="G116" s="36">
        <v>0.24</v>
      </c>
      <c r="H116" s="35">
        <v>57.9</v>
      </c>
      <c r="I116" s="35">
        <v>39.5</v>
      </c>
    </row>
    <row r="117" spans="1:9" s="8" customFormat="1" x14ac:dyDescent="0.25">
      <c r="A117"/>
      <c r="B117" s="35">
        <v>101</v>
      </c>
      <c r="C117" s="35" t="s">
        <v>570</v>
      </c>
      <c r="D117" s="35" t="s">
        <v>516</v>
      </c>
      <c r="E117" s="35">
        <v>2429</v>
      </c>
      <c r="F117" s="35">
        <v>507</v>
      </c>
      <c r="G117" s="36">
        <v>0.3</v>
      </c>
      <c r="H117" s="35">
        <v>57.9</v>
      </c>
      <c r="I117" s="35">
        <v>53.5</v>
      </c>
    </row>
    <row r="118" spans="1:9" s="8" customFormat="1" x14ac:dyDescent="0.25">
      <c r="A118"/>
      <c r="B118" s="35">
        <v>105</v>
      </c>
      <c r="C118" s="35" t="s">
        <v>571</v>
      </c>
      <c r="D118" s="35" t="s">
        <v>451</v>
      </c>
      <c r="E118" s="35">
        <v>6178</v>
      </c>
      <c r="F118" s="35">
        <v>937</v>
      </c>
      <c r="G118" s="36">
        <v>0.16</v>
      </c>
      <c r="H118" s="35">
        <v>57.8</v>
      </c>
      <c r="I118" s="35">
        <v>50.7</v>
      </c>
    </row>
    <row r="119" spans="1:9" s="8" customFormat="1" x14ac:dyDescent="0.25">
      <c r="A119"/>
      <c r="B119" s="35">
        <v>105</v>
      </c>
      <c r="C119" s="35" t="s">
        <v>572</v>
      </c>
      <c r="D119" s="35" t="s">
        <v>461</v>
      </c>
      <c r="E119" s="35">
        <v>26583</v>
      </c>
      <c r="F119" s="35">
        <v>4090</v>
      </c>
      <c r="G119" s="36">
        <v>0.19</v>
      </c>
      <c r="H119" s="35">
        <v>57.8</v>
      </c>
      <c r="I119" s="35">
        <v>49.5</v>
      </c>
    </row>
    <row r="120" spans="1:9" s="8" customFormat="1" x14ac:dyDescent="0.25">
      <c r="A120"/>
      <c r="B120" s="35">
        <v>107</v>
      </c>
      <c r="C120" s="35" t="s">
        <v>573</v>
      </c>
      <c r="D120" s="35" t="s">
        <v>451</v>
      </c>
      <c r="E120" s="35">
        <v>26614</v>
      </c>
      <c r="F120" s="35">
        <v>1654</v>
      </c>
      <c r="G120" s="36">
        <v>0.16</v>
      </c>
      <c r="H120" s="35">
        <v>57.7</v>
      </c>
      <c r="I120" s="35">
        <v>39.9</v>
      </c>
    </row>
    <row r="121" spans="1:9" s="8" customFormat="1" x14ac:dyDescent="0.25">
      <c r="A121"/>
      <c r="B121" s="35">
        <v>107</v>
      </c>
      <c r="C121" s="35" t="s">
        <v>574</v>
      </c>
      <c r="D121" s="35" t="s">
        <v>546</v>
      </c>
      <c r="E121" s="35">
        <v>23895</v>
      </c>
      <c r="F121" s="35">
        <v>1757</v>
      </c>
      <c r="G121" s="36">
        <v>0.14000000000000001</v>
      </c>
      <c r="H121" s="35">
        <v>57.7</v>
      </c>
      <c r="I121" s="35">
        <v>36.9</v>
      </c>
    </row>
    <row r="122" spans="1:9" s="8" customFormat="1" x14ac:dyDescent="0.25">
      <c r="A122"/>
      <c r="B122" s="35">
        <v>107</v>
      </c>
      <c r="C122" s="35" t="s">
        <v>575</v>
      </c>
      <c r="D122" s="35" t="s">
        <v>484</v>
      </c>
      <c r="E122" s="35">
        <v>11761</v>
      </c>
      <c r="F122" s="35">
        <v>138</v>
      </c>
      <c r="G122" s="36">
        <v>0.15</v>
      </c>
      <c r="H122" s="35">
        <v>57.7</v>
      </c>
      <c r="I122" s="35">
        <v>34.5</v>
      </c>
    </row>
    <row r="123" spans="1:9" s="8" customFormat="1" x14ac:dyDescent="0.25">
      <c r="A123"/>
      <c r="B123" s="35">
        <v>110</v>
      </c>
      <c r="C123" s="35" t="s">
        <v>576</v>
      </c>
      <c r="D123" s="35" t="s">
        <v>451</v>
      </c>
      <c r="E123" s="35">
        <v>11829</v>
      </c>
      <c r="F123" s="35">
        <v>858</v>
      </c>
      <c r="G123" s="36">
        <v>0.1</v>
      </c>
      <c r="H123" s="35">
        <v>57.6</v>
      </c>
      <c r="I123" s="35">
        <v>47.6</v>
      </c>
    </row>
    <row r="124" spans="1:9" s="8" customFormat="1" x14ac:dyDescent="0.25">
      <c r="A124"/>
      <c r="B124" s="35">
        <v>111</v>
      </c>
      <c r="C124" s="35" t="s">
        <v>577</v>
      </c>
      <c r="D124" s="35" t="s">
        <v>489</v>
      </c>
      <c r="E124" s="35">
        <v>20851</v>
      </c>
      <c r="F124" s="35">
        <v>1008</v>
      </c>
      <c r="G124" s="36">
        <v>0.27</v>
      </c>
      <c r="H124" s="35">
        <v>57.5</v>
      </c>
      <c r="I124" s="35">
        <v>33.4</v>
      </c>
    </row>
    <row r="125" spans="1:9" s="8" customFormat="1" x14ac:dyDescent="0.25">
      <c r="A125"/>
      <c r="B125" s="35">
        <v>112</v>
      </c>
      <c r="C125" s="35" t="s">
        <v>578</v>
      </c>
      <c r="D125" s="35" t="s">
        <v>453</v>
      </c>
      <c r="E125" s="35">
        <v>20925</v>
      </c>
      <c r="F125" s="35">
        <v>1550</v>
      </c>
      <c r="G125" s="36">
        <v>0.28999999999999998</v>
      </c>
      <c r="H125" s="35">
        <v>57.2</v>
      </c>
      <c r="I125" s="35">
        <v>39.799999999999997</v>
      </c>
    </row>
    <row r="126" spans="1:9" s="8" customFormat="1" x14ac:dyDescent="0.25">
      <c r="A126"/>
      <c r="B126" s="35">
        <v>112</v>
      </c>
      <c r="C126" s="35" t="s">
        <v>579</v>
      </c>
      <c r="D126" s="35" t="s">
        <v>484</v>
      </c>
      <c r="E126" s="35">
        <v>37917</v>
      </c>
      <c r="F126" s="35">
        <v>1374</v>
      </c>
      <c r="G126" s="36">
        <v>0.16</v>
      </c>
      <c r="H126" s="35">
        <v>57.2</v>
      </c>
      <c r="I126" s="35">
        <v>49.4</v>
      </c>
    </row>
    <row r="127" spans="1:9" s="8" customFormat="1" x14ac:dyDescent="0.25">
      <c r="A127"/>
      <c r="B127" s="35">
        <v>114</v>
      </c>
      <c r="C127" s="35" t="s">
        <v>580</v>
      </c>
      <c r="D127" s="35" t="s">
        <v>581</v>
      </c>
      <c r="E127" s="35">
        <v>462</v>
      </c>
      <c r="F127" s="35">
        <v>28</v>
      </c>
      <c r="G127" s="36">
        <v>0.05</v>
      </c>
      <c r="H127" s="35">
        <v>57.1</v>
      </c>
      <c r="I127" s="35">
        <v>54.2</v>
      </c>
    </row>
    <row r="128" spans="1:9" s="8" customFormat="1" x14ac:dyDescent="0.25">
      <c r="A128"/>
      <c r="B128" s="35">
        <v>115</v>
      </c>
      <c r="C128" s="35" t="s">
        <v>582</v>
      </c>
      <c r="D128" s="35" t="s">
        <v>471</v>
      </c>
      <c r="E128" s="35">
        <v>38264</v>
      </c>
      <c r="F128" s="35">
        <v>1885</v>
      </c>
      <c r="G128" s="36">
        <v>0.25</v>
      </c>
      <c r="H128" s="35">
        <v>57</v>
      </c>
      <c r="I128" s="35">
        <v>46.3</v>
      </c>
    </row>
    <row r="129" spans="1:9" s="8" customFormat="1" x14ac:dyDescent="0.25">
      <c r="A129"/>
      <c r="B129" s="35">
        <v>115</v>
      </c>
      <c r="C129" s="35" t="s">
        <v>583</v>
      </c>
      <c r="D129" s="35" t="s">
        <v>516</v>
      </c>
      <c r="E129" s="35">
        <v>27862</v>
      </c>
      <c r="F129" s="35">
        <v>3203</v>
      </c>
      <c r="G129" s="36">
        <v>0.18</v>
      </c>
      <c r="H129" s="35">
        <v>57</v>
      </c>
      <c r="I129" s="35">
        <v>52.8</v>
      </c>
    </row>
    <row r="130" spans="1:9" s="8" customFormat="1" x14ac:dyDescent="0.25">
      <c r="A130"/>
      <c r="B130" s="35">
        <v>115</v>
      </c>
      <c r="C130" s="35" t="s">
        <v>584</v>
      </c>
      <c r="D130" s="35" t="s">
        <v>451</v>
      </c>
      <c r="E130" s="35">
        <v>39256</v>
      </c>
      <c r="F130" s="35">
        <v>2169</v>
      </c>
      <c r="G130" s="36">
        <v>0.22</v>
      </c>
      <c r="H130" s="35">
        <v>57</v>
      </c>
      <c r="I130" s="35">
        <v>50.2</v>
      </c>
    </row>
    <row r="131" spans="1:9" s="8" customFormat="1" x14ac:dyDescent="0.25">
      <c r="A131"/>
      <c r="B131" s="35">
        <v>118</v>
      </c>
      <c r="C131" s="35" t="s">
        <v>585</v>
      </c>
      <c r="D131" s="35" t="s">
        <v>550</v>
      </c>
      <c r="E131" s="35">
        <v>3055</v>
      </c>
      <c r="F131" s="35">
        <v>303</v>
      </c>
      <c r="G131" s="36">
        <v>0.04</v>
      </c>
      <c r="H131" s="35">
        <v>56.9</v>
      </c>
      <c r="I131" s="35">
        <v>49.1</v>
      </c>
    </row>
    <row r="132" spans="1:9" s="8" customFormat="1" x14ac:dyDescent="0.25">
      <c r="A132"/>
      <c r="B132" s="35">
        <v>119</v>
      </c>
      <c r="C132" s="35" t="s">
        <v>586</v>
      </c>
      <c r="D132" s="35" t="s">
        <v>451</v>
      </c>
      <c r="E132" s="35">
        <v>31331</v>
      </c>
      <c r="F132" s="35">
        <v>3730</v>
      </c>
      <c r="G132" s="36">
        <v>0.09</v>
      </c>
      <c r="H132" s="35">
        <v>56.7</v>
      </c>
      <c r="I132" s="35">
        <v>45</v>
      </c>
    </row>
    <row r="133" spans="1:9" s="8" customFormat="1" x14ac:dyDescent="0.25">
      <c r="A133"/>
      <c r="B133" s="35">
        <v>120</v>
      </c>
      <c r="C133" s="35" t="s">
        <v>587</v>
      </c>
      <c r="D133" s="35" t="s">
        <v>492</v>
      </c>
      <c r="E133" s="35">
        <v>32166</v>
      </c>
      <c r="F133" s="35">
        <v>944</v>
      </c>
      <c r="G133" s="36">
        <v>0.09</v>
      </c>
      <c r="H133" s="35">
        <v>56.6</v>
      </c>
      <c r="I133" s="35">
        <v>42.1</v>
      </c>
    </row>
    <row r="134" spans="1:9" s="8" customFormat="1" x14ac:dyDescent="0.25">
      <c r="A134"/>
      <c r="B134" s="35">
        <v>121</v>
      </c>
      <c r="C134" s="35" t="s">
        <v>588</v>
      </c>
      <c r="D134" s="35" t="s">
        <v>453</v>
      </c>
      <c r="E134" s="35">
        <v>25295</v>
      </c>
      <c r="F134" s="35">
        <v>1543</v>
      </c>
      <c r="G134" s="36">
        <v>0.23</v>
      </c>
      <c r="H134" s="35">
        <v>56.2</v>
      </c>
      <c r="I134" s="35">
        <v>39.4</v>
      </c>
    </row>
    <row r="135" spans="1:9" s="8" customFormat="1" x14ac:dyDescent="0.25">
      <c r="A135"/>
      <c r="B135" s="35">
        <v>122</v>
      </c>
      <c r="C135" s="35" t="s">
        <v>589</v>
      </c>
      <c r="D135" s="35" t="s">
        <v>451</v>
      </c>
      <c r="E135" s="35">
        <v>50095</v>
      </c>
      <c r="F135" s="35">
        <v>2679</v>
      </c>
      <c r="G135" s="36">
        <v>0.09</v>
      </c>
      <c r="H135" s="35">
        <v>56.1</v>
      </c>
      <c r="I135" s="35">
        <v>51.8</v>
      </c>
    </row>
    <row r="136" spans="1:9" s="8" customFormat="1" x14ac:dyDescent="0.25">
      <c r="A136"/>
      <c r="B136" s="35">
        <v>122</v>
      </c>
      <c r="C136" s="35" t="s">
        <v>590</v>
      </c>
      <c r="D136" s="35" t="s">
        <v>461</v>
      </c>
      <c r="E136" s="35">
        <v>14708</v>
      </c>
      <c r="F136" s="35">
        <v>654</v>
      </c>
      <c r="G136" s="36">
        <v>0.14000000000000001</v>
      </c>
      <c r="H136" s="35">
        <v>56.1</v>
      </c>
      <c r="I136" s="35">
        <v>40</v>
      </c>
    </row>
    <row r="137" spans="1:9" s="8" customFormat="1" x14ac:dyDescent="0.25">
      <c r="A137"/>
      <c r="B137" s="35">
        <v>122</v>
      </c>
      <c r="C137" s="35" t="s">
        <v>591</v>
      </c>
      <c r="D137" s="35" t="s">
        <v>592</v>
      </c>
      <c r="E137" s="35">
        <v>20040</v>
      </c>
      <c r="F137" s="35">
        <v>1657</v>
      </c>
      <c r="G137" s="36">
        <v>0.18</v>
      </c>
      <c r="H137" s="35">
        <v>56.1</v>
      </c>
      <c r="I137" s="35">
        <v>34.9</v>
      </c>
    </row>
    <row r="138" spans="1:9" s="8" customFormat="1" x14ac:dyDescent="0.25">
      <c r="A138"/>
      <c r="B138" s="35">
        <v>125</v>
      </c>
      <c r="C138" s="35" t="s">
        <v>593</v>
      </c>
      <c r="D138" s="35" t="s">
        <v>484</v>
      </c>
      <c r="E138" s="35">
        <v>36146</v>
      </c>
      <c r="F138" s="35">
        <v>671</v>
      </c>
      <c r="G138" s="36">
        <v>0.09</v>
      </c>
      <c r="H138" s="35">
        <v>56</v>
      </c>
      <c r="I138" s="35">
        <v>51.7</v>
      </c>
    </row>
    <row r="139" spans="1:9" s="8" customFormat="1" x14ac:dyDescent="0.25">
      <c r="A139"/>
      <c r="B139" s="35">
        <v>125</v>
      </c>
      <c r="C139" s="35" t="s">
        <v>594</v>
      </c>
      <c r="D139" s="35" t="s">
        <v>451</v>
      </c>
      <c r="E139" s="35">
        <v>37032</v>
      </c>
      <c r="F139" s="35">
        <v>2141</v>
      </c>
      <c r="G139" s="36">
        <v>0.08</v>
      </c>
      <c r="H139" s="35">
        <v>56</v>
      </c>
      <c r="I139" s="35">
        <v>43.9</v>
      </c>
    </row>
    <row r="140" spans="1:9" s="8" customFormat="1" x14ac:dyDescent="0.25">
      <c r="A140"/>
      <c r="B140" s="35">
        <v>127</v>
      </c>
      <c r="C140" s="35" t="s">
        <v>595</v>
      </c>
      <c r="D140" s="35" t="s">
        <v>484</v>
      </c>
      <c r="E140" s="35">
        <v>39838</v>
      </c>
      <c r="F140" s="35">
        <v>865</v>
      </c>
      <c r="G140" s="36">
        <v>0.08</v>
      </c>
      <c r="H140" s="35">
        <v>55.9</v>
      </c>
      <c r="I140" s="35">
        <v>40.299999999999997</v>
      </c>
    </row>
    <row r="141" spans="1:9" s="8" customFormat="1" x14ac:dyDescent="0.25">
      <c r="A141"/>
      <c r="B141" s="35">
        <v>127</v>
      </c>
      <c r="C141" s="35" t="s">
        <v>596</v>
      </c>
      <c r="D141" s="35" t="s">
        <v>509</v>
      </c>
      <c r="E141" s="35">
        <v>17713</v>
      </c>
      <c r="F141" s="35">
        <v>1363</v>
      </c>
      <c r="G141" s="36">
        <v>0.1</v>
      </c>
      <c r="H141" s="35">
        <v>55.9</v>
      </c>
      <c r="I141" s="35">
        <v>34.299999999999997</v>
      </c>
    </row>
    <row r="142" spans="1:9" s="8" customFormat="1" x14ac:dyDescent="0.25">
      <c r="A142"/>
      <c r="B142" s="35">
        <v>129</v>
      </c>
      <c r="C142" s="35" t="s">
        <v>597</v>
      </c>
      <c r="D142" s="35" t="s">
        <v>451</v>
      </c>
      <c r="E142" s="35">
        <v>29325</v>
      </c>
      <c r="F142" s="35">
        <v>1822</v>
      </c>
      <c r="G142" s="36">
        <v>0.08</v>
      </c>
      <c r="H142" s="35">
        <v>55.8</v>
      </c>
      <c r="I142" s="35">
        <v>39.700000000000003</v>
      </c>
    </row>
    <row r="143" spans="1:9" s="8" customFormat="1" x14ac:dyDescent="0.25">
      <c r="A143"/>
      <c r="B143" s="35">
        <v>129</v>
      </c>
      <c r="C143" s="35" t="s">
        <v>598</v>
      </c>
      <c r="D143" s="35" t="s">
        <v>451</v>
      </c>
      <c r="E143" s="35">
        <v>10410</v>
      </c>
      <c r="F143" s="35">
        <v>1041</v>
      </c>
      <c r="G143" s="36">
        <v>0.14000000000000001</v>
      </c>
      <c r="H143" s="35">
        <v>55.8</v>
      </c>
      <c r="I143" s="35">
        <v>45.2</v>
      </c>
    </row>
    <row r="144" spans="1:9" s="8" customFormat="1" x14ac:dyDescent="0.25">
      <c r="A144"/>
      <c r="B144" s="35">
        <v>131</v>
      </c>
      <c r="C144" s="35" t="s">
        <v>599</v>
      </c>
      <c r="D144" s="35" t="s">
        <v>453</v>
      </c>
      <c r="E144" s="35">
        <v>8745</v>
      </c>
      <c r="F144" s="35">
        <v>550</v>
      </c>
      <c r="G144" s="36">
        <v>0.37</v>
      </c>
      <c r="H144" s="35">
        <v>55.7</v>
      </c>
      <c r="I144" s="35">
        <v>35.1</v>
      </c>
    </row>
    <row r="145" spans="1:9" s="8" customFormat="1" x14ac:dyDescent="0.25">
      <c r="A145"/>
      <c r="B145" s="35">
        <v>132</v>
      </c>
      <c r="C145" s="35" t="s">
        <v>600</v>
      </c>
      <c r="D145" s="35" t="s">
        <v>453</v>
      </c>
      <c r="E145" s="35">
        <v>11510</v>
      </c>
      <c r="F145" s="35">
        <v>773</v>
      </c>
      <c r="G145" s="36">
        <v>0.33</v>
      </c>
      <c r="H145" s="35">
        <v>55.6</v>
      </c>
      <c r="I145" s="35">
        <v>34</v>
      </c>
    </row>
    <row r="146" spans="1:9" s="8" customFormat="1" x14ac:dyDescent="0.25">
      <c r="A146"/>
      <c r="B146" s="35">
        <v>133</v>
      </c>
      <c r="C146" s="35" t="s">
        <v>601</v>
      </c>
      <c r="D146" s="35" t="s">
        <v>453</v>
      </c>
      <c r="E146" s="35">
        <v>14545</v>
      </c>
      <c r="F146" s="35">
        <v>921</v>
      </c>
      <c r="G146" s="36">
        <v>0.26</v>
      </c>
      <c r="H146" s="35">
        <v>55.4</v>
      </c>
      <c r="I146" s="35">
        <v>41.9</v>
      </c>
    </row>
    <row r="147" spans="1:9" s="8" customFormat="1" x14ac:dyDescent="0.25">
      <c r="A147"/>
      <c r="B147" s="35">
        <v>133</v>
      </c>
      <c r="C147" s="35" t="s">
        <v>602</v>
      </c>
      <c r="D147" s="35" t="s">
        <v>461</v>
      </c>
      <c r="E147" s="35">
        <v>15668</v>
      </c>
      <c r="F147" s="35">
        <v>1045</v>
      </c>
      <c r="G147" s="36">
        <v>0.39</v>
      </c>
      <c r="H147" s="35">
        <v>55.4</v>
      </c>
      <c r="I147" s="35">
        <v>34.9</v>
      </c>
    </row>
    <row r="148" spans="1:9" s="8" customFormat="1" x14ac:dyDescent="0.25">
      <c r="A148"/>
      <c r="B148" s="35">
        <v>135</v>
      </c>
      <c r="C148" s="35" t="s">
        <v>603</v>
      </c>
      <c r="D148" s="35" t="s">
        <v>453</v>
      </c>
      <c r="E148" s="35">
        <v>27705</v>
      </c>
      <c r="F148" s="35">
        <v>1885</v>
      </c>
      <c r="G148" s="36">
        <v>0.21</v>
      </c>
      <c r="H148" s="35">
        <v>55.3</v>
      </c>
      <c r="I148" s="35">
        <v>43.7</v>
      </c>
    </row>
    <row r="149" spans="1:9" s="8" customFormat="1" x14ac:dyDescent="0.25">
      <c r="A149"/>
      <c r="B149" s="35">
        <v>135</v>
      </c>
      <c r="C149" s="35" t="s">
        <v>604</v>
      </c>
      <c r="D149" s="35" t="s">
        <v>451</v>
      </c>
      <c r="E149" s="35">
        <v>9259</v>
      </c>
      <c r="F149" s="35">
        <v>1447</v>
      </c>
      <c r="G149" s="36">
        <v>0.17</v>
      </c>
      <c r="H149" s="35">
        <v>55.3</v>
      </c>
      <c r="I149" s="35">
        <v>46.1</v>
      </c>
    </row>
    <row r="150" spans="1:9" s="8" customFormat="1" x14ac:dyDescent="0.25">
      <c r="A150"/>
      <c r="B150" s="35">
        <v>137</v>
      </c>
      <c r="C150" s="35" t="s">
        <v>605</v>
      </c>
      <c r="D150" s="35" t="s">
        <v>606</v>
      </c>
      <c r="E150" s="35">
        <v>27139</v>
      </c>
      <c r="F150" s="35">
        <v>1444</v>
      </c>
      <c r="G150" s="36">
        <v>0.18</v>
      </c>
      <c r="H150" s="35">
        <v>55.1</v>
      </c>
      <c r="I150" s="35">
        <v>43.3</v>
      </c>
    </row>
    <row r="151" spans="1:9" s="8" customFormat="1" x14ac:dyDescent="0.25">
      <c r="A151"/>
      <c r="B151" s="35">
        <v>138</v>
      </c>
      <c r="C151" s="35" t="s">
        <v>607</v>
      </c>
      <c r="D151" s="35" t="s">
        <v>482</v>
      </c>
      <c r="E151" s="35">
        <v>31715</v>
      </c>
      <c r="F151" s="35">
        <v>1339</v>
      </c>
      <c r="G151" s="36">
        <v>0.08</v>
      </c>
      <c r="H151" s="35">
        <v>54.8</v>
      </c>
      <c r="I151" s="35">
        <v>34.1</v>
      </c>
    </row>
    <row r="152" spans="1:9" s="8" customFormat="1" x14ac:dyDescent="0.25">
      <c r="A152"/>
      <c r="B152" s="35">
        <v>139</v>
      </c>
      <c r="C152" s="35" t="s">
        <v>608</v>
      </c>
      <c r="D152" s="35" t="s">
        <v>471</v>
      </c>
      <c r="E152" s="35">
        <v>36299</v>
      </c>
      <c r="F152" s="35">
        <v>1681</v>
      </c>
      <c r="G152" s="36">
        <v>0.23</v>
      </c>
      <c r="H152" s="35">
        <v>54.7</v>
      </c>
      <c r="I152" s="35">
        <v>46.4</v>
      </c>
    </row>
    <row r="153" spans="1:9" s="8" customFormat="1" x14ac:dyDescent="0.25">
      <c r="A153"/>
      <c r="B153" s="35">
        <v>140</v>
      </c>
      <c r="C153" s="35" t="s">
        <v>609</v>
      </c>
      <c r="D153" s="35" t="s">
        <v>504</v>
      </c>
      <c r="E153" s="35">
        <v>17916</v>
      </c>
      <c r="F153" s="35">
        <v>1757</v>
      </c>
      <c r="G153" s="36">
        <v>0.22</v>
      </c>
      <c r="H153" s="35">
        <v>54.5</v>
      </c>
      <c r="I153" s="35">
        <v>41.5</v>
      </c>
    </row>
    <row r="154" spans="1:9" s="8" customFormat="1" x14ac:dyDescent="0.25">
      <c r="A154"/>
      <c r="B154" s="35">
        <v>140</v>
      </c>
      <c r="C154" s="35" t="s">
        <v>610</v>
      </c>
      <c r="D154" s="35" t="s">
        <v>484</v>
      </c>
      <c r="E154" s="35">
        <v>25294</v>
      </c>
      <c r="F154" s="35">
        <v>1029</v>
      </c>
      <c r="G154" s="36">
        <v>0.16</v>
      </c>
      <c r="H154" s="35">
        <v>54.5</v>
      </c>
      <c r="I154" s="35">
        <v>37.700000000000003</v>
      </c>
    </row>
    <row r="155" spans="1:9" s="8" customFormat="1" x14ac:dyDescent="0.25">
      <c r="A155"/>
      <c r="B155" s="35">
        <v>142</v>
      </c>
      <c r="C155" s="35" t="s">
        <v>611</v>
      </c>
      <c r="D155" s="35" t="s">
        <v>453</v>
      </c>
      <c r="E155" s="35">
        <v>12000</v>
      </c>
      <c r="F155" s="35">
        <v>690</v>
      </c>
      <c r="G155" s="36">
        <v>0.35</v>
      </c>
      <c r="H155" s="35">
        <v>54.4</v>
      </c>
      <c r="I155" s="35">
        <v>33.4</v>
      </c>
    </row>
    <row r="156" spans="1:9" s="8" customFormat="1" x14ac:dyDescent="0.25">
      <c r="A156"/>
      <c r="B156" s="35">
        <v>143</v>
      </c>
      <c r="C156" s="35" t="s">
        <v>612</v>
      </c>
      <c r="D156" s="35" t="s">
        <v>451</v>
      </c>
      <c r="E156" s="35">
        <v>56959</v>
      </c>
      <c r="F156" s="35">
        <v>4382</v>
      </c>
      <c r="G156" s="36">
        <v>0.11</v>
      </c>
      <c r="H156" s="35">
        <v>54.3</v>
      </c>
      <c r="I156" s="35">
        <v>40.200000000000003</v>
      </c>
    </row>
  </sheetData>
  <mergeCells count="1">
    <mergeCell ref="B3:E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5722-1443-4797-9E77-839F43551FFF}">
  <sheetPr codeName="Hoja13"/>
  <dimension ref="B2:I60"/>
  <sheetViews>
    <sheetView showGridLines="0" zoomScale="114" workbookViewId="0">
      <selection activeCell="H9" sqref="H9"/>
    </sheetView>
  </sheetViews>
  <sheetFormatPr baseColWidth="10" defaultColWidth="11.42578125" defaultRowHeight="15" x14ac:dyDescent="0.25"/>
  <cols>
    <col min="2" max="2" width="20" customWidth="1"/>
    <col min="3" max="3" width="16.140625" customWidth="1"/>
    <col min="5" max="5" width="23.85546875" customWidth="1"/>
    <col min="7" max="7" width="18.85546875" customWidth="1"/>
    <col min="8" max="8" width="20.28515625" bestFit="1" customWidth="1"/>
    <col min="9" max="9" width="19.28515625" bestFit="1" customWidth="1"/>
  </cols>
  <sheetData>
    <row r="2" spans="2:9" ht="15.75" thickBot="1" x14ac:dyDescent="0.3"/>
    <row r="3" spans="2:9" ht="15.75" thickBot="1" x14ac:dyDescent="0.3">
      <c r="B3" s="12" t="s">
        <v>613</v>
      </c>
      <c r="C3" s="8"/>
      <c r="D3" s="8"/>
    </row>
    <row r="4" spans="2:9" x14ac:dyDescent="0.25">
      <c r="B4" s="173" t="s">
        <v>614</v>
      </c>
      <c r="C4" s="174"/>
      <c r="D4" s="174"/>
      <c r="E4" s="175"/>
    </row>
    <row r="5" spans="2:9" x14ac:dyDescent="0.25">
      <c r="B5" s="176"/>
      <c r="C5" s="177"/>
      <c r="D5" s="177"/>
      <c r="E5" s="178"/>
      <c r="I5" s="16" t="s">
        <v>15</v>
      </c>
    </row>
    <row r="6" spans="2:9" x14ac:dyDescent="0.25">
      <c r="B6" s="176"/>
      <c r="C6" s="177"/>
      <c r="D6" s="177"/>
      <c r="E6" s="178"/>
      <c r="G6" s="13" t="s">
        <v>615</v>
      </c>
      <c r="H6" s="61">
        <f>LARGE(C13:C60,ROW(G7)-ROW($G$6))</f>
        <v>63</v>
      </c>
      <c r="I6" s="60" t="s">
        <v>616</v>
      </c>
    </row>
    <row r="7" spans="2:9" x14ac:dyDescent="0.25">
      <c r="B7" s="176"/>
      <c r="C7" s="177"/>
      <c r="D7" s="177"/>
      <c r="E7" s="178"/>
      <c r="G7" s="13" t="s">
        <v>617</v>
      </c>
      <c r="H7" s="61">
        <f>LARGE(C14:C61,ROW(G8)-ROW($G$6))</f>
        <v>60</v>
      </c>
      <c r="I7" s="60" t="s">
        <v>618</v>
      </c>
    </row>
    <row r="8" spans="2:9" ht="15.75" thickBot="1" x14ac:dyDescent="0.3">
      <c r="B8" s="179"/>
      <c r="C8" s="180"/>
      <c r="D8" s="180"/>
      <c r="E8" s="181"/>
      <c r="G8" s="13" t="s">
        <v>619</v>
      </c>
      <c r="H8" s="61">
        <f>LARGE(C15:C62,ROW(G9)-ROW($G$6))</f>
        <v>57</v>
      </c>
      <c r="I8" s="60" t="s">
        <v>620</v>
      </c>
    </row>
    <row r="9" spans="2:9" x14ac:dyDescent="0.25">
      <c r="B9" s="103"/>
    </row>
    <row r="11" spans="2:9" x14ac:dyDescent="0.25">
      <c r="B11" s="9" t="s">
        <v>621</v>
      </c>
      <c r="C11" s="9"/>
      <c r="D11" s="8"/>
      <c r="E11" s="8"/>
    </row>
    <row r="12" spans="2:9" ht="32.25" customHeight="1" x14ac:dyDescent="0.25">
      <c r="B12" s="34" t="s">
        <v>443</v>
      </c>
      <c r="C12" s="34" t="s">
        <v>622</v>
      </c>
    </row>
    <row r="13" spans="2:9" x14ac:dyDescent="0.25">
      <c r="B13" s="11" t="s">
        <v>623</v>
      </c>
      <c r="C13" s="11">
        <v>3</v>
      </c>
      <c r="F13" s="8"/>
      <c r="G13" s="8"/>
      <c r="H13" s="8"/>
      <c r="I13" s="8"/>
    </row>
    <row r="14" spans="2:9" x14ac:dyDescent="0.25">
      <c r="B14" s="11" t="s">
        <v>624</v>
      </c>
      <c r="C14" s="11">
        <v>12</v>
      </c>
    </row>
    <row r="15" spans="2:9" x14ac:dyDescent="0.25">
      <c r="B15" s="11" t="s">
        <v>625</v>
      </c>
      <c r="C15" s="11">
        <v>8</v>
      </c>
    </row>
    <row r="16" spans="2:9" x14ac:dyDescent="0.25">
      <c r="B16" s="11" t="s">
        <v>626</v>
      </c>
      <c r="C16" s="11">
        <v>5</v>
      </c>
    </row>
    <row r="17" spans="2:3" x14ac:dyDescent="0.25">
      <c r="B17" s="11" t="s">
        <v>627</v>
      </c>
      <c r="C17" s="11">
        <v>21</v>
      </c>
    </row>
    <row r="18" spans="2:3" x14ac:dyDescent="0.25">
      <c r="B18" s="11" t="s">
        <v>628</v>
      </c>
      <c r="C18" s="11">
        <v>7</v>
      </c>
    </row>
    <row r="19" spans="2:3" x14ac:dyDescent="0.25">
      <c r="B19" s="11" t="s">
        <v>629</v>
      </c>
      <c r="C19" s="11">
        <v>14</v>
      </c>
    </row>
    <row r="20" spans="2:3" x14ac:dyDescent="0.25">
      <c r="B20" s="11" t="s">
        <v>630</v>
      </c>
      <c r="C20" s="11">
        <v>30</v>
      </c>
    </row>
    <row r="21" spans="2:3" x14ac:dyDescent="0.25">
      <c r="B21" s="11" t="s">
        <v>631</v>
      </c>
      <c r="C21" s="11">
        <v>11</v>
      </c>
    </row>
    <row r="22" spans="2:3" x14ac:dyDescent="0.25">
      <c r="B22" s="11" t="s">
        <v>632</v>
      </c>
      <c r="C22" s="11">
        <v>1</v>
      </c>
    </row>
    <row r="23" spans="2:3" x14ac:dyDescent="0.25">
      <c r="B23" s="11" t="s">
        <v>633</v>
      </c>
      <c r="C23" s="11">
        <v>17</v>
      </c>
    </row>
    <row r="24" spans="2:3" x14ac:dyDescent="0.25">
      <c r="B24" s="11" t="s">
        <v>616</v>
      </c>
      <c r="C24" s="11">
        <v>63</v>
      </c>
    </row>
    <row r="25" spans="2:3" x14ac:dyDescent="0.25">
      <c r="B25" s="11" t="s">
        <v>634</v>
      </c>
      <c r="C25" s="11">
        <v>28</v>
      </c>
    </row>
    <row r="26" spans="2:3" x14ac:dyDescent="0.25">
      <c r="B26" s="11" t="s">
        <v>635</v>
      </c>
      <c r="C26" s="11">
        <v>19</v>
      </c>
    </row>
    <row r="27" spans="2:3" x14ac:dyDescent="0.25">
      <c r="B27" s="11" t="s">
        <v>636</v>
      </c>
      <c r="C27" s="11">
        <v>4</v>
      </c>
    </row>
    <row r="28" spans="2:3" x14ac:dyDescent="0.25">
      <c r="B28" s="11" t="s">
        <v>637</v>
      </c>
      <c r="C28" s="11">
        <v>25</v>
      </c>
    </row>
    <row r="29" spans="2:3" x14ac:dyDescent="0.25">
      <c r="B29" s="11" t="s">
        <v>638</v>
      </c>
      <c r="C29" s="11">
        <v>37</v>
      </c>
    </row>
    <row r="30" spans="2:3" x14ac:dyDescent="0.25">
      <c r="B30" s="11" t="s">
        <v>639</v>
      </c>
      <c r="C30" s="11">
        <v>42</v>
      </c>
    </row>
    <row r="31" spans="2:3" x14ac:dyDescent="0.25">
      <c r="B31" s="11" t="s">
        <v>640</v>
      </c>
      <c r="C31" s="11">
        <v>9</v>
      </c>
    </row>
    <row r="32" spans="2:3" x14ac:dyDescent="0.25">
      <c r="B32" s="11" t="s">
        <v>641</v>
      </c>
      <c r="C32" s="11">
        <v>23</v>
      </c>
    </row>
    <row r="33" spans="2:3" x14ac:dyDescent="0.25">
      <c r="B33" s="11" t="s">
        <v>642</v>
      </c>
      <c r="C33" s="11">
        <v>32</v>
      </c>
    </row>
    <row r="34" spans="2:3" x14ac:dyDescent="0.25">
      <c r="B34" s="11" t="s">
        <v>643</v>
      </c>
      <c r="C34" s="11">
        <v>47</v>
      </c>
    </row>
    <row r="35" spans="2:3" x14ac:dyDescent="0.25">
      <c r="B35" s="11" t="s">
        <v>644</v>
      </c>
      <c r="C35" s="11">
        <v>22</v>
      </c>
    </row>
    <row r="36" spans="2:3" x14ac:dyDescent="0.25">
      <c r="B36" s="11" t="s">
        <v>645</v>
      </c>
      <c r="C36" s="11">
        <v>27</v>
      </c>
    </row>
    <row r="37" spans="2:3" x14ac:dyDescent="0.25">
      <c r="B37" s="11" t="s">
        <v>646</v>
      </c>
      <c r="C37" s="11">
        <v>56</v>
      </c>
    </row>
    <row r="38" spans="2:3" x14ac:dyDescent="0.25">
      <c r="B38" s="11" t="s">
        <v>647</v>
      </c>
      <c r="C38" s="11">
        <v>38</v>
      </c>
    </row>
    <row r="39" spans="2:3" x14ac:dyDescent="0.25">
      <c r="B39" s="11" t="s">
        <v>648</v>
      </c>
      <c r="C39" s="11">
        <v>45</v>
      </c>
    </row>
    <row r="40" spans="2:3" x14ac:dyDescent="0.25">
      <c r="B40" s="11" t="s">
        <v>620</v>
      </c>
      <c r="C40" s="11">
        <v>57</v>
      </c>
    </row>
    <row r="41" spans="2:3" x14ac:dyDescent="0.25">
      <c r="B41" s="11" t="s">
        <v>649</v>
      </c>
      <c r="C41" s="11">
        <v>10</v>
      </c>
    </row>
    <row r="42" spans="2:3" x14ac:dyDescent="0.25">
      <c r="B42" s="11" t="s">
        <v>650</v>
      </c>
      <c r="C42" s="11">
        <v>2</v>
      </c>
    </row>
    <row r="43" spans="2:3" x14ac:dyDescent="0.25">
      <c r="B43" s="11" t="s">
        <v>651</v>
      </c>
      <c r="C43" s="11">
        <v>31</v>
      </c>
    </row>
    <row r="44" spans="2:3" x14ac:dyDescent="0.25">
      <c r="B44" s="11" t="s">
        <v>652</v>
      </c>
      <c r="C44" s="11">
        <v>53</v>
      </c>
    </row>
    <row r="45" spans="2:3" x14ac:dyDescent="0.25">
      <c r="B45" s="11" t="s">
        <v>653</v>
      </c>
      <c r="C45" s="11">
        <v>34</v>
      </c>
    </row>
    <row r="46" spans="2:3" x14ac:dyDescent="0.25">
      <c r="B46" s="11" t="s">
        <v>654</v>
      </c>
      <c r="C46" s="11">
        <v>20</v>
      </c>
    </row>
    <row r="47" spans="2:3" x14ac:dyDescent="0.25">
      <c r="B47" s="11" t="s">
        <v>655</v>
      </c>
      <c r="C47" s="11">
        <v>15</v>
      </c>
    </row>
    <row r="48" spans="2:3" x14ac:dyDescent="0.25">
      <c r="B48" s="11" t="s">
        <v>656</v>
      </c>
      <c r="C48" s="11">
        <v>24</v>
      </c>
    </row>
    <row r="49" spans="2:3" x14ac:dyDescent="0.25">
      <c r="B49" s="11" t="s">
        <v>657</v>
      </c>
      <c r="C49" s="11">
        <v>41</v>
      </c>
    </row>
    <row r="50" spans="2:3" x14ac:dyDescent="0.25">
      <c r="B50" s="11" t="s">
        <v>658</v>
      </c>
      <c r="C50" s="11">
        <v>51</v>
      </c>
    </row>
    <row r="51" spans="2:3" x14ac:dyDescent="0.25">
      <c r="B51" s="11" t="s">
        <v>659</v>
      </c>
      <c r="C51" s="11">
        <v>16</v>
      </c>
    </row>
    <row r="52" spans="2:3" x14ac:dyDescent="0.25">
      <c r="B52" s="11" t="s">
        <v>644</v>
      </c>
      <c r="C52" s="11">
        <v>33</v>
      </c>
    </row>
    <row r="53" spans="2:3" x14ac:dyDescent="0.25">
      <c r="B53" s="11" t="s">
        <v>660</v>
      </c>
      <c r="C53" s="11">
        <v>36</v>
      </c>
    </row>
    <row r="54" spans="2:3" x14ac:dyDescent="0.25">
      <c r="B54" s="11" t="s">
        <v>661</v>
      </c>
      <c r="C54" s="11">
        <v>6</v>
      </c>
    </row>
    <row r="55" spans="2:3" x14ac:dyDescent="0.25">
      <c r="B55" s="11" t="s">
        <v>662</v>
      </c>
      <c r="C55" s="11">
        <v>18</v>
      </c>
    </row>
    <row r="56" spans="2:3" x14ac:dyDescent="0.25">
      <c r="B56" s="11" t="s">
        <v>618</v>
      </c>
      <c r="C56" s="11">
        <v>60</v>
      </c>
    </row>
    <row r="57" spans="2:3" x14ac:dyDescent="0.25">
      <c r="B57" s="11" t="s">
        <v>663</v>
      </c>
      <c r="C57" s="11">
        <v>13</v>
      </c>
    </row>
    <row r="58" spans="2:3" x14ac:dyDescent="0.25">
      <c r="B58" s="11" t="s">
        <v>664</v>
      </c>
      <c r="C58" s="11">
        <v>29</v>
      </c>
    </row>
    <row r="59" spans="2:3" x14ac:dyDescent="0.25">
      <c r="B59" s="11" t="s">
        <v>665</v>
      </c>
      <c r="C59" s="11">
        <v>0</v>
      </c>
    </row>
    <row r="60" spans="2:3" x14ac:dyDescent="0.25">
      <c r="B60" s="11" t="s">
        <v>666</v>
      </c>
      <c r="C60" s="11">
        <v>48</v>
      </c>
    </row>
  </sheetData>
  <mergeCells count="1">
    <mergeCell ref="B4:E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1941-416B-415A-8276-C94B3A86668F}">
  <sheetPr codeName="Hoja14"/>
  <dimension ref="A2:M63"/>
  <sheetViews>
    <sheetView showGridLines="0" topLeftCell="A8" zoomScale="128" zoomScaleNormal="85" workbookViewId="0">
      <selection activeCell="H16" sqref="H16"/>
    </sheetView>
  </sheetViews>
  <sheetFormatPr baseColWidth="10" defaultColWidth="11.42578125" defaultRowHeight="15" x14ac:dyDescent="0.25"/>
  <cols>
    <col min="2" max="3" width="13.7109375" customWidth="1"/>
    <col min="4" max="4" width="14.140625" customWidth="1"/>
    <col min="5" max="5" width="14.42578125" customWidth="1"/>
    <col min="6" max="6" width="20.28515625" bestFit="1" customWidth="1"/>
    <col min="8" max="8" width="17.28515625" customWidth="1"/>
  </cols>
  <sheetData>
    <row r="2" spans="2:13" ht="15.75" thickBot="1" x14ac:dyDescent="0.3"/>
    <row r="3" spans="2:13" ht="15.75" thickBot="1" x14ac:dyDescent="0.3">
      <c r="B3" s="12" t="s">
        <v>667</v>
      </c>
    </row>
    <row r="4" spans="2:13" ht="14.45" customHeight="1" x14ac:dyDescent="0.25">
      <c r="B4" s="173" t="s">
        <v>668</v>
      </c>
      <c r="C4" s="174"/>
      <c r="D4" s="174"/>
      <c r="E4" s="174"/>
      <c r="F4" s="174"/>
      <c r="G4" s="175"/>
      <c r="H4" s="23"/>
    </row>
    <row r="5" spans="2:13" ht="15.75" thickBot="1" x14ac:dyDescent="0.3">
      <c r="B5" s="176"/>
      <c r="C5" s="177"/>
      <c r="D5" s="177"/>
      <c r="E5" s="177"/>
      <c r="F5" s="177"/>
      <c r="G5" s="178"/>
      <c r="H5" s="23"/>
    </row>
    <row r="6" spans="2:13" x14ac:dyDescent="0.25">
      <c r="B6" s="176"/>
      <c r="C6" s="177"/>
      <c r="D6" s="177"/>
      <c r="E6" s="177"/>
      <c r="F6" s="177"/>
      <c r="G6" s="178"/>
      <c r="H6" s="23"/>
      <c r="J6" s="209"/>
      <c r="K6" s="210"/>
      <c r="L6" s="210"/>
      <c r="M6" s="211"/>
    </row>
    <row r="7" spans="2:13" x14ac:dyDescent="0.25">
      <c r="B7" s="176"/>
      <c r="C7" s="177"/>
      <c r="D7" s="177"/>
      <c r="E7" s="177"/>
      <c r="F7" s="177"/>
      <c r="G7" s="178"/>
      <c r="H7" s="23"/>
      <c r="J7" s="212"/>
      <c r="K7" s="213"/>
      <c r="L7" s="213"/>
      <c r="M7" s="214"/>
    </row>
    <row r="8" spans="2:13" ht="15.75" thickBot="1" x14ac:dyDescent="0.3">
      <c r="B8" s="176"/>
      <c r="C8" s="177"/>
      <c r="D8" s="177"/>
      <c r="E8" s="177"/>
      <c r="F8" s="177"/>
      <c r="G8" s="178"/>
      <c r="H8" s="23"/>
      <c r="J8" s="215"/>
      <c r="K8" s="216"/>
      <c r="L8" s="216"/>
      <c r="M8" s="217"/>
    </row>
    <row r="9" spans="2:13" ht="15.75" thickBot="1" x14ac:dyDescent="0.3">
      <c r="B9" s="179"/>
      <c r="C9" s="180"/>
      <c r="D9" s="180"/>
      <c r="E9" s="180"/>
      <c r="F9" s="180"/>
      <c r="G9" s="181"/>
      <c r="H9" s="23"/>
    </row>
    <row r="10" spans="2:13" x14ac:dyDescent="0.25">
      <c r="B10" s="23"/>
      <c r="C10" s="23"/>
      <c r="D10" s="23"/>
      <c r="E10" s="23"/>
      <c r="F10" s="218" t="s">
        <v>15</v>
      </c>
      <c r="G10" s="219"/>
      <c r="H10" s="23"/>
    </row>
    <row r="11" spans="2:13" x14ac:dyDescent="0.25">
      <c r="B11" s="13" t="s">
        <v>669</v>
      </c>
      <c r="C11" s="42">
        <v>30</v>
      </c>
      <c r="D11" s="23"/>
      <c r="E11" s="23"/>
      <c r="F11" s="65" t="s">
        <v>669</v>
      </c>
      <c r="G11" s="42">
        <v>30</v>
      </c>
      <c r="H11" s="23"/>
    </row>
    <row r="12" spans="2:13" x14ac:dyDescent="0.25">
      <c r="B12" s="13" t="s">
        <v>670</v>
      </c>
      <c r="C12" s="42">
        <v>70</v>
      </c>
      <c r="D12" s="23"/>
      <c r="E12" s="23"/>
      <c r="F12" s="65" t="s">
        <v>670</v>
      </c>
      <c r="G12" s="42">
        <v>70</v>
      </c>
      <c r="H12" s="23"/>
    </row>
    <row r="13" spans="2:13" x14ac:dyDescent="0.25">
      <c r="B13" s="23"/>
      <c r="C13" s="23"/>
      <c r="D13" s="23"/>
      <c r="E13" s="23"/>
      <c r="H13" s="23"/>
    </row>
    <row r="14" spans="2:13" ht="15.75" thickBot="1" x14ac:dyDescent="0.3">
      <c r="B14" s="29" t="s">
        <v>671</v>
      </c>
      <c r="C14" s="23"/>
      <c r="D14" s="23"/>
      <c r="E14" s="23"/>
      <c r="F14" s="23"/>
      <c r="G14" s="23"/>
      <c r="H14" s="23"/>
    </row>
    <row r="15" spans="2:13" ht="45" x14ac:dyDescent="0.25">
      <c r="B15" s="24" t="s">
        <v>672</v>
      </c>
      <c r="C15" s="24" t="s">
        <v>673</v>
      </c>
      <c r="D15" s="24" t="s">
        <v>674</v>
      </c>
      <c r="E15" s="24" t="s">
        <v>675</v>
      </c>
      <c r="F15" s="24" t="s">
        <v>676</v>
      </c>
      <c r="G15" s="66" t="s">
        <v>676</v>
      </c>
    </row>
    <row r="16" spans="2:13" x14ac:dyDescent="0.25">
      <c r="B16" s="11">
        <v>1</v>
      </c>
      <c r="C16" s="11">
        <v>23</v>
      </c>
      <c r="D16" s="11">
        <v>45</v>
      </c>
      <c r="E16" s="11">
        <v>15</v>
      </c>
      <c r="F16" s="25" t="str" cm="1">
        <f t="array" ref="F16">IF(SUM(IF(SQRT((C16-$C$11)^2+(D16-$C$12)^2)=SMALL(SQRT(($C$16:$C$40-$C$11)^2+($D$16:$D$40-$C$12)^2),_xlfn.SEQUENCE(3)),1,0)),"Si","No")</f>
        <v>No</v>
      </c>
      <c r="G16" s="67" t="s">
        <v>18</v>
      </c>
    </row>
    <row r="17" spans="2:7" x14ac:dyDescent="0.25">
      <c r="B17" s="11">
        <v>2</v>
      </c>
      <c r="C17" s="11">
        <v>72</v>
      </c>
      <c r="D17" s="11">
        <v>18</v>
      </c>
      <c r="E17" s="11">
        <v>10</v>
      </c>
      <c r="F17" s="25" t="str" cm="1">
        <f t="array" ref="F17">IF(SUM(IF(SQRT((C17-$C$11)^2+(D17-$C$12)^2)=SMALL(SQRT(($C$16:$C$40-$C$11)^2+($D$16:$D$40-$C$12)^2),_xlfn.SEQUENCE(3)),1,0)),"Si","No")</f>
        <v>No</v>
      </c>
      <c r="G17" s="67" t="s">
        <v>18</v>
      </c>
    </row>
    <row r="18" spans="2:7" x14ac:dyDescent="0.25">
      <c r="B18" s="11">
        <v>3</v>
      </c>
      <c r="C18" s="11">
        <v>10</v>
      </c>
      <c r="D18" s="11">
        <v>80</v>
      </c>
      <c r="E18" s="11">
        <v>8</v>
      </c>
      <c r="F18" s="25" t="str" cm="1">
        <f t="array" ref="F18">IF(SUM(IF(SQRT((C18-$C$11)^2+(D18-$C$12)^2)=SMALL(SQRT(($C$16:$C$40-$C$11)^2+($D$16:$D$40-$C$12)^2),_xlfn.SEQUENCE(3)),1,0)),"Si","No")</f>
        <v>No</v>
      </c>
      <c r="G18" s="67" t="s">
        <v>18</v>
      </c>
    </row>
    <row r="19" spans="2:7" x14ac:dyDescent="0.25">
      <c r="B19" s="11">
        <v>4</v>
      </c>
      <c r="C19" s="11">
        <v>50</v>
      </c>
      <c r="D19" s="11">
        <v>50</v>
      </c>
      <c r="E19" s="11">
        <v>20</v>
      </c>
      <c r="F19" s="25" t="str" cm="1">
        <f t="array" ref="F19">IF(SUM(IF(SQRT((C19-$C$11)^2+(D19-$C$12)^2)=SMALL(SQRT(($C$16:$C$40-$C$11)^2+($D$16:$D$40-$C$12)^2),_xlfn.SEQUENCE(3)),1,0)),"Si","No")</f>
        <v>No</v>
      </c>
      <c r="G19" s="67" t="s">
        <v>18</v>
      </c>
    </row>
    <row r="20" spans="2:7" x14ac:dyDescent="0.25">
      <c r="B20" s="11">
        <v>5</v>
      </c>
      <c r="C20" s="11">
        <v>5</v>
      </c>
      <c r="D20" s="11">
        <v>70</v>
      </c>
      <c r="E20" s="11">
        <v>12</v>
      </c>
      <c r="F20" s="25" t="str" cm="1">
        <f t="array" ref="F20">IF(SUM(IF(SQRT((C20-$C$11)^2+(D20-$C$12)^2)=SMALL(SQRT(($C$16:$C$40-$C$11)^2+($D$16:$D$40-$C$12)^2),_xlfn.SEQUENCE(3)),1,0)),"Si","No")</f>
        <v>No</v>
      </c>
      <c r="G20" s="67" t="s">
        <v>18</v>
      </c>
    </row>
    <row r="21" spans="2:7" x14ac:dyDescent="0.25">
      <c r="B21" s="11">
        <v>6</v>
      </c>
      <c r="C21" s="11">
        <v>90</v>
      </c>
      <c r="D21" s="11">
        <v>30</v>
      </c>
      <c r="E21" s="11">
        <v>18</v>
      </c>
      <c r="F21" s="25" t="str" cm="1">
        <f t="array" ref="F21">IF(SUM(IF(SQRT((C21-$C$11)^2+(D21-$C$12)^2)=SMALL(SQRT(($C$16:$C$40-$C$11)^2+($D$16:$D$40-$C$12)^2),_xlfn.SEQUENCE(3)),1,0)),"Si","No")</f>
        <v>No</v>
      </c>
      <c r="G21" s="67" t="s">
        <v>18</v>
      </c>
    </row>
    <row r="22" spans="2:7" x14ac:dyDescent="0.25">
      <c r="B22" s="11">
        <v>7</v>
      </c>
      <c r="C22" s="11">
        <v>40</v>
      </c>
      <c r="D22" s="11">
        <v>60</v>
      </c>
      <c r="E22" s="11">
        <v>25</v>
      </c>
      <c r="F22" s="25" t="str" cm="1">
        <f t="array" ref="F22">IF(SUM(IF(SQRT((C22-$C$11)^2+(D22-$C$12)^2)=SMALL(SQRT(($C$16:$C$40-$C$11)^2+($D$16:$D$40-$C$12)^2),_xlfn.SEQUENCE(3)),1,0)),"Si","No")</f>
        <v>Si</v>
      </c>
      <c r="G22" s="67" t="s">
        <v>19</v>
      </c>
    </row>
    <row r="23" spans="2:7" x14ac:dyDescent="0.25">
      <c r="B23" s="11">
        <v>8</v>
      </c>
      <c r="C23" s="11">
        <v>15</v>
      </c>
      <c r="D23" s="11">
        <v>20</v>
      </c>
      <c r="E23" s="11">
        <v>7</v>
      </c>
      <c r="F23" s="25" t="str" cm="1">
        <f t="array" ref="F23">IF(SUM(IF(SQRT((C23-$C$11)^2+(D23-$C$12)^2)=SMALL(SQRT(($C$16:$C$40-$C$11)^2+($D$16:$D$40-$C$12)^2),_xlfn.SEQUENCE(3)),1,0)),"Si","No")</f>
        <v>No</v>
      </c>
      <c r="G23" s="67" t="s">
        <v>18</v>
      </c>
    </row>
    <row r="24" spans="2:7" x14ac:dyDescent="0.25">
      <c r="B24" s="11">
        <v>9</v>
      </c>
      <c r="C24" s="11">
        <v>60</v>
      </c>
      <c r="D24" s="11">
        <v>80</v>
      </c>
      <c r="E24" s="11">
        <v>14</v>
      </c>
      <c r="F24" s="25" t="str" cm="1">
        <f t="array" ref="F24">IF(SUM(IF(SQRT((C24-$C$11)^2+(D24-$C$12)^2)=SMALL(SQRT(($C$16:$C$40-$C$11)^2+($D$16:$D$40-$C$12)^2),_xlfn.SEQUENCE(3)),1,0)),"Si","No")</f>
        <v>No</v>
      </c>
      <c r="G24" s="67" t="s">
        <v>18</v>
      </c>
    </row>
    <row r="25" spans="2:7" x14ac:dyDescent="0.25">
      <c r="B25" s="11">
        <v>10</v>
      </c>
      <c r="C25" s="11">
        <v>35</v>
      </c>
      <c r="D25" s="11">
        <v>75</v>
      </c>
      <c r="E25" s="11">
        <v>11</v>
      </c>
      <c r="F25" s="25" t="str" cm="1">
        <f t="array" ref="F25">IF(SUM(IF(SQRT((C25-$C$11)^2+(D25-$C$12)^2)=SMALL(SQRT(($C$16:$C$40-$C$11)^2+($D$16:$D$40-$C$12)^2),_xlfn.SEQUENCE(3)),1,0)),"Si","No")</f>
        <v>Si</v>
      </c>
      <c r="G25" s="67" t="s">
        <v>19</v>
      </c>
    </row>
    <row r="26" spans="2:7" x14ac:dyDescent="0.25">
      <c r="B26" s="11">
        <v>11</v>
      </c>
      <c r="C26" s="11">
        <v>80</v>
      </c>
      <c r="D26" s="11">
        <v>10</v>
      </c>
      <c r="E26" s="11">
        <v>13</v>
      </c>
      <c r="F26" s="25" t="str" cm="1">
        <f t="array" ref="F26">IF(SUM(IF(SQRT((C26-$C$11)^2+(D26-$C$12)^2)=SMALL(SQRT(($C$16:$C$40-$C$11)^2+($D$16:$D$40-$C$12)^2),_xlfn.SEQUENCE(3)),1,0)),"Si","No")</f>
        <v>No</v>
      </c>
      <c r="G26" s="67" t="s">
        <v>18</v>
      </c>
    </row>
    <row r="27" spans="2:7" x14ac:dyDescent="0.25">
      <c r="B27" s="11">
        <v>12</v>
      </c>
      <c r="C27" s="11">
        <v>25</v>
      </c>
      <c r="D27" s="11">
        <v>35</v>
      </c>
      <c r="E27" s="11">
        <v>16</v>
      </c>
      <c r="F27" s="25" t="str" cm="1">
        <f t="array" ref="F27">IF(SUM(IF(SQRT((C27-$C$11)^2+(D27-$C$12)^2)=SMALL(SQRT(($C$16:$C$40-$C$11)^2+($D$16:$D$40-$C$12)^2),_xlfn.SEQUENCE(3)),1,0)),"Si","No")</f>
        <v>No</v>
      </c>
      <c r="G27" s="67" t="s">
        <v>18</v>
      </c>
    </row>
    <row r="28" spans="2:7" x14ac:dyDescent="0.25">
      <c r="B28" s="11">
        <v>13</v>
      </c>
      <c r="C28" s="11">
        <v>70</v>
      </c>
      <c r="D28" s="11">
        <v>55</v>
      </c>
      <c r="E28" s="11">
        <v>9</v>
      </c>
      <c r="F28" s="25" t="str" cm="1">
        <f t="array" ref="F28">IF(SUM(IF(SQRT((C28-$C$11)^2+(D28-$C$12)^2)=SMALL(SQRT(($C$16:$C$40-$C$11)^2+($D$16:$D$40-$C$12)^2),_xlfn.SEQUENCE(3)),1,0)),"Si","No")</f>
        <v>No</v>
      </c>
      <c r="G28" s="67" t="s">
        <v>18</v>
      </c>
    </row>
    <row r="29" spans="2:7" x14ac:dyDescent="0.25">
      <c r="B29" s="11">
        <v>14</v>
      </c>
      <c r="C29" s="11">
        <v>45</v>
      </c>
      <c r="D29" s="11">
        <v>90</v>
      </c>
      <c r="E29" s="11">
        <v>22</v>
      </c>
      <c r="F29" s="25" t="str" cm="1">
        <f t="array" ref="F29">IF(SUM(IF(SQRT((C29-$C$11)^2+(D29-$C$12)^2)=SMALL(SQRT(($C$16:$C$40-$C$11)^2+($D$16:$D$40-$C$12)^2),_xlfn.SEQUENCE(3)),1,0)),"Si","No")</f>
        <v>No</v>
      </c>
      <c r="G29" s="67" t="s">
        <v>18</v>
      </c>
    </row>
    <row r="30" spans="2:7" x14ac:dyDescent="0.25">
      <c r="B30" s="11">
        <v>15</v>
      </c>
      <c r="C30" s="11">
        <v>5</v>
      </c>
      <c r="D30" s="11">
        <v>5</v>
      </c>
      <c r="E30" s="11">
        <v>17</v>
      </c>
      <c r="F30" s="25" t="str" cm="1">
        <f t="array" ref="F30">IF(SUM(IF(SQRT((C30-$C$11)^2+(D30-$C$12)^2)=SMALL(SQRT(($C$16:$C$40-$C$11)^2+($D$16:$D$40-$C$12)^2),_xlfn.SEQUENCE(3)),1,0)),"Si","No")</f>
        <v>No</v>
      </c>
      <c r="G30" s="67" t="s">
        <v>18</v>
      </c>
    </row>
    <row r="31" spans="2:7" x14ac:dyDescent="0.25">
      <c r="B31" s="11">
        <v>16</v>
      </c>
      <c r="C31" s="11">
        <v>30</v>
      </c>
      <c r="D31" s="11">
        <v>20</v>
      </c>
      <c r="E31" s="11">
        <v>14</v>
      </c>
      <c r="F31" s="25" t="str" cm="1">
        <f t="array" ref="F31">IF(SUM(IF(SQRT((C31-$C$11)^2+(D31-$C$12)^2)=SMALL(SQRT(($C$16:$C$40-$C$11)^2+($D$16:$D$40-$C$12)^2),_xlfn.SEQUENCE(3)),1,0)),"Si","No")</f>
        <v>No</v>
      </c>
      <c r="G31" s="67" t="s">
        <v>18</v>
      </c>
    </row>
    <row r="32" spans="2:7" x14ac:dyDescent="0.25">
      <c r="B32" s="11">
        <v>17</v>
      </c>
      <c r="C32" s="11">
        <v>75</v>
      </c>
      <c r="D32" s="11">
        <v>75</v>
      </c>
      <c r="E32" s="11">
        <v>18</v>
      </c>
      <c r="F32" s="25" t="str" cm="1">
        <f t="array" ref="F32">IF(SUM(IF(SQRT((C32-$C$11)^2+(D32-$C$12)^2)=SMALL(SQRT(($C$16:$C$40-$C$11)^2+($D$16:$D$40-$C$12)^2),_xlfn.SEQUENCE(3)),1,0)),"Si","No")</f>
        <v>No</v>
      </c>
      <c r="G32" s="67" t="s">
        <v>18</v>
      </c>
    </row>
    <row r="33" spans="2:7" x14ac:dyDescent="0.25">
      <c r="B33" s="11">
        <v>18</v>
      </c>
      <c r="C33" s="11">
        <v>20</v>
      </c>
      <c r="D33" s="11">
        <v>50</v>
      </c>
      <c r="E33" s="11">
        <v>10</v>
      </c>
      <c r="F33" s="25" t="str" cm="1">
        <f t="array" ref="F33">IF(SUM(IF(SQRT((C33-$C$11)^2+(D33-$C$12)^2)=SMALL(SQRT(($C$16:$C$40-$C$11)^2+($D$16:$D$40-$C$12)^2),_xlfn.SEQUENCE(3)),1,0)),"Si","No")</f>
        <v>No</v>
      </c>
      <c r="G33" s="67" t="s">
        <v>18</v>
      </c>
    </row>
    <row r="34" spans="2:7" x14ac:dyDescent="0.25">
      <c r="B34" s="11">
        <v>19</v>
      </c>
      <c r="C34" s="11">
        <v>55</v>
      </c>
      <c r="D34" s="11">
        <v>30</v>
      </c>
      <c r="E34" s="11">
        <v>16</v>
      </c>
      <c r="F34" s="25" t="str" cm="1">
        <f t="array" ref="F34">IF(SUM(IF(SQRT((C34-$C$11)^2+(D34-$C$12)^2)=SMALL(SQRT(($C$16:$C$40-$C$11)^2+($D$16:$D$40-$C$12)^2),_xlfn.SEQUENCE(3)),1,0)),"Si","No")</f>
        <v>No</v>
      </c>
      <c r="G34" s="67" t="s">
        <v>18</v>
      </c>
    </row>
    <row r="35" spans="2:7" x14ac:dyDescent="0.25">
      <c r="B35" s="11">
        <v>20</v>
      </c>
      <c r="C35" s="11">
        <v>85</v>
      </c>
      <c r="D35" s="11">
        <v>70</v>
      </c>
      <c r="E35" s="11">
        <v>12</v>
      </c>
      <c r="F35" s="25" t="str" cm="1">
        <f t="array" ref="F35">IF(SUM(IF(SQRT((C35-$C$11)^2+(D35-$C$12)^2)=SMALL(SQRT(($C$16:$C$40-$C$11)^2+($D$16:$D$40-$C$12)^2),_xlfn.SEQUENCE(3)),1,0)),"Si","No")</f>
        <v>No</v>
      </c>
      <c r="G35" s="67" t="s">
        <v>18</v>
      </c>
    </row>
    <row r="36" spans="2:7" x14ac:dyDescent="0.25">
      <c r="B36" s="11">
        <v>21</v>
      </c>
      <c r="C36" s="11">
        <v>15</v>
      </c>
      <c r="D36" s="11">
        <v>60</v>
      </c>
      <c r="E36" s="11">
        <v>9</v>
      </c>
      <c r="F36" s="25" t="str" cm="1">
        <f t="array" ref="F36">IF(SUM(IF(SQRT((C36-$C$11)^2+(D36-$C$12)^2)=SMALL(SQRT(($C$16:$C$40-$C$11)^2+($D$16:$D$40-$C$12)^2),_xlfn.SEQUENCE(3)),1,0)),"Si","No")</f>
        <v>Si</v>
      </c>
      <c r="G36" s="67" t="s">
        <v>19</v>
      </c>
    </row>
    <row r="37" spans="2:7" x14ac:dyDescent="0.25">
      <c r="B37" s="11">
        <v>22</v>
      </c>
      <c r="C37" s="11">
        <v>40</v>
      </c>
      <c r="D37" s="11">
        <v>20</v>
      </c>
      <c r="E37" s="11">
        <v>21</v>
      </c>
      <c r="F37" s="25" t="str" cm="1">
        <f t="array" ref="F37">IF(SUM(IF(SQRT((C37-$C$11)^2+(D37-$C$12)^2)=SMALL(SQRT(($C$16:$C$40-$C$11)^2+($D$16:$D$40-$C$12)^2),_xlfn.SEQUENCE(3)),1,0)),"Si","No")</f>
        <v>No</v>
      </c>
      <c r="G37" s="67" t="s">
        <v>18</v>
      </c>
    </row>
    <row r="38" spans="2:7" x14ac:dyDescent="0.25">
      <c r="B38" s="11">
        <v>23</v>
      </c>
      <c r="C38" s="11">
        <v>65</v>
      </c>
      <c r="D38" s="11">
        <v>55</v>
      </c>
      <c r="E38" s="11">
        <v>13</v>
      </c>
      <c r="F38" s="25" t="str" cm="1">
        <f t="array" ref="F38">IF(SUM(IF(SQRT((C38-$C$11)^2+(D38-$C$12)^2)=SMALL(SQRT(($C$16:$C$40-$C$11)^2+($D$16:$D$40-$C$12)^2),_xlfn.SEQUENCE(3)),1,0)),"Si","No")</f>
        <v>No</v>
      </c>
      <c r="G38" s="67" t="s">
        <v>18</v>
      </c>
    </row>
    <row r="39" spans="2:7" x14ac:dyDescent="0.25">
      <c r="B39" s="11">
        <v>24</v>
      </c>
      <c r="C39" s="11">
        <v>10</v>
      </c>
      <c r="D39" s="11">
        <v>90</v>
      </c>
      <c r="E39" s="11">
        <v>15</v>
      </c>
      <c r="F39" s="25" t="str" cm="1">
        <f t="array" ref="F39">IF(SUM(IF(SQRT((C39-$C$11)^2+(D39-$C$12)^2)=SMALL(SQRT(($C$16:$C$40-$C$11)^2+($D$16:$D$40-$C$12)^2),_xlfn.SEQUENCE(3)),1,0)),"Si","No")</f>
        <v>No</v>
      </c>
      <c r="G39" s="67" t="s">
        <v>18</v>
      </c>
    </row>
    <row r="40" spans="2:7" x14ac:dyDescent="0.25">
      <c r="B40" s="11">
        <v>25</v>
      </c>
      <c r="C40" s="11">
        <v>50</v>
      </c>
      <c r="D40" s="11">
        <v>10</v>
      </c>
      <c r="E40" s="11">
        <v>20</v>
      </c>
      <c r="F40" s="25" t="str" cm="1">
        <f t="array" ref="F40">IF(SUM(IF(SQRT((C40-$C$11)^2+(D40-$C$12)^2)=SMALL(SQRT(($C$16:$C$40-$C$11)^2+($D$16:$D$40-$C$12)^2),_xlfn.SEQUENCE(3)),1,0)),"Si","No")</f>
        <v>No</v>
      </c>
      <c r="G40" s="67" t="s">
        <v>18</v>
      </c>
    </row>
    <row r="54" spans="1:1" x14ac:dyDescent="0.25">
      <c r="A54" s="45">
        <v>10</v>
      </c>
    </row>
    <row r="55" spans="1:1" x14ac:dyDescent="0.25">
      <c r="A55" s="45">
        <v>20</v>
      </c>
    </row>
    <row r="56" spans="1:1" x14ac:dyDescent="0.25">
      <c r="A56" s="45">
        <v>30</v>
      </c>
    </row>
    <row r="57" spans="1:1" x14ac:dyDescent="0.25">
      <c r="A57" s="45">
        <v>40</v>
      </c>
    </row>
    <row r="58" spans="1:1" x14ac:dyDescent="0.25">
      <c r="A58" s="45">
        <v>50</v>
      </c>
    </row>
    <row r="59" spans="1:1" x14ac:dyDescent="0.25">
      <c r="A59" s="45">
        <v>60</v>
      </c>
    </row>
    <row r="60" spans="1:1" x14ac:dyDescent="0.25">
      <c r="A60" s="45">
        <v>70</v>
      </c>
    </row>
    <row r="61" spans="1:1" x14ac:dyDescent="0.25">
      <c r="A61" s="45">
        <v>80</v>
      </c>
    </row>
    <row r="62" spans="1:1" x14ac:dyDescent="0.25">
      <c r="A62" s="45">
        <v>90</v>
      </c>
    </row>
    <row r="63" spans="1:1" x14ac:dyDescent="0.25">
      <c r="A63" s="45">
        <v>100</v>
      </c>
    </row>
  </sheetData>
  <mergeCells count="3">
    <mergeCell ref="J6:M8"/>
    <mergeCell ref="B4:G9"/>
    <mergeCell ref="F10:G10"/>
  </mergeCells>
  <dataValidations count="1">
    <dataValidation type="list" allowBlank="1" showInputMessage="1" showErrorMessage="1" sqref="C11:C12" xr:uid="{9876B4DA-209E-4EFF-8413-3E6D4207C9E7}">
      <formula1>$A$54:$A$63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E83F-D5A3-4D1F-818C-8253A8AEF398}">
  <sheetPr codeName="Hoja15"/>
  <dimension ref="B1:AX33"/>
  <sheetViews>
    <sheetView showGridLines="0" topLeftCell="A13" zoomScale="111" zoomScaleNormal="55" workbookViewId="0">
      <selection activeCell="AF19" sqref="AF19"/>
    </sheetView>
  </sheetViews>
  <sheetFormatPr baseColWidth="10" defaultColWidth="11.42578125" defaultRowHeight="15" x14ac:dyDescent="0.25"/>
  <cols>
    <col min="1" max="1" width="12.140625" bestFit="1" customWidth="1"/>
    <col min="2" max="2" width="3.42578125" customWidth="1"/>
    <col min="3" max="3" width="3.7109375" customWidth="1"/>
    <col min="4" max="49" width="3.28515625" customWidth="1"/>
  </cols>
  <sheetData>
    <row r="1" spans="2:50" ht="15.75" thickBot="1" x14ac:dyDescent="0.3"/>
    <row r="2" spans="2:50" ht="27" customHeight="1" thickBot="1" x14ac:dyDescent="0.3">
      <c r="B2" s="222" t="s">
        <v>677</v>
      </c>
      <c r="C2" s="223"/>
      <c r="D2" s="223"/>
      <c r="E2" s="223"/>
      <c r="F2" s="224"/>
    </row>
    <row r="3" spans="2:50" ht="27" customHeight="1" x14ac:dyDescent="0.25">
      <c r="B3" s="173" t="s">
        <v>678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5"/>
      <c r="AF3">
        <v>1</v>
      </c>
      <c r="AH3" s="23">
        <f>IF(COUNTIF(B$9:B$33,B9)+COUNTIF($B9:$V9,B9)=2,1,0)</f>
        <v>0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X3" s="37"/>
    </row>
    <row r="4" spans="2:50" ht="27" customHeight="1" x14ac:dyDescent="0.25"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8"/>
      <c r="AF4">
        <v>2</v>
      </c>
      <c r="AH4" s="23">
        <f>IF(MOD(B9,12)=0,1,0)</f>
        <v>0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X4" s="37"/>
    </row>
    <row r="5" spans="2:50" ht="27" customHeight="1" x14ac:dyDescent="0.25">
      <c r="B5" s="176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8"/>
      <c r="AF5">
        <v>3</v>
      </c>
      <c r="AH5" s="23">
        <f>IF(AND(COUNTIF(B$9:B$33,B9)&gt;=4,COUNTIF(B$9:B$33,B9)&lt;=8),1,0)</f>
        <v>0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X5" s="37"/>
    </row>
    <row r="6" spans="2:50" ht="27" customHeight="1" thickBot="1" x14ac:dyDescent="0.3">
      <c r="B6" s="179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1"/>
      <c r="AF6">
        <v>4</v>
      </c>
      <c r="AH6" s="23">
        <f>IF(MOD(COUNTIF($B9:$V9,B9),2)=0,1,0)</f>
        <v>0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X6" s="37"/>
    </row>
    <row r="7" spans="2:50" ht="27" customHeight="1" x14ac:dyDescent="0.25"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20"/>
      <c r="AC7" s="220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</row>
    <row r="8" spans="2:50" x14ac:dyDescent="0.25">
      <c r="Y8" s="221" t="s">
        <v>15</v>
      </c>
      <c r="Z8" s="221"/>
      <c r="AA8" s="221"/>
      <c r="AB8" s="221"/>
    </row>
    <row r="9" spans="2:50" x14ac:dyDescent="0.25">
      <c r="B9" s="123">
        <v>45</v>
      </c>
      <c r="C9" s="123">
        <v>44</v>
      </c>
      <c r="D9" s="123">
        <v>5</v>
      </c>
      <c r="E9" s="123">
        <v>3</v>
      </c>
      <c r="F9" s="123">
        <v>95</v>
      </c>
      <c r="G9" s="123">
        <v>50</v>
      </c>
      <c r="H9" s="123">
        <v>38</v>
      </c>
      <c r="I9" s="123">
        <v>32</v>
      </c>
      <c r="J9" s="123">
        <v>2</v>
      </c>
      <c r="K9" s="123">
        <v>62</v>
      </c>
      <c r="L9" s="123">
        <v>78</v>
      </c>
      <c r="M9" s="123">
        <v>17</v>
      </c>
      <c r="N9" s="123">
        <v>34</v>
      </c>
      <c r="O9" s="123">
        <v>57</v>
      </c>
      <c r="P9" s="123">
        <v>18</v>
      </c>
      <c r="Q9" s="123">
        <v>80</v>
      </c>
      <c r="R9" s="123">
        <v>29</v>
      </c>
      <c r="S9" s="123">
        <v>20</v>
      </c>
      <c r="T9" s="123">
        <v>51</v>
      </c>
      <c r="U9" s="123">
        <v>73</v>
      </c>
      <c r="V9" s="123">
        <v>53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</row>
    <row r="10" spans="2:50" x14ac:dyDescent="0.25">
      <c r="B10" s="123">
        <v>49</v>
      </c>
      <c r="C10" s="123">
        <v>54</v>
      </c>
      <c r="D10" s="123">
        <v>83</v>
      </c>
      <c r="E10" s="123">
        <v>44</v>
      </c>
      <c r="F10" s="123">
        <v>2</v>
      </c>
      <c r="G10" s="123">
        <v>50</v>
      </c>
      <c r="H10" s="123">
        <v>38</v>
      </c>
      <c r="I10" s="123">
        <v>46</v>
      </c>
      <c r="J10" s="123">
        <v>46</v>
      </c>
      <c r="K10" s="123">
        <v>46</v>
      </c>
      <c r="L10" s="123">
        <v>78</v>
      </c>
      <c r="M10" s="123">
        <v>17</v>
      </c>
      <c r="N10" s="123">
        <v>34</v>
      </c>
      <c r="O10" s="123">
        <v>57</v>
      </c>
      <c r="P10" s="123">
        <v>18</v>
      </c>
      <c r="Q10" s="123">
        <v>80</v>
      </c>
      <c r="R10" s="123">
        <v>29</v>
      </c>
      <c r="S10" s="123">
        <v>20</v>
      </c>
      <c r="T10" s="123">
        <v>51</v>
      </c>
      <c r="U10" s="123">
        <v>86</v>
      </c>
      <c r="V10" s="123">
        <v>53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</row>
    <row r="11" spans="2:50" x14ac:dyDescent="0.25">
      <c r="B11" s="123">
        <v>95</v>
      </c>
      <c r="C11" s="123">
        <v>54</v>
      </c>
      <c r="D11" s="123">
        <v>70</v>
      </c>
      <c r="E11" s="123">
        <v>31</v>
      </c>
      <c r="F11" s="123">
        <v>11</v>
      </c>
      <c r="G11" s="123">
        <v>22</v>
      </c>
      <c r="H11" s="123">
        <v>88</v>
      </c>
      <c r="I11" s="123">
        <v>32</v>
      </c>
      <c r="J11" s="123">
        <v>1</v>
      </c>
      <c r="K11" s="123">
        <v>2</v>
      </c>
      <c r="L11" s="123">
        <v>45</v>
      </c>
      <c r="M11" s="123">
        <v>45</v>
      </c>
      <c r="N11" s="123">
        <v>49</v>
      </c>
      <c r="O11" s="123">
        <v>88</v>
      </c>
      <c r="P11" s="123">
        <v>18</v>
      </c>
      <c r="Q11" s="123">
        <v>80</v>
      </c>
      <c r="R11" s="123">
        <v>88</v>
      </c>
      <c r="S11" s="123">
        <v>20</v>
      </c>
      <c r="T11" s="123">
        <v>20</v>
      </c>
      <c r="U11" s="123">
        <v>73</v>
      </c>
      <c r="V11" s="123">
        <v>20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30"/>
      <c r="AJ11" s="30"/>
      <c r="AK11" s="26"/>
      <c r="AL11" s="26"/>
      <c r="AM11" s="26"/>
      <c r="AN11" s="26"/>
      <c r="AO11" s="26"/>
      <c r="AP11" s="26"/>
      <c r="AQ11" s="26"/>
      <c r="AR11" s="26"/>
      <c r="AS11" s="26"/>
    </row>
    <row r="12" spans="2:50" x14ac:dyDescent="0.25">
      <c r="B12" s="123">
        <v>13</v>
      </c>
      <c r="C12" s="123">
        <v>43</v>
      </c>
      <c r="D12" s="123">
        <v>70</v>
      </c>
      <c r="E12" s="123">
        <v>38</v>
      </c>
      <c r="F12" s="123">
        <v>95</v>
      </c>
      <c r="G12" s="123">
        <v>22</v>
      </c>
      <c r="H12" s="123">
        <v>33</v>
      </c>
      <c r="I12" s="123">
        <v>33</v>
      </c>
      <c r="J12" s="123">
        <v>42</v>
      </c>
      <c r="K12" s="123">
        <v>2</v>
      </c>
      <c r="L12" s="123">
        <v>88</v>
      </c>
      <c r="M12" s="123">
        <v>88</v>
      </c>
      <c r="N12" s="123">
        <v>49</v>
      </c>
      <c r="O12" s="123">
        <v>42</v>
      </c>
      <c r="P12" s="123">
        <v>76</v>
      </c>
      <c r="Q12" s="123">
        <v>76</v>
      </c>
      <c r="R12" s="123">
        <v>21</v>
      </c>
      <c r="S12" s="123">
        <v>39</v>
      </c>
      <c r="T12" s="123">
        <v>44</v>
      </c>
      <c r="U12" s="123">
        <v>46</v>
      </c>
      <c r="V12" s="123">
        <v>45</v>
      </c>
      <c r="Y12" s="26"/>
      <c r="Z12" s="26"/>
      <c r="AA12" s="26"/>
      <c r="AB12" s="26"/>
      <c r="AC12" s="26"/>
      <c r="AD12" s="26"/>
      <c r="AE12" s="30"/>
      <c r="AF12" s="30"/>
      <c r="AG12" s="30"/>
      <c r="AH12" s="26"/>
      <c r="AI12" s="30"/>
      <c r="AJ12" s="30"/>
      <c r="AK12" s="26"/>
      <c r="AL12" s="30"/>
      <c r="AM12" s="30"/>
      <c r="AN12" s="30"/>
      <c r="AO12" s="26"/>
      <c r="AP12" s="26"/>
      <c r="AQ12" s="26"/>
      <c r="AR12" s="26"/>
      <c r="AS12" s="26"/>
    </row>
    <row r="13" spans="2:50" x14ac:dyDescent="0.25">
      <c r="B13" s="123">
        <v>13</v>
      </c>
      <c r="C13" s="123">
        <v>43</v>
      </c>
      <c r="D13" s="123">
        <v>1</v>
      </c>
      <c r="E13" s="123">
        <v>3</v>
      </c>
      <c r="F13" s="123">
        <v>61</v>
      </c>
      <c r="G13" s="123">
        <v>28</v>
      </c>
      <c r="H13" s="123">
        <v>22</v>
      </c>
      <c r="I13" s="123">
        <v>19</v>
      </c>
      <c r="J13" s="123">
        <v>49</v>
      </c>
      <c r="K13" s="123">
        <v>53</v>
      </c>
      <c r="L13" s="123">
        <v>56</v>
      </c>
      <c r="M13" s="123">
        <v>56</v>
      </c>
      <c r="N13" s="123">
        <v>19</v>
      </c>
      <c r="O13" s="123">
        <v>22</v>
      </c>
      <c r="P13" s="123">
        <v>49</v>
      </c>
      <c r="Q13" s="123">
        <v>53</v>
      </c>
      <c r="R13" s="123">
        <v>2</v>
      </c>
      <c r="S13" s="123">
        <v>39</v>
      </c>
      <c r="T13" s="123">
        <v>44</v>
      </c>
      <c r="U13" s="123">
        <v>73</v>
      </c>
      <c r="V13" s="123">
        <v>25</v>
      </c>
      <c r="Y13" s="26"/>
      <c r="Z13" s="26"/>
      <c r="AA13" s="26"/>
      <c r="AB13" s="26"/>
      <c r="AC13" s="26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26"/>
      <c r="AP13" s="26"/>
      <c r="AQ13" s="26"/>
      <c r="AR13" s="26"/>
      <c r="AS13" s="26"/>
    </row>
    <row r="14" spans="2:50" x14ac:dyDescent="0.25">
      <c r="B14" s="123">
        <v>18</v>
      </c>
      <c r="C14" s="123">
        <v>88</v>
      </c>
      <c r="D14" s="123">
        <v>19</v>
      </c>
      <c r="E14" s="123">
        <v>31</v>
      </c>
      <c r="F14" s="123">
        <v>49</v>
      </c>
      <c r="G14" s="123">
        <v>8</v>
      </c>
      <c r="H14" s="123">
        <v>11</v>
      </c>
      <c r="I14" s="123">
        <v>80</v>
      </c>
      <c r="J14" s="123">
        <v>91</v>
      </c>
      <c r="K14" s="123">
        <v>20</v>
      </c>
      <c r="L14" s="123">
        <v>67</v>
      </c>
      <c r="M14" s="123">
        <v>39</v>
      </c>
      <c r="N14" s="123">
        <v>89</v>
      </c>
      <c r="O14" s="123">
        <v>80</v>
      </c>
      <c r="P14" s="123">
        <v>11</v>
      </c>
      <c r="Q14" s="123">
        <v>8</v>
      </c>
      <c r="R14" s="123">
        <v>49</v>
      </c>
      <c r="S14" s="123">
        <v>91</v>
      </c>
      <c r="T14" s="123">
        <v>44</v>
      </c>
      <c r="U14" s="123">
        <v>27</v>
      </c>
      <c r="V14" s="123">
        <v>25</v>
      </c>
      <c r="Y14" s="26"/>
      <c r="Z14" s="26"/>
      <c r="AA14" s="26"/>
      <c r="AB14" s="26"/>
      <c r="AC14" s="30"/>
      <c r="AD14" s="30"/>
      <c r="AE14" s="30"/>
      <c r="AF14" s="30"/>
      <c r="AG14" s="30"/>
      <c r="AH14" s="31"/>
      <c r="AI14" s="31"/>
      <c r="AJ14" s="31"/>
      <c r="AK14" s="31"/>
      <c r="AL14" s="30"/>
      <c r="AM14" s="30"/>
      <c r="AN14" s="30"/>
      <c r="AO14" s="30"/>
      <c r="AP14" s="30"/>
      <c r="AQ14" s="26"/>
      <c r="AR14" s="26"/>
      <c r="AS14" s="26"/>
    </row>
    <row r="15" spans="2:50" x14ac:dyDescent="0.25">
      <c r="B15" s="123">
        <v>59</v>
      </c>
      <c r="C15" s="123">
        <v>56</v>
      </c>
      <c r="D15" s="123">
        <v>83</v>
      </c>
      <c r="E15" s="123">
        <v>74</v>
      </c>
      <c r="F15" s="123">
        <v>5</v>
      </c>
      <c r="G15" s="123">
        <v>86</v>
      </c>
      <c r="H15" s="123">
        <v>71</v>
      </c>
      <c r="I15" s="123">
        <v>34</v>
      </c>
      <c r="J15" s="123">
        <v>41</v>
      </c>
      <c r="K15" s="123">
        <v>20</v>
      </c>
      <c r="L15" s="123">
        <v>67</v>
      </c>
      <c r="M15" s="123">
        <v>39</v>
      </c>
      <c r="N15" s="123">
        <v>89</v>
      </c>
      <c r="O15" s="123">
        <v>25</v>
      </c>
      <c r="P15" s="123">
        <v>34</v>
      </c>
      <c r="Q15" s="123">
        <v>71</v>
      </c>
      <c r="R15" s="123">
        <v>86</v>
      </c>
      <c r="S15" s="123">
        <v>91</v>
      </c>
      <c r="T15" s="123">
        <v>4</v>
      </c>
      <c r="U15" s="123">
        <v>27</v>
      </c>
      <c r="V15" s="123">
        <v>61</v>
      </c>
      <c r="Y15" s="26"/>
      <c r="Z15" s="26"/>
      <c r="AA15" s="26"/>
      <c r="AB15" s="26"/>
      <c r="AC15" s="26"/>
      <c r="AD15" s="30"/>
      <c r="AE15" s="30"/>
      <c r="AF15" s="30"/>
      <c r="AG15" s="31"/>
      <c r="AH15" s="31"/>
      <c r="AI15" s="31"/>
      <c r="AJ15" s="31"/>
      <c r="AK15" s="31"/>
      <c r="AL15" s="31"/>
      <c r="AM15" s="30"/>
      <c r="AN15" s="30"/>
      <c r="AO15" s="30"/>
      <c r="AP15" s="26"/>
      <c r="AQ15" s="26"/>
      <c r="AR15" s="26"/>
      <c r="AS15" s="26"/>
    </row>
    <row r="16" spans="2:50" x14ac:dyDescent="0.25">
      <c r="B16" s="123">
        <v>56</v>
      </c>
      <c r="C16" s="123">
        <v>98</v>
      </c>
      <c r="D16" s="123">
        <v>1</v>
      </c>
      <c r="E16" s="123">
        <v>74</v>
      </c>
      <c r="F16" s="123">
        <v>11</v>
      </c>
      <c r="G16" s="123">
        <v>28</v>
      </c>
      <c r="H16" s="123">
        <v>10</v>
      </c>
      <c r="I16" s="123">
        <v>23</v>
      </c>
      <c r="J16" s="123">
        <v>41</v>
      </c>
      <c r="K16" s="123">
        <v>20</v>
      </c>
      <c r="L16" s="123">
        <v>67</v>
      </c>
      <c r="M16" s="123">
        <v>39</v>
      </c>
      <c r="N16" s="123">
        <v>89</v>
      </c>
      <c r="O16" s="123">
        <v>25</v>
      </c>
      <c r="P16" s="123">
        <v>22</v>
      </c>
      <c r="Q16" s="123">
        <v>10</v>
      </c>
      <c r="R16" s="123">
        <v>88</v>
      </c>
      <c r="S16" s="123">
        <v>2</v>
      </c>
      <c r="T16" s="123">
        <v>4</v>
      </c>
      <c r="U16" s="123">
        <v>27</v>
      </c>
      <c r="V16" s="123">
        <v>99</v>
      </c>
      <c r="Y16" s="26"/>
      <c r="Z16" s="26"/>
      <c r="AA16" s="26"/>
      <c r="AB16" s="26"/>
      <c r="AC16" s="26"/>
      <c r="AD16" s="26"/>
      <c r="AE16" s="30"/>
      <c r="AF16" s="31"/>
      <c r="AG16" s="31"/>
      <c r="AH16" s="31"/>
      <c r="AI16" s="31"/>
      <c r="AJ16" s="31"/>
      <c r="AK16" s="31"/>
      <c r="AL16" s="31"/>
      <c r="AM16" s="31"/>
      <c r="AN16" s="30"/>
      <c r="AO16" s="26"/>
      <c r="AP16" s="26"/>
      <c r="AQ16" s="26"/>
      <c r="AR16" s="26"/>
      <c r="AS16" s="26"/>
    </row>
    <row r="17" spans="2:45" x14ac:dyDescent="0.25">
      <c r="B17" s="123">
        <v>40</v>
      </c>
      <c r="C17" s="123">
        <v>88</v>
      </c>
      <c r="D17" s="123">
        <v>18</v>
      </c>
      <c r="E17" s="123">
        <v>38</v>
      </c>
      <c r="F17" s="123">
        <v>15</v>
      </c>
      <c r="G17" s="123">
        <v>15</v>
      </c>
      <c r="H17" s="123">
        <v>44</v>
      </c>
      <c r="I17" s="123">
        <v>23</v>
      </c>
      <c r="J17" s="123">
        <v>41</v>
      </c>
      <c r="K17" s="123">
        <v>20</v>
      </c>
      <c r="L17" s="123">
        <v>67</v>
      </c>
      <c r="M17" s="123">
        <v>39</v>
      </c>
      <c r="N17" s="123">
        <v>89</v>
      </c>
      <c r="O17" s="123">
        <v>25</v>
      </c>
      <c r="P17" s="123">
        <v>22</v>
      </c>
      <c r="Q17" s="123">
        <v>13</v>
      </c>
      <c r="R17" s="123">
        <v>44</v>
      </c>
      <c r="S17" s="123">
        <v>13</v>
      </c>
      <c r="T17" s="123">
        <v>4</v>
      </c>
      <c r="U17" s="123">
        <v>78</v>
      </c>
      <c r="V17" s="123">
        <v>99</v>
      </c>
      <c r="Y17" s="26"/>
      <c r="Z17" s="26"/>
      <c r="AA17" s="26"/>
      <c r="AB17" s="26"/>
      <c r="AC17" s="30"/>
      <c r="AD17" s="30"/>
      <c r="AE17" s="30"/>
      <c r="AF17" s="31"/>
      <c r="AG17" s="31"/>
      <c r="AH17" s="31"/>
      <c r="AI17" s="31"/>
      <c r="AJ17" s="31"/>
      <c r="AK17" s="31"/>
      <c r="AL17" s="31"/>
      <c r="AM17" s="31"/>
      <c r="AN17" s="30"/>
      <c r="AO17" s="30"/>
      <c r="AP17" s="30"/>
      <c r="AQ17" s="26"/>
      <c r="AR17" s="26"/>
      <c r="AS17" s="26"/>
    </row>
    <row r="18" spans="2:45" x14ac:dyDescent="0.25">
      <c r="B18" s="123">
        <v>45</v>
      </c>
      <c r="C18" s="123">
        <v>17</v>
      </c>
      <c r="D18" s="123">
        <v>19</v>
      </c>
      <c r="E18" s="123">
        <v>11</v>
      </c>
      <c r="F18" s="123">
        <v>2</v>
      </c>
      <c r="G18" s="123">
        <v>51</v>
      </c>
      <c r="H18" s="123">
        <v>55</v>
      </c>
      <c r="I18" s="123">
        <v>23</v>
      </c>
      <c r="J18" s="123">
        <v>41</v>
      </c>
      <c r="K18" s="123">
        <v>20</v>
      </c>
      <c r="L18" s="123">
        <v>67</v>
      </c>
      <c r="M18" s="123">
        <v>39</v>
      </c>
      <c r="N18" s="123">
        <v>89</v>
      </c>
      <c r="O18" s="123">
        <v>25</v>
      </c>
      <c r="P18" s="123">
        <v>22</v>
      </c>
      <c r="Q18" s="123">
        <v>55</v>
      </c>
      <c r="R18" s="123">
        <v>51</v>
      </c>
      <c r="S18" s="123">
        <v>2</v>
      </c>
      <c r="T18" s="123">
        <v>8</v>
      </c>
      <c r="U18" s="123">
        <v>66</v>
      </c>
      <c r="V18" s="123">
        <v>99</v>
      </c>
      <c r="Y18" s="26"/>
      <c r="Z18" s="26"/>
      <c r="AA18" s="26"/>
      <c r="AB18" s="26"/>
      <c r="AC18" s="30"/>
      <c r="AD18" s="30"/>
      <c r="AE18" s="30"/>
      <c r="AF18" s="31"/>
      <c r="AG18" s="31"/>
      <c r="AH18" s="31"/>
      <c r="AI18" s="31"/>
      <c r="AJ18" s="31"/>
      <c r="AK18" s="31"/>
      <c r="AL18" s="31"/>
      <c r="AM18" s="31"/>
      <c r="AN18" s="30"/>
      <c r="AO18" s="30"/>
      <c r="AP18" s="30"/>
      <c r="AQ18" s="26"/>
      <c r="AR18" s="26"/>
      <c r="AS18" s="26"/>
    </row>
    <row r="19" spans="2:45" x14ac:dyDescent="0.25">
      <c r="B19" s="123">
        <v>56</v>
      </c>
      <c r="C19" s="123">
        <v>90</v>
      </c>
      <c r="D19" s="123">
        <v>5</v>
      </c>
      <c r="E19" s="123">
        <v>44</v>
      </c>
      <c r="F19" s="123">
        <v>2</v>
      </c>
      <c r="G19" s="123">
        <v>28</v>
      </c>
      <c r="H19" s="123">
        <v>86</v>
      </c>
      <c r="I19" s="123">
        <v>23</v>
      </c>
      <c r="J19" s="123">
        <v>41</v>
      </c>
      <c r="K19" s="123">
        <v>20</v>
      </c>
      <c r="L19" s="123">
        <v>67</v>
      </c>
      <c r="M19" s="123">
        <v>39</v>
      </c>
      <c r="N19" s="123">
        <v>89</v>
      </c>
      <c r="O19" s="123">
        <v>25</v>
      </c>
      <c r="P19" s="123">
        <v>22</v>
      </c>
      <c r="Q19" s="123">
        <v>86</v>
      </c>
      <c r="R19" s="123">
        <v>67</v>
      </c>
      <c r="S19" s="123">
        <v>11</v>
      </c>
      <c r="T19" s="123">
        <v>8</v>
      </c>
      <c r="U19" s="123">
        <v>43</v>
      </c>
      <c r="V19" s="123">
        <v>45</v>
      </c>
      <c r="Y19" s="26"/>
      <c r="Z19" s="26"/>
      <c r="AA19" s="26"/>
      <c r="AB19" s="26"/>
      <c r="AC19" s="26"/>
      <c r="AD19" s="26"/>
      <c r="AE19" s="30"/>
      <c r="AF19" s="31"/>
      <c r="AG19" s="31"/>
      <c r="AH19" s="31"/>
      <c r="AI19" s="31"/>
      <c r="AJ19" s="31"/>
      <c r="AK19" s="31"/>
      <c r="AL19" s="31"/>
      <c r="AM19" s="31"/>
      <c r="AN19" s="30"/>
      <c r="AO19" s="26"/>
      <c r="AP19" s="26"/>
      <c r="AQ19" s="26"/>
      <c r="AR19" s="26"/>
      <c r="AS19" s="26"/>
    </row>
    <row r="20" spans="2:45" x14ac:dyDescent="0.25">
      <c r="B20" s="123">
        <v>40</v>
      </c>
      <c r="C20" s="123">
        <v>90</v>
      </c>
      <c r="D20" s="123">
        <v>58</v>
      </c>
      <c r="E20" s="123">
        <v>11</v>
      </c>
      <c r="F20" s="123">
        <v>45</v>
      </c>
      <c r="G20" s="123">
        <v>50</v>
      </c>
      <c r="H20" s="123">
        <v>86</v>
      </c>
      <c r="I20" s="123">
        <v>33</v>
      </c>
      <c r="J20" s="123">
        <v>41</v>
      </c>
      <c r="K20" s="123">
        <v>20</v>
      </c>
      <c r="L20" s="123">
        <v>67</v>
      </c>
      <c r="M20" s="123">
        <v>39</v>
      </c>
      <c r="N20" s="123">
        <v>89</v>
      </c>
      <c r="O20" s="123">
        <v>25</v>
      </c>
      <c r="P20" s="123">
        <v>50</v>
      </c>
      <c r="Q20" s="123">
        <v>33</v>
      </c>
      <c r="R20" s="123">
        <v>86</v>
      </c>
      <c r="S20" s="123">
        <v>11</v>
      </c>
      <c r="T20" s="123">
        <v>11</v>
      </c>
      <c r="U20" s="123">
        <v>46</v>
      </c>
      <c r="V20" s="123">
        <v>80</v>
      </c>
      <c r="Y20" s="26"/>
      <c r="Z20" s="26"/>
      <c r="AA20" s="26"/>
      <c r="AB20" s="26"/>
      <c r="AC20" s="26"/>
      <c r="AD20" s="30"/>
      <c r="AE20" s="30"/>
      <c r="AF20" s="30"/>
      <c r="AG20" s="31"/>
      <c r="AH20" s="31"/>
      <c r="AI20" s="31"/>
      <c r="AJ20" s="31"/>
      <c r="AK20" s="31"/>
      <c r="AL20" s="31"/>
      <c r="AM20" s="30"/>
      <c r="AN20" s="30"/>
      <c r="AO20" s="30"/>
      <c r="AP20" s="26"/>
      <c r="AQ20" s="26"/>
      <c r="AR20" s="26"/>
      <c r="AS20" s="26"/>
    </row>
    <row r="21" spans="2:45" x14ac:dyDescent="0.25">
      <c r="B21" s="123">
        <v>29</v>
      </c>
      <c r="C21" s="123">
        <v>7</v>
      </c>
      <c r="D21" s="123">
        <v>24</v>
      </c>
      <c r="E21" s="123">
        <v>48</v>
      </c>
      <c r="F21" s="123">
        <v>96</v>
      </c>
      <c r="G21" s="123">
        <v>43</v>
      </c>
      <c r="H21" s="123">
        <v>14</v>
      </c>
      <c r="I21" s="123">
        <v>43</v>
      </c>
      <c r="J21" s="123">
        <v>2</v>
      </c>
      <c r="K21" s="123">
        <v>20</v>
      </c>
      <c r="L21" s="123">
        <v>67</v>
      </c>
      <c r="M21" s="123">
        <v>39</v>
      </c>
      <c r="N21" s="123">
        <v>89</v>
      </c>
      <c r="O21" s="123">
        <v>1</v>
      </c>
      <c r="P21" s="123">
        <v>14</v>
      </c>
      <c r="Q21" s="123">
        <v>1</v>
      </c>
      <c r="R21" s="123">
        <v>2</v>
      </c>
      <c r="S21" s="123">
        <v>40</v>
      </c>
      <c r="T21" s="123">
        <v>35</v>
      </c>
      <c r="U21" s="123">
        <v>66</v>
      </c>
      <c r="V21" s="123">
        <v>80</v>
      </c>
      <c r="Y21" s="26"/>
      <c r="Z21" s="26"/>
      <c r="AA21" s="32"/>
      <c r="AB21" s="32"/>
      <c r="AC21" s="32"/>
      <c r="AD21" s="30"/>
      <c r="AE21" s="30"/>
      <c r="AF21" s="30"/>
      <c r="AG21" s="30"/>
      <c r="AH21" s="31"/>
      <c r="AI21" s="31"/>
      <c r="AJ21" s="31"/>
      <c r="AK21" s="31"/>
      <c r="AL21" s="30"/>
      <c r="AM21" s="30"/>
      <c r="AN21" s="30"/>
      <c r="AO21" s="30"/>
      <c r="AP21" s="26"/>
      <c r="AQ21" s="26"/>
      <c r="AR21" s="26"/>
      <c r="AS21" s="26"/>
    </row>
    <row r="22" spans="2:45" x14ac:dyDescent="0.25">
      <c r="B22" s="123">
        <v>8</v>
      </c>
      <c r="C22" s="123">
        <v>22</v>
      </c>
      <c r="D22" s="123">
        <v>24</v>
      </c>
      <c r="E22" s="123">
        <v>48</v>
      </c>
      <c r="F22" s="123">
        <v>96</v>
      </c>
      <c r="G22" s="123">
        <v>75</v>
      </c>
      <c r="H22" s="123">
        <v>44</v>
      </c>
      <c r="I22" s="123">
        <v>4</v>
      </c>
      <c r="J22" s="123">
        <v>4</v>
      </c>
      <c r="K22" s="123">
        <v>75</v>
      </c>
      <c r="L22" s="123">
        <v>9</v>
      </c>
      <c r="M22" s="123">
        <v>59</v>
      </c>
      <c r="N22" s="123">
        <v>44</v>
      </c>
      <c r="O22" s="123">
        <v>41</v>
      </c>
      <c r="P22" s="123">
        <v>41</v>
      </c>
      <c r="Q22" s="123">
        <v>9</v>
      </c>
      <c r="R22" s="123">
        <v>59</v>
      </c>
      <c r="S22" s="123">
        <v>11</v>
      </c>
      <c r="T22" s="123">
        <v>10</v>
      </c>
      <c r="U22" s="123">
        <v>66</v>
      </c>
      <c r="V22" s="123">
        <v>80</v>
      </c>
      <c r="Y22" s="26"/>
      <c r="Z22" s="26"/>
      <c r="AA22" s="32"/>
      <c r="AB22" s="32"/>
      <c r="AC22" s="32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26"/>
      <c r="AQ22" s="26"/>
      <c r="AR22" s="26"/>
      <c r="AS22" s="26"/>
    </row>
    <row r="23" spans="2:45" x14ac:dyDescent="0.25">
      <c r="B23" s="123">
        <v>8</v>
      </c>
      <c r="C23" s="123">
        <v>98</v>
      </c>
      <c r="D23" s="123">
        <v>24</v>
      </c>
      <c r="E23" s="123">
        <v>24</v>
      </c>
      <c r="F23" s="123">
        <v>89</v>
      </c>
      <c r="G23" s="123">
        <v>24</v>
      </c>
      <c r="H23" s="123">
        <v>51</v>
      </c>
      <c r="I23" s="123">
        <v>53</v>
      </c>
      <c r="J23" s="123">
        <v>1</v>
      </c>
      <c r="K23" s="123">
        <v>62</v>
      </c>
      <c r="L23" s="123">
        <v>51</v>
      </c>
      <c r="M23" s="123">
        <v>42</v>
      </c>
      <c r="N23" s="123">
        <v>33</v>
      </c>
      <c r="O23" s="123">
        <v>42</v>
      </c>
      <c r="P23" s="123">
        <v>53</v>
      </c>
      <c r="Q23" s="123">
        <v>1</v>
      </c>
      <c r="R23" s="123">
        <v>29</v>
      </c>
      <c r="S23" s="123">
        <v>40</v>
      </c>
      <c r="T23" s="123">
        <v>10</v>
      </c>
      <c r="U23" s="123">
        <v>1</v>
      </c>
      <c r="V23" s="123">
        <v>61</v>
      </c>
      <c r="Y23" s="26"/>
      <c r="Z23" s="26"/>
      <c r="AA23" s="32"/>
      <c r="AB23" s="32"/>
      <c r="AC23" s="33"/>
      <c r="AD23" s="32"/>
      <c r="AE23" s="30"/>
      <c r="AF23" s="30"/>
      <c r="AG23" s="26"/>
      <c r="AH23" s="26"/>
      <c r="AI23" s="30"/>
      <c r="AJ23" s="30"/>
      <c r="AK23" s="26"/>
      <c r="AL23" s="30"/>
      <c r="AM23" s="30"/>
      <c r="AN23" s="26"/>
      <c r="AO23" s="26"/>
      <c r="AP23" s="26"/>
      <c r="AQ23" s="26"/>
      <c r="AR23" s="26"/>
      <c r="AS23" s="26"/>
    </row>
    <row r="24" spans="2:45" x14ac:dyDescent="0.25">
      <c r="B24" s="123">
        <v>29</v>
      </c>
      <c r="C24" s="123">
        <v>56</v>
      </c>
      <c r="D24" s="123">
        <v>18</v>
      </c>
      <c r="E24" s="123">
        <v>48</v>
      </c>
      <c r="F24" s="123">
        <v>84</v>
      </c>
      <c r="G24" s="123">
        <v>68</v>
      </c>
      <c r="H24" s="123">
        <v>41</v>
      </c>
      <c r="I24" s="123">
        <v>36</v>
      </c>
      <c r="J24" s="123">
        <v>72</v>
      </c>
      <c r="K24" s="123">
        <v>62</v>
      </c>
      <c r="L24" s="123">
        <v>23</v>
      </c>
      <c r="M24" s="123">
        <v>23</v>
      </c>
      <c r="N24" s="123">
        <v>6</v>
      </c>
      <c r="O24" s="123">
        <v>50</v>
      </c>
      <c r="P24" s="123">
        <v>10</v>
      </c>
      <c r="Q24" s="123">
        <v>54</v>
      </c>
      <c r="R24" s="123">
        <v>51</v>
      </c>
      <c r="S24" s="123">
        <v>40</v>
      </c>
      <c r="T24" s="123">
        <v>35</v>
      </c>
      <c r="U24" s="123">
        <v>1</v>
      </c>
      <c r="V24" s="123">
        <v>7</v>
      </c>
      <c r="Y24" s="26"/>
      <c r="Z24" s="26"/>
      <c r="AA24" s="26"/>
      <c r="AB24" s="32"/>
      <c r="AC24" s="32"/>
      <c r="AD24" s="33"/>
      <c r="AE24" s="33"/>
      <c r="AF24" s="32"/>
      <c r="AG24" s="32"/>
      <c r="AH24" s="26"/>
      <c r="AI24" s="30"/>
      <c r="AJ24" s="30"/>
      <c r="AK24" s="26"/>
      <c r="AL24" s="26"/>
      <c r="AM24" s="26"/>
      <c r="AN24" s="26"/>
      <c r="AO24" s="26"/>
      <c r="AP24" s="26"/>
      <c r="AQ24" s="26"/>
      <c r="AR24" s="26"/>
      <c r="AS24" s="26"/>
    </row>
    <row r="25" spans="2:45" x14ac:dyDescent="0.25">
      <c r="B25" s="123">
        <v>67</v>
      </c>
      <c r="C25" s="123">
        <v>59</v>
      </c>
      <c r="D25" s="123">
        <v>16</v>
      </c>
      <c r="E25" s="123">
        <v>24</v>
      </c>
      <c r="F25" s="123">
        <v>84</v>
      </c>
      <c r="G25" s="123">
        <v>24</v>
      </c>
      <c r="H25" s="123">
        <v>24</v>
      </c>
      <c r="I25" s="123">
        <v>1</v>
      </c>
      <c r="J25" s="123">
        <v>72</v>
      </c>
      <c r="K25" s="123">
        <v>2</v>
      </c>
      <c r="L25" s="123">
        <v>76</v>
      </c>
      <c r="M25" s="123">
        <v>43</v>
      </c>
      <c r="N25" s="123">
        <v>6</v>
      </c>
      <c r="O25" s="123">
        <v>50</v>
      </c>
      <c r="P25" s="123">
        <v>10</v>
      </c>
      <c r="Q25" s="123">
        <v>54</v>
      </c>
      <c r="R25" s="123">
        <v>24</v>
      </c>
      <c r="S25" s="123">
        <v>12</v>
      </c>
      <c r="T25" s="123">
        <v>12</v>
      </c>
      <c r="U25" s="123">
        <v>78</v>
      </c>
      <c r="V25" s="123">
        <v>7</v>
      </c>
      <c r="Y25" s="26"/>
      <c r="Z25" s="26"/>
      <c r="AA25" s="26"/>
      <c r="AB25" s="32"/>
      <c r="AC25" s="32"/>
      <c r="AD25" s="32"/>
      <c r="AE25" s="32"/>
      <c r="AF25" s="33"/>
      <c r="AG25" s="32"/>
      <c r="AH25" s="26"/>
      <c r="AI25" s="33"/>
      <c r="AJ25" s="26"/>
      <c r="AK25" s="26"/>
      <c r="AL25" s="26"/>
      <c r="AM25" s="26"/>
      <c r="AN25" s="26"/>
      <c r="AO25" s="32"/>
      <c r="AP25" s="32"/>
      <c r="AQ25" s="32"/>
      <c r="AR25" s="26"/>
      <c r="AS25" s="26"/>
    </row>
    <row r="26" spans="2:45" x14ac:dyDescent="0.25">
      <c r="B26" s="123">
        <v>17</v>
      </c>
      <c r="C26" s="123">
        <v>17</v>
      </c>
      <c r="D26" s="123">
        <v>16</v>
      </c>
      <c r="E26" s="123">
        <v>38</v>
      </c>
      <c r="F26" s="123">
        <v>36</v>
      </c>
      <c r="G26" s="123">
        <v>72</v>
      </c>
      <c r="H26" s="123">
        <v>12</v>
      </c>
      <c r="I26" s="123">
        <v>24</v>
      </c>
      <c r="J26" s="123">
        <v>70</v>
      </c>
      <c r="K26" s="123">
        <v>24</v>
      </c>
      <c r="L26" s="123">
        <v>4</v>
      </c>
      <c r="M26" s="123">
        <v>43</v>
      </c>
      <c r="N26" s="123">
        <v>33</v>
      </c>
      <c r="O26" s="123">
        <v>50</v>
      </c>
      <c r="P26" s="123">
        <v>72</v>
      </c>
      <c r="Q26" s="123">
        <v>84</v>
      </c>
      <c r="R26" s="123">
        <v>36</v>
      </c>
      <c r="S26" s="123">
        <v>24</v>
      </c>
      <c r="T26" s="123">
        <v>12</v>
      </c>
      <c r="U26" s="123">
        <v>29</v>
      </c>
      <c r="V26" s="123">
        <v>17</v>
      </c>
      <c r="Y26" s="26"/>
      <c r="Z26" s="26"/>
      <c r="AA26" s="26"/>
      <c r="AB26" s="26"/>
      <c r="AC26" s="32"/>
      <c r="AD26" s="32"/>
      <c r="AE26" s="32"/>
      <c r="AF26" s="32"/>
      <c r="AG26" s="33"/>
      <c r="AH26" s="32"/>
      <c r="AI26" s="33"/>
      <c r="AJ26" s="26"/>
      <c r="AK26" s="26"/>
      <c r="AL26" s="26"/>
      <c r="AM26" s="32"/>
      <c r="AN26" s="32"/>
      <c r="AO26" s="32"/>
      <c r="AP26" s="32"/>
      <c r="AQ26" s="32"/>
      <c r="AR26" s="26"/>
      <c r="AS26" s="26"/>
    </row>
    <row r="27" spans="2:45" x14ac:dyDescent="0.25">
      <c r="B27" s="123">
        <v>67</v>
      </c>
      <c r="C27" s="123">
        <v>59</v>
      </c>
      <c r="D27" s="123">
        <v>19</v>
      </c>
      <c r="E27" s="123">
        <v>31</v>
      </c>
      <c r="F27" s="123">
        <v>36</v>
      </c>
      <c r="G27" s="123">
        <v>72</v>
      </c>
      <c r="H27" s="123">
        <v>36</v>
      </c>
      <c r="I27" s="123">
        <v>36</v>
      </c>
      <c r="J27" s="123">
        <v>16</v>
      </c>
      <c r="K27" s="123">
        <v>96</v>
      </c>
      <c r="L27" s="123">
        <v>3</v>
      </c>
      <c r="M27" s="123">
        <v>28</v>
      </c>
      <c r="N27" s="123">
        <v>84</v>
      </c>
      <c r="O27" s="123">
        <v>24</v>
      </c>
      <c r="P27" s="123">
        <v>24</v>
      </c>
      <c r="Q27" s="123">
        <v>84</v>
      </c>
      <c r="R27" s="123">
        <v>10</v>
      </c>
      <c r="S27" s="123">
        <v>84</v>
      </c>
      <c r="T27" s="123">
        <v>24</v>
      </c>
      <c r="U27" s="123">
        <v>86</v>
      </c>
      <c r="V27" s="123">
        <v>77</v>
      </c>
      <c r="Y27" s="26"/>
      <c r="Z27" s="26"/>
      <c r="AA27" s="26"/>
      <c r="AB27" s="26"/>
      <c r="AC27" s="32"/>
      <c r="AD27" s="32"/>
      <c r="AE27" s="32"/>
      <c r="AF27" s="32"/>
      <c r="AG27" s="33"/>
      <c r="AH27" s="32"/>
      <c r="AI27" s="33"/>
      <c r="AJ27" s="26"/>
      <c r="AK27" s="32"/>
      <c r="AL27" s="32"/>
      <c r="AM27" s="32"/>
      <c r="AN27" s="32"/>
      <c r="AO27" s="33"/>
      <c r="AP27" s="32"/>
      <c r="AQ27" s="32"/>
      <c r="AR27" s="26"/>
      <c r="AS27" s="26"/>
    </row>
    <row r="28" spans="2:45" x14ac:dyDescent="0.25">
      <c r="B28" s="123">
        <v>17</v>
      </c>
      <c r="C28" s="123">
        <v>22</v>
      </c>
      <c r="D28" s="123">
        <v>78</v>
      </c>
      <c r="E28" s="123">
        <v>65</v>
      </c>
      <c r="F28" s="123">
        <v>84</v>
      </c>
      <c r="G28" s="123">
        <v>24</v>
      </c>
      <c r="H28" s="123">
        <v>12</v>
      </c>
      <c r="I28" s="123">
        <v>96</v>
      </c>
      <c r="J28" s="123">
        <v>30</v>
      </c>
      <c r="K28" s="123">
        <v>96</v>
      </c>
      <c r="L28" s="123">
        <v>98</v>
      </c>
      <c r="M28" s="123">
        <v>24</v>
      </c>
      <c r="N28" s="123">
        <v>96</v>
      </c>
      <c r="O28" s="123">
        <v>61</v>
      </c>
      <c r="P28" s="123">
        <v>2</v>
      </c>
      <c r="Q28" s="123">
        <v>51</v>
      </c>
      <c r="R28" s="123">
        <v>24</v>
      </c>
      <c r="S28" s="123">
        <v>96</v>
      </c>
      <c r="T28" s="123">
        <v>75</v>
      </c>
      <c r="U28" s="123">
        <v>75</v>
      </c>
      <c r="V28" s="123">
        <v>75</v>
      </c>
      <c r="Y28" s="26"/>
      <c r="Z28" s="26"/>
      <c r="AA28" s="26"/>
      <c r="AB28" s="26"/>
      <c r="AC28" s="32"/>
      <c r="AD28" s="32"/>
      <c r="AE28" s="32"/>
      <c r="AF28" s="32"/>
      <c r="AG28" s="33"/>
      <c r="AH28" s="32"/>
      <c r="AI28" s="33"/>
      <c r="AJ28" s="32"/>
      <c r="AK28" s="32"/>
      <c r="AL28" s="33"/>
      <c r="AM28" s="33"/>
      <c r="AN28" s="33"/>
      <c r="AO28" s="32"/>
      <c r="AP28" s="32"/>
      <c r="AQ28" s="26"/>
      <c r="AR28" s="26"/>
      <c r="AS28" s="26"/>
    </row>
    <row r="29" spans="2:45" x14ac:dyDescent="0.25">
      <c r="B29" s="123">
        <v>18</v>
      </c>
      <c r="C29" s="123">
        <v>44</v>
      </c>
      <c r="D29" s="123">
        <v>78</v>
      </c>
      <c r="E29" s="123">
        <v>65</v>
      </c>
      <c r="F29" s="123">
        <v>5</v>
      </c>
      <c r="G29" s="123">
        <v>24</v>
      </c>
      <c r="H29" s="123">
        <v>36</v>
      </c>
      <c r="I29" s="123">
        <v>36</v>
      </c>
      <c r="J29" s="123">
        <v>14</v>
      </c>
      <c r="K29" s="123">
        <v>23</v>
      </c>
      <c r="L29" s="123">
        <v>42</v>
      </c>
      <c r="M29" s="123">
        <v>36</v>
      </c>
      <c r="N29" s="123">
        <v>64</v>
      </c>
      <c r="O29" s="123">
        <v>72</v>
      </c>
      <c r="P29" s="123">
        <v>84</v>
      </c>
      <c r="Q29" s="123">
        <v>24</v>
      </c>
      <c r="R29" s="123">
        <v>24</v>
      </c>
      <c r="S29" s="123">
        <v>72</v>
      </c>
      <c r="T29" s="123">
        <v>93</v>
      </c>
      <c r="U29" s="123">
        <v>43</v>
      </c>
      <c r="V29" s="123">
        <v>77</v>
      </c>
      <c r="Y29" s="26"/>
      <c r="Z29" s="26"/>
      <c r="AA29" s="26"/>
      <c r="AB29" s="26"/>
      <c r="AC29" s="26"/>
      <c r="AD29" s="32"/>
      <c r="AE29" s="32"/>
      <c r="AF29" s="32"/>
      <c r="AG29" s="33"/>
      <c r="AH29" s="33"/>
      <c r="AI29" s="33"/>
      <c r="AJ29" s="32"/>
      <c r="AK29" s="33"/>
      <c r="AL29" s="32"/>
      <c r="AM29" s="32"/>
      <c r="AN29" s="32"/>
      <c r="AO29" s="32"/>
      <c r="AP29" s="32"/>
      <c r="AQ29" s="26"/>
      <c r="AR29" s="26"/>
      <c r="AS29" s="26"/>
    </row>
    <row r="30" spans="2:45" x14ac:dyDescent="0.25">
      <c r="B30" s="123">
        <v>49</v>
      </c>
      <c r="C30" s="123">
        <v>22</v>
      </c>
      <c r="D30" s="123">
        <v>52</v>
      </c>
      <c r="E30" s="123">
        <v>65</v>
      </c>
      <c r="F30" s="123">
        <v>45</v>
      </c>
      <c r="G30" s="123">
        <v>8</v>
      </c>
      <c r="H30" s="123">
        <v>84</v>
      </c>
      <c r="I30" s="123">
        <v>36</v>
      </c>
      <c r="J30" s="123">
        <v>24</v>
      </c>
      <c r="K30" s="123">
        <v>90</v>
      </c>
      <c r="L30" s="123">
        <v>97</v>
      </c>
      <c r="M30" s="123">
        <v>32</v>
      </c>
      <c r="N30" s="123">
        <v>12</v>
      </c>
      <c r="O30" s="123">
        <v>36</v>
      </c>
      <c r="P30" s="123">
        <v>24</v>
      </c>
      <c r="Q30" s="123">
        <v>84</v>
      </c>
      <c r="R30" s="123">
        <v>36</v>
      </c>
      <c r="S30" s="123">
        <v>42</v>
      </c>
      <c r="T30" s="123">
        <v>93</v>
      </c>
      <c r="U30" s="123">
        <v>29</v>
      </c>
      <c r="V30" s="123">
        <v>10</v>
      </c>
      <c r="Y30" s="26"/>
      <c r="Z30" s="26"/>
      <c r="AA30" s="26"/>
      <c r="AB30" s="26"/>
      <c r="AC30" s="26"/>
      <c r="AD30" s="26"/>
      <c r="AE30" s="32"/>
      <c r="AF30" s="32"/>
      <c r="AG30" s="32"/>
      <c r="AH30" s="33"/>
      <c r="AI30" s="33"/>
      <c r="AJ30" s="33"/>
      <c r="AK30" s="32"/>
      <c r="AL30" s="32"/>
      <c r="AM30" s="32"/>
      <c r="AN30" s="32"/>
      <c r="AO30" s="32"/>
      <c r="AP30" s="26"/>
      <c r="AQ30" s="26"/>
      <c r="AR30" s="26"/>
      <c r="AS30" s="26"/>
    </row>
    <row r="31" spans="2:45" x14ac:dyDescent="0.25">
      <c r="B31" s="123">
        <v>95</v>
      </c>
      <c r="C31" s="123">
        <v>25</v>
      </c>
      <c r="D31" s="123">
        <v>58</v>
      </c>
      <c r="E31" s="123">
        <v>80</v>
      </c>
      <c r="F31" s="123">
        <v>15</v>
      </c>
      <c r="G31" s="123">
        <v>8</v>
      </c>
      <c r="H31" s="123">
        <v>71</v>
      </c>
      <c r="I31" s="123">
        <v>91</v>
      </c>
      <c r="J31" s="123">
        <v>56</v>
      </c>
      <c r="K31" s="123">
        <v>54</v>
      </c>
      <c r="L31" s="123">
        <v>44</v>
      </c>
      <c r="M31" s="123">
        <v>2</v>
      </c>
      <c r="N31" s="123">
        <v>12</v>
      </c>
      <c r="O31" s="123">
        <v>36</v>
      </c>
      <c r="P31" s="123">
        <v>84</v>
      </c>
      <c r="Q31" s="123">
        <v>84</v>
      </c>
      <c r="R31" s="123">
        <v>62</v>
      </c>
      <c r="S31" s="123">
        <v>42</v>
      </c>
      <c r="T31" s="123">
        <v>93</v>
      </c>
      <c r="U31" s="123">
        <v>29</v>
      </c>
      <c r="V31" s="123">
        <v>10</v>
      </c>
      <c r="Y31" s="26"/>
      <c r="Z31" s="26"/>
      <c r="AA31" s="26"/>
      <c r="AB31" s="26"/>
      <c r="AC31" s="26"/>
      <c r="AD31" s="26"/>
      <c r="AE31" s="26"/>
      <c r="AF31" s="26"/>
      <c r="AG31" s="26"/>
      <c r="AH31" s="33"/>
      <c r="AI31" s="33"/>
      <c r="AJ31" s="26"/>
      <c r="AK31" s="32"/>
      <c r="AL31" s="32"/>
      <c r="AM31" s="32"/>
      <c r="AN31" s="32"/>
      <c r="AO31" s="26"/>
      <c r="AP31" s="26"/>
      <c r="AQ31" s="26"/>
      <c r="AR31" s="26"/>
      <c r="AS31" s="26"/>
    </row>
    <row r="32" spans="2:45" x14ac:dyDescent="0.25">
      <c r="B32" s="123">
        <v>95</v>
      </c>
      <c r="C32" s="123">
        <v>7</v>
      </c>
      <c r="D32" s="123">
        <v>52</v>
      </c>
      <c r="E32" s="123">
        <v>3</v>
      </c>
      <c r="F32" s="123">
        <v>5</v>
      </c>
      <c r="G32" s="123">
        <v>9</v>
      </c>
      <c r="H32" s="123">
        <v>71</v>
      </c>
      <c r="I32" s="123">
        <v>91</v>
      </c>
      <c r="J32" s="123">
        <v>56</v>
      </c>
      <c r="K32" s="123">
        <v>68</v>
      </c>
      <c r="L32" s="123">
        <v>1</v>
      </c>
      <c r="M32" s="123">
        <v>2</v>
      </c>
      <c r="N32" s="123">
        <v>93</v>
      </c>
      <c r="O32" s="123">
        <v>46</v>
      </c>
      <c r="P32" s="123">
        <v>49</v>
      </c>
      <c r="Q32" s="123">
        <v>54</v>
      </c>
      <c r="R32" s="123">
        <v>62</v>
      </c>
      <c r="S32" s="123">
        <v>42</v>
      </c>
      <c r="T32" s="123">
        <v>51</v>
      </c>
      <c r="U32" s="123">
        <v>15</v>
      </c>
      <c r="V32" s="123">
        <v>61</v>
      </c>
      <c r="Y32" s="26"/>
      <c r="Z32" s="26"/>
      <c r="AA32" s="26"/>
      <c r="AB32" s="26"/>
      <c r="AC32" s="26"/>
      <c r="AD32" s="26"/>
      <c r="AE32" s="26"/>
      <c r="AF32" s="26"/>
      <c r="AG32" s="26"/>
      <c r="AH32" s="33"/>
      <c r="AI32" s="33"/>
      <c r="AJ32" s="26"/>
      <c r="AK32" s="26"/>
      <c r="AL32" s="26"/>
      <c r="AM32" s="26"/>
      <c r="AN32" s="26"/>
      <c r="AO32" s="26"/>
      <c r="AP32" s="26"/>
      <c r="AQ32" s="26"/>
      <c r="AR32" s="26"/>
      <c r="AS32" s="26"/>
    </row>
    <row r="33" spans="2:45" x14ac:dyDescent="0.25">
      <c r="B33" s="123">
        <v>59</v>
      </c>
      <c r="C33" s="123">
        <v>25</v>
      </c>
      <c r="D33" s="123">
        <v>45</v>
      </c>
      <c r="E33" s="123">
        <v>80</v>
      </c>
      <c r="F33" s="123">
        <v>61</v>
      </c>
      <c r="G33" s="123">
        <v>9</v>
      </c>
      <c r="H33" s="123">
        <v>45</v>
      </c>
      <c r="I33" s="123">
        <v>45</v>
      </c>
      <c r="J33" s="123">
        <v>56</v>
      </c>
      <c r="K33" s="123">
        <v>42</v>
      </c>
      <c r="L33" s="123">
        <v>57</v>
      </c>
      <c r="M33" s="123">
        <v>28</v>
      </c>
      <c r="N33" s="123">
        <v>93</v>
      </c>
      <c r="O33" s="123">
        <v>46</v>
      </c>
      <c r="P33" s="123">
        <v>21</v>
      </c>
      <c r="Q33" s="123">
        <v>28</v>
      </c>
      <c r="R33" s="123">
        <v>21</v>
      </c>
      <c r="S33" s="123">
        <v>91</v>
      </c>
      <c r="T33" s="123">
        <v>28</v>
      </c>
      <c r="U33" s="123">
        <v>15</v>
      </c>
      <c r="V33" s="123">
        <v>21</v>
      </c>
      <c r="Y33" s="26"/>
      <c r="Z33" s="26"/>
      <c r="AA33" s="26"/>
      <c r="AB33" s="26"/>
      <c r="AC33" s="26"/>
      <c r="AD33" s="26"/>
      <c r="AE33" s="26"/>
      <c r="AF33" s="26"/>
      <c r="AG33" s="26"/>
      <c r="AH33" s="33"/>
      <c r="AI33" s="33"/>
      <c r="AJ33" s="26"/>
      <c r="AK33" s="26"/>
      <c r="AL33" s="26"/>
      <c r="AM33" s="26"/>
      <c r="AN33" s="26"/>
      <c r="AO33" s="26"/>
      <c r="AP33" s="26"/>
      <c r="AQ33" s="26"/>
      <c r="AR33" s="26"/>
      <c r="AS33" s="26"/>
    </row>
  </sheetData>
  <mergeCells count="4">
    <mergeCell ref="B3:AD6"/>
    <mergeCell ref="AB7:AC7"/>
    <mergeCell ref="Y8:AB8"/>
    <mergeCell ref="B2:F2"/>
  </mergeCells>
  <conditionalFormatting sqref="B9:V33">
    <cfRule type="expression" dxfId="3" priority="1">
      <formula>IF(MOD(B9,12)=0,1,0)</formula>
    </cfRule>
    <cfRule type="expression" dxfId="2" priority="2">
      <formula>IF(COUNTIF(B$9:B$33,B9)+COUNTIF($B9:$V9,B9)=2,1,0)</formula>
    </cfRule>
    <cfRule type="expression" dxfId="1" priority="3">
      <formula>IF(AND(COUNTIF(B$9:B$33,B9)&gt;=4,COUNTIF(B$9:B$33,B9)&lt;=8),1,0)</formula>
    </cfRule>
    <cfRule type="expression" dxfId="0" priority="4">
      <formula>IF(MOD(COUNTIF($B9:$V9,B9),2)=0,1,0)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4DFA-2A86-4E7A-A876-F62F3C130FBA}">
  <sheetPr codeName="Hoja16"/>
  <dimension ref="B2:G17"/>
  <sheetViews>
    <sheetView showGridLines="0" topLeftCell="A12" zoomScale="137" workbookViewId="0">
      <selection activeCell="C16" sqref="C16"/>
    </sheetView>
  </sheetViews>
  <sheetFormatPr baseColWidth="10" defaultColWidth="11.42578125" defaultRowHeight="15" x14ac:dyDescent="0.25"/>
  <cols>
    <col min="2" max="2" width="21.85546875" bestFit="1" customWidth="1"/>
    <col min="3" max="4" width="14.28515625" bestFit="1" customWidth="1"/>
  </cols>
  <sheetData>
    <row r="2" spans="2:7" ht="15.75" thickBot="1" x14ac:dyDescent="0.3"/>
    <row r="3" spans="2:7" ht="15.75" thickBot="1" x14ac:dyDescent="0.3">
      <c r="B3" s="38" t="s">
        <v>679</v>
      </c>
      <c r="C3" s="8"/>
      <c r="D3" s="8"/>
      <c r="E3" s="8"/>
      <c r="F3" s="8"/>
      <c r="G3" s="8"/>
    </row>
    <row r="4" spans="2:7" ht="15" customHeight="1" x14ac:dyDescent="0.25">
      <c r="B4" s="225" t="s">
        <v>680</v>
      </c>
      <c r="C4" s="226"/>
      <c r="D4" s="226"/>
      <c r="E4" s="226"/>
      <c r="F4" s="226"/>
      <c r="G4" s="227"/>
    </row>
    <row r="5" spans="2:7" ht="15" customHeight="1" x14ac:dyDescent="0.25">
      <c r="B5" s="228"/>
      <c r="C5" s="229"/>
      <c r="D5" s="229"/>
      <c r="E5" s="229"/>
      <c r="F5" s="229"/>
      <c r="G5" s="230"/>
    </row>
    <row r="6" spans="2:7" x14ac:dyDescent="0.25">
      <c r="B6" s="228"/>
      <c r="C6" s="229"/>
      <c r="D6" s="229"/>
      <c r="E6" s="229"/>
      <c r="F6" s="229"/>
      <c r="G6" s="230"/>
    </row>
    <row r="7" spans="2:7" x14ac:dyDescent="0.25">
      <c r="B7" s="228"/>
      <c r="C7" s="229"/>
      <c r="D7" s="229"/>
      <c r="E7" s="229"/>
      <c r="F7" s="229"/>
      <c r="G7" s="230"/>
    </row>
    <row r="8" spans="2:7" x14ac:dyDescent="0.25">
      <c r="B8" s="228"/>
      <c r="C8" s="229"/>
      <c r="D8" s="229"/>
      <c r="E8" s="229"/>
      <c r="F8" s="229"/>
      <c r="G8" s="230"/>
    </row>
    <row r="9" spans="2:7" ht="15.75" thickBot="1" x14ac:dyDescent="0.3">
      <c r="B9" s="228"/>
      <c r="C9" s="229"/>
      <c r="D9" s="229"/>
      <c r="E9" s="229"/>
      <c r="F9" s="229"/>
      <c r="G9" s="230"/>
    </row>
    <row r="10" spans="2:7" x14ac:dyDescent="0.25">
      <c r="B10" s="231"/>
      <c r="C10" s="232"/>
      <c r="D10" s="232"/>
      <c r="E10" s="232"/>
      <c r="F10" s="232"/>
      <c r="G10" s="233"/>
    </row>
    <row r="11" spans="2:7" x14ac:dyDescent="0.25">
      <c r="B11" s="234"/>
      <c r="C11" s="235"/>
      <c r="D11" s="235"/>
      <c r="E11" s="235"/>
      <c r="F11" s="235"/>
      <c r="G11" s="236"/>
    </row>
    <row r="12" spans="2:7" ht="15.75" thickBot="1" x14ac:dyDescent="0.3">
      <c r="B12" s="237"/>
      <c r="C12" s="238"/>
      <c r="D12" s="238"/>
      <c r="E12" s="238"/>
      <c r="F12" s="238"/>
      <c r="G12" s="239"/>
    </row>
    <row r="13" spans="2:7" x14ac:dyDescent="0.25">
      <c r="B13" s="94"/>
    </row>
    <row r="14" spans="2:7" x14ac:dyDescent="0.25">
      <c r="D14" s="116" t="s">
        <v>15</v>
      </c>
      <c r="E14" s="37"/>
    </row>
    <row r="15" spans="2:7" x14ac:dyDescent="0.25">
      <c r="B15" s="13" t="s">
        <v>681</v>
      </c>
      <c r="C15" s="117"/>
      <c r="D15" s="88">
        <v>39445219.487117976</v>
      </c>
      <c r="E15" s="103"/>
    </row>
    <row r="17" spans="2:2" x14ac:dyDescent="0.25">
      <c r="B17" s="95"/>
    </row>
  </sheetData>
  <mergeCells count="2">
    <mergeCell ref="B4:G9"/>
    <mergeCell ref="B10:G1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64E4-0652-4E96-9A25-D9290B91278A}">
  <sheetPr codeName="Hoja17"/>
  <dimension ref="B3:I73"/>
  <sheetViews>
    <sheetView showGridLines="0" topLeftCell="A52" zoomScale="76" workbookViewId="0">
      <selection activeCell="C73" sqref="C73"/>
    </sheetView>
  </sheetViews>
  <sheetFormatPr baseColWidth="10" defaultColWidth="11.42578125" defaultRowHeight="15" x14ac:dyDescent="0.25"/>
  <cols>
    <col min="2" max="2" width="36.85546875" bestFit="1" customWidth="1"/>
    <col min="3" max="3" width="20.140625" bestFit="1" customWidth="1"/>
    <col min="4" max="4" width="20.42578125" customWidth="1"/>
    <col min="5" max="5" width="13.140625" customWidth="1"/>
    <col min="7" max="7" width="18.7109375" customWidth="1"/>
    <col min="8" max="8" width="25" customWidth="1"/>
    <col min="9" max="9" width="18.28515625" customWidth="1"/>
  </cols>
  <sheetData>
    <row r="3" spans="2:8" ht="15.75" thickBot="1" x14ac:dyDescent="0.3"/>
    <row r="4" spans="2:8" ht="14.45" customHeight="1" thickBot="1" x14ac:dyDescent="0.3">
      <c r="B4" s="38" t="s">
        <v>682</v>
      </c>
      <c r="C4" s="8"/>
      <c r="D4" s="8"/>
      <c r="E4" s="8"/>
      <c r="F4" s="8"/>
      <c r="G4" s="8"/>
      <c r="H4" s="8"/>
    </row>
    <row r="5" spans="2:8" x14ac:dyDescent="0.25">
      <c r="B5" s="225" t="s">
        <v>683</v>
      </c>
      <c r="C5" s="226"/>
      <c r="D5" s="226"/>
      <c r="E5" s="226"/>
      <c r="F5" s="226"/>
      <c r="G5" s="227"/>
      <c r="H5" s="8"/>
    </row>
    <row r="6" spans="2:8" x14ac:dyDescent="0.25">
      <c r="B6" s="228"/>
      <c r="C6" s="229"/>
      <c r="D6" s="229"/>
      <c r="E6" s="229"/>
      <c r="F6" s="229"/>
      <c r="G6" s="230"/>
      <c r="H6" s="8"/>
    </row>
    <row r="7" spans="2:8" x14ac:dyDescent="0.25">
      <c r="B7" s="228"/>
      <c r="C7" s="229"/>
      <c r="D7" s="229"/>
      <c r="E7" s="229"/>
      <c r="F7" s="229"/>
      <c r="G7" s="230"/>
      <c r="H7" s="8"/>
    </row>
    <row r="8" spans="2:8" x14ac:dyDescent="0.25">
      <c r="B8" s="228"/>
      <c r="C8" s="229"/>
      <c r="D8" s="229"/>
      <c r="E8" s="229"/>
      <c r="F8" s="229"/>
      <c r="G8" s="230"/>
      <c r="H8" s="8"/>
    </row>
    <row r="9" spans="2:8" x14ac:dyDescent="0.25">
      <c r="B9" s="228"/>
      <c r="C9" s="229"/>
      <c r="D9" s="229"/>
      <c r="E9" s="229"/>
      <c r="F9" s="229"/>
      <c r="G9" s="230"/>
      <c r="H9" s="8"/>
    </row>
    <row r="10" spans="2:8" x14ac:dyDescent="0.25">
      <c r="B10" s="228"/>
      <c r="C10" s="229"/>
      <c r="D10" s="229"/>
      <c r="E10" s="229"/>
      <c r="F10" s="229"/>
      <c r="G10" s="230"/>
      <c r="H10" s="8"/>
    </row>
    <row r="11" spans="2:8" x14ac:dyDescent="0.25">
      <c r="B11" s="228"/>
      <c r="C11" s="229"/>
      <c r="D11" s="229"/>
      <c r="E11" s="229"/>
      <c r="F11" s="229"/>
      <c r="G11" s="230"/>
      <c r="H11" s="8"/>
    </row>
    <row r="12" spans="2:8" x14ac:dyDescent="0.25">
      <c r="B12" s="228"/>
      <c r="C12" s="229"/>
      <c r="D12" s="229"/>
      <c r="E12" s="229"/>
      <c r="F12" s="229"/>
      <c r="G12" s="230"/>
      <c r="H12" s="8"/>
    </row>
    <row r="13" spans="2:8" x14ac:dyDescent="0.25">
      <c r="B13" s="228"/>
      <c r="C13" s="229"/>
      <c r="D13" s="229"/>
      <c r="E13" s="229"/>
      <c r="F13" s="229"/>
      <c r="G13" s="230"/>
      <c r="H13" s="8"/>
    </row>
    <row r="14" spans="2:8" x14ac:dyDescent="0.25">
      <c r="B14" s="228"/>
      <c r="C14" s="229"/>
      <c r="D14" s="229"/>
      <c r="E14" s="229"/>
      <c r="F14" s="229"/>
      <c r="G14" s="230"/>
      <c r="H14" s="8"/>
    </row>
    <row r="15" spans="2:8" ht="21" customHeight="1" x14ac:dyDescent="0.25">
      <c r="B15" s="228"/>
      <c r="C15" s="229"/>
      <c r="D15" s="229"/>
      <c r="E15" s="229"/>
      <c r="F15" s="229"/>
      <c r="G15" s="230"/>
      <c r="H15" s="8"/>
    </row>
    <row r="16" spans="2:8" ht="15.75" thickBot="1" x14ac:dyDescent="0.3">
      <c r="B16" s="241"/>
      <c r="C16" s="242"/>
      <c r="D16" s="242"/>
      <c r="E16" s="242"/>
      <c r="F16" s="242"/>
      <c r="G16" s="243"/>
      <c r="H16" s="8"/>
    </row>
    <row r="17" spans="2:9" x14ac:dyDescent="0.25">
      <c r="B17" s="8"/>
      <c r="C17" s="8"/>
      <c r="D17" s="8"/>
      <c r="E17" s="8"/>
      <c r="F17" s="8"/>
      <c r="G17" s="8"/>
      <c r="H17" s="8"/>
    </row>
    <row r="18" spans="2:9" x14ac:dyDescent="0.25">
      <c r="B18" s="8"/>
      <c r="C18" s="8"/>
      <c r="D18" s="8"/>
      <c r="E18" s="8"/>
      <c r="F18" s="8"/>
      <c r="G18" s="8"/>
      <c r="H18" s="8"/>
    </row>
    <row r="19" spans="2:9" x14ac:dyDescent="0.25">
      <c r="B19" s="244" t="s">
        <v>684</v>
      </c>
      <c r="C19" s="244"/>
      <c r="D19" s="8"/>
      <c r="E19" s="8"/>
      <c r="F19" s="8"/>
      <c r="G19" s="8"/>
      <c r="H19" s="8"/>
    </row>
    <row r="20" spans="2:9" x14ac:dyDescent="0.25">
      <c r="B20" s="42" t="s">
        <v>689</v>
      </c>
      <c r="C20" s="140">
        <v>100000</v>
      </c>
      <c r="D20" s="84"/>
      <c r="E20" s="157"/>
      <c r="F20" s="8"/>
      <c r="G20" s="8"/>
      <c r="H20" s="8"/>
    </row>
    <row r="21" spans="2:9" ht="32.450000000000003" customHeight="1" x14ac:dyDescent="0.25">
      <c r="B21" s="42" t="s">
        <v>691</v>
      </c>
      <c r="C21" s="140">
        <v>35000</v>
      </c>
      <c r="D21" s="155"/>
      <c r="E21" s="8"/>
      <c r="F21" s="8"/>
      <c r="G21" s="9" t="s">
        <v>685</v>
      </c>
      <c r="H21" s="8"/>
    </row>
    <row r="22" spans="2:9" ht="30" x14ac:dyDescent="0.25">
      <c r="B22" s="85"/>
      <c r="C22" s="138"/>
      <c r="D22" s="8"/>
      <c r="E22" s="8"/>
      <c r="F22" s="8"/>
      <c r="G22" s="34" t="s">
        <v>686</v>
      </c>
      <c r="H22" s="34" t="s">
        <v>687</v>
      </c>
      <c r="I22" s="34" t="s">
        <v>688</v>
      </c>
    </row>
    <row r="23" spans="2:9" x14ac:dyDescent="0.25">
      <c r="B23" s="154"/>
      <c r="C23" s="138"/>
      <c r="D23" s="8"/>
      <c r="E23" s="8"/>
      <c r="F23" s="8"/>
      <c r="G23" s="42" t="s">
        <v>689</v>
      </c>
      <c r="H23" s="153">
        <v>0.5</v>
      </c>
      <c r="I23" s="139">
        <v>200</v>
      </c>
    </row>
    <row r="24" spans="2:9" x14ac:dyDescent="0.25">
      <c r="B24" s="245" t="s">
        <v>690</v>
      </c>
      <c r="C24" s="246"/>
      <c r="D24" s="246"/>
      <c r="E24" s="247"/>
      <c r="F24" s="8"/>
      <c r="G24" s="42" t="s">
        <v>691</v>
      </c>
      <c r="H24" s="153">
        <v>2</v>
      </c>
      <c r="I24" s="139">
        <v>300</v>
      </c>
    </row>
    <row r="25" spans="2:9" x14ac:dyDescent="0.25">
      <c r="B25" s="41" t="s">
        <v>692</v>
      </c>
      <c r="C25" s="41" t="s">
        <v>693</v>
      </c>
      <c r="D25" s="41" t="s">
        <v>694</v>
      </c>
      <c r="E25" s="41" t="s">
        <v>695</v>
      </c>
      <c r="F25" s="8"/>
      <c r="G25" s="82"/>
      <c r="H25" s="8"/>
    </row>
    <row r="26" spans="2:9" x14ac:dyDescent="0.25">
      <c r="B26" s="42" t="s">
        <v>725</v>
      </c>
      <c r="C26" s="140">
        <f>SUM(C20:C21)</f>
        <v>135000</v>
      </c>
      <c r="D26" s="35" t="s">
        <v>714</v>
      </c>
      <c r="E26" s="158">
        <v>150000</v>
      </c>
      <c r="F26" s="8"/>
      <c r="G26" s="156"/>
      <c r="H26" s="82"/>
      <c r="I26" s="141"/>
    </row>
    <row r="27" spans="2:9" x14ac:dyDescent="0.25">
      <c r="B27" s="42" t="s">
        <v>726</v>
      </c>
      <c r="C27" s="140">
        <f>C20</f>
        <v>100000</v>
      </c>
      <c r="D27" s="35" t="s">
        <v>714</v>
      </c>
      <c r="E27" s="158">
        <v>100000</v>
      </c>
      <c r="F27" s="8"/>
      <c r="G27" s="156"/>
      <c r="H27" s="82"/>
    </row>
    <row r="28" spans="2:9" x14ac:dyDescent="0.25">
      <c r="B28" s="42" t="s">
        <v>715</v>
      </c>
      <c r="C28" s="140">
        <f>C21</f>
        <v>35000</v>
      </c>
      <c r="D28" s="35" t="s">
        <v>714</v>
      </c>
      <c r="E28" s="158">
        <v>35000</v>
      </c>
      <c r="F28" s="8"/>
      <c r="G28" s="156"/>
      <c r="H28" s="82"/>
    </row>
    <row r="29" spans="2:9" x14ac:dyDescent="0.25">
      <c r="B29" s="42" t="s">
        <v>727</v>
      </c>
      <c r="C29" s="140">
        <f>SUMPRODUCT(C20:C21,H23:H24)</f>
        <v>120000</v>
      </c>
      <c r="D29" s="35" t="s">
        <v>714</v>
      </c>
      <c r="E29" s="158">
        <v>120000</v>
      </c>
      <c r="F29" s="8"/>
      <c r="G29" s="156"/>
      <c r="H29" s="8"/>
    </row>
    <row r="30" spans="2:9" x14ac:dyDescent="0.25">
      <c r="B30" s="42" t="s">
        <v>726</v>
      </c>
      <c r="C30" s="140">
        <f>C20</f>
        <v>100000</v>
      </c>
      <c r="D30" s="35" t="s">
        <v>714</v>
      </c>
      <c r="E30" s="158">
        <f>3*C21</f>
        <v>105000</v>
      </c>
      <c r="F30" s="8"/>
      <c r="G30" s="156"/>
      <c r="H30" s="8"/>
    </row>
    <row r="31" spans="2:9" x14ac:dyDescent="0.25">
      <c r="B31" s="42"/>
      <c r="C31" s="39"/>
      <c r="D31" s="35"/>
      <c r="E31" s="39"/>
      <c r="F31" s="8"/>
      <c r="G31" s="8"/>
    </row>
    <row r="32" spans="2:9" x14ac:dyDescent="0.25">
      <c r="B32" s="8"/>
      <c r="C32" s="8"/>
      <c r="D32" s="8"/>
      <c r="E32" s="8"/>
      <c r="F32" s="8"/>
      <c r="G32" s="8"/>
    </row>
    <row r="33" spans="2:7" x14ac:dyDescent="0.25">
      <c r="B33" s="240" t="s">
        <v>696</v>
      </c>
      <c r="C33" s="240"/>
      <c r="D33" s="152" t="s">
        <v>15</v>
      </c>
      <c r="E33" s="8"/>
      <c r="F33" s="8"/>
      <c r="G33" s="8"/>
    </row>
    <row r="34" spans="2:7" x14ac:dyDescent="0.25">
      <c r="B34" s="35" t="s">
        <v>716</v>
      </c>
      <c r="C34" s="142">
        <f>SUMPRODUCT(C20:C21,I23:I24)</f>
        <v>30500000</v>
      </c>
      <c r="D34" s="143">
        <v>30500000</v>
      </c>
      <c r="E34" s="8"/>
      <c r="F34" s="8"/>
    </row>
    <row r="37" spans="2:7" ht="15.75" thickBot="1" x14ac:dyDescent="0.3"/>
    <row r="38" spans="2:7" x14ac:dyDescent="0.25">
      <c r="B38" s="225" t="s">
        <v>683</v>
      </c>
      <c r="C38" s="226"/>
      <c r="D38" s="226"/>
      <c r="E38" s="226"/>
      <c r="F38" s="226"/>
      <c r="G38" s="227"/>
    </row>
    <row r="39" spans="2:7" x14ac:dyDescent="0.25">
      <c r="B39" s="228"/>
      <c r="C39" s="229"/>
      <c r="D39" s="229"/>
      <c r="E39" s="229"/>
      <c r="F39" s="229"/>
      <c r="G39" s="230"/>
    </row>
    <row r="40" spans="2:7" x14ac:dyDescent="0.25">
      <c r="B40" s="228"/>
      <c r="C40" s="229"/>
      <c r="D40" s="229"/>
      <c r="E40" s="229"/>
      <c r="F40" s="229"/>
      <c r="G40" s="230"/>
    </row>
    <row r="41" spans="2:7" x14ac:dyDescent="0.25">
      <c r="B41" s="228"/>
      <c r="C41" s="229"/>
      <c r="D41" s="229"/>
      <c r="E41" s="229"/>
      <c r="F41" s="229"/>
      <c r="G41" s="230"/>
    </row>
    <row r="42" spans="2:7" x14ac:dyDescent="0.25">
      <c r="B42" s="228"/>
      <c r="C42" s="229"/>
      <c r="D42" s="229"/>
      <c r="E42" s="229"/>
      <c r="F42" s="229"/>
      <c r="G42" s="230"/>
    </row>
    <row r="43" spans="2:7" x14ac:dyDescent="0.25">
      <c r="B43" s="228"/>
      <c r="C43" s="229"/>
      <c r="D43" s="229"/>
      <c r="E43" s="229"/>
      <c r="F43" s="229"/>
      <c r="G43" s="230"/>
    </row>
    <row r="44" spans="2:7" x14ac:dyDescent="0.25">
      <c r="B44" s="228"/>
      <c r="C44" s="229"/>
      <c r="D44" s="229"/>
      <c r="E44" s="229"/>
      <c r="F44" s="229"/>
      <c r="G44" s="230"/>
    </row>
    <row r="45" spans="2:7" x14ac:dyDescent="0.25">
      <c r="B45" s="228"/>
      <c r="C45" s="229"/>
      <c r="D45" s="229"/>
      <c r="E45" s="229"/>
      <c r="F45" s="229"/>
      <c r="G45" s="230"/>
    </row>
    <row r="46" spans="2:7" x14ac:dyDescent="0.25">
      <c r="B46" s="228"/>
      <c r="C46" s="229"/>
      <c r="D46" s="229"/>
      <c r="E46" s="229"/>
      <c r="F46" s="229"/>
      <c r="G46" s="230"/>
    </row>
    <row r="47" spans="2:7" x14ac:dyDescent="0.25">
      <c r="B47" s="228"/>
      <c r="C47" s="229"/>
      <c r="D47" s="229"/>
      <c r="E47" s="229"/>
      <c r="F47" s="229"/>
      <c r="G47" s="230"/>
    </row>
    <row r="48" spans="2:7" x14ac:dyDescent="0.25">
      <c r="B48" s="228"/>
      <c r="C48" s="229"/>
      <c r="D48" s="229"/>
      <c r="E48" s="229"/>
      <c r="F48" s="229"/>
      <c r="G48" s="230"/>
    </row>
    <row r="49" spans="2:7" ht="15.75" thickBot="1" x14ac:dyDescent="0.3">
      <c r="B49" s="241"/>
      <c r="C49" s="242"/>
      <c r="D49" s="242"/>
      <c r="E49" s="242"/>
      <c r="F49" s="242"/>
      <c r="G49" s="243"/>
    </row>
    <row r="52" spans="2:7" x14ac:dyDescent="0.25">
      <c r="B52" s="26" t="s">
        <v>731</v>
      </c>
      <c r="C52" s="26"/>
      <c r="D52" s="26"/>
      <c r="E52" s="26"/>
    </row>
    <row r="53" spans="2:7" x14ac:dyDescent="0.25">
      <c r="B53" s="26" t="s">
        <v>735</v>
      </c>
      <c r="C53" s="252">
        <v>150000</v>
      </c>
      <c r="D53" s="26"/>
      <c r="E53" s="26"/>
    </row>
    <row r="54" spans="2:7" x14ac:dyDescent="0.25">
      <c r="B54" s="26" t="s">
        <v>734</v>
      </c>
      <c r="C54" s="252">
        <v>120000</v>
      </c>
      <c r="D54" s="26"/>
      <c r="E54" s="26"/>
    </row>
    <row r="55" spans="2:7" x14ac:dyDescent="0.25">
      <c r="B55" s="26"/>
      <c r="C55" s="26" t="s">
        <v>727</v>
      </c>
      <c r="D55" s="26" t="s">
        <v>739</v>
      </c>
      <c r="E55" s="26"/>
    </row>
    <row r="56" spans="2:7" x14ac:dyDescent="0.25">
      <c r="B56" s="26" t="s">
        <v>732</v>
      </c>
      <c r="C56" s="26">
        <f>0.5*10^(-3)</f>
        <v>5.0000000000000001E-4</v>
      </c>
      <c r="D56" s="26">
        <f>200*10^(3)</f>
        <v>200000</v>
      </c>
      <c r="E56" s="26"/>
    </row>
    <row r="57" spans="2:7" x14ac:dyDescent="0.25">
      <c r="B57" s="26" t="s">
        <v>733</v>
      </c>
      <c r="C57" s="26">
        <f>2*10^(-3)</f>
        <v>2E-3</v>
      </c>
      <c r="D57" s="26">
        <f>300*10^(3)</f>
        <v>300000</v>
      </c>
      <c r="E57" s="26"/>
    </row>
    <row r="58" spans="2:7" x14ac:dyDescent="0.25">
      <c r="B58" s="26"/>
      <c r="C58" s="26"/>
      <c r="D58" s="26"/>
      <c r="E58" s="26"/>
    </row>
    <row r="59" spans="2:7" x14ac:dyDescent="0.25">
      <c r="B59" s="26"/>
      <c r="C59" s="26"/>
      <c r="D59" s="26"/>
      <c r="E59" s="26"/>
    </row>
    <row r="60" spans="2:7" x14ac:dyDescent="0.25">
      <c r="B60" s="26" t="s">
        <v>690</v>
      </c>
      <c r="C60" s="26"/>
      <c r="D60" s="26"/>
      <c r="E60" s="26"/>
    </row>
    <row r="61" spans="2:7" x14ac:dyDescent="0.25">
      <c r="B61" s="26" t="s">
        <v>732</v>
      </c>
      <c r="C61" s="26">
        <f>C70</f>
        <v>100000</v>
      </c>
      <c r="D61" s="26" t="s">
        <v>714</v>
      </c>
      <c r="E61" s="252">
        <v>100000</v>
      </c>
    </row>
    <row r="62" spans="2:7" x14ac:dyDescent="0.25">
      <c r="B62" s="26" t="s">
        <v>733</v>
      </c>
      <c r="C62" s="26">
        <f>C71</f>
        <v>35000</v>
      </c>
      <c r="D62" s="26" t="s">
        <v>714</v>
      </c>
      <c r="E62" s="252">
        <v>35000</v>
      </c>
    </row>
    <row r="63" spans="2:7" x14ac:dyDescent="0.25">
      <c r="B63" s="26" t="s">
        <v>737</v>
      </c>
      <c r="C63" s="26">
        <f>C70</f>
        <v>100000</v>
      </c>
      <c r="D63" s="26" t="s">
        <v>714</v>
      </c>
      <c r="E63" s="26">
        <f>3*C71</f>
        <v>105000</v>
      </c>
    </row>
    <row r="64" spans="2:7" x14ac:dyDescent="0.25">
      <c r="B64" s="26" t="s">
        <v>742</v>
      </c>
      <c r="C64" s="26">
        <f>C70*C56+C57*C71</f>
        <v>120</v>
      </c>
      <c r="D64" s="26" t="s">
        <v>714</v>
      </c>
      <c r="E64" s="252">
        <f>C54</f>
        <v>120000</v>
      </c>
    </row>
    <row r="65" spans="2:5" x14ac:dyDescent="0.25">
      <c r="B65" s="26" t="s">
        <v>686</v>
      </c>
      <c r="C65" s="26">
        <f>SUM(C70:C71)</f>
        <v>135000</v>
      </c>
      <c r="D65" s="26" t="s">
        <v>714</v>
      </c>
      <c r="E65" s="252">
        <f>C53</f>
        <v>150000</v>
      </c>
    </row>
    <row r="69" spans="2:5" x14ac:dyDescent="0.25">
      <c r="B69" s="26" t="s">
        <v>736</v>
      </c>
      <c r="C69" s="26" t="s">
        <v>740</v>
      </c>
      <c r="D69" s="26"/>
      <c r="E69" s="26"/>
    </row>
    <row r="70" spans="2:5" x14ac:dyDescent="0.25">
      <c r="B70" s="26" t="s">
        <v>737</v>
      </c>
      <c r="C70" s="26">
        <v>100000</v>
      </c>
      <c r="D70" s="26"/>
      <c r="E70" s="26"/>
    </row>
    <row r="71" spans="2:5" x14ac:dyDescent="0.25">
      <c r="B71" s="26" t="s">
        <v>738</v>
      </c>
      <c r="C71" s="26">
        <v>35000</v>
      </c>
      <c r="D71" s="26"/>
      <c r="E71" s="26"/>
    </row>
    <row r="72" spans="2:5" x14ac:dyDescent="0.25">
      <c r="B72" s="26"/>
      <c r="C72" s="26"/>
      <c r="D72" s="26"/>
      <c r="E72" s="26"/>
    </row>
    <row r="73" spans="2:5" x14ac:dyDescent="0.25">
      <c r="B73" s="26" t="s">
        <v>741</v>
      </c>
      <c r="C73" s="253">
        <f>SUMPRODUCT(C70:C71,D56:D57)</f>
        <v>30500000000</v>
      </c>
      <c r="D73" s="26"/>
      <c r="E73" s="26"/>
    </row>
  </sheetData>
  <mergeCells count="5">
    <mergeCell ref="B33:C33"/>
    <mergeCell ref="B5:G16"/>
    <mergeCell ref="B19:C19"/>
    <mergeCell ref="B24:E24"/>
    <mergeCell ref="B38:G4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A25E-51D7-4970-9609-AB8BC7C0CC80}">
  <sheetPr codeName="Hoja18"/>
  <dimension ref="B2:H33"/>
  <sheetViews>
    <sheetView showGridLines="0" zoomScale="125" zoomScaleNormal="70" workbookViewId="0">
      <selection activeCell="D40" sqref="D40"/>
    </sheetView>
  </sheetViews>
  <sheetFormatPr baseColWidth="10" defaultColWidth="11.42578125" defaultRowHeight="15" x14ac:dyDescent="0.25"/>
  <cols>
    <col min="2" max="2" width="28.85546875" customWidth="1"/>
    <col min="3" max="3" width="16.42578125" customWidth="1"/>
    <col min="4" max="4" width="24.85546875" bestFit="1" customWidth="1"/>
    <col min="5" max="5" width="10.5703125" customWidth="1"/>
    <col min="7" max="7" width="16.140625" customWidth="1"/>
    <col min="8" max="8" width="29.140625" bestFit="1" customWidth="1"/>
  </cols>
  <sheetData>
    <row r="2" spans="2:8" ht="15.75" thickBot="1" x14ac:dyDescent="0.3"/>
    <row r="3" spans="2:8" ht="15.75" thickBot="1" x14ac:dyDescent="0.3">
      <c r="B3" s="38" t="s">
        <v>697</v>
      </c>
      <c r="C3" s="8"/>
      <c r="D3" s="8"/>
      <c r="E3" s="8"/>
      <c r="F3" s="8"/>
      <c r="G3" s="8"/>
      <c r="H3" s="8"/>
    </row>
    <row r="4" spans="2:8" ht="14.45" customHeight="1" x14ac:dyDescent="0.25">
      <c r="B4" s="225" t="s">
        <v>698</v>
      </c>
      <c r="C4" s="226"/>
      <c r="D4" s="226"/>
      <c r="E4" s="226"/>
      <c r="F4" s="226"/>
      <c r="G4" s="227"/>
      <c r="H4" s="8"/>
    </row>
    <row r="5" spans="2:8" ht="15" customHeight="1" x14ac:dyDescent="0.25">
      <c r="B5" s="228"/>
      <c r="C5" s="229"/>
      <c r="D5" s="229"/>
      <c r="E5" s="229"/>
      <c r="F5" s="229"/>
      <c r="G5" s="230"/>
      <c r="H5" s="8"/>
    </row>
    <row r="6" spans="2:8" x14ac:dyDescent="0.25">
      <c r="B6" s="228"/>
      <c r="C6" s="229"/>
      <c r="D6" s="229"/>
      <c r="E6" s="229"/>
      <c r="F6" s="229"/>
      <c r="G6" s="230"/>
      <c r="H6" s="84"/>
    </row>
    <row r="7" spans="2:8" x14ac:dyDescent="0.25">
      <c r="B7" s="228"/>
      <c r="C7" s="229"/>
      <c r="D7" s="229"/>
      <c r="E7" s="229"/>
      <c r="F7" s="229"/>
      <c r="G7" s="230"/>
      <c r="H7" s="8"/>
    </row>
    <row r="8" spans="2:8" x14ac:dyDescent="0.25">
      <c r="B8" s="228"/>
      <c r="C8" s="229"/>
      <c r="D8" s="229"/>
      <c r="E8" s="229"/>
      <c r="F8" s="229"/>
      <c r="G8" s="230"/>
      <c r="H8" s="8"/>
    </row>
    <row r="9" spans="2:8" x14ac:dyDescent="0.25">
      <c r="B9" s="228"/>
      <c r="C9" s="229"/>
      <c r="D9" s="229"/>
      <c r="E9" s="229"/>
      <c r="F9" s="229"/>
      <c r="G9" s="230"/>
      <c r="H9" s="82"/>
    </row>
    <row r="10" spans="2:8" x14ac:dyDescent="0.25">
      <c r="B10" s="228"/>
      <c r="C10" s="229"/>
      <c r="D10" s="229"/>
      <c r="E10" s="229"/>
      <c r="F10" s="229"/>
      <c r="G10" s="230"/>
      <c r="H10" s="8"/>
    </row>
    <row r="11" spans="2:8" x14ac:dyDescent="0.25">
      <c r="B11" s="228"/>
      <c r="C11" s="229"/>
      <c r="D11" s="229"/>
      <c r="E11" s="229"/>
      <c r="F11" s="229"/>
      <c r="G11" s="230"/>
      <c r="H11" s="8"/>
    </row>
    <row r="12" spans="2:8" x14ac:dyDescent="0.25">
      <c r="B12" s="228"/>
      <c r="C12" s="229"/>
      <c r="D12" s="229"/>
      <c r="E12" s="229"/>
      <c r="F12" s="229"/>
      <c r="G12" s="230"/>
      <c r="H12" s="84"/>
    </row>
    <row r="13" spans="2:8" x14ac:dyDescent="0.25">
      <c r="B13" s="228"/>
      <c r="C13" s="229"/>
      <c r="D13" s="229"/>
      <c r="E13" s="229"/>
      <c r="F13" s="229"/>
      <c r="G13" s="230"/>
      <c r="H13" s="84"/>
    </row>
    <row r="14" spans="2:8" x14ac:dyDescent="0.25">
      <c r="B14" s="228"/>
      <c r="C14" s="229"/>
      <c r="D14" s="229"/>
      <c r="E14" s="229"/>
      <c r="F14" s="229"/>
      <c r="G14" s="230"/>
      <c r="H14" s="8"/>
    </row>
    <row r="15" spans="2:8" ht="64.5" customHeight="1" thickBot="1" x14ac:dyDescent="0.3">
      <c r="B15" s="241"/>
      <c r="C15" s="242"/>
      <c r="D15" s="242"/>
      <c r="E15" s="242"/>
      <c r="F15" s="242"/>
      <c r="G15" s="243"/>
      <c r="H15" s="8"/>
    </row>
    <row r="16" spans="2:8" x14ac:dyDescent="0.25">
      <c r="B16" s="8"/>
      <c r="C16" s="8"/>
      <c r="D16" s="8"/>
      <c r="E16" s="8"/>
      <c r="F16" s="8"/>
      <c r="G16" s="8"/>
      <c r="H16" s="8"/>
    </row>
    <row r="17" spans="2:8" x14ac:dyDescent="0.25">
      <c r="B17" s="8"/>
      <c r="C17" s="8"/>
      <c r="D17" s="8"/>
      <c r="E17" s="8"/>
      <c r="F17" s="8"/>
      <c r="G17" s="8"/>
      <c r="H17" s="8"/>
    </row>
    <row r="18" spans="2:8" x14ac:dyDescent="0.25">
      <c r="B18" s="244" t="s">
        <v>684</v>
      </c>
      <c r="C18" s="244"/>
      <c r="D18" s="8"/>
      <c r="E18" s="8"/>
      <c r="F18" s="8"/>
      <c r="G18" s="8"/>
      <c r="H18" s="8"/>
    </row>
    <row r="19" spans="2:8" x14ac:dyDescent="0.25">
      <c r="B19" s="11" t="s">
        <v>702</v>
      </c>
      <c r="C19" s="39">
        <v>600</v>
      </c>
      <c r="D19" s="40"/>
      <c r="E19" s="8"/>
      <c r="F19" s="8"/>
      <c r="G19" s="8"/>
      <c r="H19" s="8"/>
    </row>
    <row r="20" spans="2:8" ht="15.75" thickBot="1" x14ac:dyDescent="0.3">
      <c r="B20" s="11" t="s">
        <v>703</v>
      </c>
      <c r="C20" s="39">
        <v>100</v>
      </c>
      <c r="D20" s="40"/>
      <c r="E20" s="8"/>
      <c r="F20" s="8"/>
      <c r="G20" s="9" t="s">
        <v>699</v>
      </c>
      <c r="H20" s="8"/>
    </row>
    <row r="21" spans="2:8" x14ac:dyDescent="0.25">
      <c r="B21" s="11" t="s">
        <v>704</v>
      </c>
      <c r="C21" s="39">
        <v>50</v>
      </c>
      <c r="D21" s="8"/>
      <c r="E21" s="8"/>
      <c r="F21" s="8"/>
      <c r="G21" s="12" t="s">
        <v>700</v>
      </c>
      <c r="H21" s="12" t="s">
        <v>701</v>
      </c>
    </row>
    <row r="22" spans="2:8" x14ac:dyDescent="0.25">
      <c r="B22" s="11"/>
      <c r="C22" s="39"/>
      <c r="D22" s="8"/>
      <c r="E22" s="8"/>
      <c r="F22" s="8"/>
      <c r="G22" s="11" t="s">
        <v>702</v>
      </c>
      <c r="H22" s="83">
        <v>5</v>
      </c>
    </row>
    <row r="23" spans="2:8" x14ac:dyDescent="0.25">
      <c r="B23" s="245" t="s">
        <v>690</v>
      </c>
      <c r="C23" s="246"/>
      <c r="D23" s="246"/>
      <c r="E23" s="247"/>
      <c r="F23" s="8"/>
      <c r="G23" s="11" t="s">
        <v>703</v>
      </c>
      <c r="H23" s="83">
        <v>10</v>
      </c>
    </row>
    <row r="24" spans="2:8" x14ac:dyDescent="0.25">
      <c r="B24" s="41" t="s">
        <v>692</v>
      </c>
      <c r="C24" s="41" t="s">
        <v>693</v>
      </c>
      <c r="D24" s="41" t="s">
        <v>694</v>
      </c>
      <c r="E24" s="41" t="s">
        <v>695</v>
      </c>
      <c r="F24" s="8"/>
      <c r="G24" s="11" t="s">
        <v>704</v>
      </c>
      <c r="H24" s="83">
        <v>3</v>
      </c>
    </row>
    <row r="25" spans="2:8" x14ac:dyDescent="0.25">
      <c r="B25" s="42" t="s">
        <v>718</v>
      </c>
      <c r="C25" s="39">
        <f>SUM(C19:C21)</f>
        <v>750</v>
      </c>
      <c r="D25" s="35" t="s">
        <v>717</v>
      </c>
      <c r="E25" s="39">
        <v>750</v>
      </c>
      <c r="F25" s="8"/>
      <c r="G25" s="8"/>
      <c r="H25" s="8"/>
    </row>
    <row r="26" spans="2:8" x14ac:dyDescent="0.25">
      <c r="B26" s="42" t="s">
        <v>719</v>
      </c>
      <c r="C26" s="39">
        <f>C19</f>
        <v>600</v>
      </c>
      <c r="D26" s="35" t="s">
        <v>720</v>
      </c>
      <c r="E26" s="39">
        <v>300</v>
      </c>
      <c r="F26" s="8"/>
      <c r="G26" s="8"/>
      <c r="H26" s="8"/>
    </row>
    <row r="27" spans="2:8" x14ac:dyDescent="0.25">
      <c r="B27" s="11" t="s">
        <v>703</v>
      </c>
      <c r="C27" s="39">
        <f>C20</f>
        <v>100</v>
      </c>
      <c r="D27" s="35" t="s">
        <v>714</v>
      </c>
      <c r="E27" s="39">
        <v>100</v>
      </c>
      <c r="F27" s="8"/>
      <c r="G27" s="8"/>
      <c r="H27" s="8"/>
    </row>
    <row r="28" spans="2:8" x14ac:dyDescent="0.25">
      <c r="B28" s="11" t="s">
        <v>704</v>
      </c>
      <c r="C28" s="39">
        <f>C21</f>
        <v>50</v>
      </c>
      <c r="D28" s="35" t="s">
        <v>720</v>
      </c>
      <c r="E28" s="39">
        <f>50%*C20</f>
        <v>50</v>
      </c>
      <c r="F28" s="8"/>
      <c r="G28" s="8"/>
      <c r="H28" s="8"/>
    </row>
    <row r="29" spans="2:8" x14ac:dyDescent="0.25">
      <c r="B29" s="42"/>
      <c r="C29" s="39"/>
      <c r="D29" s="35"/>
      <c r="E29" s="39"/>
      <c r="F29" s="8"/>
      <c r="G29" s="8"/>
      <c r="H29" s="8"/>
    </row>
    <row r="30" spans="2:8" x14ac:dyDescent="0.25">
      <c r="B30" s="42"/>
      <c r="C30" s="39"/>
      <c r="D30" s="35"/>
      <c r="E30" s="39"/>
      <c r="F30" s="8"/>
      <c r="G30" s="8"/>
      <c r="H30" s="8"/>
    </row>
    <row r="31" spans="2:8" x14ac:dyDescent="0.25">
      <c r="B31" s="8"/>
      <c r="C31" s="8"/>
      <c r="D31" s="8"/>
      <c r="E31" s="8"/>
      <c r="F31" s="8"/>
      <c r="G31" s="8"/>
      <c r="H31" s="8"/>
    </row>
    <row r="32" spans="2:8" x14ac:dyDescent="0.25">
      <c r="B32" s="240" t="s">
        <v>696</v>
      </c>
      <c r="C32" s="240"/>
      <c r="D32" s="62" t="s">
        <v>705</v>
      </c>
      <c r="E32" s="8"/>
      <c r="F32" s="8"/>
      <c r="G32" s="8"/>
      <c r="H32" s="8"/>
    </row>
    <row r="33" spans="2:8" x14ac:dyDescent="0.25">
      <c r="B33" s="35" t="s">
        <v>701</v>
      </c>
      <c r="C33" s="39">
        <f>SUMPRODUCT(C19:C21,H22:H24)</f>
        <v>4150</v>
      </c>
      <c r="D33" s="43">
        <v>4150</v>
      </c>
      <c r="E33" s="8"/>
      <c r="F33" s="8"/>
      <c r="G33" s="8"/>
      <c r="H33" s="8"/>
    </row>
  </sheetData>
  <mergeCells count="4">
    <mergeCell ref="B4:G15"/>
    <mergeCell ref="B18:C18"/>
    <mergeCell ref="B23:E23"/>
    <mergeCell ref="B32:C3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61D0-04CC-467B-B58F-7CB9B2FD4446}">
  <sheetPr codeName="Hoja19"/>
  <dimension ref="B1:N76"/>
  <sheetViews>
    <sheetView showGridLines="0" tabSelected="1" topLeftCell="A54" zoomScale="112" workbookViewId="0">
      <selection activeCell="C73" sqref="C73"/>
    </sheetView>
  </sheetViews>
  <sheetFormatPr baseColWidth="10" defaultColWidth="11.42578125" defaultRowHeight="15" x14ac:dyDescent="0.25"/>
  <cols>
    <col min="2" max="2" width="32.140625" customWidth="1"/>
    <col min="3" max="3" width="22" customWidth="1"/>
    <col min="4" max="4" width="24.85546875" bestFit="1" customWidth="1"/>
    <col min="5" max="5" width="10.5703125" customWidth="1"/>
    <col min="7" max="7" width="24.7109375" customWidth="1"/>
    <col min="8" max="8" width="29.140625" bestFit="1" customWidth="1"/>
    <col min="9" max="9" width="31.42578125" bestFit="1" customWidth="1"/>
  </cols>
  <sheetData>
    <row r="1" spans="2:14" x14ac:dyDescent="0.25">
      <c r="B1" s="225" t="s">
        <v>706</v>
      </c>
      <c r="C1" s="226"/>
      <c r="D1" s="226"/>
      <c r="E1" s="226"/>
      <c r="F1" s="226"/>
      <c r="G1" s="227"/>
      <c r="H1" s="8"/>
    </row>
    <row r="2" spans="2:14" x14ac:dyDescent="0.25">
      <c r="B2" s="228"/>
      <c r="C2" s="229"/>
      <c r="D2" s="229"/>
      <c r="E2" s="229"/>
      <c r="F2" s="229"/>
      <c r="G2" s="230"/>
      <c r="H2" s="8"/>
    </row>
    <row r="3" spans="2:14" x14ac:dyDescent="0.25">
      <c r="B3" s="228"/>
      <c r="C3" s="229"/>
      <c r="D3" s="229"/>
      <c r="E3" s="229"/>
      <c r="F3" s="229"/>
      <c r="G3" s="230"/>
      <c r="H3" s="8"/>
    </row>
    <row r="4" spans="2:14" ht="14.45" customHeight="1" x14ac:dyDescent="0.25">
      <c r="B4" s="228"/>
      <c r="C4" s="229"/>
      <c r="D4" s="229"/>
      <c r="E4" s="229"/>
      <c r="F4" s="229"/>
      <c r="G4" s="230"/>
      <c r="H4" s="8"/>
    </row>
    <row r="5" spans="2:14" x14ac:dyDescent="0.25">
      <c r="B5" s="228"/>
      <c r="C5" s="229"/>
      <c r="D5" s="229"/>
      <c r="E5" s="229"/>
      <c r="F5" s="229"/>
      <c r="G5" s="230"/>
      <c r="H5" s="8"/>
    </row>
    <row r="6" spans="2:14" x14ac:dyDescent="0.25">
      <c r="B6" s="228"/>
      <c r="C6" s="229"/>
      <c r="D6" s="229"/>
      <c r="E6" s="229"/>
      <c r="F6" s="229"/>
      <c r="G6" s="230"/>
      <c r="H6" s="8"/>
    </row>
    <row r="7" spans="2:14" x14ac:dyDescent="0.25">
      <c r="B7" s="228"/>
      <c r="C7" s="229"/>
      <c r="D7" s="229"/>
      <c r="E7" s="229"/>
      <c r="F7" s="229"/>
      <c r="G7" s="230"/>
      <c r="H7" s="8"/>
      <c r="I7" s="132"/>
    </row>
    <row r="8" spans="2:14" x14ac:dyDescent="0.25">
      <c r="B8" s="228"/>
      <c r="C8" s="229"/>
      <c r="D8" s="229"/>
      <c r="E8" s="229"/>
      <c r="F8" s="229"/>
      <c r="G8" s="230"/>
      <c r="H8" s="8"/>
    </row>
    <row r="9" spans="2:14" x14ac:dyDescent="0.25">
      <c r="B9" s="228"/>
      <c r="C9" s="229"/>
      <c r="D9" s="229"/>
      <c r="E9" s="229"/>
      <c r="F9" s="229"/>
      <c r="G9" s="230"/>
      <c r="H9" s="8"/>
    </row>
    <row r="10" spans="2:14" x14ac:dyDescent="0.25">
      <c r="B10" s="228"/>
      <c r="C10" s="229"/>
      <c r="D10" s="229"/>
      <c r="E10" s="229"/>
      <c r="F10" s="229"/>
      <c r="G10" s="230"/>
      <c r="H10" s="8"/>
    </row>
    <row r="11" spans="2:14" x14ac:dyDescent="0.25">
      <c r="B11" s="228"/>
      <c r="C11" s="229"/>
      <c r="D11" s="229"/>
      <c r="E11" s="229"/>
      <c r="F11" s="229"/>
      <c r="G11" s="230"/>
      <c r="H11" s="149"/>
      <c r="I11" s="132"/>
      <c r="J11" s="132"/>
    </row>
    <row r="12" spans="2:14" x14ac:dyDescent="0.25">
      <c r="B12" s="228"/>
      <c r="C12" s="229"/>
      <c r="D12" s="229"/>
      <c r="E12" s="229"/>
      <c r="F12" s="229"/>
      <c r="G12" s="230"/>
      <c r="H12" s="149"/>
      <c r="I12" s="132"/>
      <c r="J12" s="132"/>
    </row>
    <row r="13" spans="2:14" ht="15.75" thickBot="1" x14ac:dyDescent="0.3">
      <c r="B13" s="241"/>
      <c r="C13" s="242"/>
      <c r="D13" s="242"/>
      <c r="E13" s="242"/>
      <c r="F13" s="242"/>
      <c r="G13" s="243"/>
      <c r="H13" s="149"/>
      <c r="I13" s="132"/>
      <c r="J13" s="132"/>
    </row>
    <row r="14" spans="2:14" x14ac:dyDescent="0.25">
      <c r="B14" s="8"/>
      <c r="C14" s="8"/>
      <c r="D14" s="8"/>
      <c r="E14" s="8"/>
      <c r="F14" s="8"/>
      <c r="G14" s="8"/>
      <c r="H14" s="8"/>
      <c r="K14" s="132"/>
      <c r="L14" s="132"/>
      <c r="M14" s="132"/>
      <c r="N14" s="132"/>
    </row>
    <row r="15" spans="2:14" ht="21" customHeight="1" x14ac:dyDescent="0.25">
      <c r="B15" s="244" t="s">
        <v>684</v>
      </c>
      <c r="C15" s="244"/>
      <c r="D15" s="149"/>
      <c r="E15" s="149"/>
      <c r="F15" s="8"/>
      <c r="G15" s="8"/>
      <c r="H15" s="8"/>
      <c r="K15" s="132"/>
      <c r="L15" s="132"/>
      <c r="M15" s="132"/>
      <c r="N15" s="132"/>
    </row>
    <row r="16" spans="2:14" ht="48.75" customHeight="1" x14ac:dyDescent="0.25">
      <c r="B16" s="42" t="s">
        <v>711</v>
      </c>
      <c r="C16" s="39">
        <v>6000</v>
      </c>
      <c r="D16" s="149"/>
      <c r="E16" s="150"/>
      <c r="F16" s="8"/>
      <c r="G16" s="8"/>
      <c r="H16" s="8"/>
      <c r="J16" s="103"/>
      <c r="K16" s="132"/>
      <c r="L16" s="132"/>
      <c r="M16" s="132"/>
      <c r="N16" s="132"/>
    </row>
    <row r="17" spans="2:11" x14ac:dyDescent="0.25">
      <c r="B17" s="42" t="s">
        <v>712</v>
      </c>
      <c r="C17" s="39">
        <v>2000</v>
      </c>
      <c r="D17" s="151"/>
      <c r="E17" s="149"/>
      <c r="F17" s="8"/>
      <c r="G17" s="9" t="s">
        <v>707</v>
      </c>
      <c r="H17" s="8"/>
    </row>
    <row r="18" spans="2:11" x14ac:dyDescent="0.25">
      <c r="B18" s="42" t="s">
        <v>713</v>
      </c>
      <c r="C18" s="145">
        <v>200</v>
      </c>
      <c r="D18" s="151"/>
      <c r="E18" s="149"/>
      <c r="F18" s="8"/>
      <c r="G18" s="13" t="s">
        <v>708</v>
      </c>
      <c r="H18" s="13" t="s">
        <v>709</v>
      </c>
      <c r="I18" s="13" t="s">
        <v>710</v>
      </c>
      <c r="J18" s="144"/>
    </row>
    <row r="19" spans="2:11" x14ac:dyDescent="0.25">
      <c r="B19" s="147" t="s">
        <v>723</v>
      </c>
      <c r="C19" s="39">
        <v>0</v>
      </c>
      <c r="D19" s="149"/>
      <c r="E19" s="149"/>
      <c r="F19" s="8"/>
      <c r="G19" s="42" t="s">
        <v>711</v>
      </c>
      <c r="H19" s="148">
        <v>12667</v>
      </c>
      <c r="I19" s="139">
        <v>76002</v>
      </c>
      <c r="J19" s="103"/>
    </row>
    <row r="20" spans="2:11" x14ac:dyDescent="0.25">
      <c r="B20" s="146"/>
      <c r="C20" s="138"/>
      <c r="D20" s="8"/>
      <c r="E20" s="8"/>
      <c r="F20" s="8"/>
      <c r="G20" s="42" t="s">
        <v>712</v>
      </c>
      <c r="H20" s="148">
        <v>5134</v>
      </c>
      <c r="I20" s="139">
        <v>30804</v>
      </c>
      <c r="J20" s="103"/>
    </row>
    <row r="21" spans="2:11" x14ac:dyDescent="0.25">
      <c r="B21" s="248" t="s">
        <v>690</v>
      </c>
      <c r="C21" s="248"/>
      <c r="D21" s="248"/>
      <c r="E21" s="248"/>
      <c r="F21" s="8"/>
      <c r="G21" s="42" t="s">
        <v>713</v>
      </c>
      <c r="H21" s="148">
        <v>2000</v>
      </c>
      <c r="I21" s="139">
        <v>12000</v>
      </c>
      <c r="J21" s="103"/>
    </row>
    <row r="22" spans="2:11" x14ac:dyDescent="0.25">
      <c r="B22" s="41" t="s">
        <v>692</v>
      </c>
      <c r="C22" s="41" t="s">
        <v>693</v>
      </c>
      <c r="D22" s="41" t="s">
        <v>694</v>
      </c>
      <c r="E22" s="41" t="s">
        <v>695</v>
      </c>
      <c r="F22" s="8"/>
      <c r="G22" s="8"/>
      <c r="H22" s="136"/>
      <c r="I22" s="141"/>
      <c r="K22" s="115"/>
    </row>
    <row r="23" spans="2:11" x14ac:dyDescent="0.25">
      <c r="B23" s="42" t="s">
        <v>721</v>
      </c>
      <c r="C23" s="140">
        <f>C16</f>
        <v>6000</v>
      </c>
      <c r="D23" s="35" t="s">
        <v>720</v>
      </c>
      <c r="E23" s="140">
        <v>6000</v>
      </c>
      <c r="F23" s="8"/>
      <c r="G23" s="8"/>
      <c r="H23" s="8"/>
      <c r="I23" s="141"/>
    </row>
    <row r="24" spans="2:11" x14ac:dyDescent="0.25">
      <c r="B24" s="42" t="s">
        <v>712</v>
      </c>
      <c r="C24" s="140">
        <f>C17</f>
        <v>2000</v>
      </c>
      <c r="D24" s="35" t="s">
        <v>720</v>
      </c>
      <c r="E24" s="140">
        <v>2000</v>
      </c>
      <c r="F24" s="8"/>
      <c r="G24" s="8"/>
      <c r="H24" s="8"/>
      <c r="I24" s="141"/>
    </row>
    <row r="25" spans="2:11" x14ac:dyDescent="0.25">
      <c r="B25" s="42" t="s">
        <v>713</v>
      </c>
      <c r="C25" s="140">
        <f>C18</f>
        <v>200</v>
      </c>
      <c r="D25" s="35" t="s">
        <v>720</v>
      </c>
      <c r="E25" s="140">
        <f>10%*C17</f>
        <v>200</v>
      </c>
      <c r="F25" s="8"/>
      <c r="G25" s="8"/>
      <c r="H25" s="8"/>
    </row>
    <row r="26" spans="2:11" x14ac:dyDescent="0.25">
      <c r="B26" s="42" t="s">
        <v>721</v>
      </c>
      <c r="C26" s="140">
        <f>C16</f>
        <v>6000</v>
      </c>
      <c r="D26" s="35" t="s">
        <v>714</v>
      </c>
      <c r="E26" s="140">
        <f>H19</f>
        <v>12667</v>
      </c>
      <c r="F26" s="8"/>
      <c r="G26" s="8"/>
      <c r="H26" s="8"/>
    </row>
    <row r="27" spans="2:11" x14ac:dyDescent="0.25">
      <c r="B27" s="42" t="s">
        <v>712</v>
      </c>
      <c r="C27" s="140">
        <f t="shared" ref="C27:C28" si="0">C17</f>
        <v>2000</v>
      </c>
      <c r="D27" s="35" t="s">
        <v>714</v>
      </c>
      <c r="E27" s="140">
        <f t="shared" ref="E27:E28" si="1">H20</f>
        <v>5134</v>
      </c>
      <c r="F27" s="8"/>
      <c r="G27" s="8"/>
      <c r="H27" s="8"/>
    </row>
    <row r="28" spans="2:11" x14ac:dyDescent="0.25">
      <c r="B28" s="42" t="s">
        <v>713</v>
      </c>
      <c r="C28" s="140">
        <f t="shared" si="0"/>
        <v>200</v>
      </c>
      <c r="D28" s="35" t="s">
        <v>714</v>
      </c>
      <c r="E28" s="140">
        <f t="shared" si="1"/>
        <v>2000</v>
      </c>
      <c r="F28" s="8"/>
      <c r="G28" s="8"/>
      <c r="H28" s="118"/>
    </row>
    <row r="29" spans="2:11" x14ac:dyDescent="0.25">
      <c r="B29" s="8" t="s">
        <v>709</v>
      </c>
      <c r="C29" s="134">
        <f>+SUM(C16:C19)</f>
        <v>8200</v>
      </c>
      <c r="D29" s="8" t="s">
        <v>724</v>
      </c>
      <c r="E29" s="8">
        <v>15000</v>
      </c>
      <c r="F29" s="8"/>
      <c r="G29" s="8"/>
      <c r="H29" s="118"/>
    </row>
    <row r="30" spans="2:11" x14ac:dyDescent="0.25">
      <c r="B30" s="240" t="s">
        <v>696</v>
      </c>
      <c r="C30" s="240"/>
      <c r="D30" s="137" t="s">
        <v>705</v>
      </c>
      <c r="E30" s="8"/>
      <c r="F30" s="8"/>
      <c r="G30" s="8"/>
      <c r="H30" s="118"/>
    </row>
    <row r="31" spans="2:11" x14ac:dyDescent="0.25">
      <c r="B31" s="86" t="s">
        <v>722</v>
      </c>
      <c r="C31" s="142" cm="1">
        <f t="array" ref="C31">SUM(C16:C19*6)</f>
        <v>49200</v>
      </c>
      <c r="D31" s="143">
        <v>28806</v>
      </c>
      <c r="E31" s="8"/>
    </row>
    <row r="32" spans="2:11" x14ac:dyDescent="0.25">
      <c r="B32" s="8"/>
      <c r="C32" s="8"/>
      <c r="D32" s="8"/>
      <c r="E32" s="8"/>
      <c r="F32" s="8"/>
      <c r="G32" s="8"/>
      <c r="H32" s="118"/>
    </row>
    <row r="33" spans="2:9" x14ac:dyDescent="0.25">
      <c r="B33" s="240"/>
      <c r="C33" s="240"/>
      <c r="D33" s="62"/>
      <c r="E33" s="8"/>
      <c r="F33" s="8"/>
      <c r="G33" s="8"/>
      <c r="H33" s="118"/>
    </row>
    <row r="34" spans="2:9" x14ac:dyDescent="0.25">
      <c r="B34" s="86"/>
      <c r="C34" s="87"/>
      <c r="D34" s="88"/>
      <c r="E34" s="8"/>
    </row>
    <row r="36" spans="2:9" x14ac:dyDescent="0.25">
      <c r="B36" s="82"/>
    </row>
    <row r="37" spans="2:9" x14ac:dyDescent="0.25">
      <c r="G37" s="119"/>
    </row>
    <row r="38" spans="2:9" x14ac:dyDescent="0.25">
      <c r="B38" s="132"/>
      <c r="C38" s="132"/>
      <c r="D38" s="132"/>
      <c r="E38" s="132"/>
    </row>
    <row r="39" spans="2:9" x14ac:dyDescent="0.25">
      <c r="B39" s="132"/>
      <c r="C39" s="132"/>
      <c r="D39" s="132"/>
      <c r="E39" s="132"/>
    </row>
    <row r="40" spans="2:9" ht="15.75" thickBot="1" x14ac:dyDescent="0.3">
      <c r="B40" s="132"/>
      <c r="C40" s="132"/>
      <c r="D40" s="132"/>
      <c r="E40" s="132"/>
    </row>
    <row r="41" spans="2:9" x14ac:dyDescent="0.25">
      <c r="B41" s="225" t="s">
        <v>706</v>
      </c>
      <c r="C41" s="226"/>
      <c r="D41" s="226"/>
      <c r="E41" s="226"/>
      <c r="F41" s="226"/>
      <c r="G41" s="227"/>
      <c r="H41" s="8"/>
    </row>
    <row r="42" spans="2:9" x14ac:dyDescent="0.25">
      <c r="B42" s="228"/>
      <c r="C42" s="229"/>
      <c r="D42" s="229"/>
      <c r="E42" s="229"/>
      <c r="F42" s="229"/>
      <c r="G42" s="230"/>
      <c r="H42" s="8"/>
    </row>
    <row r="43" spans="2:9" x14ac:dyDescent="0.25">
      <c r="B43" s="228"/>
      <c r="C43" s="229"/>
      <c r="D43" s="229"/>
      <c r="E43" s="229"/>
      <c r="F43" s="229"/>
      <c r="G43" s="230"/>
      <c r="H43" s="8"/>
    </row>
    <row r="44" spans="2:9" x14ac:dyDescent="0.25">
      <c r="B44" s="228"/>
      <c r="C44" s="229"/>
      <c r="D44" s="229"/>
      <c r="E44" s="229"/>
      <c r="F44" s="229"/>
      <c r="G44" s="230"/>
      <c r="H44" s="8"/>
    </row>
    <row r="45" spans="2:9" x14ac:dyDescent="0.25">
      <c r="B45" s="228"/>
      <c r="C45" s="229"/>
      <c r="D45" s="229"/>
      <c r="E45" s="229"/>
      <c r="F45" s="229"/>
      <c r="G45" s="230"/>
      <c r="H45" s="8"/>
    </row>
    <row r="46" spans="2:9" x14ac:dyDescent="0.25">
      <c r="B46" s="228"/>
      <c r="C46" s="229"/>
      <c r="D46" s="229"/>
      <c r="E46" s="229"/>
      <c r="F46" s="229"/>
      <c r="G46" s="230"/>
      <c r="H46" s="8"/>
    </row>
    <row r="47" spans="2:9" x14ac:dyDescent="0.25">
      <c r="B47" s="228"/>
      <c r="C47" s="229"/>
      <c r="D47" s="229"/>
      <c r="E47" s="229"/>
      <c r="F47" s="229"/>
      <c r="G47" s="230"/>
      <c r="H47" s="8"/>
      <c r="I47" s="132"/>
    </row>
    <row r="48" spans="2:9" x14ac:dyDescent="0.25">
      <c r="B48" s="228"/>
      <c r="C48" s="229"/>
      <c r="D48" s="229"/>
      <c r="E48" s="229"/>
      <c r="F48" s="229"/>
      <c r="G48" s="230"/>
      <c r="H48" s="8"/>
    </row>
    <row r="49" spans="2:9" x14ac:dyDescent="0.25">
      <c r="B49" s="228"/>
      <c r="C49" s="229"/>
      <c r="D49" s="229"/>
      <c r="E49" s="229"/>
      <c r="F49" s="229"/>
      <c r="G49" s="230"/>
      <c r="H49" s="8"/>
    </row>
    <row r="50" spans="2:9" x14ac:dyDescent="0.25">
      <c r="B50" s="228"/>
      <c r="C50" s="229"/>
      <c r="D50" s="229"/>
      <c r="E50" s="229"/>
      <c r="F50" s="229"/>
      <c r="G50" s="230"/>
      <c r="H50" s="8"/>
    </row>
    <row r="51" spans="2:9" x14ac:dyDescent="0.25">
      <c r="B51" s="228"/>
      <c r="C51" s="229"/>
      <c r="D51" s="229"/>
      <c r="E51" s="229"/>
      <c r="F51" s="229"/>
      <c r="G51" s="230"/>
      <c r="H51" s="149"/>
      <c r="I51" s="132"/>
    </row>
    <row r="52" spans="2:9" x14ac:dyDescent="0.25">
      <c r="B52" s="228"/>
      <c r="C52" s="229"/>
      <c r="D52" s="229"/>
      <c r="E52" s="229"/>
      <c r="F52" s="229"/>
      <c r="G52" s="230"/>
      <c r="H52" s="149"/>
      <c r="I52" s="132"/>
    </row>
    <row r="53" spans="2:9" ht="15.75" thickBot="1" x14ac:dyDescent="0.3">
      <c r="B53" s="241"/>
      <c r="C53" s="242"/>
      <c r="D53" s="242"/>
      <c r="E53" s="242"/>
      <c r="F53" s="242"/>
      <c r="G53" s="243"/>
      <c r="H53" s="149"/>
      <c r="I53" s="132"/>
    </row>
    <row r="54" spans="2:9" x14ac:dyDescent="0.25">
      <c r="B54" s="8"/>
      <c r="C54" s="8"/>
      <c r="D54" s="8"/>
      <c r="E54" s="8"/>
      <c r="F54" s="8"/>
      <c r="G54" s="8"/>
      <c r="H54" s="8"/>
    </row>
    <row r="55" spans="2:9" x14ac:dyDescent="0.25">
      <c r="B55" s="244" t="s">
        <v>684</v>
      </c>
      <c r="C55" s="244"/>
      <c r="D55" s="149"/>
      <c r="E55" s="149"/>
      <c r="F55" s="8"/>
      <c r="G55" s="8"/>
      <c r="H55" s="8"/>
    </row>
    <row r="56" spans="2:9" x14ac:dyDescent="0.25">
      <c r="B56" s="42" t="s">
        <v>711</v>
      </c>
      <c r="C56" s="39"/>
      <c r="D56" s="149"/>
      <c r="E56" s="150"/>
      <c r="F56" s="8"/>
      <c r="G56" s="8"/>
      <c r="H56" s="8"/>
    </row>
    <row r="57" spans="2:9" x14ac:dyDescent="0.25">
      <c r="B57" s="42" t="s">
        <v>712</v>
      </c>
      <c r="C57" s="39"/>
      <c r="D57" s="151"/>
      <c r="E57" s="149"/>
      <c r="F57" s="8"/>
      <c r="G57" s="9" t="s">
        <v>707</v>
      </c>
      <c r="H57" s="8"/>
    </row>
    <row r="58" spans="2:9" x14ac:dyDescent="0.25">
      <c r="B58" s="42" t="s">
        <v>713</v>
      </c>
      <c r="C58" s="145"/>
      <c r="D58" s="151"/>
      <c r="E58" s="149"/>
      <c r="F58" s="8"/>
      <c r="G58" s="13" t="s">
        <v>708</v>
      </c>
      <c r="H58" s="13" t="s">
        <v>709</v>
      </c>
      <c r="I58" s="13" t="s">
        <v>710</v>
      </c>
    </row>
    <row r="59" spans="2:9" x14ac:dyDescent="0.25">
      <c r="B59" s="147" t="s">
        <v>723</v>
      </c>
      <c r="C59" s="39"/>
      <c r="D59" s="149"/>
      <c r="E59" s="149"/>
      <c r="F59" s="8"/>
      <c r="G59" s="42" t="s">
        <v>711</v>
      </c>
      <c r="H59" s="148">
        <v>12667</v>
      </c>
      <c r="I59" s="139">
        <v>76002</v>
      </c>
    </row>
    <row r="60" spans="2:9" x14ac:dyDescent="0.25">
      <c r="B60" s="146"/>
      <c r="C60" s="138"/>
      <c r="D60" s="8"/>
      <c r="E60" s="8"/>
      <c r="F60" s="8"/>
      <c r="G60" s="42" t="s">
        <v>712</v>
      </c>
      <c r="H60" s="148">
        <v>5134</v>
      </c>
      <c r="I60" s="139">
        <v>30804</v>
      </c>
    </row>
    <row r="61" spans="2:9" x14ac:dyDescent="0.25">
      <c r="B61" s="248" t="s">
        <v>690</v>
      </c>
      <c r="C61" s="248"/>
      <c r="D61" s="248"/>
      <c r="E61" s="248"/>
      <c r="F61" s="8"/>
      <c r="G61" s="42" t="s">
        <v>713</v>
      </c>
      <c r="H61" s="148">
        <v>2000</v>
      </c>
      <c r="I61" s="139">
        <v>12000</v>
      </c>
    </row>
    <row r="62" spans="2:9" x14ac:dyDescent="0.25">
      <c r="B62" s="41" t="s">
        <v>692</v>
      </c>
      <c r="C62" s="41" t="s">
        <v>693</v>
      </c>
      <c r="D62" s="41" t="s">
        <v>694</v>
      </c>
      <c r="E62" s="41" t="s">
        <v>695</v>
      </c>
      <c r="F62" s="8"/>
      <c r="G62" s="8"/>
      <c r="H62" s="136"/>
      <c r="I62" s="141"/>
    </row>
    <row r="63" spans="2:9" x14ac:dyDescent="0.25">
      <c r="B63" s="42" t="s">
        <v>721</v>
      </c>
      <c r="C63" s="140">
        <v>6000</v>
      </c>
      <c r="D63" s="35" t="s">
        <v>714</v>
      </c>
      <c r="E63" s="140">
        <f>C56</f>
        <v>0</v>
      </c>
      <c r="F63" s="8"/>
      <c r="G63" s="8"/>
      <c r="H63" s="8"/>
      <c r="I63" s="141"/>
    </row>
    <row r="64" spans="2:9" x14ac:dyDescent="0.25">
      <c r="B64" s="42" t="s">
        <v>712</v>
      </c>
      <c r="C64" s="140">
        <v>2000</v>
      </c>
      <c r="D64" s="35" t="s">
        <v>714</v>
      </c>
      <c r="E64" s="140">
        <f t="shared" ref="E64:E65" si="2">C57</f>
        <v>0</v>
      </c>
      <c r="F64" s="8"/>
      <c r="G64" s="8"/>
      <c r="H64" s="8"/>
      <c r="I64" s="141"/>
    </row>
    <row r="65" spans="2:8" x14ac:dyDescent="0.25">
      <c r="B65" s="42" t="s">
        <v>713</v>
      </c>
      <c r="C65" s="140">
        <f>10%*C57</f>
        <v>0</v>
      </c>
      <c r="D65" s="35" t="s">
        <v>714</v>
      </c>
      <c r="E65" s="140">
        <f>C58</f>
        <v>0</v>
      </c>
      <c r="F65" s="8"/>
      <c r="G65" s="8"/>
      <c r="H65" s="8"/>
    </row>
    <row r="66" spans="2:8" x14ac:dyDescent="0.25">
      <c r="B66" s="42" t="s">
        <v>709</v>
      </c>
      <c r="C66" s="140">
        <f>SUM(C56:C59)</f>
        <v>0</v>
      </c>
      <c r="D66" s="35" t="s">
        <v>714</v>
      </c>
      <c r="E66" s="140">
        <v>15000</v>
      </c>
      <c r="F66" s="8"/>
      <c r="G66" s="8"/>
      <c r="H66" s="8"/>
    </row>
    <row r="67" spans="2:8" x14ac:dyDescent="0.25">
      <c r="B67" s="42" t="s">
        <v>721</v>
      </c>
      <c r="C67" s="140">
        <f>H59</f>
        <v>12667</v>
      </c>
      <c r="D67" s="35" t="s">
        <v>714</v>
      </c>
      <c r="E67" s="140">
        <f>C56</f>
        <v>0</v>
      </c>
      <c r="F67" s="8"/>
      <c r="G67" s="8"/>
      <c r="H67" s="8"/>
    </row>
    <row r="68" spans="2:8" x14ac:dyDescent="0.25">
      <c r="B68" s="42" t="s">
        <v>712</v>
      </c>
      <c r="C68" s="140">
        <f t="shared" ref="C68:C69" si="3">H60</f>
        <v>5134</v>
      </c>
      <c r="D68" s="35" t="s">
        <v>714</v>
      </c>
      <c r="E68" s="140">
        <f t="shared" ref="E68:E69" si="4">C57</f>
        <v>0</v>
      </c>
      <c r="F68" s="8"/>
      <c r="G68" s="8"/>
      <c r="H68" s="118"/>
    </row>
    <row r="69" spans="2:8" x14ac:dyDescent="0.25">
      <c r="B69" s="42" t="s">
        <v>713</v>
      </c>
      <c r="C69" s="140">
        <f t="shared" si="3"/>
        <v>2000</v>
      </c>
      <c r="D69" s="35" t="s">
        <v>714</v>
      </c>
      <c r="E69" s="140">
        <f>C58</f>
        <v>0</v>
      </c>
      <c r="F69" s="8"/>
      <c r="G69" s="8"/>
      <c r="H69" s="118"/>
    </row>
    <row r="70" spans="2:8" x14ac:dyDescent="0.25">
      <c r="E70" s="8"/>
      <c r="F70" s="8"/>
      <c r="G70" s="8"/>
      <c r="H70" s="118"/>
    </row>
    <row r="71" spans="2:8" x14ac:dyDescent="0.25">
      <c r="E71" s="8"/>
    </row>
    <row r="72" spans="2:8" x14ac:dyDescent="0.25">
      <c r="B72" s="240" t="s">
        <v>696</v>
      </c>
      <c r="C72" s="240"/>
      <c r="D72" s="137" t="s">
        <v>705</v>
      </c>
      <c r="E72" s="8"/>
      <c r="F72" s="8"/>
      <c r="G72" s="8"/>
      <c r="H72" s="118"/>
    </row>
    <row r="73" spans="2:8" x14ac:dyDescent="0.25">
      <c r="B73" s="86" t="s">
        <v>722</v>
      </c>
      <c r="C73" s="142">
        <f>SUM(C56:C59)*6</f>
        <v>0</v>
      </c>
      <c r="D73" s="143"/>
      <c r="E73" s="8"/>
      <c r="F73" s="8"/>
      <c r="G73" s="8"/>
      <c r="H73" s="118"/>
    </row>
    <row r="74" spans="2:8" x14ac:dyDescent="0.25">
      <c r="B74" s="8"/>
      <c r="C74" s="8"/>
      <c r="D74" s="8"/>
      <c r="E74" s="8"/>
    </row>
    <row r="75" spans="2:8" x14ac:dyDescent="0.25">
      <c r="B75" s="159"/>
      <c r="C75" s="159"/>
      <c r="D75" s="62"/>
    </row>
    <row r="76" spans="2:8" x14ac:dyDescent="0.25">
      <c r="B76" s="86"/>
      <c r="C76" s="87"/>
      <c r="D76" s="88"/>
    </row>
  </sheetData>
  <mergeCells count="9">
    <mergeCell ref="B41:G53"/>
    <mergeCell ref="B55:C55"/>
    <mergeCell ref="B61:E61"/>
    <mergeCell ref="B72:C72"/>
    <mergeCell ref="B33:C33"/>
    <mergeCell ref="B1:G13"/>
    <mergeCell ref="B15:C15"/>
    <mergeCell ref="B21:E21"/>
    <mergeCell ref="B30:C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187d6d-71cf-4345-a05c-1ad4336251df" xsi:nil="true"/>
    <lcf76f155ced4ddcb4097134ff3c332f xmlns="d87bfc22-b946-4a27-992e-b569612e2370">
      <Terms xmlns="http://schemas.microsoft.com/office/infopath/2007/PartnerControls"/>
    </lcf76f155ced4ddcb4097134ff3c332f>
    <SharedWithUsers xmlns="8e187d6d-71cf-4345-a05c-1ad4336251df">
      <UserInfo>
        <DisplayName>Isabella Maria Cervantes Forero</DisplayName>
        <AccountId>23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76F077D8BAE846B1BC71F9ACADFD43" ma:contentTypeVersion="18" ma:contentTypeDescription="Crear nuevo documento." ma:contentTypeScope="" ma:versionID="1c45dc80752e809aedc6f0db5c7a762f">
  <xsd:schema xmlns:xsd="http://www.w3.org/2001/XMLSchema" xmlns:xs="http://www.w3.org/2001/XMLSchema" xmlns:p="http://schemas.microsoft.com/office/2006/metadata/properties" xmlns:ns2="d87bfc22-b946-4a27-992e-b569612e2370" xmlns:ns3="8e187d6d-71cf-4345-a05c-1ad4336251df" targetNamespace="http://schemas.microsoft.com/office/2006/metadata/properties" ma:root="true" ma:fieldsID="e74f33a9aa747f96a19cee971891333d" ns2:_="" ns3:_="">
    <xsd:import namespace="d87bfc22-b946-4a27-992e-b569612e2370"/>
    <xsd:import namespace="8e187d6d-71cf-4345-a05c-1ad433625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bfc22-b946-4a27-992e-b569612e2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87d6d-71cf-4345-a05c-1ad4336251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cdefce6-cd2c-4b03-9764-5f947de3a291}" ma:internalName="TaxCatchAll" ma:showField="CatchAllData" ma:web="8e187d6d-71cf-4345-a05c-1ad433625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F5C7A2-870E-4F8C-B6C5-95EB9FF5BE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CB8337-5E2C-456D-BC2A-2CA355DB0245}">
  <ds:schemaRefs>
    <ds:schemaRef ds:uri="http://schemas.microsoft.com/office/2006/metadata/properties"/>
    <ds:schemaRef ds:uri="http://schemas.microsoft.com/office/infopath/2007/PartnerControls"/>
    <ds:schemaRef ds:uri="8e187d6d-71cf-4345-a05c-1ad4336251df"/>
    <ds:schemaRef ds:uri="d87bfc22-b946-4a27-992e-b569612e2370"/>
  </ds:schemaRefs>
</ds:datastoreItem>
</file>

<file path=customXml/itemProps3.xml><?xml version="1.0" encoding="utf-8"?>
<ds:datastoreItem xmlns:ds="http://schemas.openxmlformats.org/officeDocument/2006/customXml" ds:itemID="{8D23F3EF-6F9E-4529-99D9-8FEE84EB58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7bfc22-b946-4a27-992e-b569612e2370"/>
    <ds:schemaRef ds:uri="8e187d6d-71cf-4345-a05c-1ad4336251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Aclaraciones</vt:lpstr>
      <vt:lpstr>Ejercicio 1</vt:lpstr>
      <vt:lpstr>Ejercicio 2</vt:lpstr>
      <vt:lpstr>Ejercicio 3</vt:lpstr>
      <vt:lpstr>Ejercicio 4</vt:lpstr>
      <vt:lpstr>Ejercicio 5</vt:lpstr>
      <vt:lpstr>Ejercicio 6</vt:lpstr>
      <vt:lpstr>Ejercicio 6 (2)</vt:lpstr>
      <vt:lpstr>Ejercicio 7</vt:lpstr>
      <vt:lpstr>Ejercicio 8</vt:lpstr>
      <vt:lpstr>Ejercicio 9</vt:lpstr>
      <vt:lpstr>Ejercicio 10</vt:lpstr>
      <vt:lpstr>Ejercicio 11</vt:lpstr>
      <vt:lpstr>Ejercicio 12</vt:lpstr>
      <vt:lpstr>Ejercicio 13</vt:lpstr>
      <vt:lpstr>Ejercicio 14</vt:lpstr>
      <vt:lpstr>Ejercicio 15</vt:lpstr>
      <vt:lpstr>Ejercicio 16</vt:lpstr>
      <vt:lpstr>Ejercicio 17</vt:lpstr>
      <vt:lpstr>Ejercicio 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2024-05-30T00:56:21Z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0x010100DD76F077D8BAE846B1BC71F9ACADFD43</vt:lpwstr>
  </property>
  <property fmtid="{D5CDD505-2E9C-101B-9397-08002B2CF9AE}" pid="3" name="MediaServiceImageTags">
    <vt:lpwstr/>
  </property>
</Properties>
</file>