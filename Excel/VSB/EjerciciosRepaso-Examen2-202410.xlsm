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Mariana Velez\Documents\6 SEMESTRE\SAD\VSB\"/>
    </mc:Choice>
  </mc:AlternateContent>
  <xr:revisionPtr revIDLastSave="0" documentId="13_ncr:1_{A8C2EA39-21CC-41E1-B656-5F5191BE8B8A}" xr6:coauthVersionLast="47" xr6:coauthVersionMax="47" xr10:uidLastSave="{00000000-0000-0000-0000-000000000000}"/>
  <bookViews>
    <workbookView xWindow="0" yWindow="0" windowWidth="10245" windowHeight="11520" tabRatio="1000" firstSheet="13" activeTab="16" xr2:uid="{A7BA04DB-CC03-49E7-B91F-7695B2D0FC00}"/>
  </bookViews>
  <sheets>
    <sheet name="Aclaraciones" sheetId="2" r:id="rId1"/>
    <sheet name="Funciones VBA" sheetId="10" r:id="rId2"/>
    <sheet name="Ejercicio 1" sheetId="25" r:id="rId3"/>
    <sheet name="Ejercicio 2" sheetId="32" r:id="rId4"/>
    <sheet name="Ejercicio 3" sheetId="8" r:id="rId5"/>
    <sheet name="Ejercicio 4" sheetId="29" r:id="rId6"/>
    <sheet name="Ejercicio 5" sheetId="15" r:id="rId7"/>
    <sheet name="Ejercicio 6" sheetId="31" r:id="rId8"/>
    <sheet name="Ejercicio 7" sheetId="17" r:id="rId9"/>
    <sheet name="Ejercicio 8" sheetId="11" r:id="rId10"/>
    <sheet name="Ejercicio 9" sheetId="20" r:id="rId11"/>
    <sheet name="Ejercicio 10" sheetId="9" r:id="rId12"/>
    <sheet name="Ejercicio 11" sheetId="26" r:id="rId13"/>
    <sheet name="Ejercicio 12" sheetId="19" r:id="rId14"/>
    <sheet name="Ejercicio 13" sheetId="28" r:id="rId15"/>
    <sheet name="Ejercicio 14" sheetId="4" r:id="rId16"/>
    <sheet name="Ejercicio 15" sheetId="12" r:id="rId17"/>
  </sheets>
  <functionGroups builtInGroupCount="19"/>
  <externalReferences>
    <externalReference r:id="rId18"/>
  </externalReferences>
  <definedNames>
    <definedName name="listadesplegable" localSheetId="12">#REF!</definedName>
    <definedName name="listadesplegable" localSheetId="13">#REF!</definedName>
    <definedName name="listadesplegable" localSheetId="15">#REF!</definedName>
    <definedName name="listadesplegable" localSheetId="7">#REF!</definedName>
    <definedName name="listadesplegable" localSheetId="9">#REF!</definedName>
    <definedName name="listadesplegable">#REF!</definedName>
    <definedName name="Productos">[1]Datos!$E$2:$E$6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28" l="1"/>
  <c r="B25" i="17"/>
  <c r="B24" i="17"/>
  <c r="B23" i="17"/>
  <c r="B22" i="17"/>
  <c r="B21" i="17"/>
  <c r="B20" i="17"/>
  <c r="B19" i="17"/>
  <c r="B18" i="17"/>
  <c r="B17" i="17"/>
  <c r="B16" i="17"/>
  <c r="B15" i="17"/>
  <c r="B14" i="17"/>
  <c r="J13" i="17"/>
  <c r="B13" i="17"/>
  <c r="J12" i="17"/>
  <c r="B12" i="17"/>
  <c r="B11" i="17"/>
  <c r="B10" i="17"/>
  <c r="B9" i="17"/>
  <c r="B8" i="17"/>
  <c r="P28" i="31"/>
  <c r="L28" i="29"/>
  <c r="O14" i="29"/>
  <c r="N14" i="29"/>
  <c r="M14" i="29"/>
  <c r="L14" i="29"/>
  <c r="K14" i="29"/>
  <c r="J14" i="29"/>
  <c r="I14" i="29"/>
  <c r="H14" i="29"/>
  <c r="G14" i="29"/>
  <c r="O13" i="29"/>
  <c r="N13" i="29"/>
  <c r="M13" i="29"/>
  <c r="K13" i="29"/>
  <c r="J13" i="29"/>
  <c r="I13" i="29"/>
  <c r="H13" i="29"/>
  <c r="G13" i="29"/>
  <c r="O12" i="29"/>
  <c r="N12" i="29"/>
  <c r="M12" i="29"/>
  <c r="L12" i="29"/>
  <c r="K12" i="29"/>
  <c r="J12" i="29"/>
  <c r="I12" i="29"/>
  <c r="H12" i="29"/>
  <c r="G12" i="29"/>
  <c r="O11" i="29"/>
  <c r="N11" i="29"/>
  <c r="M11" i="29"/>
  <c r="L11" i="29"/>
  <c r="K11" i="29"/>
  <c r="J11" i="29"/>
  <c r="I11" i="29"/>
  <c r="H11" i="29"/>
  <c r="G11" i="29"/>
  <c r="O10" i="29"/>
  <c r="N10" i="29"/>
  <c r="M10" i="29"/>
  <c r="L10" i="29"/>
  <c r="K10" i="29"/>
  <c r="J10" i="29"/>
  <c r="I10" i="29"/>
  <c r="H10" i="29"/>
  <c r="G10" i="29"/>
  <c r="O9" i="29"/>
  <c r="N9" i="29"/>
  <c r="M9" i="29"/>
  <c r="L9" i="29"/>
  <c r="K9" i="29"/>
  <c r="J9" i="29"/>
  <c r="I9" i="29"/>
  <c r="H9" i="29"/>
  <c r="G9" i="29"/>
  <c r="O8" i="29"/>
  <c r="N8" i="29"/>
  <c r="M8" i="29"/>
  <c r="L8" i="29"/>
  <c r="K8" i="29"/>
  <c r="J8" i="29"/>
  <c r="I8" i="29"/>
  <c r="H8" i="29"/>
  <c r="G8" i="29"/>
  <c r="G12" i="11" a="1"/>
  <c r="D12" i="11" a="1"/>
  <c r="I17" i="17" a="1"/>
  <c r="BC4" i="31" a="1"/>
  <c r="D11" i="15" a="1"/>
  <c r="D7" i="29" a="1"/>
  <c r="J10" i="17" a="1"/>
  <c r="G12" i="11" l="1"/>
  <c r="D12" i="11"/>
  <c r="I17" i="17"/>
  <c r="D11" i="15"/>
  <c r="BC4" i="31"/>
  <c r="J10" i="17"/>
  <c r="D7" i="2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<sst xmlns="http://schemas.openxmlformats.org/spreadsheetml/2006/main" count="1328" uniqueCount="476">
  <si>
    <t>Ejercicios de Práctica: Examen 2</t>
  </si>
  <si>
    <t>IIND2109 ‐ Sistemas de Apoyo a la Decisión</t>
  </si>
  <si>
    <t>*</t>
  </si>
  <si>
    <r>
      <t xml:space="preserve">Estos ejercicios </t>
    </r>
    <r>
      <rPr>
        <b/>
        <sz val="12"/>
        <color rgb="FF000000"/>
        <rFont val="Calibri Light"/>
        <family val="2"/>
        <scheme val="major"/>
      </rPr>
      <t xml:space="preserve">no tienen nota, no deben ser entregados y no se calificarán.  </t>
    </r>
    <r>
      <rPr>
        <sz val="12"/>
        <color rgb="FF000000"/>
        <rFont val="Calibri Light"/>
        <family val="2"/>
        <scheme val="major"/>
      </rPr>
      <t xml:space="preserve"> </t>
    </r>
  </si>
  <si>
    <r>
      <t xml:space="preserve">Para preparar el examen, se recomienda hacer los ejercicios </t>
    </r>
    <r>
      <rPr>
        <b/>
        <sz val="12"/>
        <color rgb="FF000000"/>
        <rFont val="Calibri Light"/>
        <family val="2"/>
        <scheme val="major"/>
      </rPr>
      <t>a consciencia, de manera individual y siguiendo las instrucciones</t>
    </r>
    <r>
      <rPr>
        <sz val="12"/>
        <color rgb="FF000000"/>
        <rFont val="Calibri Light"/>
        <family val="2"/>
        <scheme val="major"/>
      </rPr>
      <t xml:space="preserve"> presentadas continuación.</t>
    </r>
  </si>
  <si>
    <r>
      <t xml:space="preserve">La solución a cada ejercicio se debe desarrollar en las celdas indicadas de </t>
    </r>
    <r>
      <rPr>
        <b/>
        <sz val="12"/>
        <color theme="9"/>
        <rFont val="Calibri Light"/>
        <family val="2"/>
        <scheme val="major"/>
      </rPr>
      <t>color verde</t>
    </r>
    <r>
      <rPr>
        <sz val="12"/>
        <color theme="1"/>
        <rFont val="Calibri Light"/>
        <family val="2"/>
        <scheme val="major"/>
      </rPr>
      <t>. No use celdas adicionales, a menos de que se indique lo contrario.</t>
    </r>
  </si>
  <si>
    <t>La solución desarrollada debe ser independiente de la información consignada en las tablas o celdas respectivas. Es decir, su solución debe funcionar inclusive si los datos cambian.</t>
  </si>
  <si>
    <r>
      <t xml:space="preserve">Tenga en cuenta que las tablas de datos </t>
    </r>
    <r>
      <rPr>
        <b/>
        <sz val="12"/>
        <color rgb="FF000000"/>
        <rFont val="Calibri Light"/>
        <family val="2"/>
        <scheme val="major"/>
      </rPr>
      <t>NO</t>
    </r>
    <r>
      <rPr>
        <sz val="12"/>
        <color rgb="FF000000"/>
        <rFont val="Calibri Light"/>
        <family val="2"/>
        <scheme val="major"/>
      </rPr>
      <t xml:space="preserve"> podrán ser modificadas por usted a menos que el enunciado sea explícito y lo permita. </t>
    </r>
    <r>
      <rPr>
        <b/>
        <sz val="12"/>
        <color rgb="FF000000"/>
        <rFont val="Calibri Light"/>
        <family val="2"/>
        <scheme val="major"/>
      </rPr>
      <t>NO</t>
    </r>
    <r>
      <rPr>
        <sz val="12"/>
        <color rgb="FF000000"/>
        <rFont val="Calibri Light"/>
        <family val="2"/>
        <scheme val="major"/>
      </rPr>
      <t xml:space="preserve"> se permite ordenar ni manipular los datos de las tablas.</t>
    </r>
  </si>
  <si>
    <r>
      <t xml:space="preserve">Para resolver dudas sobre estos ejercicios debe asistir a un horario de atención. </t>
    </r>
    <r>
      <rPr>
        <b/>
        <sz val="12"/>
        <color rgb="FF000000"/>
        <rFont val="Calibri Light"/>
        <family val="2"/>
        <scheme val="major"/>
      </rPr>
      <t>No se responderán preguntas por correo</t>
    </r>
    <r>
      <rPr>
        <sz val="12"/>
        <color rgb="FF000000"/>
        <rFont val="Calibri Light"/>
        <family val="2"/>
        <scheme val="major"/>
      </rPr>
      <t xml:space="preserve"> ni por ningún otro medio.</t>
    </r>
  </si>
  <si>
    <r>
      <t xml:space="preserve">Para cada ejercicio, la solución a la que se debe llegar se señala en color </t>
    </r>
    <r>
      <rPr>
        <b/>
        <sz val="12"/>
        <color rgb="FFFFC000"/>
        <rFont val="Calibri Light"/>
        <family val="2"/>
        <scheme val="major"/>
      </rPr>
      <t>amarillo</t>
    </r>
    <r>
      <rPr>
        <sz val="12"/>
        <color rgb="FF000000"/>
        <rFont val="Calibri Light"/>
        <family val="2"/>
        <scheme val="major"/>
      </rPr>
      <t xml:space="preserve">. </t>
    </r>
  </si>
  <si>
    <t>Resolver estos ejercicios es lo mínimo que debe hacer para preparar el examen. Se recomienda revisar detalladamente todo el material del curso (p. ej., talleres magistrales o complementarias).</t>
  </si>
  <si>
    <r>
      <t xml:space="preserve">Los ejercicios no pretenden ser exhaustivos ni cubrir todos los temas del Examen 2. Recuerde que el Examen 2 abarca todos los temas de Visual Basic vistos. Es </t>
    </r>
    <r>
      <rPr>
        <b/>
        <sz val="12"/>
        <color theme="1"/>
        <rFont val="Calibri Light"/>
        <family val="2"/>
        <scheme val="major"/>
      </rPr>
      <t>su responsabilidad</t>
    </r>
    <r>
      <rPr>
        <sz val="12"/>
        <color theme="1"/>
        <rFont val="Calibri Light"/>
        <family val="2"/>
        <scheme val="major"/>
      </rPr>
      <t xml:space="preserve"> revisar, estudiar y entender todos los temas que abarca el examen.</t>
    </r>
  </si>
  <si>
    <t>En los enunciados se utiliza la coma "," como separador decimal y el punto "." como separador de miles.</t>
  </si>
  <si>
    <t>Nombre y parámetro</t>
  </si>
  <si>
    <t>Devolución</t>
  </si>
  <si>
    <t xml:space="preserve"> Devuelve el número de letras en una cadena de texto x.</t>
  </si>
  <si>
    <t>Extrae de una cadena de texto x, otra cadena que empieza en la posición y. Se extraen z caracteres.</t>
  </si>
  <si>
    <t xml:space="preserve"> Devuelve una cadena de texto x en mayúsculas.</t>
  </si>
  <si>
    <t xml:space="preserve"> Devuelve una cadena de texto x en minúsculas.</t>
  </si>
  <si>
    <t xml:space="preserve"> Devuelve el residuo de la división del número a entre el número b.</t>
  </si>
  <si>
    <t xml:space="preserve"> Devuelve el valor x convertido a tipo Integer.</t>
  </si>
  <si>
    <t>Devuelve la posición de un substring a dentro de x, buscando desde la posición n.</t>
  </si>
  <si>
    <t xml:space="preserve"> Revisa si y está vacío.</t>
  </si>
  <si>
    <t xml:space="preserve"> Revisa si y es nulo.</t>
  </si>
  <si>
    <t xml:space="preserve"> Revisa si y es un número.</t>
  </si>
  <si>
    <t xml:space="preserve"> Devuelve el índice en donde irá el último elemento del arreglo.</t>
  </si>
  <si>
    <t>Ejercicio 1</t>
  </si>
  <si>
    <t>Respuesta</t>
  </si>
  <si>
    <t>Programa de televisión:</t>
  </si>
  <si>
    <t>Sin SAD no hay paraíso</t>
  </si>
  <si>
    <t>Tu eres el índice de mi coincidir</t>
  </si>
  <si>
    <t>Última fecha de emisión:</t>
  </si>
  <si>
    <t>30 de enero</t>
  </si>
  <si>
    <t>5 de abril</t>
  </si>
  <si>
    <t>Tabla 1. Programación histórica de SAD tv</t>
  </si>
  <si>
    <t>Fecha</t>
  </si>
  <si>
    <t>8:00-9:00</t>
  </si>
  <si>
    <t>9:00-10:00</t>
  </si>
  <si>
    <t>10:00-11:00</t>
  </si>
  <si>
    <t>1 de enero</t>
  </si>
  <si>
    <t>Reto 4 elementos</t>
  </si>
  <si>
    <t>Quien conociera a María amaría a María</t>
  </si>
  <si>
    <t>2 de enero</t>
  </si>
  <si>
    <t>3 de enero</t>
  </si>
  <si>
    <t>4 de enero</t>
  </si>
  <si>
    <t>5 de enero</t>
  </si>
  <si>
    <t>Humor en familia</t>
  </si>
  <si>
    <t>Noticiero</t>
  </si>
  <si>
    <t>Terror dominical</t>
  </si>
  <si>
    <t>6 de enero</t>
  </si>
  <si>
    <t>Festivo premier</t>
  </si>
  <si>
    <t>7 de enero</t>
  </si>
  <si>
    <t>8 de enero</t>
  </si>
  <si>
    <t>9 de enero</t>
  </si>
  <si>
    <t>Partido de la sele</t>
  </si>
  <si>
    <t>10 de enero</t>
  </si>
  <si>
    <t>11 de enero</t>
  </si>
  <si>
    <t>12 de enero</t>
  </si>
  <si>
    <t>13 de enero</t>
  </si>
  <si>
    <t>14 de enero</t>
  </si>
  <si>
    <t>15 de enero</t>
  </si>
  <si>
    <t>16 de enero</t>
  </si>
  <si>
    <t>17 de enero</t>
  </si>
  <si>
    <t>18 de enero</t>
  </si>
  <si>
    <t>19 de enero</t>
  </si>
  <si>
    <t>20 de enero</t>
  </si>
  <si>
    <t>21 de enero</t>
  </si>
  <si>
    <t>22 de enero</t>
  </si>
  <si>
    <t>23 de enero</t>
  </si>
  <si>
    <t>24 de enero</t>
  </si>
  <si>
    <t>25 de enero</t>
  </si>
  <si>
    <t>26 de enero</t>
  </si>
  <si>
    <t>27 de enero</t>
  </si>
  <si>
    <t>28 de enero</t>
  </si>
  <si>
    <t>29 de enero</t>
  </si>
  <si>
    <t>31 de enero</t>
  </si>
  <si>
    <t>El tiempo es constante</t>
  </si>
  <si>
    <t>1 de febrero</t>
  </si>
  <si>
    <t>2 de febrero</t>
  </si>
  <si>
    <t>3 de febrero</t>
  </si>
  <si>
    <t>4 de febrero</t>
  </si>
  <si>
    <t>5 de febrero</t>
  </si>
  <si>
    <t>6 de febrero</t>
  </si>
  <si>
    <t>7 de febrero</t>
  </si>
  <si>
    <t>8 de febrero</t>
  </si>
  <si>
    <t>9 de febrero</t>
  </si>
  <si>
    <t>10 de febrero</t>
  </si>
  <si>
    <t>11 de febrero</t>
  </si>
  <si>
    <t>12 de febrero</t>
  </si>
  <si>
    <t>13 de febrero</t>
  </si>
  <si>
    <t>14 de febrero</t>
  </si>
  <si>
    <t>15 de febrero</t>
  </si>
  <si>
    <t>16 de febrero</t>
  </si>
  <si>
    <t>17 de febrero</t>
  </si>
  <si>
    <t>18 de febrero</t>
  </si>
  <si>
    <t>19 de febrero</t>
  </si>
  <si>
    <t>20 de febrero</t>
  </si>
  <si>
    <t>21 de febrero</t>
  </si>
  <si>
    <t>22 de febrero</t>
  </si>
  <si>
    <t>23 de febrero</t>
  </si>
  <si>
    <t>24 de febrero</t>
  </si>
  <si>
    <t>25 de febrero</t>
  </si>
  <si>
    <t>26 de febrero</t>
  </si>
  <si>
    <t>27 de febrero</t>
  </si>
  <si>
    <t>28 de febrero</t>
  </si>
  <si>
    <t>1 de marzo</t>
  </si>
  <si>
    <t>2 de marzo</t>
  </si>
  <si>
    <t>3 de marzo</t>
  </si>
  <si>
    <t>4 de marzo</t>
  </si>
  <si>
    <t>5 de marzo</t>
  </si>
  <si>
    <t>6 de marzo</t>
  </si>
  <si>
    <t>7 de marzo</t>
  </si>
  <si>
    <t>8 de marzo</t>
  </si>
  <si>
    <t>9 de marzo</t>
  </si>
  <si>
    <t>10 de marzo</t>
  </si>
  <si>
    <t>11 de marzo</t>
  </si>
  <si>
    <t>12 de marzo</t>
  </si>
  <si>
    <t>13 de marzo</t>
  </si>
  <si>
    <t>14 de marzo</t>
  </si>
  <si>
    <t>15 de marzo</t>
  </si>
  <si>
    <t>16 de marzo</t>
  </si>
  <si>
    <t>17 de marzo</t>
  </si>
  <si>
    <t>18 de marzo</t>
  </si>
  <si>
    <t>19 de marzo</t>
  </si>
  <si>
    <t>20 de marzo</t>
  </si>
  <si>
    <t>21 de marzo</t>
  </si>
  <si>
    <t>22 de marzo</t>
  </si>
  <si>
    <t>23 de marzo</t>
  </si>
  <si>
    <t>24 de marzo</t>
  </si>
  <si>
    <t>25 de marzo</t>
  </si>
  <si>
    <t>26 de marzo</t>
  </si>
  <si>
    <t>27 de marzo</t>
  </si>
  <si>
    <t>28 de marzo</t>
  </si>
  <si>
    <t>29 de marzo</t>
  </si>
  <si>
    <t>30 de marzo</t>
  </si>
  <si>
    <t>31 de marzo</t>
  </si>
  <si>
    <t>1 de abril</t>
  </si>
  <si>
    <t>2 de abril</t>
  </si>
  <si>
    <t>3 de abril</t>
  </si>
  <si>
    <t>4 de abril</t>
  </si>
  <si>
    <t>6 de abril</t>
  </si>
  <si>
    <t>7 de abril</t>
  </si>
  <si>
    <t>8 de abril</t>
  </si>
  <si>
    <t>Amigos</t>
  </si>
  <si>
    <t>9 de abril</t>
  </si>
  <si>
    <t>10 de abril</t>
  </si>
  <si>
    <t>11 de abril</t>
  </si>
  <si>
    <t>Programación semana santa</t>
  </si>
  <si>
    <t>12 de abril</t>
  </si>
  <si>
    <t>13 de abril</t>
  </si>
  <si>
    <t>14 de abril</t>
  </si>
  <si>
    <t>15 de abril</t>
  </si>
  <si>
    <t>16 de abril</t>
  </si>
  <si>
    <t>17 de abril</t>
  </si>
  <si>
    <t>18 de abril</t>
  </si>
  <si>
    <t>19 de abril</t>
  </si>
  <si>
    <t>Ejercicio 2</t>
  </si>
  <si>
    <t>Ejemplo:</t>
  </si>
  <si>
    <t>Solución</t>
  </si>
  <si>
    <t>Rango</t>
  </si>
  <si>
    <t>Ejercicio 3</t>
  </si>
  <si>
    <r>
      <t xml:space="preserve">El triángulo de Pascal es una representación de los coeficientes para expandir las potencias de binomios, como (a+b)^n. Sus diagonales y cúspide tienen el valor de 1, y los valores intermedios surgen de la suma de dos valores consecutivos de la fila anterior.
Realice una subrutina que escriba desde la celda </t>
    </r>
    <r>
      <rPr>
        <b/>
        <sz val="11"/>
        <color theme="1"/>
        <rFont val="Calibri Light"/>
        <family val="2"/>
        <scheme val="major"/>
      </rPr>
      <t>C15</t>
    </r>
    <r>
      <rPr>
        <sz val="11"/>
        <color theme="1"/>
        <rFont val="Calibri Light"/>
        <family val="2"/>
        <scheme val="major"/>
      </rPr>
      <t xml:space="preserve">, los coeficientes correspondientes según la potencia positiva indicada en la celda </t>
    </r>
    <r>
      <rPr>
        <b/>
        <sz val="11"/>
        <color theme="1"/>
        <rFont val="Calibri Light"/>
        <family val="2"/>
        <scheme val="major"/>
      </rPr>
      <t>C16</t>
    </r>
    <r>
      <rPr>
        <sz val="11"/>
        <color theme="1"/>
        <rFont val="Calibri Light"/>
        <family val="2"/>
        <scheme val="major"/>
      </rPr>
      <t>. Los coeficientes los debe escribir hacia la derecha. Asocie su subrutina al botón: ¡Calcular📟!</t>
    </r>
  </si>
  <si>
    <r>
      <rPr>
        <b/>
        <sz val="11"/>
        <color theme="1"/>
        <rFont val="Calibri Light"/>
        <family val="2"/>
        <scheme val="major"/>
      </rPr>
      <t xml:space="preserve">Figura 1. </t>
    </r>
    <r>
      <rPr>
        <sz val="11"/>
        <color theme="1"/>
        <rFont val="Calibri Light"/>
        <family val="2"/>
        <scheme val="major"/>
      </rPr>
      <t>Triángulo de Pascal hasta n = 5.</t>
    </r>
  </si>
  <si>
    <r>
      <rPr>
        <b/>
        <sz val="11"/>
        <color theme="1"/>
        <rFont val="Calibri Light"/>
        <family val="2"/>
        <scheme val="major"/>
      </rPr>
      <t xml:space="preserve">Ejemplo. </t>
    </r>
    <r>
      <rPr>
        <sz val="11"/>
        <color theme="1"/>
        <rFont val="Calibri Light"/>
        <family val="2"/>
        <scheme val="major"/>
      </rPr>
      <t>Triángulo de Pascal para</t>
    </r>
    <r>
      <rPr>
        <b/>
        <sz val="11"/>
        <color theme="1"/>
        <rFont val="Calibri Light"/>
        <family val="2"/>
        <scheme val="major"/>
      </rPr>
      <t xml:space="preserve"> </t>
    </r>
    <r>
      <rPr>
        <sz val="11"/>
        <color theme="1"/>
        <rFont val="Calibri Light"/>
        <family val="2"/>
        <scheme val="major"/>
      </rPr>
      <t>n = 4</t>
    </r>
  </si>
  <si>
    <t>n</t>
  </si>
  <si>
    <t>Coeficientes</t>
  </si>
  <si>
    <t>Ejercicio 4</t>
  </si>
  <si>
    <t>Función</t>
  </si>
  <si>
    <t>Ejemplo</t>
  </si>
  <si>
    <t>Para la función =PosicionLlena(F13:N19), retorna 6-9</t>
  </si>
  <si>
    <t>H</t>
  </si>
  <si>
    <t>F</t>
  </si>
  <si>
    <t>M</t>
  </si>
  <si>
    <t/>
  </si>
  <si>
    <t>N</t>
  </si>
  <si>
    <t>J</t>
  </si>
  <si>
    <t>P</t>
  </si>
  <si>
    <t>O</t>
  </si>
  <si>
    <t>C</t>
  </si>
  <si>
    <t>B</t>
  </si>
  <si>
    <t>G</t>
  </si>
  <si>
    <t>D</t>
  </si>
  <si>
    <t>L</t>
  </si>
  <si>
    <t>A</t>
  </si>
  <si>
    <t>Ejercicio 5</t>
  </si>
  <si>
    <t>Cadena 1</t>
  </si>
  <si>
    <t>Banana</t>
  </si>
  <si>
    <t>Cadena 2</t>
  </si>
  <si>
    <t>na</t>
  </si>
  <si>
    <t>Ejercicio 6</t>
  </si>
  <si>
    <t># cuadros n-ésima región más grande:</t>
  </si>
  <si>
    <t>Ejercicio 7</t>
  </si>
  <si>
    <t>Tabla 1</t>
  </si>
  <si>
    <t>Tabla 2</t>
  </si>
  <si>
    <t>Números</t>
  </si>
  <si>
    <t>K.ESIMO.MAYOR(J8:J25,2)</t>
  </si>
  <si>
    <t>MAX</t>
  </si>
  <si>
    <t>Ejercicio 8</t>
  </si>
  <si>
    <t>Test de calidad:</t>
  </si>
  <si>
    <t>Tabla 1. Fichas necesarias para armar LEGO</t>
  </si>
  <si>
    <t>Tabla 2. Fichas del LEGO siendo revisado</t>
  </si>
  <si>
    <t xml:space="preserve">Fichas
</t>
  </si>
  <si>
    <t xml:space="preserve">Black Bar 1L with 1 x 1 Round Plate with Hollow Stud 
</t>
  </si>
  <si>
    <t xml:space="preserve">Dark Bluish Gray Brick, Modified 1 x 1 with Open O Clip (Vertical Grip) - Hollow Stud 
</t>
  </si>
  <si>
    <t xml:space="preserve">Black Brick 2 x 4 
</t>
  </si>
  <si>
    <t xml:space="preserve">Orange Brick, Round 2 x 2 Dome Bottom with Studs 
</t>
  </si>
  <si>
    <t xml:space="preserve">Black Cone 1 x 1 Inverted with Bar 
</t>
  </si>
  <si>
    <t xml:space="preserve">Dark Bluish Gray Plate, Modified 1 x 2 with Door Rail 
</t>
  </si>
  <si>
    <t xml:space="preserve">Light Bluish Gray Plate, Modified 1 x 2 with 1 Stud with Groove and Bottom Stud Holder (Jumper) 
</t>
  </si>
  <si>
    <t xml:space="preserve">Olive Green Brick 1 x 1 
</t>
  </si>
  <si>
    <t xml:space="preserve">Trans-Clear Antenna 4H - Flat Top 
</t>
  </si>
  <si>
    <t xml:space="preserve">Black Minifigure, Utensil Wand, 2 on Sprue 
</t>
  </si>
  <si>
    <t xml:space="preserve">Tan Window 1 x 2 x 2 Flat Front 
</t>
  </si>
  <si>
    <t xml:space="preserve">Black Plate 1 x 1 
</t>
  </si>
  <si>
    <t xml:space="preserve">Tan Arch 1 x 5 x 4 - Continuous Bow 
</t>
  </si>
  <si>
    <t xml:space="preserve">Black Plate 2 x 2 
</t>
  </si>
  <si>
    <t xml:space="preserve">Olive Green Plate 1 x 2 
</t>
  </si>
  <si>
    <t xml:space="preserve">Tan Window 1 x 2 x 2 2/3 with Rounded Top 
</t>
  </si>
  <si>
    <t xml:space="preserve">Tan Arch 1 x 3 x 3 
</t>
  </si>
  <si>
    <t xml:space="preserve">Black Plate, Modified 1 x 1 with Light Attachment - Thick Ring 
</t>
  </si>
  <si>
    <t xml:space="preserve">Dark Brown Plate 1 x 2 
</t>
  </si>
  <si>
    <t xml:space="preserve">Black Plate, Modified 1 x 2 with Pin Hole on Bottom 
</t>
  </si>
  <si>
    <t xml:space="preserve">Dark Bluish Gray Brick 1 x 3 
</t>
  </si>
  <si>
    <t xml:space="preserve">Black Plate, Modified 2 x 2 with Groove and 1 Stud in Center (Jumper) 
</t>
  </si>
  <si>
    <t xml:space="preserve">Sand Green Plate, Modified 2 x 2 with Groove and 1 Stud in Center (Jumper) 
</t>
  </si>
  <si>
    <t xml:space="preserve">Black Plate, Round 2 x 2 with Rounded Bottom (Boat Stud) 
</t>
  </si>
  <si>
    <t xml:space="preserve">Black Slope, Curved 2 x 1 x 2/3 Inverted 
</t>
  </si>
  <si>
    <t xml:space="preserve">Light Bluish Gray Brick, Modified 1 x 2 with Studs on Side 
</t>
  </si>
  <si>
    <t xml:space="preserve">Black Technic, Pin with Short Friction Ridges 
</t>
  </si>
  <si>
    <t xml:space="preserve">Tan Window 1 x 2 x 2 Castle 
</t>
  </si>
  <si>
    <t xml:space="preserve">Black Tile, Modified 1 x 1 with Open O Clip 
</t>
  </si>
  <si>
    <t xml:space="preserve">Dark Tan Tile 2 x 2 Corner 
</t>
  </si>
  <si>
    <t xml:space="preserve">Tan Slope 30 1 x 1 x 2/3 
</t>
  </si>
  <si>
    <t xml:space="preserve">Blue Technic, Axle 1L with Pin with Friction Ridges 
</t>
  </si>
  <si>
    <t xml:space="preserve">Dark Blue Plate, Modified 2 x 2 with Groove and 1 Stud in Center (Jumper) 
</t>
  </si>
  <si>
    <t xml:space="preserve">Flat Silver Cone 1 1/6 x 1 1/6 x 2/3 (Fez) 
</t>
  </si>
  <si>
    <t xml:space="preserve">Dark Bluish Gray Brick 1 x 1 
</t>
  </si>
  <si>
    <t xml:space="preserve">Light Bluish Gray Technic, Pin without Friction Ridges 
</t>
  </si>
  <si>
    <t xml:space="preserve">Dark Bluish Gray Brick 1 x 2 
</t>
  </si>
  <si>
    <t xml:space="preserve">Light Bluish Gray Arch 1 x 2 Jumper 
</t>
  </si>
  <si>
    <t xml:space="preserve">Dark Tan Slope 45 2 x 1 with Cutout without Stud 
</t>
  </si>
  <si>
    <t xml:space="preserve">Tan Door, Frame 1 x 6 x 7 Rounded Pillars with Top Arch and Notches 
</t>
  </si>
  <si>
    <t xml:space="preserve">Light Bluish Gray Tile, Modified 2 x 3 Pentagonal 
</t>
  </si>
  <si>
    <t xml:space="preserve">Dark Bluish Gray Brick 2 x 2 Corner 
</t>
  </si>
  <si>
    <t xml:space="preserve">Sand Green Horn, Unicorn 
</t>
  </si>
  <si>
    <t xml:space="preserve">Dark Tan Plate, Modified 1 x 4 with 2 Studs with Groove 
</t>
  </si>
  <si>
    <t xml:space="preserve">Dark Bluish Gray Hinge Plate 1 x 4 Swivel (2429 / 2430) 
</t>
  </si>
  <si>
    <t xml:space="preserve">Dark Bluish Gray Fence 1 x 4 x 1 Lattice 
</t>
  </si>
  <si>
    <t xml:space="preserve">Dark Tan Plate, Round 1 x 2 with Open Studs 
</t>
  </si>
  <si>
    <t xml:space="preserve">Dark Bluish Gray Plate 2 x 4 
</t>
  </si>
  <si>
    <t xml:space="preserve">Dark Bluish Gray Plate 1 x 2 
</t>
  </si>
  <si>
    <t xml:space="preserve">Reddish Brown Window 1 x 2 x 2 2/3 with Rounded Top 
</t>
  </si>
  <si>
    <t xml:space="preserve">Dark Bluish Gray Plate 1 x 3 
</t>
  </si>
  <si>
    <t xml:space="preserve">Orange Plate, Modified 1 x 1 with Open O Clip Thick (Vertical Grip) 
</t>
  </si>
  <si>
    <t xml:space="preserve">Trans-Orange Wave Rounded Straight with Bar End (Castle Dragon Flame / Seaweed / Water) 
</t>
  </si>
  <si>
    <t xml:space="preserve">Red Technic, Axle 2L Notched 
</t>
  </si>
  <si>
    <t xml:space="preserve">Dark Bluish Gray Plate 2 x 2 Corner 
</t>
  </si>
  <si>
    <t xml:space="preserve">Tan Brick, Round 1 x 1 Open Stud 
</t>
  </si>
  <si>
    <t xml:space="preserve">Reddish Brown Minifigure, Utensil Seat / Chair 2 x 2 with Center Sprue Mark 
</t>
  </si>
  <si>
    <t xml:space="preserve">Satin Trans-Dark Blue Cornish Pixie with Black Eyes and Open Mouth Smile with White Teeth Pattern 
</t>
  </si>
  <si>
    <t xml:space="preserve">Trans-Clear Panel 1 x 2 x 3 with Side Supports - Hollow Studs 
</t>
  </si>
  <si>
    <t xml:space="preserve">Dark Bluish Gray Slope 45 2 x 1 
</t>
  </si>
  <si>
    <t xml:space="preserve">Tan Plate 2 x 2 Corner 
</t>
  </si>
  <si>
    <t xml:space="preserve">Dark Bluish Gray Slope 75 2 x 1 x 3 - Hollow Stud 
</t>
  </si>
  <si>
    <t xml:space="preserve">White Plate, Modified 1 x 2 with Pin Hole on Bottom 
</t>
  </si>
  <si>
    <t xml:space="preserve">Dark Bluish Gray Slope, Inverted 45 2 x 1 
</t>
  </si>
  <si>
    <t xml:space="preserve">Medium Nougat Technic, Brick 1 x 2 with Hole 
</t>
  </si>
  <si>
    <t xml:space="preserve">Dark Bluish Gray Tile, Modified 2 x 2 with Studs on Edge 
</t>
  </si>
  <si>
    <t xml:space="preserve">Sand Green Slope 45 2 x 1 
</t>
  </si>
  <si>
    <t xml:space="preserve">Dark Bluish Gray Tile, Round 2 x 2 with Hole 
</t>
  </si>
  <si>
    <t xml:space="preserve">Tan Plate 1 x 2 
</t>
  </si>
  <si>
    <t xml:space="preserve">Dark Brown Minifigure, Utensil Broom 
</t>
  </si>
  <si>
    <t xml:space="preserve">Tan Hinge Brick 1 x 4 Swivel Top 
</t>
  </si>
  <si>
    <t xml:space="preserve">Dark Brown Minifigure, Utensil Wand, 2 on Sprue 
</t>
  </si>
  <si>
    <t xml:space="preserve">Light Bluish Gray Plate, Modified 1 x 2 with 2 Open O Clips (Horizontal Grip) 
</t>
  </si>
  <si>
    <t xml:space="preserve">Reddish Brown Plate, Modified 2 x 4 with 2 Studs (Double Jumper) 
</t>
  </si>
  <si>
    <t xml:space="preserve">Dark Tan Plate 1 x 4 
</t>
  </si>
  <si>
    <t xml:space="preserve">Orange Dinosaur Jaw Lower Raptor 
</t>
  </si>
  <si>
    <t xml:space="preserve">Medium Nougat Plate 1 x 1 
</t>
  </si>
  <si>
    <t xml:space="preserve">Dark Brown Plate, Modified 1 x 2 with 1 Stud with Groove and Bottom Stud Holder (Jumper) 
</t>
  </si>
  <si>
    <t xml:space="preserve">Tan Arch 1 x 6 Raised Arch 
</t>
  </si>
  <si>
    <t xml:space="preserve">Dark Brown Window 1 x 6 x 6 Flat Front 
</t>
  </si>
  <si>
    <t xml:space="preserve">Dark Tan Wedge 2 x 2 (Slope 45 Corner) 
</t>
  </si>
  <si>
    <t xml:space="preserve">Dark Green Plate, Modified 2 x 4 with 2 Studs (Double Jumper) 
</t>
  </si>
  <si>
    <t xml:space="preserve">Dark Orange Plate, Modified 2 x 4 with 2 Studs (Double Jumper) 
</t>
  </si>
  <si>
    <t xml:space="preserve">Trans-Orange Wave Rounded Straight Large with Bar End (Flame) 
</t>
  </si>
  <si>
    <t xml:space="preserve">Dark Orange Tile 2 x 2 with Groove 
</t>
  </si>
  <si>
    <t xml:space="preserve">Dark Purple Tile 1 x 2 with Groove 
</t>
  </si>
  <si>
    <t xml:space="preserve">Dark Red Plate, Modified 2 x 2 with Groove and 1 Stud in Center (Jumper) 
</t>
  </si>
  <si>
    <t xml:space="preserve">Dark Tan Brick 1 x 2 
</t>
  </si>
  <si>
    <t xml:space="preserve">Reddish Brown Plate 1 x 6 
</t>
  </si>
  <si>
    <t xml:space="preserve">Sand Green Cone Half 4 x 2 x 3 
</t>
  </si>
  <si>
    <t xml:space="preserve">Tan Brick 1 x 2 
</t>
  </si>
  <si>
    <t xml:space="preserve">Dark Tan Brick 2 x 2 
</t>
  </si>
  <si>
    <t xml:space="preserve">Tan Plate, Modified 1 x 2 with Door Rail 
</t>
  </si>
  <si>
    <t xml:space="preserve"> Dark Tan Fence 3 x 3 x 2 Quarter Round Ornamental with 2 Studs 
</t>
  </si>
  <si>
    <t xml:space="preserve">Dark Tan Minifigure, Utensil Wand, 2 on Sprue 
</t>
  </si>
  <si>
    <t xml:space="preserve">Pearl Gold Minifigure, Utensil Telescope 
</t>
  </si>
  <si>
    <t xml:space="preserve">Dark Tan Plate 1 x 2 
</t>
  </si>
  <si>
    <t xml:space="preserve">Trans-Yellow Cone 1 x 1 with Top Groove 
</t>
  </si>
  <si>
    <t xml:space="preserve">Dark Tan Plate 4 x 8 
</t>
  </si>
  <si>
    <t xml:space="preserve">Trans-Clear Tile, Round 1 x 1 with Bar and Pin Holder 
</t>
  </si>
  <si>
    <t xml:space="preserve">Tan Slope, Inverted 45 2 x 2 with Flat Bottom Pin 
</t>
  </si>
  <si>
    <t xml:space="preserve">Dark Tan Plate, Modified 2 x 8 with Door Rail 
</t>
  </si>
  <si>
    <t xml:space="preserve">Pearl Gold Plate, Modified 1 x 1 with Tooth Vertical 
</t>
  </si>
  <si>
    <t xml:space="preserve">Dark Tan Plate, Modified 8 x 8 with Grille and Hole in Center 
</t>
  </si>
  <si>
    <t xml:space="preserve">Tan Brick, Modified 1 x 1 with Open O Clip (Vertical Grip) - Hollow Stud 
</t>
  </si>
  <si>
    <t xml:space="preserve">Dark Tan Slope 45 2 x 1 
</t>
  </si>
  <si>
    <t xml:space="preserve">Reddish Brown Plate 2 x 3 
</t>
  </si>
  <si>
    <t xml:space="preserve">Tan Tile, Round Corner 4 x 4 Macaroni Wide 
</t>
  </si>
  <si>
    <t xml:space="preserve">Dark Tan Tile 1 x 2 with Groove 
</t>
  </si>
  <si>
    <t xml:space="preserve">Dark Tan Tile 1 x 4 
</t>
  </si>
  <si>
    <t xml:space="preserve">Trans-Orange Wave Rounded Straight Single with Small Pin End (Candle Flame) 
</t>
  </si>
  <si>
    <t xml:space="preserve">Dark Tan Tile 1 x 6 
</t>
  </si>
  <si>
    <t xml:space="preserve">Tan Hinge Brick 1 x 4 Swivel Base 
</t>
  </si>
  <si>
    <t xml:space="preserve">Dark Tan Tile, Modified 2 x 2 with Studs on Edge 
</t>
  </si>
  <si>
    <t xml:space="preserve">Tan Plate 1 x 12 
</t>
  </si>
  <si>
    <t xml:space="preserve">Dark Tan Wedge, Plate 2 x 2 Cut Corner 
</t>
  </si>
  <si>
    <t xml:space="preserve">Dark Tan Wedge, Plate 3 x 6 Cut Corners 
</t>
  </si>
  <si>
    <t xml:space="preserve">Tan Tile 1 x 4 
</t>
  </si>
  <si>
    <t xml:space="preserve">Dark Tan Wedge, Plate 6 x 6 Cut Corner 
</t>
  </si>
  <si>
    <t xml:space="preserve">Tan Cylinder Half 2 x 4 x 2 with 1 x 2 Cutout 
</t>
  </si>
  <si>
    <t xml:space="preserve">Dark Tan Wedge, Plate 8 x 8 Cut Corner 
</t>
  </si>
  <si>
    <t xml:space="preserve">Medium Nougat Plate, Round 1 x 1 
</t>
  </si>
  <si>
    <t xml:space="preserve">Orange Plate, Modified 1 x 1 with Open O Clip (Horizontal Grip) 
</t>
  </si>
  <si>
    <t xml:space="preserve">Tan Brick 1 x 8 
</t>
  </si>
  <si>
    <t xml:space="preserve">Flat Silver Minifigure, Crown Tiara, 5 Points, Rounded Ends 
</t>
  </si>
  <si>
    <t xml:space="preserve">Flat Silver Minifigure, Headgear Helmet Castle with Neck Protector 
</t>
  </si>
  <si>
    <t xml:space="preserve">Light Bluish Gray Antenna Small Base with Black Lever (4592 / 4593) 
</t>
  </si>
  <si>
    <t xml:space="preserve">Light Bluish Gray Hinge Brick 1 x 2 Top Plate 
</t>
  </si>
  <si>
    <t xml:space="preserve">Light Bluish Gray Brick, Round 1 x 1 Open Stud 
</t>
  </si>
  <si>
    <t xml:space="preserve">Tan Cylinder Half 1 x 2 x 1 
</t>
  </si>
  <si>
    <t xml:space="preserve">Light Bluish Gray Container, Cupboard 2 x 3 x 2 Door 
</t>
  </si>
  <si>
    <t xml:space="preserve">Light Bluish Gray Hinge Brick 1 x 2 Base 
</t>
  </si>
  <si>
    <t xml:space="preserve">Pearl Gold Plate, Round 1 x 1 
</t>
  </si>
  <si>
    <t xml:space="preserve">Light Bluish Gray Panel 1 x 2 x 1 with Rounded Corners and 2 Sides 
</t>
  </si>
  <si>
    <t xml:space="preserve">Reddish Brown Container, Box 2 x 2 x 2 - Top Opening 
</t>
  </si>
  <si>
    <t xml:space="preserve">Light Bluish Gray Plate 1 x 2 
</t>
  </si>
  <si>
    <t xml:space="preserve">White Barb / Claw / Horn / Tooth - Small 
</t>
  </si>
  <si>
    <t xml:space="preserve">Light Bluish Gray Technic, Brick 1 x 1 with Hole 
</t>
  </si>
  <si>
    <t xml:space="preserve">Light Bluish Gray Technic, Brick 1 x 2 with Holes 
</t>
  </si>
  <si>
    <t xml:space="preserve">Medium Nougat Bar 1L with Angled Hollow Stud 
</t>
  </si>
  <si>
    <t xml:space="preserve">Tan Brick 1 x 3 
</t>
  </si>
  <si>
    <t xml:space="preserve">Medium Nougat Brick 2 x 2 
</t>
  </si>
  <si>
    <t xml:space="preserve">Medium Nougat Brick 1 x 1 
</t>
  </si>
  <si>
    <t xml:space="preserve">Sand Green Plate 2 x 6 
</t>
  </si>
  <si>
    <t xml:space="preserve">Tan Brick 1 x 2 x 2 with Inside Stud Holder 
</t>
  </si>
  <si>
    <t xml:space="preserve">Tan Technic, Brick 1 x 2 with Axle Hole 
</t>
  </si>
  <si>
    <t xml:space="preserve">Medium Nougat Brick, Modified 1 x 2 with Masonry Profile 
</t>
  </si>
  <si>
    <t xml:space="preserve">Medium Nougat Plate 1 x 2 
</t>
  </si>
  <si>
    <t xml:space="preserve">Medium Nougat Plate, Round 2 x 2 with Axle Hole 
</t>
  </si>
  <si>
    <t xml:space="preserve">White Minifigure, Utensil Candle 
</t>
  </si>
  <si>
    <t xml:space="preserve">Olive Green Plate 1 x 1 
</t>
  </si>
  <si>
    <t xml:space="preserve">Trans-Orange Plate, Round 2 x 2 with Rounded Bottom (Boat Stud) 
</t>
  </si>
  <si>
    <t xml:space="preserve">Sand Green Slope 45 2 x 1 Double with Bottom Stud Holder 
</t>
  </si>
  <si>
    <t xml:space="preserve">Olive Green Slope 30 1 x 1 x 2/3 
</t>
  </si>
  <si>
    <t xml:space="preserve">Orange Brick, Round 2 x 2 D. 45 degrees Elbow 
</t>
  </si>
  <si>
    <t xml:space="preserve">Reddish Brown Minifigure, Utensil Broom 
</t>
  </si>
  <si>
    <t xml:space="preserve">Sand Green Cone 2 x 2 x 3 Jagged - Step Drill 
</t>
  </si>
  <si>
    <t xml:space="preserve">Orange Brick, Round 2 x 2 with Pin Holes 
</t>
  </si>
  <si>
    <t xml:space="preserve">Tan Plate 1 x 3 
</t>
  </si>
  <si>
    <t xml:space="preserve">Orange Plate, Round 2 x 2 with Axle Hole 
</t>
  </si>
  <si>
    <t xml:space="preserve">Orange Serpent Basilisk Head 
</t>
  </si>
  <si>
    <t xml:space="preserve">Orange Slope, Curved 2 x 2 x 2/3 
</t>
  </si>
  <si>
    <t xml:space="preserve">Tan Brick, Round 2 x 2 with Pin Holes 
</t>
  </si>
  <si>
    <t xml:space="preserve">Orange Tile, Round 2 x 2 with Hole 
</t>
  </si>
  <si>
    <t xml:space="preserve">Pearl Gold Minifigure, Utensil Goblet 
</t>
  </si>
  <si>
    <t xml:space="preserve">Pearl Gold Plate, Modified 1 x 2 with Bar Handle on Side - Closed Ends 
</t>
  </si>
  <si>
    <t xml:space="preserve">Pearl Gold Plate, Round 1 x 1 with Flower Edge (5 Petals) 
</t>
  </si>
  <si>
    <t xml:space="preserve">Pearl Gold Tap 1 x 1 without Hole in Nozzle End 
</t>
  </si>
  <si>
    <t xml:space="preserve">Yellow Dish 2 x 2 Inverted (Radar) 
</t>
  </si>
  <si>
    <t xml:space="preserve"> Reddish Brown Door 1 x 3 x 6 with Stud Handle 
</t>
  </si>
  <si>
    <t xml:space="preserve">Reddish Brown Fence 1 x 4 x 2 Ornamental with 4 Studs 
</t>
  </si>
  <si>
    <t xml:space="preserve">Reddish Brown Minifigure, Utensil Ingot / Bar 
</t>
  </si>
  <si>
    <t xml:space="preserve">Reddish Brown Plate 1 x 2 
</t>
  </si>
  <si>
    <t xml:space="preserve">Trans-Orange Minifigure, Plume Feather Triple Compact / Flame / Water 
</t>
  </si>
  <si>
    <t xml:space="preserve">Reddish Brown Plate, Modified 2 x 2 x 2/3 with 2 Studs on Side 
</t>
  </si>
  <si>
    <t xml:space="preserve">Reddish Brown Slope 45 2 x 2 
</t>
  </si>
  <si>
    <t xml:space="preserve">Reddish Brown Slope, Curved 3 x 1 x 2 with Stud 
</t>
  </si>
  <si>
    <t xml:space="preserve">Sand Blue Container, Cupboard 2 x 3 x 2 - Hollow Studs 
</t>
  </si>
  <si>
    <t xml:space="preserve">Sand Green Cone 1 x 1 with Top Groove 
</t>
  </si>
  <si>
    <t xml:space="preserve">Sand Green Cone Half 8 x 4 x 6 
</t>
  </si>
  <si>
    <t xml:space="preserve">Tan Plate, Modified 4 x 4 with 3 x 3 Curved Cutout 
</t>
  </si>
  <si>
    <t xml:space="preserve">Sand Green Slope 30 1 x 1 x 2/3 
</t>
  </si>
  <si>
    <t xml:space="preserve">Sand Green Slope 45 2 x 4 
</t>
  </si>
  <si>
    <t xml:space="preserve">Sand Green Tile 1 x 2 with Groove 
</t>
  </si>
  <si>
    <t xml:space="preserve">Tan Arch 1 x 2 Jumper 
</t>
  </si>
  <si>
    <t xml:space="preserve">Tan Arch 1 x 3 
</t>
  </si>
  <si>
    <t xml:space="preserve">Tan Arch 1 x 4 
</t>
  </si>
  <si>
    <t xml:space="preserve">Tan Brick, Round Corner 2 x 2 Macaroni with Stud Notch and Reinforced Underside 
</t>
  </si>
  <si>
    <t xml:space="preserve">Tan Arch 1 x 8 x 2 Raised 
</t>
  </si>
  <si>
    <t xml:space="preserve">Tan Brick, Modified 1 x 2 with Log Profile 
</t>
  </si>
  <si>
    <t xml:space="preserve">Tan Brick 1 x 1 
</t>
  </si>
  <si>
    <t xml:space="preserve">Tan Brick, Modified 1 x 1 x 1 2/3 with Studs on Side 
</t>
  </si>
  <si>
    <t xml:space="preserve">Tan Brick 1 x 1 x 3 
</t>
  </si>
  <si>
    <t xml:space="preserve">Tan Brick 1 x 1 x 5 - Solid Stud 
</t>
  </si>
  <si>
    <t xml:space="preserve">Tan Brick 1 x 6 
</t>
  </si>
  <si>
    <t xml:space="preserve">Tan Brick 2 x 2 Corner 
</t>
  </si>
  <si>
    <t xml:space="preserve">Tan Brick 2 x 4 
</t>
  </si>
  <si>
    <t xml:space="preserve">Tan Brick, Modified 1 x 1 with Scroll with Hollow Stud 
</t>
  </si>
  <si>
    <t xml:space="preserve">Tan Brick, Modified 1 x 1 with Stud on Side 
</t>
  </si>
  <si>
    <t xml:space="preserve">Tan Panel 1 x 2 x 2 with Side Supports - Hollow Studs 
</t>
  </si>
  <si>
    <t xml:space="preserve">Tan Brick, Modified 1 x 14 with Groove 
</t>
  </si>
  <si>
    <t xml:space="preserve">Tan Brick, Round 2 x 2 with Axle Hole 
</t>
  </si>
  <si>
    <t xml:space="preserve">Tan Brick, Round 2 x 2 with Axle Hole and Grille / Fluted Profile 
</t>
  </si>
  <si>
    <t xml:space="preserve">Tan Slope, Inverted 45 3 x 1 Double 
</t>
  </si>
  <si>
    <t xml:space="preserve">Tan Tile 1 x 6 
</t>
  </si>
  <si>
    <t xml:space="preserve">Tan Plate 1 x 4 
</t>
  </si>
  <si>
    <t xml:space="preserve">Tan Plate 1 x 6 
</t>
  </si>
  <si>
    <t xml:space="preserve">Tan Plate 1 x 8 
</t>
  </si>
  <si>
    <t xml:space="preserve">Tan Plate 2 x 2 
</t>
  </si>
  <si>
    <t xml:space="preserve">Tan Plate, Modified 1 x 2 with Bar Arm Up (Horizontal Arm 5mm) 
</t>
  </si>
  <si>
    <t xml:space="preserve">Tan Slope 30 1 x 2 x 2/3 
</t>
  </si>
  <si>
    <t xml:space="preserve">Tan Slope 45 2 x 1 
</t>
  </si>
  <si>
    <t xml:space="preserve">Tan Slope, Curved 2 x 1 x 2/3 
</t>
  </si>
  <si>
    <t xml:space="preserve">Tan Slope, Inverted 45 2 x 1 
</t>
  </si>
  <si>
    <t xml:space="preserve">Trans-Orange Minifigure, Utensil Sherbet / Sundae Dish / Cocktail Glass 
</t>
  </si>
  <si>
    <t xml:space="preserve">White Plate, Modified 1 x 2 with Pin Hole on Top 
</t>
  </si>
  <si>
    <t xml:space="preserve">White Slope, Curved 2 x 2 x 2/3 
</t>
  </si>
  <si>
    <t>Ejercicio 9</t>
  </si>
  <si>
    <r>
      <t xml:space="preserve">Simón ha solicitado ayuda para crear un redimensionador de imágenes mediante VBA. Redimensionar una imagen implica cambiar la información de los píxeles, por lo que para reducir la resolución de una imagen, es posible mezclar los colores de píxeles vecinos.
El redimensionador debe permitir seleccionar </t>
    </r>
    <r>
      <rPr>
        <b/>
        <sz val="11"/>
        <color theme="1"/>
        <rFont val="Calibri Light"/>
        <family val="2"/>
        <scheme val="major"/>
      </rPr>
      <t>exactamente dos celdas</t>
    </r>
    <r>
      <rPr>
        <sz val="11"/>
        <color theme="1"/>
        <rFont val="Calibri Light"/>
        <family val="2"/>
        <scheme val="major"/>
      </rPr>
      <t xml:space="preserve"> simultáneamente del rango </t>
    </r>
    <r>
      <rPr>
        <b/>
        <sz val="11"/>
        <color theme="1"/>
        <rFont val="Calibri Light"/>
        <family val="2"/>
        <scheme val="major"/>
      </rPr>
      <t>G18:R29</t>
    </r>
    <r>
      <rPr>
        <sz val="11"/>
        <color theme="1"/>
        <rFont val="Calibri Light"/>
        <family val="2"/>
        <scheme val="major"/>
      </rPr>
      <t xml:space="preserve">, las cuales representan dos píxeles. Estas celdas cambiarán su color al promedio de los colores originales.
El color promedio se obtiene promediando cada componente RGB de los dos colores seleccionados. Para convertir un código largo de color (obtenido por el atributo </t>
    </r>
    <r>
      <rPr>
        <i/>
        <sz val="11"/>
        <color theme="1"/>
        <rFont val="Calibri Light"/>
        <family val="2"/>
        <scheme val="major"/>
      </rPr>
      <t>.interior.color</t>
    </r>
    <r>
      <rPr>
        <sz val="11"/>
        <color theme="1"/>
        <rFont val="Calibri Light"/>
        <family val="2"/>
        <scheme val="major"/>
      </rPr>
      <t>) a RGB (</t>
    </r>
    <r>
      <rPr>
        <i/>
        <sz val="11"/>
        <color theme="1"/>
        <rFont val="Calibri Light"/>
        <family val="2"/>
        <scheme val="major"/>
      </rPr>
      <t>rojo, verde, azul</t>
    </r>
    <r>
      <rPr>
        <sz val="11"/>
        <color theme="1"/>
        <rFont val="Calibri Light"/>
        <family val="2"/>
        <scheme val="major"/>
      </rPr>
      <t xml:space="preserve">), se pueden utilizar las siguientes expresiones:
</t>
    </r>
    <r>
      <rPr>
        <b/>
        <sz val="11"/>
        <color theme="1"/>
        <rFont val="Calibri Light"/>
        <family val="2"/>
        <scheme val="major"/>
      </rPr>
      <t>Nota:</t>
    </r>
    <r>
      <rPr>
        <sz val="11"/>
        <color theme="1"/>
        <rFont val="Calibri Light"/>
        <family val="2"/>
        <scheme val="major"/>
      </rPr>
      <t xml:space="preserve"> Use el botón ¡</t>
    </r>
    <r>
      <rPr>
        <i/>
        <sz val="11"/>
        <color theme="1"/>
        <rFont val="Calibri Light"/>
        <family val="2"/>
        <scheme val="major"/>
      </rPr>
      <t>Nueva Foto📷!</t>
    </r>
    <r>
      <rPr>
        <sz val="11"/>
        <color theme="1"/>
        <rFont val="Calibri Light"/>
        <family val="2"/>
        <scheme val="major"/>
      </rPr>
      <t xml:space="preserve"> para generar pixeles con colores aleatorios a partir de la paleta de colores definida.</t>
    </r>
  </si>
  <si>
    <t>Paleta de colores:</t>
  </si>
  <si>
    <t>Foto:</t>
  </si>
  <si>
    <t>Color 1</t>
  </si>
  <si>
    <t>RGB(217,237,120)</t>
  </si>
  <si>
    <t>Color promedio</t>
  </si>
  <si>
    <t>RGB(154,236,145)</t>
  </si>
  <si>
    <t>Color 2</t>
  </si>
  <si>
    <t>RGB(91,235,170)</t>
  </si>
  <si>
    <t>Ejercicio 10</t>
  </si>
  <si>
    <r>
      <t xml:space="preserve">CineSAD es una empresa dedicada a la exhibición de películas y lo han contratado para diseñar una interfaz de selección de boletas. Cree el código necesario para que la interfaz de abajo permita seleccionar boletas cumpliendo con:
1. Cada vez que el usuario haga clic izquierdo en </t>
    </r>
    <r>
      <rPr>
        <u/>
        <sz val="11"/>
        <color rgb="FF000000"/>
        <rFont val="Calibri Light"/>
        <family val="2"/>
        <scheme val="major"/>
      </rPr>
      <t>una celda</t>
    </r>
    <r>
      <rPr>
        <sz val="11"/>
        <color rgb="FF000000"/>
        <rFont val="Calibri Light"/>
        <family val="2"/>
        <scheme val="major"/>
      </rPr>
      <t xml:space="preserve"> no-blanca del rango </t>
    </r>
    <r>
      <rPr>
        <b/>
        <sz val="11"/>
        <color rgb="FF000000"/>
        <rFont val="Calibri Light"/>
        <family val="2"/>
        <scheme val="major"/>
      </rPr>
      <t>G14:AJ31</t>
    </r>
    <r>
      <rPr>
        <sz val="11"/>
        <color rgb="FF000000"/>
        <rFont val="Calibri Light"/>
        <family val="2"/>
        <scheme val="major"/>
      </rPr>
      <t xml:space="preserve">, seleccione una silla. Esto significa cambiar su color de verde a azul.
2. El usuario puede repetir esto hasta que haya seleccionado tantas sillas como las diligenciadas en la celda </t>
    </r>
    <r>
      <rPr>
        <b/>
        <sz val="11"/>
        <color rgb="FF000000"/>
        <rFont val="Calibri Light"/>
        <family val="2"/>
        <scheme val="major"/>
      </rPr>
      <t xml:space="preserve">Q12.
</t>
    </r>
    <r>
      <rPr>
        <sz val="11"/>
        <color rgb="FF000000"/>
        <rFont val="Calibri Light"/>
        <family val="2"/>
        <scheme val="major"/>
      </rPr>
      <t xml:space="preserve">- Una vez seleccione la última, deben volverse grises todas las que seleccionó y el código inicia su funcionamiento de nuevo, con la cantidad de sillas de la celda </t>
    </r>
    <r>
      <rPr>
        <b/>
        <sz val="11"/>
        <color rgb="FF000000"/>
        <rFont val="Calibri Light"/>
        <family val="2"/>
        <scheme val="major"/>
      </rPr>
      <t>Q12</t>
    </r>
    <r>
      <rPr>
        <sz val="11"/>
        <color rgb="FF000000"/>
        <rFont val="Calibri Light"/>
        <family val="2"/>
        <scheme val="major"/>
      </rPr>
      <t xml:space="preserve">.
- Si hace clic en una silla gris, no debe pasar nada. 
- Si hace doble clic en una silla azul, se cancela su selección y regresa a ser verde.
</t>
    </r>
    <r>
      <rPr>
        <b/>
        <sz val="11"/>
        <color rgb="FF000000"/>
        <rFont val="Calibri Light"/>
        <family val="2"/>
        <scheme val="major"/>
      </rPr>
      <t>Nota</t>
    </r>
    <r>
      <rPr>
        <sz val="11"/>
        <color rgb="FF000000"/>
        <rFont val="Calibri Light"/>
        <family val="2"/>
        <scheme val="major"/>
      </rPr>
      <t>: Los valores RGB de los colores son: 1. Verde: RGB(226, 239, 218)    2.Azul: RGB(180, 198, 231)    3.Gris:RGB(191, 191, 191)</t>
    </r>
  </si>
  <si>
    <t>Cantidad de boletos a comprar</t>
  </si>
  <si>
    <t>Leyenda</t>
  </si>
  <si>
    <t>Disponible</t>
  </si>
  <si>
    <t>Selección actual</t>
  </si>
  <si>
    <t>No disponible</t>
  </si>
  <si>
    <t>Ejercicio 11</t>
  </si>
  <si>
    <t>Luego de que el usuario escribió "SAD" se creó una cadena de "SAD" hasta el borde oscuro. Lo mismo ocurrió con "Parcial2"</t>
  </si>
  <si>
    <r>
      <t xml:space="preserve">El paso </t>
    </r>
    <r>
      <rPr>
        <b/>
        <sz val="11"/>
        <color theme="1"/>
        <rFont val="Calibri"/>
        <family val="2"/>
        <scheme val="minor"/>
      </rPr>
      <t xml:space="preserve">0 </t>
    </r>
    <r>
      <rPr>
        <sz val="11"/>
        <color theme="1"/>
        <rFont val="Calibri"/>
        <family val="2"/>
        <scheme val="minor"/>
      </rPr>
      <t xml:space="preserve"> fue hecho por el usuario; los restantes, por el código de su evento.</t>
    </r>
  </si>
  <si>
    <t>Ejercicio 12</t>
  </si>
  <si>
    <t>Ejercicio  13</t>
  </si>
  <si>
    <r>
      <t xml:space="preserve">Cree una subrutina que, al presionar solamente una vez la carta "Robar", robe tantas cartas como sean necesarias hasta encontrar una que cumpla con el mismo color o el mismo número que la carta que se indican en las celdas </t>
    </r>
    <r>
      <rPr>
        <b/>
        <sz val="11"/>
        <color theme="1"/>
        <rFont val="Calibri Light"/>
        <family val="2"/>
        <scheme val="major"/>
      </rPr>
      <t>F12</t>
    </r>
    <r>
      <rPr>
        <sz val="11"/>
        <color theme="1"/>
        <rFont val="Calibri Light"/>
        <family val="2"/>
        <scheme val="major"/>
      </rPr>
      <t xml:space="preserve"> y </t>
    </r>
    <r>
      <rPr>
        <b/>
        <sz val="11"/>
        <color theme="1"/>
        <rFont val="Calibri Light"/>
        <family val="2"/>
        <scheme val="major"/>
      </rPr>
      <t>G12</t>
    </r>
    <r>
      <rPr>
        <sz val="11"/>
        <color theme="1"/>
        <rFont val="Calibri Light"/>
        <family val="2"/>
        <scheme val="major"/>
      </rPr>
      <t xml:space="preserve"> respectivamente. La carta robada tendrá:
- Con igual probabilidad algún color entre verde, amarillo, rojo y azul
- Con igual probabilidad, algún número entre 0 y 9
Anote todas las cartas robadas en la tabla 1, mostrando el color y el número de cada una de ellas. </t>
    </r>
  </si>
  <si>
    <t>Color</t>
  </si>
  <si>
    <t>Número</t>
  </si>
  <si>
    <t>Tabla 1. Cartas robadas</t>
  </si>
  <si>
    <t>Azul</t>
  </si>
  <si>
    <t>Verde</t>
  </si>
  <si>
    <t>Amarillo</t>
  </si>
  <si>
    <t>Rojo</t>
  </si>
  <si>
    <t>Ejercicio 14</t>
  </si>
  <si>
    <t>Ejercicio 15</t>
  </si>
  <si>
    <t>¿Cuántos clientes?</t>
  </si>
  <si>
    <t>¿Cuánto tiempo?</t>
  </si>
  <si>
    <r>
      <t xml:space="preserve">Realice una función que encuentre el segundo máximo de los datos en la Tabla 1. Si el primer y segundo máximo son iguales, continúe iterando hasta encontrar un segundo máximo que no esté repetido. Pruebe su función en la celda </t>
    </r>
    <r>
      <rPr>
        <b/>
        <sz val="11"/>
        <color theme="1"/>
        <rFont val="Calibri Light"/>
        <family val="2"/>
        <scheme val="major"/>
      </rPr>
      <t>D8</t>
    </r>
    <r>
      <rPr>
        <sz val="11"/>
        <color theme="1"/>
        <rFont val="Calibri Light"/>
        <family val="2"/>
        <scheme val="major"/>
      </rPr>
      <t>.</t>
    </r>
  </si>
  <si>
    <r>
      <t xml:space="preserve">En una tienda de tela hay 5 rollos de 100 metros cada uno. Cada 2 minutos llega un cliente solicitando un número decimal aleatorio entre 0 y 20 metros de tela. Usted recorta la cantidad solicitada del rollo que esté en uso. Si el cliente pide más metros de los disponibles en un rollo, se vende lo máximo disponible a ese cliente y se pasa al siguiente cliente (no puede combinar los rollos para satisfacer la demanda).
Cree una subrutina que :
- Registre en </t>
    </r>
    <r>
      <rPr>
        <b/>
        <sz val="11"/>
        <color rgb="FF000000"/>
        <rFont val="Calibri Light"/>
        <family val="2"/>
        <scheme val="major"/>
      </rPr>
      <t>E12</t>
    </r>
    <r>
      <rPr>
        <sz val="11"/>
        <color rgb="FF000000"/>
        <rFont val="Calibri Light"/>
        <family val="2"/>
        <scheme val="major"/>
      </rPr>
      <t xml:space="preserve"> la cantidad de clientes atendidos antes de agotar los 5 rollos. 
- Indique en la celda </t>
    </r>
    <r>
      <rPr>
        <b/>
        <sz val="11"/>
        <color rgb="FF000000"/>
        <rFont val="Calibri Light"/>
        <family val="2"/>
        <scheme val="major"/>
      </rPr>
      <t>E13</t>
    </r>
    <r>
      <rPr>
        <sz val="11"/>
        <color rgb="FF000000"/>
        <rFont val="Calibri Light"/>
        <family val="2"/>
        <scheme val="major"/>
      </rPr>
      <t xml:space="preserve"> el tiempo, en minutos, que tomó agotar los 5 rollos.
El primer cliente llega en el minuto 0. Asigne su subrutina al botón "Ejecutar".</t>
    </r>
  </si>
  <si>
    <r>
      <rPr>
        <b/>
        <sz val="11"/>
        <color theme="1"/>
        <rFont val="Calibri Light"/>
        <family val="2"/>
        <scheme val="major"/>
      </rPr>
      <t>Len</t>
    </r>
    <r>
      <rPr>
        <sz val="11"/>
        <color theme="1"/>
        <rFont val="Calibri Light"/>
        <family val="2"/>
        <scheme val="major"/>
      </rPr>
      <t xml:space="preserve"> (x as String)</t>
    </r>
  </si>
  <si>
    <r>
      <rPr>
        <b/>
        <sz val="11"/>
        <color theme="1"/>
        <rFont val="Calibri Light"/>
        <family val="2"/>
        <scheme val="major"/>
      </rPr>
      <t xml:space="preserve">Mid </t>
    </r>
    <r>
      <rPr>
        <sz val="11"/>
        <color theme="1"/>
        <rFont val="Calibri Light"/>
        <family val="2"/>
        <scheme val="major"/>
      </rPr>
      <t>(x as String, y as Long, [z as Long])</t>
    </r>
  </si>
  <si>
    <r>
      <rPr>
        <b/>
        <sz val="11"/>
        <color theme="1"/>
        <rFont val="Calibri Light"/>
        <family val="2"/>
        <scheme val="major"/>
      </rPr>
      <t>Ucase</t>
    </r>
    <r>
      <rPr>
        <sz val="11"/>
        <color theme="1"/>
        <rFont val="Calibri Light"/>
        <family val="2"/>
        <scheme val="major"/>
      </rPr>
      <t xml:space="preserve"> (x as String)</t>
    </r>
  </si>
  <si>
    <r>
      <rPr>
        <b/>
        <sz val="11"/>
        <color theme="1"/>
        <rFont val="Calibri Light"/>
        <family val="2"/>
        <scheme val="major"/>
      </rPr>
      <t>Lcase</t>
    </r>
    <r>
      <rPr>
        <sz val="11"/>
        <color theme="1"/>
        <rFont val="Calibri Light"/>
        <family val="2"/>
        <scheme val="major"/>
      </rPr>
      <t xml:space="preserve"> (x as String)</t>
    </r>
  </si>
  <si>
    <r>
      <t xml:space="preserve">a </t>
    </r>
    <r>
      <rPr>
        <b/>
        <sz val="11"/>
        <color theme="1"/>
        <rFont val="Calibri Light"/>
        <family val="2"/>
        <scheme val="major"/>
      </rPr>
      <t>Mod</t>
    </r>
    <r>
      <rPr>
        <sz val="11"/>
        <color theme="1"/>
        <rFont val="Calibri Light"/>
        <family val="2"/>
        <scheme val="major"/>
      </rPr>
      <t xml:space="preserve"> b</t>
    </r>
  </si>
  <si>
    <r>
      <rPr>
        <b/>
        <sz val="11"/>
        <color theme="1"/>
        <rFont val="Calibri Light"/>
        <family val="2"/>
        <scheme val="major"/>
      </rPr>
      <t>Cint</t>
    </r>
    <r>
      <rPr>
        <sz val="11"/>
        <color theme="1"/>
        <rFont val="Calibri Light"/>
        <family val="2"/>
        <scheme val="major"/>
      </rPr>
      <t xml:space="preserve"> (x)</t>
    </r>
  </si>
  <si>
    <r>
      <rPr>
        <b/>
        <sz val="11"/>
        <color theme="1"/>
        <rFont val="Calibri Light"/>
        <family val="2"/>
        <scheme val="major"/>
      </rPr>
      <t>InStr</t>
    </r>
    <r>
      <rPr>
        <sz val="11"/>
        <color theme="1"/>
        <rFont val="Calibri Light"/>
        <family val="2"/>
        <scheme val="major"/>
      </rPr>
      <t>([n as Integer], x as String, a as String)</t>
    </r>
  </si>
  <si>
    <r>
      <rPr>
        <b/>
        <sz val="11"/>
        <color theme="1"/>
        <rFont val="Calibri Light"/>
        <family val="2"/>
        <scheme val="major"/>
      </rPr>
      <t xml:space="preserve">IsEmpty </t>
    </r>
    <r>
      <rPr>
        <sz val="11"/>
        <color theme="1"/>
        <rFont val="Calibri Light"/>
        <family val="2"/>
        <scheme val="major"/>
      </rPr>
      <t>(y)</t>
    </r>
  </si>
  <si>
    <r>
      <rPr>
        <b/>
        <sz val="11"/>
        <color theme="1"/>
        <rFont val="Calibri Light"/>
        <family val="2"/>
        <scheme val="major"/>
      </rPr>
      <t>IsNull</t>
    </r>
    <r>
      <rPr>
        <sz val="11"/>
        <color theme="1"/>
        <rFont val="Calibri Light"/>
        <family val="2"/>
        <scheme val="major"/>
      </rPr>
      <t xml:space="preserve"> (y)</t>
    </r>
  </si>
  <si>
    <r>
      <rPr>
        <b/>
        <sz val="11"/>
        <color theme="1"/>
        <rFont val="Calibri Light"/>
        <family val="2"/>
        <scheme val="major"/>
      </rPr>
      <t>IsNumeric</t>
    </r>
    <r>
      <rPr>
        <sz val="11"/>
        <color theme="1"/>
        <rFont val="Calibri Light"/>
        <family val="2"/>
        <scheme val="major"/>
      </rPr>
      <t xml:space="preserve"> (y)</t>
    </r>
  </si>
  <si>
    <r>
      <rPr>
        <b/>
        <sz val="11"/>
        <color theme="1"/>
        <rFont val="Calibri Light"/>
        <family val="2"/>
        <scheme val="major"/>
      </rPr>
      <t>UBound</t>
    </r>
    <r>
      <rPr>
        <sz val="11"/>
        <color theme="1"/>
        <rFont val="Calibri Light"/>
        <family val="2"/>
        <scheme val="major"/>
      </rPr>
      <t xml:space="preserve"> (Arr)</t>
    </r>
  </si>
  <si>
    <r>
      <t xml:space="preserve">En la Tabla 1 tiene la programación del canal de televisión SAD TV por fecha y hora de los últimos meses.
Para un programa de televisión ingresado por parámetro en la celda </t>
    </r>
    <r>
      <rPr>
        <b/>
        <sz val="11"/>
        <color theme="1"/>
        <rFont val="Calibri Light"/>
        <family val="2"/>
        <scheme val="major"/>
      </rPr>
      <t>C8</t>
    </r>
    <r>
      <rPr>
        <sz val="11"/>
        <color theme="1"/>
        <rFont val="Calibri Light"/>
        <family val="2"/>
        <scheme val="major"/>
      </rPr>
      <t xml:space="preserve">, haga una subrutina que retorne en la celda </t>
    </r>
    <r>
      <rPr>
        <b/>
        <sz val="11"/>
        <color theme="1"/>
        <rFont val="Calibri Light"/>
        <family val="2"/>
        <scheme val="major"/>
      </rPr>
      <t>C9</t>
    </r>
    <r>
      <rPr>
        <sz val="11"/>
        <color theme="1"/>
        <rFont val="Calibri Light"/>
        <family val="2"/>
        <scheme val="major"/>
      </rPr>
      <t xml:space="preserve"> la última fecha (sin la hora) en que aparece un registro de dicho programa en la base. Asigne la subrutina al botón "Ejecutar".</t>
    </r>
  </si>
  <si>
    <r>
      <rPr>
        <sz val="11"/>
        <color theme="1"/>
        <rFont val="Calibri Light"/>
        <family val="2"/>
        <scheme val="major"/>
      </rPr>
      <t xml:space="preserve">Desarrolle una subrutina que retorne en la celda </t>
    </r>
    <r>
      <rPr>
        <b/>
        <sz val="11"/>
        <color theme="1"/>
        <rFont val="Calibri Light"/>
        <family val="2"/>
        <scheme val="major"/>
      </rPr>
      <t>E7</t>
    </r>
    <r>
      <rPr>
        <sz val="11"/>
        <color theme="1"/>
        <rFont val="Calibri Light"/>
        <family val="2"/>
        <scheme val="major"/>
      </rPr>
      <t xml:space="preserve">, el número </t>
    </r>
    <r>
      <rPr>
        <b/>
        <sz val="11"/>
        <color theme="1"/>
        <rFont val="Calibri Light"/>
        <family val="2"/>
        <scheme val="major"/>
      </rPr>
      <t>menos</t>
    </r>
    <r>
      <rPr>
        <sz val="11"/>
        <color theme="1"/>
        <rFont val="Calibri Light"/>
        <family val="2"/>
        <scheme val="major"/>
      </rPr>
      <t xml:space="preserve"> frecuente para el rango de números enteros positivos que empieza en la celda </t>
    </r>
    <r>
      <rPr>
        <b/>
        <sz val="11"/>
        <color theme="1"/>
        <rFont val="Calibri Light"/>
        <family val="2"/>
        <scheme val="major"/>
      </rPr>
      <t xml:space="preserve">C7:C </t>
    </r>
    <r>
      <rPr>
        <sz val="11"/>
        <color theme="1"/>
        <rFont val="Calibri Light"/>
        <family val="2"/>
        <scheme val="major"/>
      </rPr>
      <t xml:space="preserve">, en el caso de que haya empate su algoritmo debe retornar </t>
    </r>
    <r>
      <rPr>
        <b/>
        <sz val="11"/>
        <color theme="1"/>
        <rFont val="Calibri Light"/>
        <family val="2"/>
        <scheme val="major"/>
      </rPr>
      <t>el menor número de la lista</t>
    </r>
    <r>
      <rPr>
        <sz val="11"/>
        <color theme="1"/>
        <rFont val="Calibri Light"/>
        <family val="2"/>
        <scheme val="major"/>
      </rPr>
      <t xml:space="preserve">. Asigne la macro al botón "Ejecutar".
</t>
    </r>
  </si>
  <si>
    <r>
      <t xml:space="preserve">Diseñe una función en VBA que se llame </t>
    </r>
    <r>
      <rPr>
        <sz val="10"/>
        <color theme="1"/>
        <rFont val="CourierNew"/>
      </rPr>
      <t>PosicionLlena</t>
    </r>
    <r>
      <rPr>
        <sz val="11"/>
        <color theme="1"/>
        <rFont val="Calibri Light"/>
        <family val="2"/>
        <scheme val="major"/>
      </rPr>
      <t xml:space="preserve">. Debe recibir de parámetro un rango continuo de más de una fila y más de una columna, y retornará la posición fila-columna (relativa al rango, no a la hoja de Excel) de la última celda llena. La última celda llena será la celda inferior derecha, o la más cercana a esta. Es decir, aquella más abajo y más a la derecha posible. Retorne una cadena de texto con "fila-columna" de la última celda llena. Pruebe la función en la celda </t>
    </r>
    <r>
      <rPr>
        <b/>
        <sz val="11"/>
        <color theme="1"/>
        <rFont val="Calibri Light"/>
        <family val="2"/>
        <scheme val="major"/>
      </rPr>
      <t>D7.</t>
    </r>
  </si>
  <si>
    <r>
      <t xml:space="preserve">Cree una función llamada </t>
    </r>
    <r>
      <rPr>
        <sz val="10"/>
        <color theme="1"/>
        <rFont val="CourierNew"/>
      </rPr>
      <t>DentroCadenas</t>
    </r>
    <r>
      <rPr>
        <sz val="11"/>
        <color theme="1"/>
        <rFont val="Calibri Light"/>
        <family val="2"/>
        <scheme val="major"/>
      </rPr>
      <t xml:space="preserve"> que reciba como parámetros 2 cadenas de texto y retorne la cantidad de veces que la cadena del segundo parámetro está dentro de la primera. Para esto, convierta ambas cadenas a minúscula dentro de su función. En caso de que alguna de las dos cadenas esté vacía, retorne 0. Pruebe su función en la celda </t>
    </r>
    <r>
      <rPr>
        <b/>
        <sz val="11"/>
        <color theme="1"/>
        <rFont val="Calibri Light"/>
        <family val="2"/>
        <scheme val="major"/>
      </rPr>
      <t>D11</t>
    </r>
    <r>
      <rPr>
        <sz val="11"/>
        <color theme="1"/>
        <rFont val="Calibri Light"/>
        <family val="2"/>
        <scheme val="major"/>
      </rPr>
      <t xml:space="preserve"> con los parámetros de Cadena 1 y Cadena 2 de las celdas </t>
    </r>
    <r>
      <rPr>
        <b/>
        <sz val="11"/>
        <color theme="1"/>
        <rFont val="Calibri Light"/>
        <family val="2"/>
        <scheme val="major"/>
      </rPr>
      <t>D9</t>
    </r>
    <r>
      <rPr>
        <sz val="11"/>
        <color theme="1"/>
        <rFont val="Calibri Light"/>
        <family val="2"/>
        <scheme val="major"/>
      </rPr>
      <t xml:space="preserve"> y </t>
    </r>
    <r>
      <rPr>
        <b/>
        <sz val="11"/>
        <color theme="1"/>
        <rFont val="Calibri Light"/>
        <family val="2"/>
        <scheme val="major"/>
      </rPr>
      <t>D10</t>
    </r>
    <r>
      <rPr>
        <sz val="11"/>
        <color theme="1"/>
        <rFont val="Calibri Light"/>
        <family val="2"/>
        <scheme val="major"/>
      </rPr>
      <t xml:space="preserve"> respectivamente. </t>
    </r>
  </si>
  <si>
    <r>
      <t>Realice una función llamada</t>
    </r>
    <r>
      <rPr>
        <sz val="10"/>
        <color rgb="FF000000"/>
        <rFont val="CourierNew"/>
      </rPr>
      <t xml:space="preserve"> N.ESIMA.REGION</t>
    </r>
    <r>
      <rPr>
        <sz val="11"/>
        <color rgb="FF000000"/>
        <rFont val="Calibri Light"/>
        <family val="2"/>
        <scheme val="major"/>
      </rPr>
      <t>, que reciba como parámetros un mapa (</t>
    </r>
    <r>
      <rPr>
        <b/>
        <sz val="11"/>
        <color rgb="FF000000"/>
        <rFont val="Calibri Light"/>
        <family val="2"/>
        <scheme val="major"/>
      </rPr>
      <t>rango</t>
    </r>
    <r>
      <rPr>
        <sz val="11"/>
        <color rgb="FF000000"/>
        <rFont val="Calibri Light"/>
        <family val="2"/>
        <scheme val="major"/>
      </rPr>
      <t xml:space="preserve"> con regiones distinguidas por tener un color único) y un número</t>
    </r>
    <r>
      <rPr>
        <b/>
        <sz val="11"/>
        <color rgb="FF000000"/>
        <rFont val="Calibri Light"/>
        <family val="2"/>
        <scheme val="major"/>
      </rPr>
      <t xml:space="preserve"> n</t>
    </r>
    <r>
      <rPr>
        <sz val="11"/>
        <color rgb="FF000000"/>
        <rFont val="Calibri Light"/>
        <family val="2"/>
        <scheme val="major"/>
      </rPr>
      <t xml:space="preserve"> (entero positivo). La función debe </t>
    </r>
    <r>
      <rPr>
        <b/>
        <sz val="11"/>
        <color rgb="FF000000"/>
        <rFont val="Calibri Light"/>
        <family val="2"/>
        <scheme val="major"/>
      </rPr>
      <t>retornar</t>
    </r>
    <r>
      <rPr>
        <sz val="11"/>
        <color rgb="FF000000"/>
        <rFont val="Calibri Light"/>
        <family val="2"/>
        <scheme val="major"/>
      </rPr>
      <t xml:space="preserve"> la cantidad de cuadros que componen la n-ésima región más grande. Pruebe la función en la celda </t>
    </r>
    <r>
      <rPr>
        <b/>
        <sz val="11"/>
        <color rgb="FF000000"/>
        <rFont val="Calibri Light"/>
        <family val="2"/>
        <scheme val="major"/>
      </rPr>
      <t xml:space="preserve">BC4 </t>
    </r>
    <r>
      <rPr>
        <sz val="11"/>
        <color rgb="FF000000"/>
        <rFont val="Calibri Light"/>
        <family val="2"/>
        <scheme val="major"/>
      </rPr>
      <t xml:space="preserve">con el mapa que se encuentra en el rango </t>
    </r>
    <r>
      <rPr>
        <b/>
        <sz val="11"/>
        <color rgb="FF000000"/>
        <rFont val="Calibri Light"/>
        <family val="2"/>
        <scheme val="major"/>
      </rPr>
      <t>F6:AP27</t>
    </r>
    <r>
      <rPr>
        <sz val="11"/>
        <color rgb="FF000000"/>
        <rFont val="Calibri Light"/>
        <family val="2"/>
        <scheme val="major"/>
      </rPr>
      <t>, y reporte la cantidad de cuadros que tiene la enésima región más grande.</t>
    </r>
  </si>
  <si>
    <r>
      <t xml:space="preserve">Trabaja en la fábrica de LEGO donde inspecciona la calidad del producto antes de empacarlo. Debe determinar si todas las fichas necesarias para armar el LEGO están presentes en el producto evaluado. La información de las fichas requeridas está en la Tabla 1, mientras que las fichas del producto evaluado están en la Tabla 2. En estas tablas, cada celda es una ficha. Si se necesitan varias de la misma referencia, aparecerán registros repetidos.
Cree una función llamada </t>
    </r>
    <r>
      <rPr>
        <sz val="10"/>
        <color rgb="FF000000"/>
        <rFont val="CourierNew"/>
      </rPr>
      <t>ControlCalidad</t>
    </r>
    <r>
      <rPr>
        <sz val="11"/>
        <color rgb="FF000000"/>
        <rFont val="Calibri Light"/>
        <family val="2"/>
        <scheme val="major"/>
      </rPr>
      <t xml:space="preserve"> que reciba dos rangos como parámetros: el primero es la lista de fichas necesarias y el segundo es la lista de fichas del producto evaluado. Retorne VERDADERO si el producto evaluado tiene todas las fichas necesarias para ser armado y FALSO en caso contrario. Pruebe su función en la celda </t>
    </r>
    <r>
      <rPr>
        <b/>
        <sz val="11"/>
        <color rgb="FF000000"/>
        <rFont val="Calibri Light"/>
        <family val="2"/>
        <scheme val="major"/>
      </rPr>
      <t>D12.</t>
    </r>
  </si>
  <si>
    <r>
      <t>Cuenta con un tablero, donde el usuario puede escribir una palabra en las celdas azul claro (</t>
    </r>
    <r>
      <rPr>
        <b/>
        <sz val="11"/>
        <color theme="1"/>
        <rFont val="Calibri Light"/>
        <family val="2"/>
        <scheme val="major"/>
      </rPr>
      <t>rango C8:L15</t>
    </r>
    <r>
      <rPr>
        <sz val="11"/>
        <color theme="1"/>
        <rFont val="Calibri Light"/>
        <family val="2"/>
        <scheme val="major"/>
      </rPr>
      <t>). Con ayuda de un evento, permita que esta palabra se escriba nuevamente una columna a la derecha pero una fila arriba o abajo aleatoriamente (ambos casos tienen la misma probabilidad). Luego, tome como referencia la celda donde acaba de escribir y repita el procedimiento hasta que se escriba la palabra en las celdas de azul oscuro (</t>
    </r>
    <r>
      <rPr>
        <b/>
        <sz val="11"/>
        <color theme="1"/>
        <rFont val="Calibri Light"/>
        <family val="2"/>
        <scheme val="major"/>
      </rPr>
      <t>fila 7 o  fila 16 o columna M del tablero</t>
    </r>
    <r>
      <rPr>
        <sz val="11"/>
        <color theme="1"/>
        <rFont val="Calibri Light"/>
        <family val="2"/>
        <scheme val="major"/>
      </rPr>
      <t xml:space="preserve">).
</t>
    </r>
    <r>
      <rPr>
        <b/>
        <sz val="11"/>
        <color theme="1"/>
        <rFont val="Calibri Light"/>
        <family val="2"/>
        <scheme val="major"/>
      </rPr>
      <t>Nota:</t>
    </r>
    <r>
      <rPr>
        <i/>
        <sz val="11"/>
        <color theme="1"/>
        <rFont val="Calibri Light"/>
        <family val="2"/>
        <scheme val="major"/>
      </rPr>
      <t xml:space="preserve"> 
- </t>
    </r>
    <r>
      <rPr>
        <sz val="11"/>
        <color theme="1"/>
        <rFont val="Calibri Light"/>
        <family val="2"/>
        <scheme val="major"/>
      </rPr>
      <t>Asegúrese de guardar el archivo antes de probar su código, en caso de que haya problemas con la ejecución.
- El algoritmo solo debe generar el texto de las celdas, las flechas y círculos de la Imagen 1 son de carácter ilustrativo.
- Asuma que el usuario solo va a escribir la palabra en una sola celda, no debe hacer validación de error para esto.</t>
    </r>
  </si>
  <si>
    <r>
      <t xml:space="preserve">Suponiendo que el usuario solamente selecciona una celda a la vez y esta puede ser blanca o la esquina superior izquierda de una figura.  Cuando la selección sea en una celda de color, realice un evento que notifique en un MsgBox si las celdas alrededor del mismo color forman un cuadrado o un rectángulo.
</t>
    </r>
    <r>
      <rPr>
        <b/>
        <sz val="11"/>
        <color theme="1"/>
        <rFont val="Calibri Light"/>
        <family val="2"/>
        <scheme val="major"/>
      </rPr>
      <t xml:space="preserve">Nota: </t>
    </r>
    <r>
      <rPr>
        <sz val="11"/>
        <color theme="1"/>
        <rFont val="Calibri Light"/>
        <family val="2"/>
        <scheme val="major"/>
      </rPr>
      <t>suponga que las figuras no se tocan entre sí.</t>
    </r>
  </si>
  <si>
    <r>
      <t xml:space="preserve">Usted quiere determinar cuántos lanzamientos de dados de 6 caras se necesitan para que los resultados de todos los dados sean diferentes, lanzando inicialmente los 6 dados y luego relanzando aquellos que tengan números repetidos. Por ejemplo, si después de un lanzamiento saca ⚀⚂⚄⚄⚄⚂ puede volver a lanzar los ⚄⚄⚂ ya que estos son los repetidos. Cree una subrutina que reporte el número de lanzamientos en un </t>
    </r>
    <r>
      <rPr>
        <i/>
        <sz val="11"/>
        <color rgb="FF000000"/>
        <rFont val="Calibri Light"/>
        <family val="2"/>
        <scheme val="major"/>
      </rPr>
      <t>MsgBox</t>
    </r>
    <r>
      <rPr>
        <b/>
        <sz val="11"/>
        <color rgb="FF000000"/>
        <rFont val="Calibri Light"/>
        <family val="2"/>
        <scheme val="major"/>
      </rPr>
      <t>,</t>
    </r>
    <r>
      <rPr>
        <sz val="11"/>
        <color rgb="FF000000"/>
        <rFont val="Calibri Light"/>
        <family val="2"/>
        <scheme val="major"/>
      </rPr>
      <t xml:space="preserve"> y asóciela a un botón "Lanzar".</t>
    </r>
  </si>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</sst>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_(&quot;$&quot;* \(#,##0\);_(&quot;$&quot;* &quot;-&quot;_);_(@_)"/>
    <numFmt numFmtId="165" formatCode="[$-F400]h:mm:ss\ AM/PM"/>
  </numFmts>
  <fonts count="30">
    <font>
      <sz val="11"/>
      <color theme="1"/>
      <name val="Calibri"/>
      <family val="2"/>
      <scheme val="minor"/>
    </font>
    <font>
      <sz val="11"/>
      <color theme="1"/>
      <name val="Calibri"/>
      <family val="2"/>
      <scheme val="minor"/>
    </font>
    <font>
      <b/>
      <sz val="11"/>
      <color theme="1"/>
      <name val="Calibri"/>
      <family val="2"/>
      <scheme val="minor"/>
    </font>
    <font>
      <sz val="11"/>
      <color rgb="FFFFFFFF"/>
      <name val="Calibri Light"/>
      <family val="2"/>
      <scheme val="major"/>
    </font>
    <font>
      <sz val="11"/>
      <color rgb="FF000000"/>
      <name val="Calibri Light"/>
      <family val="2"/>
      <scheme val="major"/>
    </font>
    <font>
      <sz val="11"/>
      <color theme="1"/>
      <name val="Calibri Light"/>
      <family val="2"/>
      <scheme val="major"/>
    </font>
    <font>
      <sz val="11"/>
      <name val="Calibri Light"/>
      <family val="2"/>
      <scheme val="major"/>
    </font>
    <font>
      <b/>
      <u/>
      <sz val="12"/>
      <color rgb="FF000000"/>
      <name val="Calibri Light"/>
      <family val="2"/>
      <scheme val="major"/>
    </font>
    <font>
      <b/>
      <u/>
      <sz val="12"/>
      <color rgb="FFFF0000"/>
      <name val="Calibri Light"/>
      <family val="2"/>
      <scheme val="major"/>
    </font>
    <font>
      <sz val="12"/>
      <color rgb="FF000000"/>
      <name val="Calibri Light"/>
      <family val="2"/>
      <scheme val="major"/>
    </font>
    <font>
      <b/>
      <sz val="12"/>
      <color rgb="FF000000"/>
      <name val="Calibri Light"/>
      <family val="2"/>
      <scheme val="major"/>
    </font>
    <font>
      <b/>
      <sz val="12"/>
      <color rgb="FFFFC000"/>
      <name val="Calibri Light"/>
      <family val="2"/>
      <scheme val="major"/>
    </font>
    <font>
      <sz val="12"/>
      <color theme="1"/>
      <name val="Calibri Light"/>
      <family val="2"/>
      <scheme val="major"/>
    </font>
    <font>
      <b/>
      <sz val="12"/>
      <color theme="9"/>
      <name val="Calibri Light"/>
      <family val="2"/>
      <scheme val="major"/>
    </font>
    <font>
      <sz val="18"/>
      <color rgb="FF000000"/>
      <name val="Calibri Light"/>
      <family val="2"/>
      <scheme val="major"/>
    </font>
    <font>
      <b/>
      <sz val="18"/>
      <color rgb="FF000000"/>
      <name val="Calibri Light"/>
      <family val="2"/>
      <scheme val="major"/>
    </font>
    <font>
      <b/>
      <sz val="11"/>
      <color rgb="FF000000"/>
      <name val="Calibri Light"/>
      <family val="2"/>
      <scheme val="major"/>
    </font>
    <font>
      <sz val="11"/>
      <color theme="0"/>
      <name val="Calibri Light"/>
      <family val="2"/>
      <scheme val="major"/>
    </font>
    <font>
      <b/>
      <sz val="11"/>
      <color theme="1"/>
      <name val="Calibri Light"/>
      <family val="2"/>
      <scheme val="major"/>
    </font>
    <font>
      <sz val="11"/>
      <color rgb="FF000000"/>
      <name val="Calibri"/>
      <family val="2"/>
    </font>
    <font>
      <sz val="11"/>
      <color rgb="FF444444"/>
      <name val="Calibri Light"/>
      <family val="2"/>
      <scheme val="major"/>
    </font>
    <font>
      <u/>
      <sz val="11"/>
      <color rgb="FF000000"/>
      <name val="Calibri Light"/>
      <family val="2"/>
      <scheme val="major"/>
    </font>
    <font>
      <b/>
      <sz val="7.5"/>
      <color theme="1"/>
      <name val="Tahoma"/>
      <family val="2"/>
    </font>
    <font>
      <i/>
      <sz val="11"/>
      <color theme="1"/>
      <name val="Calibri Light"/>
      <family val="2"/>
      <scheme val="major"/>
    </font>
    <font>
      <sz val="8"/>
      <name val="Calibri"/>
      <family val="2"/>
      <scheme val="minor"/>
    </font>
    <font>
      <b/>
      <sz val="12"/>
      <color theme="1"/>
      <name val="Calibri Light"/>
      <family val="2"/>
      <scheme val="major"/>
    </font>
    <font>
      <i/>
      <sz val="11"/>
      <color rgb="FF000000"/>
      <name val="Calibri Light"/>
      <family val="2"/>
      <scheme val="major"/>
    </font>
    <font>
      <b/>
      <sz val="11"/>
      <color theme="0"/>
      <name val="Calibri Light"/>
      <family val="2"/>
      <scheme val="major"/>
    </font>
    <font>
      <sz val="10"/>
      <color theme="1"/>
      <name val="CourierNew"/>
    </font>
    <font>
      <sz val="10"/>
      <color rgb="FF000000"/>
      <name val="CourierNew"/>
    </font>
  </fonts>
  <fills count="38">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E2EFDA"/>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7030A0"/>
        <bgColor indexed="64"/>
      </patternFill>
    </fill>
    <fill>
      <patternFill patternType="solid">
        <fgColor theme="8"/>
        <bgColor indexed="64"/>
      </patternFill>
    </fill>
    <fill>
      <patternFill patternType="solid">
        <fgColor theme="6"/>
        <bgColor indexed="64"/>
      </patternFill>
    </fill>
    <fill>
      <patternFill patternType="solid">
        <fgColor theme="9"/>
        <bgColor indexed="64"/>
      </patternFill>
    </fill>
    <fill>
      <patternFill patternType="solid">
        <fgColor theme="5"/>
        <bgColor indexed="64"/>
      </patternFill>
    </fill>
    <fill>
      <patternFill patternType="solid">
        <fgColor theme="9" tint="0.39997558519241921"/>
        <bgColor indexed="64"/>
      </patternFill>
    </fill>
    <fill>
      <patternFill patternType="solid">
        <fgColor theme="1"/>
        <bgColor indexed="64"/>
      </patternFill>
    </fill>
    <fill>
      <patternFill patternType="solid">
        <fgColor rgb="FFFFFF00"/>
        <bgColor indexed="64"/>
      </patternFill>
    </fill>
    <fill>
      <patternFill patternType="solid">
        <fgColor theme="7"/>
        <bgColor indexed="64"/>
      </patternFill>
    </fill>
    <fill>
      <patternFill patternType="solid">
        <fgColor rgb="FF002060"/>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rgb="FFD9ED78"/>
        <bgColor indexed="64"/>
      </patternFill>
    </fill>
    <fill>
      <patternFill patternType="solid">
        <fgColor rgb="FF63D8F3"/>
        <bgColor indexed="64"/>
      </patternFill>
    </fill>
    <fill>
      <patternFill patternType="solid">
        <fgColor rgb="FFFFD966"/>
        <bgColor indexed="64"/>
      </patternFill>
    </fill>
    <fill>
      <patternFill patternType="solid">
        <fgColor rgb="FF3285EA"/>
        <bgColor indexed="64"/>
      </patternFill>
    </fill>
    <fill>
      <patternFill patternType="solid">
        <fgColor rgb="FF2BA9E1"/>
        <bgColor indexed="64"/>
      </patternFill>
    </fill>
    <fill>
      <patternFill patternType="solid">
        <fgColor rgb="FF5BEBAA"/>
        <bgColor indexed="64"/>
      </patternFill>
    </fill>
    <fill>
      <patternFill patternType="solid">
        <fgColor rgb="FFEDB665"/>
        <bgColor indexed="64"/>
      </patternFill>
    </fill>
    <fill>
      <patternFill patternType="solid">
        <fgColor rgb="FF9AEC91"/>
        <bgColor indexed="64"/>
      </patternFill>
    </fill>
    <fill>
      <patternFill patternType="solid">
        <fgColor theme="6" tint="0.39997558519241921"/>
        <bgColor indexed="65"/>
      </patternFill>
    </fill>
    <fill>
      <patternFill patternType="solid">
        <fgColor theme="0"/>
        <bgColor rgb="FF000000"/>
      </patternFill>
    </fill>
    <fill>
      <patternFill patternType="solid">
        <fgColor rgb="FFFFFFFF"/>
        <bgColor indexed="64"/>
      </patternFill>
    </fill>
    <fill>
      <patternFill patternType="solid">
        <fgColor rgb="FF909EA8"/>
        <bgColor indexed="64"/>
      </patternFill>
    </fill>
    <fill>
      <patternFill patternType="solid">
        <fgColor rgb="FF9AEC92"/>
        <bgColor indexed="64"/>
      </patternFill>
    </fill>
    <fill>
      <patternFill patternType="solid">
        <fgColor rgb="FFBFBFBF"/>
        <bgColor indexed="64"/>
      </patternFill>
    </fill>
    <fill>
      <patternFill patternType="solid">
        <fgColor rgb="FFB4C6E7"/>
        <bgColor indexed="64"/>
      </patternFill>
    </fill>
    <fill>
      <patternFill patternType="solid">
        <fgColor rgb="FF8CB0A4"/>
        <bgColor indexed="64"/>
      </patternFill>
    </fill>
  </fills>
  <borders count="84">
    <border>
      <left/>
      <right/>
      <top/>
      <bottom/>
      <diagonal/>
    </border>
    <border>
      <left style="medium">
        <color indexed="64"/>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ck">
        <color rgb="FFFF0000"/>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theme="0"/>
      </left>
      <right style="thin">
        <color theme="0"/>
      </right>
      <top style="thin">
        <color theme="0"/>
      </top>
      <bottom style="thin">
        <color theme="0"/>
      </bottom>
      <diagonal/>
    </border>
    <border>
      <left style="thin">
        <color rgb="FF000000"/>
      </left>
      <right/>
      <top/>
      <bottom/>
      <diagonal/>
    </border>
    <border>
      <left style="thin">
        <color rgb="FF00000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bottom/>
      <diagonal/>
    </border>
    <border>
      <left style="medium">
        <color rgb="FF000000"/>
      </left>
      <right/>
      <top/>
      <bottom/>
      <diagonal/>
    </border>
    <border>
      <left/>
      <right style="medium">
        <color rgb="FF000000"/>
      </right>
      <top style="medium">
        <color rgb="FF000000"/>
      </top>
      <bottom/>
      <diagonal/>
    </border>
    <border>
      <left/>
      <right/>
      <top style="medium">
        <color rgb="FF000000"/>
      </top>
      <bottom/>
      <diagonal/>
    </border>
    <border>
      <left style="medium">
        <color rgb="FF000000"/>
      </left>
      <right/>
      <top style="medium">
        <color rgb="FF000000"/>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ck">
        <color rgb="FFFF0000"/>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right/>
      <top style="thick">
        <color rgb="FFFF0000"/>
      </top>
      <bottom/>
      <diagonal/>
    </border>
    <border>
      <left style="medium">
        <color indexed="64"/>
      </left>
      <right style="medium">
        <color indexed="64"/>
      </right>
      <top/>
      <bottom style="thick">
        <color rgb="FFFF0000"/>
      </bottom>
      <diagonal/>
    </border>
    <border>
      <left style="medium">
        <color indexed="64"/>
      </left>
      <right style="medium">
        <color indexed="64"/>
      </right>
      <top style="thin">
        <color indexed="64"/>
      </top>
      <bottom style="thin">
        <color indexed="64"/>
      </bottom>
      <diagonal/>
    </border>
    <border>
      <left/>
      <right/>
      <top/>
      <bottom style="thin">
        <color rgb="FFFF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ck">
        <color rgb="FFFF0000"/>
      </top>
      <bottom style="thin">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theme="4" tint="0.59996337778862885"/>
      </right>
      <top style="thin">
        <color indexed="64"/>
      </top>
      <bottom style="thin">
        <color theme="4" tint="0.59996337778862885"/>
      </bottom>
      <diagonal/>
    </border>
    <border>
      <left style="thin">
        <color theme="4" tint="0.59996337778862885"/>
      </left>
      <right style="thin">
        <color theme="4" tint="0.59996337778862885"/>
      </right>
      <top style="thin">
        <color indexed="64"/>
      </top>
      <bottom style="thin">
        <color theme="4" tint="0.59996337778862885"/>
      </bottom>
      <diagonal/>
    </border>
    <border>
      <left style="thin">
        <color theme="4" tint="0.59996337778862885"/>
      </left>
      <right style="thin">
        <color indexed="64"/>
      </right>
      <top style="thin">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s>
  <cellStyleXfs count="5">
    <xf numFmtId="0" fontId="0" fillId="0" borderId="0"/>
    <xf numFmtId="164" fontId="1" fillId="0" borderId="0" applyFont="0" applyFill="0" applyBorder="0" applyAlignment="0" applyProtection="0"/>
    <xf numFmtId="0" fontId="17" fillId="16" borderId="50" applyBorder="0">
      <alignment horizontal="center"/>
    </xf>
    <xf numFmtId="0" fontId="1" fillId="0" borderId="0"/>
    <xf numFmtId="0" fontId="1" fillId="30" borderId="0" applyNumberFormat="0" applyBorder="0" applyAlignment="0" applyProtection="0"/>
  </cellStyleXfs>
  <cellXfs count="388">
    <xf numFmtId="0" fontId="0" fillId="0" borderId="0" xfId="0"/>
    <xf numFmtId="0" fontId="5" fillId="2" borderId="0" xfId="0" applyFont="1" applyFill="1" applyAlignment="1">
      <alignment vertical="center"/>
    </xf>
    <xf numFmtId="0" fontId="5" fillId="2" borderId="1" xfId="0" applyFont="1" applyFill="1" applyBorder="1" applyAlignment="1">
      <alignment vertical="center"/>
    </xf>
    <xf numFmtId="0" fontId="5" fillId="0" borderId="0" xfId="0" applyFont="1"/>
    <xf numFmtId="0" fontId="5" fillId="0" borderId="0" xfId="0" applyFont="1" applyAlignment="1">
      <alignment vertical="top" wrapText="1"/>
    </xf>
    <xf numFmtId="0" fontId="5" fillId="2" borderId="0" xfId="0" applyFont="1" applyFill="1"/>
    <xf numFmtId="0" fontId="5" fillId="2" borderId="0" xfId="0" applyFont="1" applyFill="1" applyAlignment="1">
      <alignment wrapText="1"/>
    </xf>
    <xf numFmtId="0" fontId="5" fillId="2" borderId="2" xfId="0" applyFont="1" applyFill="1" applyBorder="1"/>
    <xf numFmtId="0" fontId="5" fillId="2" borderId="3" xfId="0" applyFont="1" applyFill="1" applyBorder="1"/>
    <xf numFmtId="0" fontId="5" fillId="2" borderId="5" xfId="0" applyFont="1" applyFill="1" applyBorder="1"/>
    <xf numFmtId="0" fontId="5" fillId="0" borderId="17" xfId="0" applyFont="1" applyBorder="1"/>
    <xf numFmtId="0" fontId="5" fillId="0" borderId="18" xfId="0" applyFont="1" applyBorder="1"/>
    <xf numFmtId="0" fontId="5" fillId="0" borderId="19" xfId="0" applyFont="1" applyBorder="1"/>
    <xf numFmtId="0" fontId="5" fillId="0" borderId="20" xfId="0" applyFont="1" applyBorder="1"/>
    <xf numFmtId="0" fontId="5" fillId="6" borderId="21" xfId="0" applyFont="1" applyFill="1" applyBorder="1"/>
    <xf numFmtId="0" fontId="5" fillId="0" borderId="22" xfId="0" applyFont="1" applyBorder="1"/>
    <xf numFmtId="0" fontId="5" fillId="7" borderId="21" xfId="0" applyFont="1" applyFill="1" applyBorder="1"/>
    <xf numFmtId="0" fontId="5" fillId="8" borderId="0" xfId="0" applyFont="1" applyFill="1"/>
    <xf numFmtId="0" fontId="5" fillId="9" borderId="21" xfId="0" applyFont="1" applyFill="1" applyBorder="1"/>
    <xf numFmtId="0" fontId="5" fillId="0" borderId="23" xfId="0" applyFont="1" applyBorder="1"/>
    <xf numFmtId="0" fontId="5" fillId="0" borderId="24" xfId="0" applyFont="1" applyBorder="1"/>
    <xf numFmtId="0" fontId="18" fillId="0" borderId="0" xfId="0" applyFont="1"/>
    <xf numFmtId="0" fontId="5" fillId="0" borderId="25" xfId="0" applyFont="1" applyBorder="1"/>
    <xf numFmtId="0" fontId="5" fillId="0" borderId="26" xfId="0" applyFont="1" applyBorder="1"/>
    <xf numFmtId="0" fontId="5" fillId="0" borderId="27" xfId="0" applyFont="1" applyBorder="1"/>
    <xf numFmtId="0" fontId="22" fillId="0" borderId="0" xfId="0" applyFont="1" applyAlignment="1">
      <alignment wrapText="1"/>
    </xf>
    <xf numFmtId="0" fontId="2" fillId="0" borderId="0" xfId="0" applyFont="1"/>
    <xf numFmtId="0" fontId="5" fillId="10" borderId="36" xfId="0" applyFont="1" applyFill="1" applyBorder="1"/>
    <xf numFmtId="0" fontId="5" fillId="10" borderId="37" xfId="0" applyFont="1" applyFill="1" applyBorder="1"/>
    <xf numFmtId="0" fontId="5" fillId="10" borderId="38" xfId="0" applyFont="1" applyFill="1" applyBorder="1"/>
    <xf numFmtId="0" fontId="5" fillId="10" borderId="39" xfId="0" applyFont="1" applyFill="1" applyBorder="1"/>
    <xf numFmtId="0" fontId="5" fillId="10" borderId="9" xfId="0" applyFont="1" applyFill="1" applyBorder="1"/>
    <xf numFmtId="0" fontId="5" fillId="10" borderId="40" xfId="0" applyFont="1" applyFill="1" applyBorder="1"/>
    <xf numFmtId="0" fontId="5" fillId="11" borderId="9" xfId="0" applyFont="1" applyFill="1" applyBorder="1"/>
    <xf numFmtId="0" fontId="5" fillId="12" borderId="9" xfId="0" applyFont="1" applyFill="1" applyBorder="1"/>
    <xf numFmtId="0" fontId="5" fillId="12" borderId="40" xfId="0" applyFont="1" applyFill="1" applyBorder="1"/>
    <xf numFmtId="0" fontId="5" fillId="11" borderId="39" xfId="0" applyFont="1" applyFill="1" applyBorder="1"/>
    <xf numFmtId="0" fontId="5" fillId="13" borderId="9" xfId="0" applyFont="1" applyFill="1" applyBorder="1"/>
    <xf numFmtId="0" fontId="5" fillId="13" borderId="40" xfId="0" applyFont="1" applyFill="1" applyBorder="1"/>
    <xf numFmtId="0" fontId="5" fillId="14" borderId="39" xfId="0" applyFont="1" applyFill="1" applyBorder="1"/>
    <xf numFmtId="0" fontId="5" fillId="14" borderId="9" xfId="0" applyFont="1" applyFill="1" applyBorder="1"/>
    <xf numFmtId="0" fontId="5" fillId="14" borderId="41" xfId="0" applyFont="1" applyFill="1" applyBorder="1"/>
    <xf numFmtId="0" fontId="5" fillId="14" borderId="42" xfId="0" applyFont="1" applyFill="1" applyBorder="1"/>
    <xf numFmtId="0" fontId="5" fillId="13" borderId="42" xfId="0" applyFont="1" applyFill="1" applyBorder="1"/>
    <xf numFmtId="0" fontId="5" fillId="13" borderId="43" xfId="0" applyFont="1" applyFill="1" applyBorder="1"/>
    <xf numFmtId="0" fontId="0" fillId="15" borderId="0" xfId="0" applyFill="1"/>
    <xf numFmtId="0" fontId="0" fillId="0" borderId="0" xfId="0" applyAlignment="1">
      <alignment horizontal="left" vertical="top"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1" xfId="0" applyBorder="1"/>
    <xf numFmtId="0" fontId="0" fillId="4" borderId="16" xfId="0" applyFill="1" applyBorder="1"/>
    <xf numFmtId="0" fontId="2" fillId="0" borderId="0" xfId="0" applyFont="1" applyAlignment="1">
      <alignment horizontal="center"/>
    </xf>
    <xf numFmtId="0" fontId="0" fillId="0" borderId="6" xfId="0" applyBorder="1"/>
    <xf numFmtId="0" fontId="0" fillId="0" borderId="7" xfId="0" applyBorder="1"/>
    <xf numFmtId="0" fontId="0" fillId="0" borderId="0" xfId="0" applyAlignment="1">
      <alignment vertical="top" wrapText="1"/>
    </xf>
    <xf numFmtId="165" fontId="0" fillId="2" borderId="0" xfId="0" applyNumberFormat="1" applyFill="1"/>
    <xf numFmtId="165" fontId="0" fillId="0" borderId="0" xfId="0" applyNumberFormat="1"/>
    <xf numFmtId="0" fontId="0" fillId="17" borderId="0" xfId="0" applyFill="1"/>
    <xf numFmtId="0" fontId="0" fillId="13" borderId="0" xfId="0" applyFill="1"/>
    <xf numFmtId="0" fontId="0" fillId="18" borderId="0" xfId="0" applyFill="1"/>
    <xf numFmtId="0" fontId="0" fillId="19" borderId="0" xfId="0" applyFill="1"/>
    <xf numFmtId="0" fontId="0" fillId="20" borderId="0" xfId="0" applyFill="1"/>
    <xf numFmtId="0" fontId="0" fillId="10" borderId="0" xfId="0" applyFill="1"/>
    <xf numFmtId="0" fontId="0" fillId="11" borderId="0" xfId="0" applyFill="1"/>
    <xf numFmtId="0" fontId="0" fillId="21" borderId="0" xfId="0" applyFill="1"/>
    <xf numFmtId="0" fontId="0" fillId="0" borderId="8" xfId="0" applyBorder="1"/>
    <xf numFmtId="22" fontId="0" fillId="0" borderId="0" xfId="0" applyNumberFormat="1"/>
    <xf numFmtId="0" fontId="5" fillId="24" borderId="3" xfId="0" applyFont="1" applyFill="1" applyBorder="1"/>
    <xf numFmtId="0" fontId="5" fillId="27" borderId="4" xfId="0" applyFont="1" applyFill="1" applyBorder="1"/>
    <xf numFmtId="0" fontId="5" fillId="26" borderId="0" xfId="0" applyFont="1" applyFill="1"/>
    <xf numFmtId="0" fontId="5" fillId="28" borderId="0" xfId="0" applyFont="1" applyFill="1"/>
    <xf numFmtId="0" fontId="5" fillId="23" borderId="0" xfId="0" applyFont="1" applyFill="1"/>
    <xf numFmtId="0" fontId="5" fillId="22" borderId="0" xfId="0" applyFont="1" applyFill="1"/>
    <xf numFmtId="0" fontId="5" fillId="27" borderId="0" xfId="0" applyFont="1" applyFill="1"/>
    <xf numFmtId="0" fontId="5" fillId="23" borderId="5" xfId="0" applyFont="1" applyFill="1" applyBorder="1"/>
    <xf numFmtId="0" fontId="5" fillId="24" borderId="0" xfId="0" applyFont="1" applyFill="1"/>
    <xf numFmtId="0" fontId="5" fillId="27" borderId="1" xfId="0" applyFont="1" applyFill="1" applyBorder="1"/>
    <xf numFmtId="0" fontId="5" fillId="27" borderId="5" xfId="0" applyFont="1" applyFill="1" applyBorder="1"/>
    <xf numFmtId="0" fontId="5" fillId="25" borderId="0" xfId="0" applyFont="1" applyFill="1"/>
    <xf numFmtId="0" fontId="5" fillId="26" borderId="1" xfId="0" applyFont="1" applyFill="1" applyBorder="1"/>
    <xf numFmtId="0" fontId="5" fillId="25" borderId="48" xfId="0" applyFont="1" applyFill="1" applyBorder="1"/>
    <xf numFmtId="0" fontId="5" fillId="24" borderId="1" xfId="0" applyFont="1" applyFill="1" applyBorder="1"/>
    <xf numFmtId="0" fontId="5" fillId="26" borderId="49" xfId="0" applyFont="1" applyFill="1" applyBorder="1"/>
    <xf numFmtId="0" fontId="5" fillId="25" borderId="1" xfId="0" applyFont="1" applyFill="1" applyBorder="1"/>
    <xf numFmtId="0" fontId="5" fillId="23" borderId="49" xfId="0" applyFont="1" applyFill="1" applyBorder="1"/>
    <xf numFmtId="0" fontId="5" fillId="27" borderId="49" xfId="0" applyFont="1" applyFill="1" applyBorder="1"/>
    <xf numFmtId="0" fontId="5" fillId="22" borderId="49" xfId="0" applyFont="1" applyFill="1" applyBorder="1"/>
    <xf numFmtId="0" fontId="5" fillId="3" borderId="49" xfId="0" applyFont="1" applyFill="1" applyBorder="1"/>
    <xf numFmtId="0" fontId="5" fillId="28" borderId="5" xfId="0" applyFont="1" applyFill="1" applyBorder="1"/>
    <xf numFmtId="0" fontId="5" fillId="28" borderId="47" xfId="0" applyFont="1" applyFill="1" applyBorder="1"/>
    <xf numFmtId="0" fontId="5" fillId="27" borderId="7" xfId="0" applyFont="1" applyFill="1" applyBorder="1"/>
    <xf numFmtId="0" fontId="5" fillId="24" borderId="7" xfId="0" applyFont="1" applyFill="1" applyBorder="1"/>
    <xf numFmtId="0" fontId="5" fillId="28" borderId="7" xfId="0" applyFont="1" applyFill="1" applyBorder="1"/>
    <xf numFmtId="0" fontId="17" fillId="16" borderId="9" xfId="2" applyBorder="1">
      <alignment horizontal="center"/>
    </xf>
    <xf numFmtId="0" fontId="17" fillId="16" borderId="50" xfId="0" applyFont="1" applyFill="1" applyBorder="1" applyAlignment="1">
      <alignment horizontal="center"/>
    </xf>
    <xf numFmtId="0" fontId="5" fillId="2" borderId="1" xfId="0" applyFont="1" applyFill="1" applyBorder="1" applyAlignment="1">
      <alignment vertical="center" wrapText="1"/>
    </xf>
    <xf numFmtId="0" fontId="5" fillId="2" borderId="4" xfId="0" applyFont="1" applyFill="1" applyBorder="1" applyAlignment="1">
      <alignment vertical="center" wrapText="1"/>
    </xf>
    <xf numFmtId="0" fontId="5" fillId="2" borderId="3" xfId="0" applyFont="1" applyFill="1" applyBorder="1" applyAlignment="1">
      <alignment vertical="center" wrapText="1"/>
    </xf>
    <xf numFmtId="0" fontId="5" fillId="2" borderId="7" xfId="0" applyFont="1" applyFill="1" applyBorder="1" applyAlignment="1">
      <alignment wrapText="1"/>
    </xf>
    <xf numFmtId="0" fontId="5" fillId="2" borderId="6" xfId="0" applyFont="1" applyFill="1" applyBorder="1" applyAlignment="1">
      <alignment wrapText="1"/>
    </xf>
    <xf numFmtId="0" fontId="5" fillId="2" borderId="5" xfId="0" applyFont="1" applyFill="1" applyBorder="1" applyAlignment="1">
      <alignment wrapText="1"/>
    </xf>
    <xf numFmtId="0" fontId="5" fillId="2" borderId="0" xfId="0" applyFont="1" applyFill="1" applyAlignment="1">
      <alignment vertical="center" wrapText="1"/>
    </xf>
    <xf numFmtId="0" fontId="5" fillId="2" borderId="0" xfId="0" applyFont="1" applyFill="1" applyAlignment="1">
      <alignment horizontal="left"/>
    </xf>
    <xf numFmtId="0" fontId="17" fillId="16" borderId="47" xfId="2" applyBorder="1">
      <alignment horizontal="center"/>
    </xf>
    <xf numFmtId="0" fontId="17" fillId="16" borderId="0" xfId="2" applyBorder="1">
      <alignment horizontal="center"/>
    </xf>
    <xf numFmtId="0" fontId="17" fillId="16" borderId="11" xfId="2" applyBorder="1">
      <alignment horizontal="center"/>
    </xf>
    <xf numFmtId="0" fontId="0" fillId="0" borderId="36" xfId="0" applyBorder="1"/>
    <xf numFmtId="0" fontId="0" fillId="0" borderId="37" xfId="0" applyBorder="1"/>
    <xf numFmtId="0" fontId="0" fillId="0" borderId="38" xfId="0" applyBorder="1"/>
    <xf numFmtId="0" fontId="0" fillId="0" borderId="39" xfId="0" applyBorder="1"/>
    <xf numFmtId="0" fontId="0" fillId="0" borderId="9" xfId="0" applyBorder="1"/>
    <xf numFmtId="0" fontId="0" fillId="0" borderId="40" xfId="0" applyBorder="1"/>
    <xf numFmtId="0" fontId="0" fillId="0" borderId="41" xfId="0" applyBorder="1"/>
    <xf numFmtId="0" fontId="0" fillId="0" borderId="42" xfId="0" applyBorder="1"/>
    <xf numFmtId="0" fontId="0" fillId="0" borderId="43" xfId="0" applyBorder="1"/>
    <xf numFmtId="0" fontId="1" fillId="0" borderId="0" xfId="3"/>
    <xf numFmtId="0" fontId="1" fillId="0" borderId="0" xfId="3" applyAlignment="1">
      <alignment horizontal="center"/>
    </xf>
    <xf numFmtId="0" fontId="1" fillId="0" borderId="36" xfId="3" applyBorder="1"/>
    <xf numFmtId="0" fontId="1" fillId="0" borderId="37" xfId="3" applyBorder="1"/>
    <xf numFmtId="0" fontId="1" fillId="0" borderId="38" xfId="3" applyBorder="1"/>
    <xf numFmtId="0" fontId="1" fillId="0" borderId="39" xfId="3" applyBorder="1"/>
    <xf numFmtId="0" fontId="1" fillId="0" borderId="9" xfId="3" applyBorder="1"/>
    <xf numFmtId="0" fontId="1" fillId="0" borderId="40" xfId="3" applyBorder="1"/>
    <xf numFmtId="0" fontId="1" fillId="15" borderId="9" xfId="3" applyFill="1" applyBorder="1"/>
    <xf numFmtId="22" fontId="1" fillId="0" borderId="0" xfId="3" applyNumberFormat="1" applyAlignment="1">
      <alignment horizontal="center"/>
    </xf>
    <xf numFmtId="0" fontId="0" fillId="21" borderId="57" xfId="0" applyFill="1" applyBorder="1"/>
    <xf numFmtId="0" fontId="0" fillId="0" borderId="58" xfId="0" applyBorder="1"/>
    <xf numFmtId="0" fontId="0" fillId="5" borderId="44" xfId="0" applyFill="1" applyBorder="1"/>
    <xf numFmtId="0" fontId="0" fillId="5" borderId="60" xfId="0" applyFill="1" applyBorder="1"/>
    <xf numFmtId="0" fontId="0" fillId="5" borderId="46" xfId="0" applyFill="1" applyBorder="1"/>
    <xf numFmtId="0" fontId="5" fillId="7" borderId="61" xfId="0" applyFont="1" applyFill="1" applyBorder="1"/>
    <xf numFmtId="0" fontId="0" fillId="7" borderId="9" xfId="0" applyFill="1" applyBorder="1"/>
    <xf numFmtId="0" fontId="5" fillId="2" borderId="1" xfId="0" applyFont="1" applyFill="1" applyBorder="1" applyAlignment="1">
      <alignment horizontal="left" vertical="center" wrapText="1"/>
    </xf>
    <xf numFmtId="0" fontId="5" fillId="2" borderId="0" xfId="0" applyFont="1" applyFill="1" applyAlignment="1">
      <alignment horizontal="left" vertical="center" wrapText="1"/>
    </xf>
    <xf numFmtId="0" fontId="18" fillId="3" borderId="9" xfId="0" applyFont="1" applyFill="1" applyBorder="1" applyAlignment="1">
      <alignment horizontal="center" vertical="center"/>
    </xf>
    <xf numFmtId="0" fontId="5" fillId="4" borderId="15" xfId="0" applyFont="1" applyFill="1" applyBorder="1" applyAlignment="1">
      <alignment horizontal="center"/>
    </xf>
    <xf numFmtId="0" fontId="5" fillId="2" borderId="0" xfId="0" applyFont="1" applyFill="1" applyAlignment="1">
      <alignment horizontal="center"/>
    </xf>
    <xf numFmtId="0" fontId="5" fillId="5" borderId="9" xfId="0" applyFont="1" applyFill="1" applyBorder="1" applyAlignment="1">
      <alignment horizontal="center"/>
    </xf>
    <xf numFmtId="0" fontId="5" fillId="3" borderId="9" xfId="2" applyFont="1" applyFill="1" applyBorder="1">
      <alignment horizontal="center"/>
    </xf>
    <xf numFmtId="0" fontId="5" fillId="3" borderId="9" xfId="0" applyFont="1" applyFill="1" applyBorder="1" applyAlignment="1">
      <alignment horizontal="center"/>
    </xf>
    <xf numFmtId="0" fontId="5" fillId="3" borderId="15" xfId="0" applyFont="1" applyFill="1" applyBorder="1" applyAlignment="1">
      <alignment horizontal="center"/>
    </xf>
    <xf numFmtId="0" fontId="5" fillId="0" borderId="9" xfId="0" applyFont="1"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41" xfId="0" applyBorder="1" applyAlignment="1">
      <alignment horizontal="center"/>
    </xf>
    <xf numFmtId="0" fontId="0" fillId="0" borderId="40" xfId="0" applyBorder="1" applyAlignment="1">
      <alignment horizontal="center"/>
    </xf>
    <xf numFmtId="0" fontId="0" fillId="0" borderId="9" xfId="0" applyBorder="1" applyAlignment="1">
      <alignment horizontal="center"/>
    </xf>
    <xf numFmtId="0" fontId="0" fillId="0" borderId="39" xfId="0" applyBorder="1" applyAlignment="1">
      <alignment horizontal="center"/>
    </xf>
    <xf numFmtId="0" fontId="0" fillId="21" borderId="39" xfId="0" applyFill="1" applyBorder="1" applyAlignment="1">
      <alignment horizontal="center"/>
    </xf>
    <xf numFmtId="0" fontId="0" fillId="0" borderId="38" xfId="0" applyBorder="1" applyAlignment="1">
      <alignment horizontal="center"/>
    </xf>
    <xf numFmtId="0" fontId="0" fillId="0" borderId="37" xfId="0" applyBorder="1" applyAlignment="1">
      <alignment horizontal="center"/>
    </xf>
    <xf numFmtId="0" fontId="0" fillId="0" borderId="36" xfId="0" applyBorder="1" applyAlignment="1">
      <alignment horizontal="center"/>
    </xf>
    <xf numFmtId="0" fontId="0" fillId="0" borderId="66" xfId="0" applyBorder="1"/>
    <xf numFmtId="0" fontId="0" fillId="0" borderId="65" xfId="0" applyBorder="1"/>
    <xf numFmtId="0" fontId="0" fillId="0" borderId="67" xfId="0" applyBorder="1"/>
    <xf numFmtId="0" fontId="0" fillId="0" borderId="10" xfId="0" applyBorder="1"/>
    <xf numFmtId="0" fontId="0" fillId="0" borderId="68" xfId="0" applyBorder="1"/>
    <xf numFmtId="0" fontId="0" fillId="0" borderId="0" xfId="0" applyAlignment="1">
      <alignment horizontal="center"/>
    </xf>
    <xf numFmtId="0" fontId="0" fillId="0" borderId="69" xfId="0" applyBorder="1"/>
    <xf numFmtId="0" fontId="0" fillId="0" borderId="64" xfId="0" applyBorder="1"/>
    <xf numFmtId="0" fontId="0" fillId="0" borderId="70" xfId="0" applyBorder="1"/>
    <xf numFmtId="0" fontId="0" fillId="0" borderId="0" xfId="0" quotePrefix="1" applyAlignment="1">
      <alignment wrapText="1"/>
    </xf>
    <xf numFmtId="0" fontId="5" fillId="3" borderId="9" xfId="0" applyFont="1" applyFill="1" applyBorder="1" applyAlignment="1">
      <alignment horizontal="center" vertical="center" wrapText="1"/>
    </xf>
    <xf numFmtId="0" fontId="0" fillId="2" borderId="9" xfId="0" applyFill="1" applyBorder="1" applyAlignment="1">
      <alignment horizontal="center"/>
    </xf>
    <xf numFmtId="0" fontId="0" fillId="0" borderId="0" xfId="0" applyAlignment="1">
      <alignment horizontal="left" vertical="center" wrapText="1"/>
    </xf>
    <xf numFmtId="0" fontId="17" fillId="16" borderId="8" xfId="0" applyFont="1" applyFill="1" applyBorder="1" applyAlignment="1">
      <alignment horizontal="center"/>
    </xf>
    <xf numFmtId="0" fontId="0" fillId="2" borderId="46" xfId="0" applyFill="1" applyBorder="1"/>
    <xf numFmtId="0" fontId="0" fillId="2" borderId="45" xfId="0" applyFill="1" applyBorder="1"/>
    <xf numFmtId="0" fontId="0" fillId="2" borderId="44" xfId="0" applyFill="1" applyBorder="1"/>
    <xf numFmtId="0" fontId="0" fillId="0" borderId="66" xfId="0" applyBorder="1" applyAlignment="1">
      <alignment horizontal="left" vertical="top" wrapText="1"/>
    </xf>
    <xf numFmtId="0" fontId="0" fillId="0" borderId="65" xfId="0" applyBorder="1" applyAlignment="1">
      <alignment horizontal="left" vertical="top" wrapText="1"/>
    </xf>
    <xf numFmtId="0" fontId="0" fillId="3" borderId="42" xfId="0" applyFill="1" applyBorder="1" applyAlignment="1">
      <alignment horizontal="center"/>
    </xf>
    <xf numFmtId="0" fontId="17" fillId="16" borderId="16" xfId="2" applyBorder="1">
      <alignment horizontal="center"/>
    </xf>
    <xf numFmtId="0" fontId="0" fillId="2" borderId="16" xfId="0" applyFill="1" applyBorder="1" applyAlignment="1">
      <alignment horizontal="center"/>
    </xf>
    <xf numFmtId="0" fontId="0" fillId="2" borderId="0" xfId="0" applyFill="1" applyAlignment="1">
      <alignment horizontal="center"/>
    </xf>
    <xf numFmtId="0" fontId="0" fillId="18" borderId="46" xfId="0" applyFill="1" applyBorder="1"/>
    <xf numFmtId="0" fontId="19" fillId="0" borderId="0" xfId="0" applyFont="1" applyAlignment="1">
      <alignment vertical="top" wrapText="1"/>
    </xf>
    <xf numFmtId="0" fontId="0" fillId="7" borderId="9" xfId="0" applyFill="1" applyBorder="1" applyAlignment="1">
      <alignment horizontal="center"/>
    </xf>
    <xf numFmtId="0" fontId="0" fillId="0" borderId="0" xfId="3" applyFont="1" applyAlignment="1">
      <alignment horizontal="left" vertical="top" wrapText="1"/>
    </xf>
    <xf numFmtId="0" fontId="1" fillId="0" borderId="0" xfId="3" applyAlignment="1">
      <alignment horizontal="left" vertical="top" wrapText="1"/>
    </xf>
    <xf numFmtId="0" fontId="17" fillId="16" borderId="53" xfId="2" applyBorder="1">
      <alignment horizontal="center"/>
    </xf>
    <xf numFmtId="0" fontId="17" fillId="16" borderId="52" xfId="2" applyBorder="1">
      <alignment horizontal="center"/>
    </xf>
    <xf numFmtId="0" fontId="17" fillId="16" borderId="51" xfId="2" applyBorder="1">
      <alignment horizontal="center"/>
    </xf>
    <xf numFmtId="0" fontId="1" fillId="3" borderId="9" xfId="3" applyFill="1" applyBorder="1"/>
    <xf numFmtId="0" fontId="0" fillId="15" borderId="63" xfId="0" applyFill="1" applyBorder="1" applyAlignment="1">
      <alignment horizontal="center"/>
    </xf>
    <xf numFmtId="0" fontId="0" fillId="0" borderId="72" xfId="0" applyBorder="1"/>
    <xf numFmtId="0" fontId="0" fillId="3" borderId="9" xfId="0" applyFill="1" applyBorder="1"/>
    <xf numFmtId="0" fontId="5" fillId="23" borderId="7" xfId="0" applyFont="1" applyFill="1" applyBorder="1"/>
    <xf numFmtId="0" fontId="5" fillId="27" borderId="3" xfId="0" applyFont="1" applyFill="1" applyBorder="1"/>
    <xf numFmtId="0" fontId="5" fillId="23" borderId="1" xfId="0" applyFont="1" applyFill="1" applyBorder="1"/>
    <xf numFmtId="0" fontId="5" fillId="22" borderId="5" xfId="0" applyFont="1" applyFill="1" applyBorder="1"/>
    <xf numFmtId="0" fontId="5" fillId="26" borderId="7" xfId="0" applyFont="1" applyFill="1" applyBorder="1"/>
    <xf numFmtId="0" fontId="5" fillId="2" borderId="66" xfId="0" applyFont="1" applyFill="1" applyBorder="1"/>
    <xf numFmtId="0" fontId="5" fillId="2" borderId="65" xfId="0" applyFont="1" applyFill="1" applyBorder="1"/>
    <xf numFmtId="0" fontId="5" fillId="2" borderId="67" xfId="0" applyFont="1" applyFill="1" applyBorder="1"/>
    <xf numFmtId="0" fontId="5" fillId="2" borderId="10" xfId="0" applyFont="1" applyFill="1" applyBorder="1"/>
    <xf numFmtId="0" fontId="5" fillId="2" borderId="68" xfId="0" applyFont="1" applyFill="1" applyBorder="1"/>
    <xf numFmtId="0" fontId="5" fillId="2" borderId="69" xfId="0" applyFont="1" applyFill="1" applyBorder="1"/>
    <xf numFmtId="0" fontId="5" fillId="2" borderId="64" xfId="0" applyFont="1" applyFill="1" applyBorder="1"/>
    <xf numFmtId="0" fontId="5" fillId="2" borderId="70" xfId="0" applyFont="1" applyFill="1" applyBorder="1"/>
    <xf numFmtId="0" fontId="5" fillId="2" borderId="11" xfId="0" applyFont="1" applyFill="1" applyBorder="1"/>
    <xf numFmtId="0" fontId="5" fillId="2" borderId="73" xfId="0" applyFont="1" applyFill="1" applyBorder="1"/>
    <xf numFmtId="0" fontId="5" fillId="2" borderId="52" xfId="0" applyFont="1" applyFill="1" applyBorder="1"/>
    <xf numFmtId="0" fontId="17" fillId="16" borderId="66" xfId="2" applyBorder="1">
      <alignment horizontal="center"/>
    </xf>
    <xf numFmtId="0" fontId="5" fillId="22" borderId="74" xfId="0" applyFont="1" applyFill="1" applyBorder="1"/>
    <xf numFmtId="0" fontId="17" fillId="16" borderId="10" xfId="2" applyBorder="1">
      <alignment horizontal="center"/>
    </xf>
    <xf numFmtId="0" fontId="5" fillId="29" borderId="75" xfId="0" applyFont="1" applyFill="1" applyBorder="1"/>
    <xf numFmtId="0" fontId="17" fillId="16" borderId="69" xfId="2" applyBorder="1">
      <alignment horizontal="center"/>
    </xf>
    <xf numFmtId="0" fontId="5" fillId="27" borderId="70" xfId="0" applyFont="1" applyFill="1" applyBorder="1"/>
    <xf numFmtId="0" fontId="27" fillId="16" borderId="47" xfId="0" applyFont="1" applyFill="1" applyBorder="1" applyAlignment="1">
      <alignment horizontal="center"/>
    </xf>
    <xf numFmtId="0" fontId="0" fillId="11" borderId="76" xfId="0" applyFill="1" applyBorder="1"/>
    <xf numFmtId="0" fontId="0" fillId="11" borderId="77" xfId="0" applyFill="1" applyBorder="1"/>
    <xf numFmtId="0" fontId="0" fillId="11" borderId="78" xfId="0" applyFill="1" applyBorder="1"/>
    <xf numFmtId="0" fontId="0" fillId="21" borderId="79" xfId="0" applyFill="1" applyBorder="1"/>
    <xf numFmtId="0" fontId="0" fillId="11" borderId="80" xfId="0" applyFill="1" applyBorder="1"/>
    <xf numFmtId="0" fontId="0" fillId="11" borderId="81" xfId="0" applyFill="1" applyBorder="1"/>
    <xf numFmtId="0" fontId="0" fillId="11" borderId="82" xfId="0" applyFill="1" applyBorder="1"/>
    <xf numFmtId="0" fontId="0" fillId="11" borderId="83" xfId="0" applyFill="1" applyBorder="1"/>
    <xf numFmtId="0" fontId="2" fillId="3" borderId="9" xfId="0" applyFont="1" applyFill="1" applyBorder="1" applyAlignment="1">
      <alignment horizontal="center" vertical="center"/>
    </xf>
    <xf numFmtId="0" fontId="5" fillId="0" borderId="0" xfId="0" applyFont="1" applyAlignment="1">
      <alignment horizontal="left" vertical="top"/>
    </xf>
    <xf numFmtId="0" fontId="5" fillId="0" borderId="66" xfId="0" applyFont="1" applyBorder="1"/>
    <xf numFmtId="0" fontId="5" fillId="0" borderId="65" xfId="0" applyFont="1" applyBorder="1"/>
    <xf numFmtId="0" fontId="5" fillId="0" borderId="67" xfId="0" applyFont="1" applyBorder="1"/>
    <xf numFmtId="0" fontId="5" fillId="0" borderId="10" xfId="0" applyFont="1" applyBorder="1"/>
    <xf numFmtId="0" fontId="5" fillId="0" borderId="68" xfId="0" applyFont="1" applyBorder="1"/>
    <xf numFmtId="0" fontId="5" fillId="0" borderId="69" xfId="0" applyFont="1" applyBorder="1"/>
    <xf numFmtId="0" fontId="5" fillId="0" borderId="64" xfId="0" applyFont="1" applyBorder="1"/>
    <xf numFmtId="0" fontId="5" fillId="0" borderId="70" xfId="0" applyFont="1" applyBorder="1"/>
    <xf numFmtId="0" fontId="5" fillId="3" borderId="61" xfId="0" applyFont="1" applyFill="1" applyBorder="1"/>
    <xf numFmtId="0" fontId="0" fillId="4" borderId="9" xfId="0" applyFill="1" applyBorder="1"/>
    <xf numFmtId="0" fontId="5" fillId="26" borderId="8" xfId="0" applyFont="1" applyFill="1" applyBorder="1"/>
    <xf numFmtId="0" fontId="5" fillId="22" borderId="7" xfId="0" applyFont="1" applyFill="1" applyBorder="1"/>
    <xf numFmtId="0" fontId="5" fillId="24" borderId="6" xfId="0" applyFont="1" applyFill="1" applyBorder="1"/>
    <xf numFmtId="0" fontId="5" fillId="25" borderId="5" xfId="0" applyFont="1" applyFill="1" applyBorder="1"/>
    <xf numFmtId="0" fontId="5" fillId="26" borderId="5" xfId="0" applyFont="1" applyFill="1" applyBorder="1"/>
    <xf numFmtId="0" fontId="5" fillId="25" borderId="3" xfId="0" applyFont="1" applyFill="1" applyBorder="1"/>
    <xf numFmtId="0" fontId="5" fillId="26" borderId="3" xfId="0" applyFont="1" applyFill="1" applyBorder="1"/>
    <xf numFmtId="0" fontId="5" fillId="23" borderId="2" xfId="0" applyFont="1" applyFill="1" applyBorder="1"/>
    <xf numFmtId="0" fontId="4" fillId="2" borderId="6" xfId="0" applyFont="1" applyFill="1" applyBorder="1" applyAlignment="1">
      <alignment vertical="center"/>
    </xf>
    <xf numFmtId="0" fontId="0" fillId="2" borderId="0" xfId="0" applyFill="1"/>
    <xf numFmtId="0" fontId="16" fillId="31" borderId="1" xfId="0" applyFont="1" applyFill="1" applyBorder="1" applyAlignment="1">
      <alignment horizontal="right" vertical="center"/>
    </xf>
    <xf numFmtId="0" fontId="4" fillId="31" borderId="1" xfId="0" applyFont="1" applyFill="1" applyBorder="1" applyAlignment="1">
      <alignment vertical="center"/>
    </xf>
    <xf numFmtId="0" fontId="14" fillId="31" borderId="0" xfId="0" applyFont="1" applyFill="1" applyAlignment="1">
      <alignment vertical="center"/>
    </xf>
    <xf numFmtId="0" fontId="14" fillId="31" borderId="5" xfId="0" applyFont="1" applyFill="1" applyBorder="1" applyAlignment="1">
      <alignment vertical="center"/>
    </xf>
    <xf numFmtId="0" fontId="4" fillId="31" borderId="1" xfId="0" applyFont="1" applyFill="1" applyBorder="1" applyAlignment="1">
      <alignment horizontal="right" vertical="center"/>
    </xf>
    <xf numFmtId="0" fontId="4" fillId="31" borderId="4" xfId="0" applyFont="1" applyFill="1" applyBorder="1" applyAlignment="1">
      <alignment horizontal="right" vertical="center"/>
    </xf>
    <xf numFmtId="0" fontId="4" fillId="31" borderId="3" xfId="0" applyFont="1" applyFill="1" applyBorder="1" applyAlignment="1">
      <alignment horizontal="left" vertical="center" wrapText="1"/>
    </xf>
    <xf numFmtId="0" fontId="4" fillId="31" borderId="2" xfId="0" applyFont="1" applyFill="1" applyBorder="1" applyAlignment="1">
      <alignment horizontal="left" vertical="center" wrapText="1"/>
    </xf>
    <xf numFmtId="0" fontId="8" fillId="31" borderId="0" xfId="0" applyFont="1" applyFill="1" applyAlignment="1">
      <alignment vertical="center"/>
    </xf>
    <xf numFmtId="0" fontId="7" fillId="31" borderId="0" xfId="0" applyFont="1" applyFill="1" applyAlignment="1">
      <alignment horizontal="center" vertical="center"/>
    </xf>
    <xf numFmtId="0" fontId="4" fillId="2" borderId="0" xfId="0" applyFont="1" applyFill="1" applyAlignment="1">
      <alignment horizontal="right" vertical="center"/>
    </xf>
    <xf numFmtId="0" fontId="6" fillId="2" borderId="0" xfId="0" applyFont="1" applyFill="1" applyAlignment="1">
      <alignment vertical="center" wrapText="1"/>
    </xf>
    <xf numFmtId="0" fontId="6" fillId="2" borderId="0" xfId="0" applyFont="1" applyFill="1" applyAlignment="1">
      <alignment vertical="center"/>
    </xf>
    <xf numFmtId="0" fontId="4" fillId="2" borderId="1" xfId="0" applyFont="1" applyFill="1" applyBorder="1" applyAlignment="1">
      <alignment horizontal="right" vertical="center"/>
    </xf>
    <xf numFmtId="0" fontId="3" fillId="2" borderId="0" xfId="0" applyFont="1" applyFill="1" applyAlignment="1">
      <alignment vertical="center" wrapText="1"/>
    </xf>
    <xf numFmtId="0" fontId="5" fillId="2" borderId="9" xfId="0" applyFont="1" applyFill="1" applyBorder="1" applyAlignment="1">
      <alignment horizontal="left" vertical="center" wrapText="1"/>
    </xf>
    <xf numFmtId="0" fontId="18" fillId="30" borderId="9" xfId="4" applyFont="1" applyBorder="1" applyAlignment="1">
      <alignment horizontal="center" vertical="center"/>
    </xf>
    <xf numFmtId="0" fontId="5" fillId="2" borderId="9" xfId="0" applyFont="1" applyFill="1" applyBorder="1" applyAlignment="1">
      <alignment vertical="center" wrapText="1"/>
    </xf>
    <xf numFmtId="0" fontId="0" fillId="32" borderId="0" xfId="0" applyFill="1"/>
    <xf numFmtId="0" fontId="5" fillId="15" borderId="9" xfId="0" applyFont="1" applyFill="1" applyBorder="1" applyAlignment="1">
      <alignment horizontal="center" vertical="center" wrapText="1"/>
    </xf>
    <xf numFmtId="0" fontId="5" fillId="33" borderId="0" xfId="0" applyFont="1" applyFill="1"/>
    <xf numFmtId="0" fontId="5" fillId="34" borderId="3" xfId="0" applyFont="1" applyFill="1" applyBorder="1"/>
    <xf numFmtId="0" fontId="5" fillId="35" borderId="21" xfId="0" applyFont="1" applyFill="1" applyBorder="1"/>
    <xf numFmtId="0" fontId="5" fillId="36" borderId="21" xfId="0" applyFont="1" applyFill="1" applyBorder="1"/>
    <xf numFmtId="0" fontId="9" fillId="31" borderId="0" xfId="0" applyFont="1" applyFill="1" applyAlignment="1">
      <alignment horizontal="left" vertical="center"/>
    </xf>
    <xf numFmtId="0" fontId="9" fillId="31" borderId="5" xfId="0" applyFont="1" applyFill="1" applyBorder="1" applyAlignment="1">
      <alignment horizontal="left" vertical="center"/>
    </xf>
    <xf numFmtId="0" fontId="9" fillId="31" borderId="0" xfId="0" applyFont="1" applyFill="1" applyAlignment="1">
      <alignment horizontal="left" vertical="center" wrapText="1"/>
    </xf>
    <xf numFmtId="0" fontId="9" fillId="31" borderId="5" xfId="0" applyFont="1" applyFill="1" applyBorder="1" applyAlignment="1">
      <alignment horizontal="left" vertical="center" wrapText="1"/>
    </xf>
    <xf numFmtId="0" fontId="12" fillId="31" borderId="0" xfId="0" applyFont="1" applyFill="1" applyAlignment="1">
      <alignment horizontal="left" vertical="center" wrapText="1"/>
    </xf>
    <xf numFmtId="0" fontId="12" fillId="31" borderId="5" xfId="0" applyFont="1" applyFill="1" applyBorder="1" applyAlignment="1">
      <alignment horizontal="left" vertical="center" wrapText="1"/>
    </xf>
    <xf numFmtId="0" fontId="12" fillId="2" borderId="0" xfId="0" applyFont="1" applyFill="1" applyAlignment="1">
      <alignment horizontal="left"/>
    </xf>
    <xf numFmtId="0" fontId="12" fillId="2" borderId="5" xfId="0" applyFont="1" applyFill="1" applyBorder="1" applyAlignment="1">
      <alignment horizontal="left"/>
    </xf>
    <xf numFmtId="0" fontId="4" fillId="2" borderId="8" xfId="0" applyFont="1" applyFill="1" applyBorder="1" applyAlignment="1">
      <alignment vertical="center"/>
    </xf>
    <xf numFmtId="0" fontId="4" fillId="2" borderId="7" xfId="0" applyFont="1" applyFill="1" applyBorder="1" applyAlignment="1">
      <alignment vertical="center"/>
    </xf>
    <xf numFmtId="0" fontId="15" fillId="31" borderId="0" xfId="0" applyFont="1" applyFill="1" applyAlignment="1">
      <alignment vertical="center"/>
    </xf>
    <xf numFmtId="0" fontId="15" fillId="31" borderId="5" xfId="0" applyFont="1" applyFill="1" applyBorder="1" applyAlignment="1">
      <alignment vertical="center"/>
    </xf>
    <xf numFmtId="0" fontId="14" fillId="31" borderId="0" xfId="0" applyFont="1" applyFill="1" applyAlignment="1">
      <alignment vertical="center"/>
    </xf>
    <xf numFmtId="0" fontId="14" fillId="31" borderId="5" xfId="0" applyFont="1" applyFill="1" applyBorder="1" applyAlignment="1">
      <alignment vertical="center"/>
    </xf>
    <xf numFmtId="0" fontId="7" fillId="31" borderId="5" xfId="0" applyFont="1" applyFill="1" applyBorder="1" applyAlignment="1">
      <alignment horizontal="left" vertical="center"/>
    </xf>
    <xf numFmtId="0" fontId="17" fillId="16" borderId="56" xfId="2" applyBorder="1">
      <alignment horizontal="center"/>
    </xf>
    <xf numFmtId="0" fontId="17" fillId="16" borderId="55" xfId="2" applyBorder="1">
      <alignment horizontal="center"/>
    </xf>
    <xf numFmtId="0" fontId="17" fillId="16" borderId="54" xfId="2" applyBorder="1">
      <alignment horizontal="center"/>
    </xf>
    <xf numFmtId="0" fontId="5" fillId="0" borderId="9" xfId="3" applyFont="1" applyBorder="1" applyAlignment="1">
      <alignment horizontal="left" vertical="center" wrapText="1"/>
    </xf>
    <xf numFmtId="0" fontId="18" fillId="0" borderId="14" xfId="0" applyFont="1" applyBorder="1" applyAlignment="1">
      <alignment horizontal="left" vertical="top" wrapText="1"/>
    </xf>
    <xf numFmtId="0" fontId="18" fillId="0" borderId="13" xfId="0" applyFont="1" applyBorder="1" applyAlignment="1">
      <alignment horizontal="left" vertical="top" wrapText="1"/>
    </xf>
    <xf numFmtId="0" fontId="18" fillId="0" borderId="12" xfId="0" applyFont="1" applyBorder="1" applyAlignment="1">
      <alignment horizontal="left" vertical="top" wrapText="1"/>
    </xf>
    <xf numFmtId="0" fontId="2" fillId="3" borderId="66" xfId="0" applyFont="1" applyFill="1" applyBorder="1" applyAlignment="1">
      <alignment horizontal="center" vertical="center"/>
    </xf>
    <xf numFmtId="0" fontId="2" fillId="3" borderId="67" xfId="0" applyFont="1" applyFill="1"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59" xfId="0" applyBorder="1" applyAlignment="1">
      <alignment horizontal="center" vertical="center"/>
    </xf>
    <xf numFmtId="0" fontId="5" fillId="2" borderId="8" xfId="0" applyFont="1" applyFill="1" applyBorder="1" applyAlignment="1">
      <alignment horizontal="left" vertical="center" wrapText="1"/>
    </xf>
    <xf numFmtId="0" fontId="5" fillId="2" borderId="7" xfId="0" applyFont="1" applyFill="1" applyBorder="1" applyAlignment="1">
      <alignment horizontal="left" vertical="center" wrapText="1"/>
    </xf>
    <xf numFmtId="0" fontId="5" fillId="2" borderId="1" xfId="0" applyFont="1" applyFill="1" applyBorder="1" applyAlignment="1">
      <alignment horizontal="left" vertical="center" wrapText="1"/>
    </xf>
    <xf numFmtId="0" fontId="5" fillId="2" borderId="0" xfId="0" applyFont="1" applyFill="1" applyAlignment="1">
      <alignment horizontal="left" vertical="center" wrapText="1"/>
    </xf>
    <xf numFmtId="0" fontId="5" fillId="0" borderId="8" xfId="0" applyFont="1" applyBorder="1" applyAlignment="1">
      <alignment horizontal="left" vertical="top" wrapText="1"/>
    </xf>
    <xf numFmtId="0" fontId="5" fillId="0" borderId="7" xfId="0" applyFont="1" applyBorder="1" applyAlignment="1">
      <alignment horizontal="left" vertical="top" wrapText="1"/>
    </xf>
    <xf numFmtId="0" fontId="5" fillId="0" borderId="6" xfId="0" applyFont="1" applyBorder="1" applyAlignment="1">
      <alignment horizontal="left" vertical="top" wrapText="1"/>
    </xf>
    <xf numFmtId="0" fontId="5" fillId="0" borderId="1" xfId="0" applyFont="1" applyBorder="1" applyAlignment="1">
      <alignment horizontal="left" vertical="top" wrapText="1"/>
    </xf>
    <xf numFmtId="0" fontId="5" fillId="0" borderId="0" xfId="0" applyFont="1" applyAlignment="1">
      <alignment horizontal="left" vertical="top" wrapText="1"/>
    </xf>
    <xf numFmtId="0" fontId="5" fillId="0" borderId="5" xfId="0" applyFont="1" applyBorder="1" applyAlignment="1">
      <alignment horizontal="left" vertical="top" wrapText="1"/>
    </xf>
    <xf numFmtId="0" fontId="5" fillId="0" borderId="4" xfId="0" applyFont="1" applyBorder="1" applyAlignment="1">
      <alignment horizontal="left" vertical="top" wrapText="1"/>
    </xf>
    <xf numFmtId="0" fontId="5" fillId="0" borderId="3" xfId="0" applyFont="1" applyBorder="1" applyAlignment="1">
      <alignment horizontal="left" vertical="top" wrapText="1"/>
    </xf>
    <xf numFmtId="0" fontId="5" fillId="0" borderId="2" xfId="0" applyFont="1" applyBorder="1" applyAlignment="1">
      <alignment horizontal="left" vertical="top" wrapText="1"/>
    </xf>
    <xf numFmtId="0" fontId="2" fillId="3" borderId="9" xfId="0" applyFont="1" applyFill="1" applyBorder="1" applyAlignment="1">
      <alignment horizontal="center" vertical="center"/>
    </xf>
    <xf numFmtId="0" fontId="2" fillId="3" borderId="62" xfId="0" applyFont="1" applyFill="1" applyBorder="1" applyAlignment="1">
      <alignment horizontal="center" vertical="center"/>
    </xf>
    <xf numFmtId="0" fontId="2" fillId="3" borderId="71" xfId="0" applyFont="1" applyFill="1" applyBorder="1" applyAlignment="1">
      <alignment horizontal="center" vertical="center"/>
    </xf>
    <xf numFmtId="0" fontId="2" fillId="3" borderId="63" xfId="0" applyFont="1" applyFill="1" applyBorder="1" applyAlignment="1">
      <alignment horizontal="center" vertical="center"/>
    </xf>
    <xf numFmtId="0" fontId="0" fillId="3" borderId="66" xfId="0" quotePrefix="1" applyFill="1" applyBorder="1" applyAlignment="1">
      <alignment horizontal="center" wrapText="1"/>
    </xf>
    <xf numFmtId="0" fontId="0" fillId="3" borderId="67" xfId="0" quotePrefix="1" applyFill="1" applyBorder="1" applyAlignment="1">
      <alignment horizontal="center" wrapText="1"/>
    </xf>
    <xf numFmtId="0" fontId="0" fillId="3" borderId="10" xfId="0" quotePrefix="1" applyFill="1" applyBorder="1" applyAlignment="1">
      <alignment horizontal="center" wrapText="1"/>
    </xf>
    <xf numFmtId="0" fontId="0" fillId="3" borderId="68" xfId="0" quotePrefix="1" applyFill="1" applyBorder="1" applyAlignment="1">
      <alignment horizontal="center" wrapText="1"/>
    </xf>
    <xf numFmtId="0" fontId="0" fillId="3" borderId="69" xfId="0" quotePrefix="1" applyFill="1" applyBorder="1" applyAlignment="1">
      <alignment horizontal="center" wrapText="1"/>
    </xf>
    <xf numFmtId="0" fontId="0" fillId="3" borderId="70" xfId="0" quotePrefix="1" applyFill="1" applyBorder="1" applyAlignment="1">
      <alignment horizontal="center" wrapText="1"/>
    </xf>
    <xf numFmtId="0" fontId="17" fillId="16" borderId="14" xfId="2" applyBorder="1">
      <alignment horizontal="center"/>
    </xf>
    <xf numFmtId="0" fontId="17" fillId="16" borderId="13" xfId="2" applyBorder="1">
      <alignment horizontal="center"/>
    </xf>
    <xf numFmtId="0" fontId="17" fillId="16" borderId="12" xfId="2" applyBorder="1">
      <alignment horizontal="center"/>
    </xf>
    <xf numFmtId="0" fontId="4" fillId="0" borderId="8" xfId="0" applyFont="1" applyBorder="1" applyAlignment="1">
      <alignment horizontal="left" vertical="center" wrapText="1"/>
    </xf>
    <xf numFmtId="0" fontId="5" fillId="0" borderId="7" xfId="0" applyFont="1" applyBorder="1" applyAlignment="1">
      <alignment horizontal="left" vertical="center" wrapText="1"/>
    </xf>
    <xf numFmtId="0" fontId="5" fillId="0" borderId="6" xfId="0" applyFont="1" applyBorder="1" applyAlignment="1">
      <alignment horizontal="left" vertical="center" wrapText="1"/>
    </xf>
    <xf numFmtId="0" fontId="5" fillId="0" borderId="4" xfId="0" applyFont="1" applyBorder="1" applyAlignment="1">
      <alignment horizontal="left" vertical="center" wrapText="1"/>
    </xf>
    <xf numFmtId="0" fontId="5" fillId="0" borderId="3" xfId="0" applyFont="1" applyBorder="1" applyAlignment="1">
      <alignment horizontal="left" vertical="center" wrapText="1"/>
    </xf>
    <xf numFmtId="0" fontId="5" fillId="0" borderId="2" xfId="0" applyFont="1" applyBorder="1" applyAlignment="1">
      <alignment horizontal="left" vertical="center" wrapText="1"/>
    </xf>
    <xf numFmtId="0" fontId="17" fillId="16" borderId="9" xfId="2" applyBorder="1" applyAlignment="1">
      <alignment horizontal="center" vertical="center" wrapText="1"/>
    </xf>
    <xf numFmtId="0" fontId="5" fillId="6" borderId="9" xfId="0" applyFont="1" applyFill="1" applyBorder="1" applyAlignment="1">
      <alignment horizontal="center" vertical="center"/>
    </xf>
    <xf numFmtId="0" fontId="5" fillId="3" borderId="62" xfId="0" applyFont="1" applyFill="1" applyBorder="1" applyAlignment="1">
      <alignment horizontal="center" vertical="center"/>
    </xf>
    <xf numFmtId="0" fontId="5" fillId="3" borderId="71" xfId="0" applyFont="1" applyFill="1" applyBorder="1" applyAlignment="1">
      <alignment horizontal="center" vertical="center"/>
    </xf>
    <xf numFmtId="0" fontId="5" fillId="3" borderId="63" xfId="0" applyFont="1" applyFill="1" applyBorder="1" applyAlignment="1">
      <alignment horizontal="center" vertical="center"/>
    </xf>
    <xf numFmtId="0" fontId="5" fillId="0" borderId="9" xfId="0" applyFont="1" applyBorder="1" applyAlignment="1">
      <alignment horizontal="left" vertical="center" wrapText="1"/>
    </xf>
    <xf numFmtId="0" fontId="4" fillId="0" borderId="9" xfId="0" applyFont="1" applyBorder="1" applyAlignment="1">
      <alignment horizontal="left" vertical="top" wrapText="1"/>
    </xf>
    <xf numFmtId="0" fontId="17" fillId="16" borderId="0" xfId="2" applyBorder="1">
      <alignment horizontal="center"/>
    </xf>
    <xf numFmtId="0" fontId="0" fillId="0" borderId="9" xfId="0" applyBorder="1" applyAlignment="1">
      <alignment horizontal="left"/>
    </xf>
    <xf numFmtId="0" fontId="17" fillId="16" borderId="9" xfId="2" applyBorder="1">
      <alignment horizontal="center"/>
    </xf>
    <xf numFmtId="0" fontId="0" fillId="3" borderId="9" xfId="0" applyFill="1" applyBorder="1" applyAlignment="1">
      <alignment horizontal="center"/>
    </xf>
    <xf numFmtId="0" fontId="5" fillId="2" borderId="0" xfId="0" applyFont="1" applyFill="1" applyAlignment="1">
      <alignment horizontal="center" wrapText="1"/>
    </xf>
    <xf numFmtId="0" fontId="17" fillId="16" borderId="8" xfId="2" applyBorder="1">
      <alignment horizontal="center"/>
    </xf>
    <xf numFmtId="0" fontId="17" fillId="16" borderId="7" xfId="2" applyBorder="1">
      <alignment horizontal="center"/>
    </xf>
    <xf numFmtId="0" fontId="17" fillId="16" borderId="6" xfId="2" applyBorder="1">
      <alignment horizontal="center"/>
    </xf>
    <xf numFmtId="0" fontId="5" fillId="2" borderId="43" xfId="0" applyFont="1" applyFill="1" applyBorder="1" applyAlignment="1">
      <alignment horizontal="left" vertical="center" wrapText="1"/>
    </xf>
    <xf numFmtId="0" fontId="5" fillId="2" borderId="42" xfId="0" applyFont="1" applyFill="1" applyBorder="1" applyAlignment="1">
      <alignment horizontal="left" vertical="center" wrapText="1"/>
    </xf>
    <xf numFmtId="0" fontId="5" fillId="2" borderId="41" xfId="0" applyFont="1" applyFill="1" applyBorder="1" applyAlignment="1">
      <alignment horizontal="left" vertical="center" wrapText="1"/>
    </xf>
    <xf numFmtId="0" fontId="5" fillId="2" borderId="40" xfId="0" applyFont="1" applyFill="1" applyBorder="1" applyAlignment="1">
      <alignment horizontal="left" vertical="center" wrapText="1"/>
    </xf>
    <xf numFmtId="0" fontId="5" fillId="2" borderId="9" xfId="0" applyFont="1" applyFill="1" applyBorder="1" applyAlignment="1">
      <alignment horizontal="left" vertical="center" wrapText="1"/>
    </xf>
    <xf numFmtId="0" fontId="5" fillId="2" borderId="39" xfId="0" applyFont="1" applyFill="1" applyBorder="1" applyAlignment="1">
      <alignment horizontal="left" vertical="center" wrapText="1"/>
    </xf>
    <xf numFmtId="0" fontId="5" fillId="2" borderId="38" xfId="0" applyFont="1" applyFill="1" applyBorder="1" applyAlignment="1">
      <alignment horizontal="left" vertical="center" wrapText="1"/>
    </xf>
    <xf numFmtId="0" fontId="5" fillId="2" borderId="37" xfId="0" applyFont="1" applyFill="1" applyBorder="1" applyAlignment="1">
      <alignment horizontal="left" vertical="center" wrapText="1"/>
    </xf>
    <xf numFmtId="0" fontId="5" fillId="2" borderId="36" xfId="0" applyFont="1" applyFill="1" applyBorder="1" applyAlignment="1">
      <alignment horizontal="left" vertical="center" wrapText="1"/>
    </xf>
    <xf numFmtId="0" fontId="20" fillId="0" borderId="0" xfId="0" applyFont="1" applyAlignment="1">
      <alignment horizontal="center" wrapText="1"/>
    </xf>
    <xf numFmtId="0" fontId="4" fillId="0" borderId="66" xfId="0" applyFont="1" applyBorder="1" applyAlignment="1">
      <alignment horizontal="left" vertical="center" wrapText="1"/>
    </xf>
    <xf numFmtId="0" fontId="4" fillId="0" borderId="65" xfId="0" applyFont="1" applyBorder="1" applyAlignment="1">
      <alignment horizontal="left" vertical="center" wrapText="1"/>
    </xf>
    <xf numFmtId="0" fontId="4" fillId="0" borderId="67" xfId="0" applyFont="1" applyBorder="1" applyAlignment="1">
      <alignment horizontal="left" vertical="center" wrapText="1"/>
    </xf>
    <xf numFmtId="0" fontId="4" fillId="0" borderId="10" xfId="0" applyFont="1" applyBorder="1" applyAlignment="1">
      <alignment horizontal="left" vertical="center" wrapText="1"/>
    </xf>
    <xf numFmtId="0" fontId="4" fillId="0" borderId="0" xfId="0" applyFont="1" applyAlignment="1">
      <alignment horizontal="left" vertical="center" wrapText="1"/>
    </xf>
    <xf numFmtId="0" fontId="4" fillId="0" borderId="68" xfId="0" applyFont="1" applyBorder="1" applyAlignment="1">
      <alignment horizontal="left" vertical="center" wrapText="1"/>
    </xf>
    <xf numFmtId="0" fontId="4" fillId="0" borderId="69" xfId="0" applyFont="1" applyBorder="1" applyAlignment="1">
      <alignment horizontal="left" vertical="center" wrapText="1"/>
    </xf>
    <xf numFmtId="0" fontId="4" fillId="0" borderId="64" xfId="0" applyFont="1" applyBorder="1" applyAlignment="1">
      <alignment horizontal="left" vertical="center" wrapText="1"/>
    </xf>
    <xf numFmtId="0" fontId="4" fillId="0" borderId="70" xfId="0" applyFont="1" applyBorder="1" applyAlignment="1">
      <alignment horizontal="left" vertical="center" wrapText="1"/>
    </xf>
    <xf numFmtId="0" fontId="5" fillId="0" borderId="62" xfId="0" applyFont="1" applyBorder="1" applyAlignment="1">
      <alignment horizontal="center"/>
    </xf>
    <xf numFmtId="0" fontId="5" fillId="0" borderId="63" xfId="0" applyFont="1" applyBorder="1" applyAlignment="1">
      <alignment horizontal="center"/>
    </xf>
    <xf numFmtId="0" fontId="5" fillId="0" borderId="14" xfId="0" applyFont="1" applyBorder="1" applyAlignment="1">
      <alignment horizontal="left" vertical="top" wrapText="1"/>
    </xf>
    <xf numFmtId="0" fontId="5" fillId="0" borderId="13" xfId="0" applyFont="1" applyBorder="1" applyAlignment="1">
      <alignment horizontal="left" vertical="top" wrapText="1"/>
    </xf>
    <xf numFmtId="0" fontId="5" fillId="0" borderId="12" xfId="0" applyFont="1" applyBorder="1" applyAlignment="1">
      <alignment horizontal="left" vertical="top" wrapText="1"/>
    </xf>
    <xf numFmtId="0" fontId="18" fillId="3" borderId="66" xfId="0" applyFont="1" applyFill="1" applyBorder="1" applyAlignment="1">
      <alignment horizontal="center" vertical="center"/>
    </xf>
    <xf numFmtId="0" fontId="18" fillId="3" borderId="67" xfId="0" applyFont="1" applyFill="1" applyBorder="1" applyAlignment="1">
      <alignment horizontal="center" vertical="center"/>
    </xf>
    <xf numFmtId="0" fontId="17" fillId="16" borderId="10" xfId="2" applyBorder="1">
      <alignment horizontal="center"/>
    </xf>
    <xf numFmtId="0" fontId="5" fillId="0" borderId="35" xfId="0" applyFont="1" applyBorder="1" applyAlignment="1">
      <alignment horizontal="left" vertical="top" wrapText="1"/>
    </xf>
    <xf numFmtId="0" fontId="5" fillId="0" borderId="34" xfId="0" applyFont="1" applyBorder="1" applyAlignment="1">
      <alignment horizontal="left" vertical="top"/>
    </xf>
    <xf numFmtId="0" fontId="5" fillId="0" borderId="33" xfId="0" applyFont="1" applyBorder="1" applyAlignment="1">
      <alignment horizontal="left" vertical="top"/>
    </xf>
    <xf numFmtId="0" fontId="5" fillId="0" borderId="32" xfId="0" applyFont="1" applyBorder="1" applyAlignment="1">
      <alignment horizontal="left" vertical="top"/>
    </xf>
    <xf numFmtId="0" fontId="5" fillId="0" borderId="0" xfId="0" applyFont="1" applyAlignment="1">
      <alignment horizontal="left" vertical="top"/>
    </xf>
    <xf numFmtId="0" fontId="5" fillId="0" borderId="31" xfId="0" applyFont="1" applyBorder="1" applyAlignment="1">
      <alignment horizontal="left" vertical="top"/>
    </xf>
    <xf numFmtId="0" fontId="5" fillId="0" borderId="30" xfId="0" applyFont="1" applyBorder="1" applyAlignment="1">
      <alignment horizontal="left" vertical="top"/>
    </xf>
    <xf numFmtId="0" fontId="5" fillId="0" borderId="29" xfId="0" applyFont="1" applyBorder="1" applyAlignment="1">
      <alignment horizontal="left" vertical="top"/>
    </xf>
    <xf numFmtId="0" fontId="5" fillId="0" borderId="28" xfId="0" applyFont="1" applyBorder="1" applyAlignment="1">
      <alignment horizontal="left" vertical="top"/>
    </xf>
    <xf numFmtId="0" fontId="5" fillId="0" borderId="64" xfId="0" applyFont="1" applyBorder="1" applyAlignment="1">
      <alignment horizontal="center"/>
    </xf>
    <xf numFmtId="0" fontId="5" fillId="0" borderId="9" xfId="0" applyFont="1" applyBorder="1" applyAlignment="1">
      <alignment horizontal="left" vertical="top" wrapText="1"/>
    </xf>
    <xf numFmtId="0" fontId="4" fillId="0" borderId="1" xfId="0" applyFont="1" applyBorder="1" applyAlignment="1">
      <alignment horizontal="left" vertical="center" wrapText="1"/>
    </xf>
    <xf numFmtId="0" fontId="4" fillId="0" borderId="7" xfId="0" applyFont="1" applyBorder="1" applyAlignment="1">
      <alignment horizontal="left" vertical="center" wrapText="1"/>
    </xf>
    <xf numFmtId="0" fontId="4" fillId="0" borderId="6" xfId="0" applyFont="1" applyBorder="1" applyAlignment="1">
      <alignment horizontal="left" vertical="center" wrapText="1"/>
    </xf>
    <xf numFmtId="0" fontId="4" fillId="0" borderId="5" xfId="0" applyFont="1" applyBorder="1" applyAlignment="1">
      <alignment horizontal="left" vertical="center" wrapText="1"/>
    </xf>
    <xf numFmtId="0" fontId="4" fillId="0" borderId="4" xfId="0" applyFont="1" applyBorder="1" applyAlignment="1">
      <alignment horizontal="left" vertical="center" wrapText="1"/>
    </xf>
    <xf numFmtId="0" fontId="4" fillId="0" borderId="3" xfId="0" applyFont="1" applyBorder="1" applyAlignment="1">
      <alignment horizontal="left" vertical="center" wrapText="1"/>
    </xf>
    <xf numFmtId="0" fontId="4" fillId="0" borderId="2" xfId="0" applyFont="1" applyBorder="1" applyAlignment="1">
      <alignment horizontal="left" vertical="center" wrapText="1"/>
    </xf>
    <xf numFmtId="0" fontId="17" fillId="16" borderId="62" xfId="2" applyBorder="1">
      <alignment horizontal="center"/>
    </xf>
    <xf numFmtId="0" fontId="17" fillId="16" borderId="63" xfId="2" applyBorder="1">
      <alignment horizontal="center"/>
    </xf>
    <xf numFmtId="0" fontId="5" fillId="37" borderId="7" xfId="0" applyFont="1" applyFill="1" applyBorder="1"/>
  </cellXfs>
  <cellStyles count="5">
    <cellStyle name="60% - Énfasis3" xfId="4" builtinId="40"/>
    <cellStyle name="Black" xfId="2" xr:uid="{716C1A8C-5453-4683-A36E-AE09232D6130}"/>
    <cellStyle name="Moneda [0] 2" xfId="1" xr:uid="{45DCA333-A5A6-46C4-81F7-6539453DC254}"/>
    <cellStyle name="Normal" xfId="0" builtinId="0"/>
    <cellStyle name="Normal 2" xfId="3" xr:uid="{F2CB237A-3125-4C77-8E62-45F96FFC591C}"/>
  </cellStyles>
  <dxfs count="4">
    <dxf>
      <fill>
        <patternFill>
          <bgColor rgb="FFF0FF81"/>
        </patternFill>
      </fill>
    </dxf>
    <dxf>
      <fill>
        <patternFill>
          <bgColor rgb="FF00B050"/>
        </patternFill>
      </fill>
    </dxf>
    <dxf>
      <fill>
        <patternFill>
          <bgColor rgb="FFFF0000"/>
        </patternFill>
      </fill>
    </dxf>
    <dxf>
      <fill>
        <patternFill>
          <bgColor rgb="FF0846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2</xdr:col>
      <xdr:colOff>5151966</xdr:colOff>
      <xdr:row>0</xdr:row>
      <xdr:rowOff>77522</xdr:rowOff>
    </xdr:from>
    <xdr:ext cx="1894416" cy="585957"/>
    <xdr:pic>
      <xdr:nvPicPr>
        <xdr:cNvPr id="2" name="1 Imagen">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775546" y="77522"/>
          <a:ext cx="1894416" cy="58595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2</xdr:col>
      <xdr:colOff>14287</xdr:colOff>
      <xdr:row>10</xdr:row>
      <xdr:rowOff>66675</xdr:rowOff>
    </xdr:from>
    <xdr:to>
      <xdr:col>2</xdr:col>
      <xdr:colOff>1738314</xdr:colOff>
      <xdr:row>12</xdr:row>
      <xdr:rowOff>67478</xdr:rowOff>
    </xdr:to>
    <xdr:sp macro="[0]!TV_SAD" textlink="">
      <xdr:nvSpPr>
        <xdr:cNvPr id="2" name="Rectángulo redondeado 2">
          <a:extLst>
            <a:ext uri="{FF2B5EF4-FFF2-40B4-BE49-F238E27FC236}">
              <a16:creationId xmlns:a16="http://schemas.microsoft.com/office/drawing/2014/main" id="{1B8F534B-8A83-4F3E-A726-443D7B69247D}"/>
            </a:ext>
            <a:ext uri="{147F2762-F138-4A5C-976F-8EAC2B608ADB}">
              <a16:predDERef xmlns:a16="http://schemas.microsoft.com/office/drawing/2014/main" pred="{00000000-0008-0000-0400-000002000000}"/>
            </a:ext>
          </a:extLst>
        </xdr:cNvPr>
        <xdr:cNvSpPr/>
      </xdr:nvSpPr>
      <xdr:spPr>
        <a:xfrm>
          <a:off x="1952625" y="2190750"/>
          <a:ext cx="1724027" cy="362753"/>
        </a:xfrm>
        <a:prstGeom prst="roundRect">
          <a:avLst/>
        </a:prstGeom>
        <a:solidFill>
          <a:schemeClr val="bg1"/>
        </a:solidFill>
        <a:ln>
          <a:solidFill>
            <a:schemeClr val="accent6"/>
          </a:solidFill>
        </a:ln>
      </xdr:spPr>
      <xdr:style>
        <a:lnRef idx="0">
          <a:schemeClr val="accent1"/>
        </a:lnRef>
        <a:fillRef idx="3">
          <a:schemeClr val="accent1"/>
        </a:fillRef>
        <a:effectRef idx="3">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600" b="1" i="0" u="none" strike="noStrike">
              <a:solidFill>
                <a:srgbClr val="000000"/>
              </a:solidFill>
              <a:latin typeface="+mj-lt"/>
            </a:rPr>
            <a:t>Ejecutar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352425</xdr:colOff>
      <xdr:row>8</xdr:row>
      <xdr:rowOff>133351</xdr:rowOff>
    </xdr:from>
    <xdr:to>
      <xdr:col>5</xdr:col>
      <xdr:colOff>542927</xdr:colOff>
      <xdr:row>10</xdr:row>
      <xdr:rowOff>134154</xdr:rowOff>
    </xdr:to>
    <xdr:sp macro="[0]!menos_frecuente" textlink="">
      <xdr:nvSpPr>
        <xdr:cNvPr id="2" name="Rectángulo redondeado 2">
          <a:extLst>
            <a:ext uri="{FF2B5EF4-FFF2-40B4-BE49-F238E27FC236}">
              <a16:creationId xmlns:a16="http://schemas.microsoft.com/office/drawing/2014/main" id="{84EB1BD5-7A62-49EA-8F1A-5CEE76F5BC0C}"/>
            </a:ext>
            <a:ext uri="{147F2762-F138-4A5C-976F-8EAC2B608ADB}">
              <a16:predDERef xmlns:a16="http://schemas.microsoft.com/office/drawing/2014/main" pred="{00000000-0008-0000-0400-000002000000}"/>
            </a:ext>
          </a:extLst>
        </xdr:cNvPr>
        <xdr:cNvSpPr/>
      </xdr:nvSpPr>
      <xdr:spPr>
        <a:xfrm>
          <a:off x="2652713" y="2038351"/>
          <a:ext cx="1724027" cy="362753"/>
        </a:xfrm>
        <a:prstGeom prst="roundRect">
          <a:avLst/>
        </a:prstGeom>
        <a:solidFill>
          <a:schemeClr val="bg1"/>
        </a:solidFill>
        <a:ln>
          <a:solidFill>
            <a:schemeClr val="accent6"/>
          </a:solidFill>
        </a:ln>
      </xdr:spPr>
      <xdr:style>
        <a:lnRef idx="0">
          <a:schemeClr val="accent1"/>
        </a:lnRef>
        <a:fillRef idx="3">
          <a:schemeClr val="accent1"/>
        </a:fillRef>
        <a:effectRef idx="3">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600" b="1" i="0" u="none" strike="noStrike">
              <a:solidFill>
                <a:srgbClr val="000000"/>
              </a:solidFill>
              <a:latin typeface="+mj-lt"/>
            </a:rPr>
            <a:t>Ejecutar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723900</xdr:colOff>
      <xdr:row>17</xdr:row>
      <xdr:rowOff>142073</xdr:rowOff>
    </xdr:from>
    <xdr:to>
      <xdr:col>5</xdr:col>
      <xdr:colOff>766763</xdr:colOff>
      <xdr:row>20</xdr:row>
      <xdr:rowOff>28576</xdr:rowOff>
    </xdr:to>
    <xdr:sp macro="[0]!pascal" textlink="">
      <xdr:nvSpPr>
        <xdr:cNvPr id="4" name="Rectángulo redondeado 2">
          <a:extLst>
            <a:ext uri="{FF2B5EF4-FFF2-40B4-BE49-F238E27FC236}">
              <a16:creationId xmlns:a16="http://schemas.microsoft.com/office/drawing/2014/main" id="{00000000-0008-0000-0500-000004000000}"/>
            </a:ext>
            <a:ext uri="{147F2762-F138-4A5C-976F-8EAC2B608ADB}">
              <a16:predDERef xmlns:a16="http://schemas.microsoft.com/office/drawing/2014/main" pred="{00000000-0008-0000-0400-000002000000}"/>
            </a:ext>
          </a:extLst>
        </xdr:cNvPr>
        <xdr:cNvSpPr/>
      </xdr:nvSpPr>
      <xdr:spPr>
        <a:xfrm>
          <a:off x="3248025" y="3509161"/>
          <a:ext cx="1671638" cy="429428"/>
        </a:xfrm>
        <a:prstGeom prst="roundRect">
          <a:avLst/>
        </a:prstGeom>
        <a:solidFill>
          <a:schemeClr val="bg1"/>
        </a:solidFill>
        <a:ln>
          <a:solidFill>
            <a:schemeClr val="accent6"/>
          </a:solidFill>
        </a:ln>
      </xdr:spPr>
      <xdr:style>
        <a:lnRef idx="0">
          <a:schemeClr val="accent1"/>
        </a:lnRef>
        <a:fillRef idx="3">
          <a:schemeClr val="accent1"/>
        </a:fillRef>
        <a:effectRef idx="3">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600" b="1" i="0" u="none" strike="noStrike">
              <a:solidFill>
                <a:srgbClr val="000000"/>
              </a:solidFill>
              <a:latin typeface="+mj-lt"/>
            </a:rPr>
            <a:t>¡Calcular </a:t>
          </a:r>
          <a:r>
            <a:rPr lang="en-US" sz="1100" b="1" i="0">
              <a:solidFill>
                <a:schemeClr val="lt1"/>
              </a:solidFill>
              <a:effectLst/>
              <a:latin typeface="+mn-lt"/>
              <a:ea typeface="+mn-ea"/>
              <a:cs typeface="+mn-cs"/>
            </a:rPr>
            <a:t>📟</a:t>
          </a:r>
          <a:r>
            <a:rPr lang="en-US" sz="1600" b="1" i="0" u="none" strike="noStrike">
              <a:solidFill>
                <a:srgbClr val="000000"/>
              </a:solidFill>
              <a:latin typeface="+mj-lt"/>
            </a:rPr>
            <a:t>!</a:t>
          </a:r>
        </a:p>
      </xdr:txBody>
    </xdr:sp>
    <xdr:clientData/>
  </xdr:twoCellAnchor>
  <xdr:oneCellAnchor>
    <xdr:from>
      <xdr:col>9</xdr:col>
      <xdr:colOff>94727</xdr:colOff>
      <xdr:row>4</xdr:row>
      <xdr:rowOff>41421</xdr:rowOff>
    </xdr:from>
    <xdr:ext cx="2310457" cy="1497496"/>
    <xdr:pic>
      <xdr:nvPicPr>
        <xdr:cNvPr id="5" name="Imagen 4">
          <a:extLst>
            <a:ext uri="{FF2B5EF4-FFF2-40B4-BE49-F238E27FC236}">
              <a16:creationId xmlns:a16="http://schemas.microsoft.com/office/drawing/2014/main" id="{00000000-0008-0000-0500-000005000000}"/>
            </a:ext>
            <a:ext uri="{147F2762-F138-4A5C-976F-8EAC2B608ADB}">
              <a16:predDERef xmlns:a16="http://schemas.microsoft.com/office/drawing/2014/main" pred="{86946BA1-1B94-43F4-94AE-23459C8F980D}"/>
            </a:ext>
          </a:extLst>
        </xdr:cNvPr>
        <xdr:cNvPicPr>
          <a:picLocks noChangeAspect="1"/>
        </xdr:cNvPicPr>
      </xdr:nvPicPr>
      <xdr:blipFill>
        <a:blip xmlns:r="http://schemas.openxmlformats.org/officeDocument/2006/relationships" r:embed="rId1"/>
        <a:stretch>
          <a:fillRect/>
        </a:stretch>
      </xdr:blipFill>
      <xdr:spPr>
        <a:xfrm>
          <a:off x="7505177" y="774846"/>
          <a:ext cx="2310457" cy="1497496"/>
        </a:xfrm>
        <a:prstGeom prst="rect">
          <a:avLst/>
        </a:prstGeom>
        <a:ln w="19050">
          <a:solidFill>
            <a:schemeClr val="tx1"/>
          </a:solidFill>
        </a:ln>
      </xdr:spPr>
    </xdr:pic>
    <xdr:clientData/>
  </xdr:oneCellAnchor>
  <xdr:twoCellAnchor>
    <xdr:from>
      <xdr:col>2</xdr:col>
      <xdr:colOff>19050</xdr:colOff>
      <xdr:row>10</xdr:row>
      <xdr:rowOff>38235</xdr:rowOff>
    </xdr:from>
    <xdr:to>
      <xdr:col>4</xdr:col>
      <xdr:colOff>581619</xdr:colOff>
      <xdr:row>12</xdr:row>
      <xdr:rowOff>123825</xdr:rowOff>
    </xdr:to>
    <xdr:grpSp>
      <xdr:nvGrpSpPr>
        <xdr:cNvPr id="6" name="Grupo 5">
          <a:extLst>
            <a:ext uri="{FF2B5EF4-FFF2-40B4-BE49-F238E27FC236}">
              <a16:creationId xmlns:a16="http://schemas.microsoft.com/office/drawing/2014/main" id="{00000000-0008-0000-0500-000006000000}"/>
            </a:ext>
          </a:extLst>
        </xdr:cNvPr>
        <xdr:cNvGrpSpPr/>
      </xdr:nvGrpSpPr>
      <xdr:grpSpPr>
        <a:xfrm>
          <a:off x="1621491" y="1876000"/>
          <a:ext cx="2086569" cy="444178"/>
          <a:chOff x="3712028" y="1014549"/>
          <a:chExt cx="2234207" cy="522514"/>
        </a:xfrm>
      </xdr:grpSpPr>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1"/>
          <a:srcRect t="50186" b="16025"/>
          <a:stretch/>
        </xdr:blipFill>
        <xdr:spPr>
          <a:xfrm>
            <a:off x="3712028" y="1014549"/>
            <a:ext cx="2234207" cy="522514"/>
          </a:xfrm>
          <a:prstGeom prst="rect">
            <a:avLst/>
          </a:prstGeom>
          <a:ln w="19050">
            <a:solidFill>
              <a:schemeClr val="tx1"/>
            </a:solidFill>
          </a:ln>
        </xdr:spPr>
      </xdr:pic>
      <xdr:cxnSp macro="">
        <xdr:nvCxnSpPr>
          <xdr:cNvPr id="8" name="Conector recto de flecha 7">
            <a:extLst>
              <a:ext uri="{FF2B5EF4-FFF2-40B4-BE49-F238E27FC236}">
                <a16:creationId xmlns:a16="http://schemas.microsoft.com/office/drawing/2014/main" id="{00000000-0008-0000-0500-000008000000}"/>
              </a:ext>
            </a:extLst>
          </xdr:cNvPr>
          <xdr:cNvCxnSpPr/>
        </xdr:nvCxnSpPr>
        <xdr:spPr>
          <a:xfrm>
            <a:off x="4626429" y="1224643"/>
            <a:ext cx="108857" cy="14400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a:off x="4925786" y="1213757"/>
            <a:ext cx="108857" cy="14400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Conector recto de flecha 9">
            <a:extLst>
              <a:ext uri="{FF2B5EF4-FFF2-40B4-BE49-F238E27FC236}">
                <a16:creationId xmlns:a16="http://schemas.microsoft.com/office/drawing/2014/main" id="{00000000-0008-0000-0500-00000A000000}"/>
              </a:ext>
            </a:extLst>
          </xdr:cNvPr>
          <xdr:cNvCxnSpPr/>
        </xdr:nvCxnSpPr>
        <xdr:spPr>
          <a:xfrm>
            <a:off x="5214257" y="1213757"/>
            <a:ext cx="108857" cy="14400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Conector recto de flecha 10">
            <a:extLst>
              <a:ext uri="{FF2B5EF4-FFF2-40B4-BE49-F238E27FC236}">
                <a16:creationId xmlns:a16="http://schemas.microsoft.com/office/drawing/2014/main" id="{00000000-0008-0000-0500-00000B000000}"/>
              </a:ext>
            </a:extLst>
          </xdr:cNvPr>
          <xdr:cNvCxnSpPr/>
        </xdr:nvCxnSpPr>
        <xdr:spPr>
          <a:xfrm flipH="1">
            <a:off x="5372100" y="1208313"/>
            <a:ext cx="108000" cy="14400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Conector recto de flecha 11">
            <a:extLst>
              <a:ext uri="{FF2B5EF4-FFF2-40B4-BE49-F238E27FC236}">
                <a16:creationId xmlns:a16="http://schemas.microsoft.com/office/drawing/2014/main" id="{00000000-0008-0000-0500-00000C000000}"/>
              </a:ext>
            </a:extLst>
          </xdr:cNvPr>
          <xdr:cNvCxnSpPr/>
        </xdr:nvCxnSpPr>
        <xdr:spPr>
          <a:xfrm flipH="1">
            <a:off x="5067298" y="1208315"/>
            <a:ext cx="108000" cy="14400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Conector recto de flecha 12">
            <a:extLst>
              <a:ext uri="{FF2B5EF4-FFF2-40B4-BE49-F238E27FC236}">
                <a16:creationId xmlns:a16="http://schemas.microsoft.com/office/drawing/2014/main" id="{00000000-0008-0000-0500-00000D000000}"/>
              </a:ext>
            </a:extLst>
          </xdr:cNvPr>
          <xdr:cNvCxnSpPr/>
        </xdr:nvCxnSpPr>
        <xdr:spPr>
          <a:xfrm flipH="1">
            <a:off x="4784270" y="1224644"/>
            <a:ext cx="108000" cy="14400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oneCellAnchor>
    <xdr:from>
      <xdr:col>4</xdr:col>
      <xdr:colOff>247650</xdr:colOff>
      <xdr:row>10</xdr:row>
      <xdr:rowOff>95249</xdr:rowOff>
    </xdr:from>
    <xdr:ext cx="1300549" cy="172227"/>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F00-000002000000}"/>
                </a:ext>
              </a:extLst>
            </xdr:cNvPr>
            <xdr:cNvSpPr txBox="1"/>
          </xdr:nvSpPr>
          <xdr:spPr>
            <a:xfrm>
              <a:off x="1638300" y="1924049"/>
              <a:ext cx="130054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𝑟𝑒𝑑</m:t>
                    </m:r>
                    <m:r>
                      <a:rPr lang="es-MX" sz="1100" b="0" i="1">
                        <a:latin typeface="Cambria Math" panose="02040503050406030204" pitchFamily="18" charset="0"/>
                      </a:rPr>
                      <m:t>=</m:t>
                    </m:r>
                    <m:r>
                      <a:rPr lang="es-MX" sz="1100" b="0" i="1">
                        <a:latin typeface="Cambria Math" panose="02040503050406030204" pitchFamily="18" charset="0"/>
                      </a:rPr>
                      <m:t>𝑐𝑜𝑑𝑒</m:t>
                    </m:r>
                    <m:r>
                      <a:rPr lang="es-MX" sz="1100" b="0" i="0">
                        <a:latin typeface="Cambria Math" panose="02040503050406030204" pitchFamily="18" charset="0"/>
                      </a:rPr>
                      <m:t> </m:t>
                    </m:r>
                    <m:r>
                      <m:rPr>
                        <m:sty m:val="p"/>
                      </m:rPr>
                      <a:rPr lang="es-MX" sz="1100" b="0" i="0">
                        <a:latin typeface="Cambria Math" panose="02040503050406030204" pitchFamily="18" charset="0"/>
                      </a:rPr>
                      <m:t>mod</m:t>
                    </m:r>
                    <m:r>
                      <a:rPr lang="es-MX" sz="1100" b="0" i="0">
                        <a:latin typeface="Cambria Math" panose="02040503050406030204" pitchFamily="18" charset="0"/>
                      </a:rPr>
                      <m:t> 256</m:t>
                    </m:r>
                  </m:oMath>
                </m:oMathPara>
              </a14:m>
              <a:endParaRPr lang="es-CO" sz="1100"/>
            </a:p>
          </xdr:txBody>
        </xdr:sp>
      </mc:Choice>
      <mc:Fallback xmlns="">
        <xdr:sp macro="" textlink="">
          <xdr:nvSpPr>
            <xdr:cNvPr id="2" name="CuadroTexto 1">
              <a:extLst>
                <a:ext uri="{FF2B5EF4-FFF2-40B4-BE49-F238E27FC236}">
                  <a16:creationId xmlns:a16="http://schemas.microsoft.com/office/drawing/2014/main" id="{F2E9E4C2-CC38-47B2-82E2-B8BE0A867CF6}"/>
                </a:ext>
              </a:extLst>
            </xdr:cNvPr>
            <xdr:cNvSpPr txBox="1"/>
          </xdr:nvSpPr>
          <xdr:spPr>
            <a:xfrm>
              <a:off x="1638300" y="1924049"/>
              <a:ext cx="130054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𝑟𝑒𝑑=𝑐𝑜𝑑𝑒 mod 256</a:t>
              </a:r>
              <a:endParaRPr lang="es-CO" sz="1100"/>
            </a:p>
          </xdr:txBody>
        </xdr:sp>
      </mc:Fallback>
    </mc:AlternateContent>
    <xdr:clientData/>
  </xdr:oneCellAnchor>
  <xdr:oneCellAnchor>
    <xdr:from>
      <xdr:col>14</xdr:col>
      <xdr:colOff>219075</xdr:colOff>
      <xdr:row>10</xdr:row>
      <xdr:rowOff>0</xdr:rowOff>
    </xdr:from>
    <xdr:ext cx="1639295" cy="380361"/>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F00-000003000000}"/>
                </a:ext>
              </a:extLst>
            </xdr:cNvPr>
            <xdr:cNvSpPr txBox="1"/>
          </xdr:nvSpPr>
          <xdr:spPr>
            <a:xfrm>
              <a:off x="4467225" y="1828800"/>
              <a:ext cx="1639295"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𝑔𝑟𝑒𝑒𝑛</m:t>
                    </m:r>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𝑐𝑜𝑑𝑒</m:t>
                            </m:r>
                          </m:num>
                          <m:den>
                            <m:r>
                              <a:rPr lang="es-MX" sz="1100" b="0" i="0">
                                <a:latin typeface="Cambria Math" panose="02040503050406030204" pitchFamily="18" charset="0"/>
                              </a:rPr>
                              <m:t>256</m:t>
                            </m:r>
                          </m:den>
                        </m:f>
                      </m:e>
                    </m:d>
                    <m:r>
                      <a:rPr lang="es-MX" sz="1100" b="0" i="0">
                        <a:latin typeface="Cambria Math" panose="02040503050406030204" pitchFamily="18" charset="0"/>
                      </a:rPr>
                      <m:t> </m:t>
                    </m:r>
                    <m:r>
                      <m:rPr>
                        <m:sty m:val="p"/>
                      </m:rPr>
                      <a:rPr lang="es-MX" sz="1100" b="0" i="0">
                        <a:latin typeface="Cambria Math" panose="02040503050406030204" pitchFamily="18" charset="0"/>
                      </a:rPr>
                      <m:t>mod</m:t>
                    </m:r>
                    <m:r>
                      <a:rPr lang="es-MX" sz="1100" b="0" i="0">
                        <a:latin typeface="Cambria Math" panose="02040503050406030204" pitchFamily="18" charset="0"/>
                      </a:rPr>
                      <m:t> 256</m:t>
                    </m:r>
                  </m:oMath>
                </m:oMathPara>
              </a14:m>
              <a:endParaRPr lang="es-CO" sz="1100"/>
            </a:p>
          </xdr:txBody>
        </xdr:sp>
      </mc:Choice>
      <mc:Fallback xmlns="">
        <xdr:sp macro="" textlink="">
          <xdr:nvSpPr>
            <xdr:cNvPr id="3" name="CuadroTexto 2">
              <a:extLst>
                <a:ext uri="{FF2B5EF4-FFF2-40B4-BE49-F238E27FC236}">
                  <a16:creationId xmlns:a16="http://schemas.microsoft.com/office/drawing/2014/main" id="{5819BD59-6D51-42B7-B4B2-A27E131580DE}"/>
                </a:ext>
              </a:extLst>
            </xdr:cNvPr>
            <xdr:cNvSpPr txBox="1"/>
          </xdr:nvSpPr>
          <xdr:spPr>
            <a:xfrm>
              <a:off x="4467225" y="1828800"/>
              <a:ext cx="1639295"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𝑔𝑟𝑒𝑒𝑛=(𝑐𝑜𝑑𝑒/256)  mod 256</a:t>
              </a:r>
              <a:endParaRPr lang="es-CO" sz="1100"/>
            </a:p>
          </xdr:txBody>
        </xdr:sp>
      </mc:Fallback>
    </mc:AlternateContent>
    <xdr:clientData/>
  </xdr:oneCellAnchor>
  <xdr:oneCellAnchor>
    <xdr:from>
      <xdr:col>21</xdr:col>
      <xdr:colOff>742950</xdr:colOff>
      <xdr:row>9</xdr:row>
      <xdr:rowOff>104775</xdr:rowOff>
    </xdr:from>
    <xdr:ext cx="1561453" cy="437492"/>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F00-000004000000}"/>
                </a:ext>
              </a:extLst>
            </xdr:cNvPr>
            <xdr:cNvSpPr txBox="1"/>
          </xdr:nvSpPr>
          <xdr:spPr>
            <a:xfrm>
              <a:off x="6705600" y="1752600"/>
              <a:ext cx="1561453" cy="4374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𝑏𝑙𝑢𝑒</m:t>
                    </m:r>
                    <m:r>
                      <a:rPr lang="es-MX" sz="1100" b="0" i="1">
                        <a:latin typeface="Cambria Math" panose="02040503050406030204" pitchFamily="18" charset="0"/>
                      </a:rPr>
                      <m:t>=</m:t>
                    </m:r>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f>
                              <m:fPr>
                                <m:ctrlPr>
                                  <a:rPr lang="es-MX" sz="1100" b="0" i="1">
                                    <a:latin typeface="Cambria Math" panose="02040503050406030204" pitchFamily="18" charset="0"/>
                                  </a:rPr>
                                </m:ctrlPr>
                              </m:fPr>
                              <m:num>
                                <m:r>
                                  <a:rPr lang="es-MX" sz="1100" b="0" i="1">
                                    <a:latin typeface="Cambria Math" panose="02040503050406030204" pitchFamily="18" charset="0"/>
                                  </a:rPr>
                                  <m:t>𝑐𝑜𝑑𝑒</m:t>
                                </m:r>
                              </m:num>
                              <m:den>
                                <m:r>
                                  <a:rPr lang="es-MX" sz="1100" b="0" i="0">
                                    <a:latin typeface="Cambria Math" panose="02040503050406030204" pitchFamily="18" charset="0"/>
                                  </a:rPr>
                                  <m:t>256</m:t>
                                </m:r>
                              </m:den>
                            </m:f>
                          </m:num>
                          <m:den>
                            <m:r>
                              <a:rPr lang="es-MX" sz="1100" b="0" i="0">
                                <a:latin typeface="Cambria Math" panose="02040503050406030204" pitchFamily="18" charset="0"/>
                              </a:rPr>
                              <m:t>256</m:t>
                            </m:r>
                          </m:den>
                        </m:f>
                      </m:e>
                    </m:d>
                    <m:r>
                      <a:rPr lang="es-MX" sz="1100" b="0" i="0">
                        <a:latin typeface="Cambria Math" panose="02040503050406030204" pitchFamily="18" charset="0"/>
                      </a:rPr>
                      <m:t> </m:t>
                    </m:r>
                    <m:r>
                      <m:rPr>
                        <m:sty m:val="p"/>
                      </m:rPr>
                      <a:rPr lang="es-MX" sz="1100" b="0" i="0">
                        <a:latin typeface="Cambria Math" panose="02040503050406030204" pitchFamily="18" charset="0"/>
                      </a:rPr>
                      <m:t>mod</m:t>
                    </m:r>
                    <m:r>
                      <a:rPr lang="es-MX" sz="1100" b="0" i="0">
                        <a:latin typeface="Cambria Math" panose="02040503050406030204" pitchFamily="18" charset="0"/>
                      </a:rPr>
                      <m:t> 256</m:t>
                    </m:r>
                  </m:oMath>
                </m:oMathPara>
              </a14:m>
              <a:endParaRPr lang="es-CO" sz="1100"/>
            </a:p>
          </xdr:txBody>
        </xdr:sp>
      </mc:Choice>
      <mc:Fallback xmlns="">
        <xdr:sp macro="" textlink="">
          <xdr:nvSpPr>
            <xdr:cNvPr id="4" name="CuadroTexto 3">
              <a:extLst>
                <a:ext uri="{FF2B5EF4-FFF2-40B4-BE49-F238E27FC236}">
                  <a16:creationId xmlns:a16="http://schemas.microsoft.com/office/drawing/2014/main" id="{3FD98554-4391-42B5-89BB-1C73D64BD925}"/>
                </a:ext>
              </a:extLst>
            </xdr:cNvPr>
            <xdr:cNvSpPr txBox="1"/>
          </xdr:nvSpPr>
          <xdr:spPr>
            <a:xfrm>
              <a:off x="6705600" y="1752600"/>
              <a:ext cx="1561453" cy="4374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𝑏𝑙𝑢𝑒=((𝑐𝑜𝑑𝑒/256)/256)  mod 256</a:t>
              </a:r>
              <a:endParaRPr lang="es-CO" sz="1100"/>
            </a:p>
          </xdr:txBody>
        </xdr:sp>
      </mc:Fallback>
    </mc:AlternateContent>
    <xdr:clientData/>
  </xdr:oneCellAnchor>
  <xdr:twoCellAnchor>
    <xdr:from>
      <xdr:col>21</xdr:col>
      <xdr:colOff>105598</xdr:colOff>
      <xdr:row>15</xdr:row>
      <xdr:rowOff>133350</xdr:rowOff>
    </xdr:from>
    <xdr:to>
      <xdr:col>22</xdr:col>
      <xdr:colOff>1195333</xdr:colOff>
      <xdr:row>18</xdr:row>
      <xdr:rowOff>109537</xdr:rowOff>
    </xdr:to>
    <xdr:sp macro="[0]!generarFoto" textlink="">
      <xdr:nvSpPr>
        <xdr:cNvPr id="5" name="Rectángulo redondeado 2">
          <a:extLst>
            <a:ext uri="{FF2B5EF4-FFF2-40B4-BE49-F238E27FC236}">
              <a16:creationId xmlns:a16="http://schemas.microsoft.com/office/drawing/2014/main" id="{00000000-0008-0000-0F00-000005000000}"/>
            </a:ext>
            <a:ext uri="{147F2762-F138-4A5C-976F-8EAC2B608ADB}">
              <a16:predDERef xmlns:a16="http://schemas.microsoft.com/office/drawing/2014/main" pred="{00000000-0008-0000-0400-000002000000}"/>
            </a:ext>
          </a:extLst>
        </xdr:cNvPr>
        <xdr:cNvSpPr/>
      </xdr:nvSpPr>
      <xdr:spPr>
        <a:xfrm>
          <a:off x="6349236" y="2867025"/>
          <a:ext cx="2213685" cy="523875"/>
        </a:xfrm>
        <a:prstGeom prst="roundRect">
          <a:avLst/>
        </a:prstGeom>
        <a:solidFill>
          <a:schemeClr val="bg1"/>
        </a:solidFill>
        <a:ln>
          <a:solidFill>
            <a:schemeClr val="accent4">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600" b="1" i="0" u="none" strike="noStrike">
              <a:solidFill>
                <a:srgbClr val="000000"/>
              </a:solidFill>
              <a:latin typeface="+mj-lt"/>
            </a:rPr>
            <a:t>¡</a:t>
          </a:r>
          <a:r>
            <a:rPr lang="en-US" sz="1800" b="1" i="0" u="none" strike="noStrike">
              <a:solidFill>
                <a:srgbClr val="000000"/>
              </a:solidFill>
              <a:latin typeface="+mj-lt"/>
            </a:rPr>
            <a:t>Nueva foto</a:t>
          </a:r>
          <a:r>
            <a:rPr lang="en-US" sz="1800" b="1" i="0" u="none" strike="noStrike" baseline="0">
              <a:solidFill>
                <a:srgbClr val="000000"/>
              </a:solidFill>
              <a:latin typeface="+mj-lt"/>
            </a:rPr>
            <a:t> </a:t>
          </a:r>
          <a:r>
            <a:rPr lang="es-CO" sz="1800" b="1" i="0" u="none" strike="noStrike" baseline="0">
              <a:solidFill>
                <a:srgbClr val="000000"/>
              </a:solidFill>
              <a:latin typeface="+mj-lt"/>
            </a:rPr>
            <a:t>📷</a:t>
          </a:r>
          <a:r>
            <a:rPr lang="es-CO" sz="1600" b="1" i="0" u="none" strike="noStrike">
              <a:solidFill>
                <a:srgbClr val="000000"/>
              </a:solidFill>
              <a:latin typeface="+mj-lt"/>
            </a:rPr>
            <a:t>!</a:t>
          </a:r>
          <a:endParaRPr lang="en-US" sz="1600" b="1" i="0" u="none" strike="noStrike">
            <a:solidFill>
              <a:srgbClr val="000000"/>
            </a:solidFill>
            <a:latin typeface="+mj-l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36636</xdr:colOff>
      <xdr:row>23</xdr:row>
      <xdr:rowOff>597</xdr:rowOff>
    </xdr:from>
    <xdr:to>
      <xdr:col>13</xdr:col>
      <xdr:colOff>45501</xdr:colOff>
      <xdr:row>35</xdr:row>
      <xdr:rowOff>4921</xdr:rowOff>
    </xdr:to>
    <xdr:grpSp>
      <xdr:nvGrpSpPr>
        <xdr:cNvPr id="2" name="Grupo 1">
          <a:extLst>
            <a:ext uri="{FF2B5EF4-FFF2-40B4-BE49-F238E27FC236}">
              <a16:creationId xmlns:a16="http://schemas.microsoft.com/office/drawing/2014/main" id="{AB94A086-8FAA-482E-963D-DAC85BF3B1AE}"/>
            </a:ext>
          </a:extLst>
        </xdr:cNvPr>
        <xdr:cNvGrpSpPr/>
      </xdr:nvGrpSpPr>
      <xdr:grpSpPr>
        <a:xfrm>
          <a:off x="541875" y="5831554"/>
          <a:ext cx="8573083" cy="2290324"/>
          <a:chOff x="781050" y="2319776"/>
          <a:chExt cx="8600415" cy="2290324"/>
        </a:xfrm>
      </xdr:grpSpPr>
      <xdr:grpSp>
        <xdr:nvGrpSpPr>
          <xdr:cNvPr id="3" name="Group 37">
            <a:extLst>
              <a:ext uri="{FF2B5EF4-FFF2-40B4-BE49-F238E27FC236}">
                <a16:creationId xmlns:a16="http://schemas.microsoft.com/office/drawing/2014/main" id="{DC5FD98A-34A2-34DA-856A-56A7DC7778FB}"/>
              </a:ext>
            </a:extLst>
          </xdr:cNvPr>
          <xdr:cNvGrpSpPr/>
        </xdr:nvGrpSpPr>
        <xdr:grpSpPr>
          <a:xfrm>
            <a:off x="783565" y="2319776"/>
            <a:ext cx="8597900" cy="2012087"/>
            <a:chOff x="614781" y="3965885"/>
            <a:chExt cx="6699091" cy="1938659"/>
          </a:xfrm>
        </xdr:grpSpPr>
        <xdr:pic>
          <xdr:nvPicPr>
            <xdr:cNvPr id="5" name="Picture 23">
              <a:extLst>
                <a:ext uri="{FF2B5EF4-FFF2-40B4-BE49-F238E27FC236}">
                  <a16:creationId xmlns:a16="http://schemas.microsoft.com/office/drawing/2014/main" id="{97A0E440-77C0-3BF8-B660-70CA0CF3BE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4781" y="4064930"/>
              <a:ext cx="6699091" cy="1839614"/>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6" name="Straight Arrow Connector 3">
              <a:extLst>
                <a:ext uri="{FF2B5EF4-FFF2-40B4-BE49-F238E27FC236}">
                  <a16:creationId xmlns:a16="http://schemas.microsoft.com/office/drawing/2014/main" id="{E393BAC6-F865-48A5-B112-14B8AEBF62DE}"/>
                </a:ext>
              </a:extLst>
            </xdr:cNvPr>
            <xdr:cNvCxnSpPr/>
          </xdr:nvCxnSpPr>
          <xdr:spPr>
            <a:xfrm flipV="1">
              <a:off x="2149143" y="4729209"/>
              <a:ext cx="284581" cy="1642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10">
              <a:extLst>
                <a:ext uri="{FF2B5EF4-FFF2-40B4-BE49-F238E27FC236}">
                  <a16:creationId xmlns:a16="http://schemas.microsoft.com/office/drawing/2014/main" id="{142D144C-2510-89AC-C7CB-F7C99EDC8997}"/>
                </a:ext>
              </a:extLst>
            </xdr:cNvPr>
            <xdr:cNvCxnSpPr/>
          </xdr:nvCxnSpPr>
          <xdr:spPr>
            <a:xfrm flipV="1">
              <a:off x="2744874" y="4539533"/>
              <a:ext cx="285750" cy="1642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11">
              <a:extLst>
                <a:ext uri="{FF2B5EF4-FFF2-40B4-BE49-F238E27FC236}">
                  <a16:creationId xmlns:a16="http://schemas.microsoft.com/office/drawing/2014/main" id="{365A4FFD-1F7C-C8A5-7BFE-C8B420C997CD}"/>
                </a:ext>
              </a:extLst>
            </xdr:cNvPr>
            <xdr:cNvCxnSpPr/>
          </xdr:nvCxnSpPr>
          <xdr:spPr>
            <a:xfrm flipV="1">
              <a:off x="3353305" y="4356206"/>
              <a:ext cx="285750" cy="16427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12">
              <a:extLst>
                <a:ext uri="{FF2B5EF4-FFF2-40B4-BE49-F238E27FC236}">
                  <a16:creationId xmlns:a16="http://schemas.microsoft.com/office/drawing/2014/main" id="{31DF5DCD-F629-CBA6-CE2B-07208361E25D}"/>
                </a:ext>
              </a:extLst>
            </xdr:cNvPr>
            <xdr:cNvCxnSpPr/>
          </xdr:nvCxnSpPr>
          <xdr:spPr>
            <a:xfrm flipV="1">
              <a:off x="3961736" y="4141130"/>
              <a:ext cx="285750" cy="1642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13">
              <a:extLst>
                <a:ext uri="{FF2B5EF4-FFF2-40B4-BE49-F238E27FC236}">
                  <a16:creationId xmlns:a16="http://schemas.microsoft.com/office/drawing/2014/main" id="{D8221BE2-7CCB-F893-C2AE-67909610EA9C}"/>
                </a:ext>
              </a:extLst>
            </xdr:cNvPr>
            <xdr:cNvCxnSpPr/>
          </xdr:nvCxnSpPr>
          <xdr:spPr>
            <a:xfrm flipV="1">
              <a:off x="3556505" y="4874435"/>
              <a:ext cx="106781" cy="22142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5">
              <a:extLst>
                <a:ext uri="{FF2B5EF4-FFF2-40B4-BE49-F238E27FC236}">
                  <a16:creationId xmlns:a16="http://schemas.microsoft.com/office/drawing/2014/main" id="{E12ACA49-16A6-2259-39B8-1BBC9E5A5E97}"/>
                </a:ext>
              </a:extLst>
            </xdr:cNvPr>
            <xdr:cNvCxnSpPr/>
          </xdr:nvCxnSpPr>
          <xdr:spPr>
            <a:xfrm flipV="1">
              <a:off x="4152236" y="4691109"/>
              <a:ext cx="106781" cy="2214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Straight Arrow Connector 16">
              <a:extLst>
                <a:ext uri="{FF2B5EF4-FFF2-40B4-BE49-F238E27FC236}">
                  <a16:creationId xmlns:a16="http://schemas.microsoft.com/office/drawing/2014/main" id="{4E9E1488-AB87-C096-CCC4-37264EA79963}"/>
                </a:ext>
              </a:extLst>
            </xdr:cNvPr>
            <xdr:cNvCxnSpPr/>
          </xdr:nvCxnSpPr>
          <xdr:spPr>
            <a:xfrm flipV="1">
              <a:off x="5356398" y="4678409"/>
              <a:ext cx="107950" cy="2214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7">
              <a:extLst>
                <a:ext uri="{FF2B5EF4-FFF2-40B4-BE49-F238E27FC236}">
                  <a16:creationId xmlns:a16="http://schemas.microsoft.com/office/drawing/2014/main" id="{4F466292-8E7C-C08D-F6B8-6A8717B016F0}"/>
                </a:ext>
              </a:extLst>
            </xdr:cNvPr>
            <xdr:cNvCxnSpPr/>
          </xdr:nvCxnSpPr>
          <xdr:spPr>
            <a:xfrm flipV="1">
              <a:off x="5977529" y="4514133"/>
              <a:ext cx="106781" cy="2214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Arrow Connector 18">
              <a:extLst>
                <a:ext uri="{FF2B5EF4-FFF2-40B4-BE49-F238E27FC236}">
                  <a16:creationId xmlns:a16="http://schemas.microsoft.com/office/drawing/2014/main" id="{ED4D2C9E-2F26-2D73-06F6-3EA2492CEAB7}"/>
                </a:ext>
              </a:extLst>
            </xdr:cNvPr>
            <xdr:cNvCxnSpPr/>
          </xdr:nvCxnSpPr>
          <xdr:spPr>
            <a:xfrm flipV="1">
              <a:off x="6560560" y="4324456"/>
              <a:ext cx="107950" cy="22142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9">
              <a:extLst>
                <a:ext uri="{FF2B5EF4-FFF2-40B4-BE49-F238E27FC236}">
                  <a16:creationId xmlns:a16="http://schemas.microsoft.com/office/drawing/2014/main" id="{7F6CADD1-BFF4-8520-7C7D-0AB25A1DBFF2}"/>
                </a:ext>
              </a:extLst>
            </xdr:cNvPr>
            <xdr:cNvCxnSpPr/>
          </xdr:nvCxnSpPr>
          <xdr:spPr>
            <a:xfrm>
              <a:off x="4767017" y="4703809"/>
              <a:ext cx="95250" cy="1833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Oval 24">
              <a:extLst>
                <a:ext uri="{FF2B5EF4-FFF2-40B4-BE49-F238E27FC236}">
                  <a16:creationId xmlns:a16="http://schemas.microsoft.com/office/drawing/2014/main" id="{FAF0F1BB-888F-C27B-4F5D-7B834EB6C6DF}"/>
                </a:ext>
              </a:extLst>
            </xdr:cNvPr>
            <xdr:cNvSpPr/>
          </xdr:nvSpPr>
          <xdr:spPr>
            <a:xfrm>
              <a:off x="1816987" y="4699836"/>
              <a:ext cx="134361" cy="137117"/>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0</a:t>
              </a:r>
              <a:endParaRPr lang="en-US" sz="1100"/>
            </a:p>
          </xdr:txBody>
        </xdr:sp>
        <xdr:sp macro="" textlink="">
          <xdr:nvSpPr>
            <xdr:cNvPr id="17" name="Oval 25">
              <a:extLst>
                <a:ext uri="{FF2B5EF4-FFF2-40B4-BE49-F238E27FC236}">
                  <a16:creationId xmlns:a16="http://schemas.microsoft.com/office/drawing/2014/main" id="{A9EE62BF-FF07-10C2-A68B-E90B67B581FE}"/>
                </a:ext>
              </a:extLst>
            </xdr:cNvPr>
            <xdr:cNvSpPr/>
          </xdr:nvSpPr>
          <xdr:spPr>
            <a:xfrm>
              <a:off x="2363887" y="4522894"/>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1</a:t>
              </a:r>
              <a:endParaRPr lang="en-US" sz="1100"/>
            </a:p>
          </xdr:txBody>
        </xdr:sp>
        <xdr:sp macro="" textlink="">
          <xdr:nvSpPr>
            <xdr:cNvPr id="18" name="Oval 26">
              <a:extLst>
                <a:ext uri="{FF2B5EF4-FFF2-40B4-BE49-F238E27FC236}">
                  <a16:creationId xmlns:a16="http://schemas.microsoft.com/office/drawing/2014/main" id="{66B6E389-6448-DCA0-CA2B-DD5B1121C14A}"/>
                </a:ext>
              </a:extLst>
            </xdr:cNvPr>
            <xdr:cNvSpPr/>
          </xdr:nvSpPr>
          <xdr:spPr>
            <a:xfrm>
              <a:off x="3005529" y="4329957"/>
              <a:ext cx="134361" cy="137118"/>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2</a:t>
              </a:r>
            </a:p>
          </xdr:txBody>
        </xdr:sp>
        <xdr:sp macro="" textlink="">
          <xdr:nvSpPr>
            <xdr:cNvPr id="19" name="Oval 27">
              <a:extLst>
                <a:ext uri="{FF2B5EF4-FFF2-40B4-BE49-F238E27FC236}">
                  <a16:creationId xmlns:a16="http://schemas.microsoft.com/office/drawing/2014/main" id="{96BA9BF6-9C6E-4EA1-CE54-FF7AF3E4D508}"/>
                </a:ext>
              </a:extLst>
            </xdr:cNvPr>
            <xdr:cNvSpPr/>
          </xdr:nvSpPr>
          <xdr:spPr>
            <a:xfrm>
              <a:off x="3613552" y="4142827"/>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3</a:t>
              </a:r>
            </a:p>
          </xdr:txBody>
        </xdr:sp>
        <xdr:sp macro="" textlink="">
          <xdr:nvSpPr>
            <xdr:cNvPr id="20" name="Oval 28">
              <a:extLst>
                <a:ext uri="{FF2B5EF4-FFF2-40B4-BE49-F238E27FC236}">
                  <a16:creationId xmlns:a16="http://schemas.microsoft.com/office/drawing/2014/main" id="{E1B9FDCE-515B-1A58-6FFA-78CA3EE2765C}"/>
                </a:ext>
              </a:extLst>
            </xdr:cNvPr>
            <xdr:cNvSpPr/>
          </xdr:nvSpPr>
          <xdr:spPr>
            <a:xfrm>
              <a:off x="4207992" y="3965885"/>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4</a:t>
              </a:r>
            </a:p>
          </xdr:txBody>
        </xdr:sp>
        <xdr:sp macro="" textlink="">
          <xdr:nvSpPr>
            <xdr:cNvPr id="21" name="Oval 29">
              <a:extLst>
                <a:ext uri="{FF2B5EF4-FFF2-40B4-BE49-F238E27FC236}">
                  <a16:creationId xmlns:a16="http://schemas.microsoft.com/office/drawing/2014/main" id="{6C8302C3-A18E-7F7D-C043-2AA3411991DE}"/>
                </a:ext>
              </a:extLst>
            </xdr:cNvPr>
            <xdr:cNvSpPr/>
          </xdr:nvSpPr>
          <xdr:spPr>
            <a:xfrm>
              <a:off x="2968923" y="4896337"/>
              <a:ext cx="134361" cy="137118"/>
            </a:xfrm>
            <a:prstGeom prst="ellipse">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0</a:t>
              </a:r>
              <a:endParaRPr lang="en-US" sz="1100"/>
            </a:p>
          </xdr:txBody>
        </xdr:sp>
        <xdr:sp macro="" textlink="">
          <xdr:nvSpPr>
            <xdr:cNvPr id="22" name="Oval 30">
              <a:extLst>
                <a:ext uri="{FF2B5EF4-FFF2-40B4-BE49-F238E27FC236}">
                  <a16:creationId xmlns:a16="http://schemas.microsoft.com/office/drawing/2014/main" id="{3C4E2DB2-FE71-8735-3BE0-1630A6452AF1}"/>
                </a:ext>
              </a:extLst>
            </xdr:cNvPr>
            <xdr:cNvSpPr/>
          </xdr:nvSpPr>
          <xdr:spPr>
            <a:xfrm>
              <a:off x="3614298" y="4692230"/>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1</a:t>
              </a:r>
              <a:endParaRPr lang="en-US" sz="1100"/>
            </a:p>
          </xdr:txBody>
        </xdr:sp>
        <xdr:sp macro="" textlink="">
          <xdr:nvSpPr>
            <xdr:cNvPr id="23" name="Oval 31">
              <a:extLst>
                <a:ext uri="{FF2B5EF4-FFF2-40B4-BE49-F238E27FC236}">
                  <a16:creationId xmlns:a16="http://schemas.microsoft.com/office/drawing/2014/main" id="{43E4B53F-B19D-A073-211D-D60A9C3A6203}"/>
                </a:ext>
              </a:extLst>
            </xdr:cNvPr>
            <xdr:cNvSpPr/>
          </xdr:nvSpPr>
          <xdr:spPr>
            <a:xfrm>
              <a:off x="4235566" y="4516272"/>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2</a:t>
              </a:r>
            </a:p>
          </xdr:txBody>
        </xdr:sp>
        <xdr:sp macro="" textlink="">
          <xdr:nvSpPr>
            <xdr:cNvPr id="24" name="Oval 32">
              <a:extLst>
                <a:ext uri="{FF2B5EF4-FFF2-40B4-BE49-F238E27FC236}">
                  <a16:creationId xmlns:a16="http://schemas.microsoft.com/office/drawing/2014/main" id="{5209563A-6C25-242D-80D9-5949C791A775}"/>
                </a:ext>
              </a:extLst>
            </xdr:cNvPr>
            <xdr:cNvSpPr/>
          </xdr:nvSpPr>
          <xdr:spPr>
            <a:xfrm>
              <a:off x="4857172" y="4702585"/>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3</a:t>
              </a:r>
            </a:p>
          </xdr:txBody>
        </xdr:sp>
        <xdr:sp macro="" textlink="">
          <xdr:nvSpPr>
            <xdr:cNvPr id="25" name="Oval 34">
              <a:extLst>
                <a:ext uri="{FF2B5EF4-FFF2-40B4-BE49-F238E27FC236}">
                  <a16:creationId xmlns:a16="http://schemas.microsoft.com/office/drawing/2014/main" id="{A536C04A-49E4-FC02-AC3A-33470456755C}"/>
                </a:ext>
              </a:extLst>
            </xdr:cNvPr>
            <xdr:cNvSpPr/>
          </xdr:nvSpPr>
          <xdr:spPr>
            <a:xfrm>
              <a:off x="5448216" y="4505270"/>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4</a:t>
              </a:r>
            </a:p>
          </xdr:txBody>
        </xdr:sp>
        <xdr:sp macro="" textlink="">
          <xdr:nvSpPr>
            <xdr:cNvPr id="26" name="Oval 35">
              <a:extLst>
                <a:ext uri="{FF2B5EF4-FFF2-40B4-BE49-F238E27FC236}">
                  <a16:creationId xmlns:a16="http://schemas.microsoft.com/office/drawing/2014/main" id="{90A4C453-C2E3-FF9E-B2B7-9344D8191CB9}"/>
                </a:ext>
              </a:extLst>
            </xdr:cNvPr>
            <xdr:cNvSpPr/>
          </xdr:nvSpPr>
          <xdr:spPr>
            <a:xfrm>
              <a:off x="6056240" y="4331722"/>
              <a:ext cx="134362" cy="137118"/>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5</a:t>
              </a:r>
            </a:p>
          </xdr:txBody>
        </xdr:sp>
        <xdr:sp macro="" textlink="">
          <xdr:nvSpPr>
            <xdr:cNvPr id="27" name="Oval 36">
              <a:extLst>
                <a:ext uri="{FF2B5EF4-FFF2-40B4-BE49-F238E27FC236}">
                  <a16:creationId xmlns:a16="http://schemas.microsoft.com/office/drawing/2014/main" id="{2981FBDF-CB0F-984D-6DA7-687CD39A2612}"/>
                </a:ext>
              </a:extLst>
            </xdr:cNvPr>
            <xdr:cNvSpPr/>
          </xdr:nvSpPr>
          <xdr:spPr>
            <a:xfrm>
              <a:off x="6643890" y="4147988"/>
              <a:ext cx="134361" cy="137117"/>
            </a:xfrm>
            <a:prstGeom prst="ellips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a:t>6</a:t>
              </a:r>
            </a:p>
          </xdr:txBody>
        </xdr:sp>
      </xdr:grpSp>
      <xdr:sp macro="" textlink="">
        <xdr:nvSpPr>
          <xdr:cNvPr id="4" name="CuadroTexto 3">
            <a:extLst>
              <a:ext uri="{FF2B5EF4-FFF2-40B4-BE49-F238E27FC236}">
                <a16:creationId xmlns:a16="http://schemas.microsoft.com/office/drawing/2014/main" id="{AD8880F4-8778-2ED9-B2CC-49CDBECB6963}"/>
              </a:ext>
            </a:extLst>
          </xdr:cNvPr>
          <xdr:cNvSpPr txBox="1"/>
        </xdr:nvSpPr>
        <xdr:spPr>
          <a:xfrm>
            <a:off x="781050" y="4333875"/>
            <a:ext cx="2371725"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Imagen 1. Ejemplo</a:t>
            </a:r>
            <a:r>
              <a:rPr lang="es-CO" sz="1100" baseline="0"/>
              <a:t> s</a:t>
            </a:r>
            <a:r>
              <a:rPr lang="es-CO" sz="1100"/>
              <a:t>olución</a:t>
            </a: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192051</xdr:colOff>
      <xdr:row>12</xdr:row>
      <xdr:rowOff>161709</xdr:rowOff>
    </xdr:from>
    <xdr:ext cx="1433228" cy="1939178"/>
    <xdr:pic macro="[0]!robar">
      <xdr:nvPicPr>
        <xdr:cNvPr id="2" name="Imagen 1">
          <a:extLst>
            <a:ext uri="{FF2B5EF4-FFF2-40B4-BE49-F238E27FC236}">
              <a16:creationId xmlns:a16="http://schemas.microsoft.com/office/drawing/2014/main" id="{ACB1539A-320E-4AD6-9E50-79AA0919F88E}"/>
            </a:ext>
          </a:extLst>
        </xdr:cNvPr>
        <xdr:cNvPicPr>
          <a:picLocks noChangeAspect="1"/>
        </xdr:cNvPicPr>
      </xdr:nvPicPr>
      <xdr:blipFill>
        <a:blip xmlns:r="http://schemas.openxmlformats.org/officeDocument/2006/relationships" r:embed="rId1"/>
        <a:stretch>
          <a:fillRect/>
        </a:stretch>
      </xdr:blipFill>
      <xdr:spPr>
        <a:xfrm>
          <a:off x="814840" y="2453989"/>
          <a:ext cx="1433228" cy="1939178"/>
        </a:xfrm>
        <a:prstGeom prst="rect">
          <a:avLst/>
        </a:prstGeom>
      </xdr:spPr>
    </xdr:pic>
    <xdr:clientData/>
  </xdr:oneCellAnchor>
  <xdr:twoCellAnchor>
    <xdr:from>
      <xdr:col>3</xdr:col>
      <xdr:colOff>49559</xdr:colOff>
      <xdr:row>11</xdr:row>
      <xdr:rowOff>134720</xdr:rowOff>
    </xdr:from>
    <xdr:to>
      <xdr:col>7</xdr:col>
      <xdr:colOff>217340</xdr:colOff>
      <xdr:row>19</xdr:row>
      <xdr:rowOff>134179</xdr:rowOff>
    </xdr:to>
    <xdr:sp macro="" textlink="">
      <xdr:nvSpPr>
        <xdr:cNvPr id="7" name="Freeform: Shape 12">
          <a:extLst>
            <a:ext uri="{FF2B5EF4-FFF2-40B4-BE49-F238E27FC236}">
              <a16:creationId xmlns:a16="http://schemas.microsoft.com/office/drawing/2014/main" id="{6313C496-A1D5-4BF1-A3E5-67E807DE4666}"/>
            </a:ext>
          </a:extLst>
        </xdr:cNvPr>
        <xdr:cNvSpPr/>
      </xdr:nvSpPr>
      <xdr:spPr>
        <a:xfrm rot="18916598">
          <a:off x="2197611" y="2446996"/>
          <a:ext cx="2335539" cy="1444631"/>
        </a:xfrm>
        <a:custGeom>
          <a:avLst/>
          <a:gdLst>
            <a:gd name="connsiteX0" fmla="*/ 1223061 w 2226149"/>
            <a:gd name="connsiteY0" fmla="*/ 54001 h 1398594"/>
            <a:gd name="connsiteX1" fmla="*/ 2170872 w 2226149"/>
            <a:gd name="connsiteY1" fmla="*/ 992703 h 1398594"/>
            <a:gd name="connsiteX2" fmla="*/ 2171315 w 2226149"/>
            <a:gd name="connsiteY2" fmla="*/ 1258540 h 1398594"/>
            <a:gd name="connsiteX3" fmla="*/ 2032607 w 2226149"/>
            <a:gd name="connsiteY3" fmla="*/ 1398594 h 1398594"/>
            <a:gd name="connsiteX4" fmla="*/ 2033768 w 2226149"/>
            <a:gd name="connsiteY4" fmla="*/ 1388663 h 1398594"/>
            <a:gd name="connsiteX5" fmla="*/ 839971 w 2226149"/>
            <a:gd name="connsiteY5" fmla="*/ 873347 h 1398594"/>
            <a:gd name="connsiteX6" fmla="*/ 80605 w 2226149"/>
            <a:gd name="connsiteY6" fmla="*/ 991021 h 1398594"/>
            <a:gd name="connsiteX7" fmla="*/ 0 w 2226149"/>
            <a:gd name="connsiteY7" fmla="*/ 1022644 h 1398594"/>
            <a:gd name="connsiteX8" fmla="*/ 957232 w 2226149"/>
            <a:gd name="connsiteY8" fmla="*/ 56124 h 1398594"/>
            <a:gd name="connsiteX9" fmla="*/ 1223061 w 2226149"/>
            <a:gd name="connsiteY9" fmla="*/ 54001 h 1398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26149" h="1398594">
              <a:moveTo>
                <a:pt x="1223061" y="54001"/>
              </a:moveTo>
              <a:lnTo>
                <a:pt x="2170872" y="992703"/>
              </a:lnTo>
              <a:cubicBezTo>
                <a:pt x="2244401" y="1065526"/>
                <a:pt x="2244600" y="1184544"/>
                <a:pt x="2171315" y="1258540"/>
              </a:cubicBezTo>
              <a:lnTo>
                <a:pt x="2032607" y="1398594"/>
              </a:lnTo>
              <a:lnTo>
                <a:pt x="2033768" y="1388663"/>
              </a:lnTo>
              <a:cubicBezTo>
                <a:pt x="2033768" y="1104063"/>
                <a:pt x="1499287" y="873348"/>
                <a:pt x="839971" y="873347"/>
              </a:cubicBezTo>
              <a:cubicBezTo>
                <a:pt x="551520" y="873347"/>
                <a:pt x="286964" y="917508"/>
                <a:pt x="80605" y="991021"/>
              </a:cubicBezTo>
              <a:lnTo>
                <a:pt x="0" y="1022644"/>
              </a:lnTo>
              <a:lnTo>
                <a:pt x="957232" y="56124"/>
              </a:lnTo>
              <a:cubicBezTo>
                <a:pt x="1030517" y="-17872"/>
                <a:pt x="1149531" y="-18822"/>
                <a:pt x="1223061" y="54001"/>
              </a:cubicBezTo>
              <a:close/>
            </a:path>
          </a:pathLst>
        </a:custGeom>
        <a:no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CO"/>
        </a:p>
      </xdr:txBody>
    </xdr:sp>
    <xdr:clientData/>
  </xdr:twoCellAnchor>
  <xdr:oneCellAnchor>
    <xdr:from>
      <xdr:col>5</xdr:col>
      <xdr:colOff>256203</xdr:colOff>
      <xdr:row>18</xdr:row>
      <xdr:rowOff>42043</xdr:rowOff>
    </xdr:from>
    <xdr:ext cx="666735" cy="635877"/>
    <xdr:sp macro="" textlink="$G$13">
      <xdr:nvSpPr>
        <xdr:cNvPr id="10" name="Rectangle 10">
          <a:extLst>
            <a:ext uri="{FF2B5EF4-FFF2-40B4-BE49-F238E27FC236}">
              <a16:creationId xmlns:a16="http://schemas.microsoft.com/office/drawing/2014/main" id="{9EE03847-E4DE-4C2F-B09E-C2C4E8538F06}"/>
            </a:ext>
            <a:ext uri="{147F2762-F138-4A5C-976F-8EAC2B608ADB}">
              <a16:predDERef xmlns:a16="http://schemas.microsoft.com/office/drawing/2014/main" pred="{06E79BCE-3CCA-492C-9009-2D0F2E8DC04C}"/>
            </a:ext>
          </a:extLst>
        </xdr:cNvPr>
        <xdr:cNvSpPr/>
      </xdr:nvSpPr>
      <xdr:spPr>
        <a:xfrm>
          <a:off x="3375641" y="4023493"/>
          <a:ext cx="666735" cy="635877"/>
        </a:xfrm>
        <a:prstGeom prst="rect">
          <a:avLst/>
        </a:prstGeom>
        <a:noFill/>
      </xdr:spPr>
      <xdr:txBody>
        <a:bodyPr wrap="square" lIns="91440" tIns="45720" rIns="91440" bIns="45720">
          <a:noAutofit/>
        </a:bodyPr>
        <a:lstStyle/>
        <a:p>
          <a:pPr algn="ctr"/>
          <a:fld id="{8D01CD33-8C7F-4E13-A978-83303715F1B0}" type="TxLink">
            <a:rPr lang="en-US" sz="3600" b="0" i="0" u="none" strike="noStrike"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latin typeface="Calibri"/>
              <a:cs typeface="Calibri"/>
            </a:rPr>
            <a:pPr algn="ctr"/>
            <a:t> </a:t>
          </a:fld>
          <a:endParaRPr lang="en-US" sz="255800" b="1"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endParaRPr>
        </a:p>
      </xdr:txBody>
    </xdr:sp>
    <xdr:clientData/>
  </xdr:oneCellAnchor>
  <xdr:oneCellAnchor>
    <xdr:from>
      <xdr:col>6</xdr:col>
      <xdr:colOff>398662</xdr:colOff>
      <xdr:row>23</xdr:row>
      <xdr:rowOff>137808</xdr:rowOff>
    </xdr:from>
    <xdr:ext cx="455389" cy="202610"/>
    <xdr:sp macro="" textlink="$G$13">
      <xdr:nvSpPr>
        <xdr:cNvPr id="11" name="Rectangle 11">
          <a:extLst>
            <a:ext uri="{FF2B5EF4-FFF2-40B4-BE49-F238E27FC236}">
              <a16:creationId xmlns:a16="http://schemas.microsoft.com/office/drawing/2014/main" id="{08CE9E2F-5C98-4B35-9D7D-F5815C1D3593}"/>
            </a:ext>
            <a:ext uri="{147F2762-F138-4A5C-976F-8EAC2B608ADB}">
              <a16:predDERef xmlns:a16="http://schemas.microsoft.com/office/drawing/2014/main" pred="{06E79BCE-3CCA-492C-9009-2D0F2E8DC04C}"/>
            </a:ext>
          </a:extLst>
        </xdr:cNvPr>
        <xdr:cNvSpPr/>
      </xdr:nvSpPr>
      <xdr:spPr>
        <a:xfrm flipV="1">
          <a:off x="4141987" y="5024133"/>
          <a:ext cx="455389" cy="202610"/>
        </a:xfrm>
        <a:prstGeom prst="rect">
          <a:avLst/>
        </a:prstGeom>
        <a:noFill/>
      </xdr:spPr>
      <xdr:txBody>
        <a:bodyPr wrap="square" lIns="91440" tIns="45720" rIns="91440" bIns="45720">
          <a:noAutofit/>
        </a:bodyPr>
        <a:lstStyle/>
        <a:p>
          <a:pPr algn="ctr"/>
          <a:fld id="{8D01CD33-8C7F-4E13-A978-83303715F1B0}" type="TxLink">
            <a:rPr lang="en-US" sz="2400" b="0" i="0" u="none" strike="noStrike"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latin typeface="Calibri"/>
              <a:cs typeface="Calibri"/>
            </a:rPr>
            <a:pPr algn="ctr"/>
            <a:t> </a:t>
          </a:fld>
          <a:endParaRPr lang="en-US" sz="148100" b="1"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endParaRPr>
        </a:p>
      </xdr:txBody>
    </xdr:sp>
    <xdr:clientData/>
  </xdr:oneCellAnchor>
  <xdr:twoCellAnchor>
    <xdr:from>
      <xdr:col>3</xdr:col>
      <xdr:colOff>258933</xdr:colOff>
      <xdr:row>12</xdr:row>
      <xdr:rowOff>94056</xdr:rowOff>
    </xdr:from>
    <xdr:to>
      <xdr:col>8</xdr:col>
      <xdr:colOff>361632</xdr:colOff>
      <xdr:row>25</xdr:row>
      <xdr:rowOff>105155</xdr:rowOff>
    </xdr:to>
    <xdr:grpSp>
      <xdr:nvGrpSpPr>
        <xdr:cNvPr id="13" name="Grupo 12">
          <a:extLst>
            <a:ext uri="{FF2B5EF4-FFF2-40B4-BE49-F238E27FC236}">
              <a16:creationId xmlns:a16="http://schemas.microsoft.com/office/drawing/2014/main" id="{46CA296D-EF7D-54D3-0B6A-A3A2B95C2C4B}"/>
            </a:ext>
          </a:extLst>
        </xdr:cNvPr>
        <xdr:cNvGrpSpPr/>
      </xdr:nvGrpSpPr>
      <xdr:grpSpPr>
        <a:xfrm>
          <a:off x="2268708" y="2361006"/>
          <a:ext cx="2369649" cy="2487599"/>
          <a:chOff x="2378508" y="2569981"/>
          <a:chExt cx="2531050" cy="2397162"/>
        </a:xfrm>
      </xdr:grpSpPr>
      <xdr:sp macro="" textlink="$G$12">
        <xdr:nvSpPr>
          <xdr:cNvPr id="5" name="Rectangle 8">
            <a:extLst>
              <a:ext uri="{FF2B5EF4-FFF2-40B4-BE49-F238E27FC236}">
                <a16:creationId xmlns:a16="http://schemas.microsoft.com/office/drawing/2014/main" id="{2D2D1EB2-BCA6-49E9-80AB-2618C6A25240}"/>
              </a:ext>
            </a:extLst>
          </xdr:cNvPr>
          <xdr:cNvSpPr/>
        </xdr:nvSpPr>
        <xdr:spPr>
          <a:xfrm>
            <a:off x="2603613" y="2571503"/>
            <a:ext cx="666735" cy="571734"/>
          </a:xfrm>
          <a:prstGeom prst="rect">
            <a:avLst/>
          </a:prstGeom>
          <a:noFill/>
        </xdr:spPr>
        <xdr:txBody>
          <a:bodyPr wrap="square" lIns="91440" tIns="45720" rIns="91440" bIns="45720">
            <a:spAutoFit/>
          </a:bodyPr>
          <a:lstStyle/>
          <a:p>
            <a:pPr algn="ctr"/>
            <a:fld id="{F342305B-C29E-453C-8448-FD61340C574D}" type="TxLink">
              <a:rPr lang="en-US" sz="3200" b="0" i="0" u="none" strike="noStrike"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latin typeface="Calibri"/>
                <a:cs typeface="Calibri"/>
              </a:rPr>
              <a:pPr algn="ctr"/>
              <a:t>7</a:t>
            </a:fld>
            <a:endParaRPr lang="en-US" sz="3200" b="1"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endParaRPr>
          </a:p>
        </xdr:txBody>
      </xdr:sp>
      <xdr:grpSp>
        <xdr:nvGrpSpPr>
          <xdr:cNvPr id="8" name="Grupo 7">
            <a:extLst>
              <a:ext uri="{FF2B5EF4-FFF2-40B4-BE49-F238E27FC236}">
                <a16:creationId xmlns:a16="http://schemas.microsoft.com/office/drawing/2014/main" id="{2D00DB8E-B4A6-2E34-C751-54634F53CA6A}"/>
              </a:ext>
            </a:extLst>
          </xdr:cNvPr>
          <xdr:cNvGrpSpPr/>
        </xdr:nvGrpSpPr>
        <xdr:grpSpPr>
          <a:xfrm>
            <a:off x="2378508" y="2569981"/>
            <a:ext cx="2531050" cy="2397162"/>
            <a:chOff x="2378508" y="2569981"/>
            <a:chExt cx="2531050" cy="2397162"/>
          </a:xfrm>
        </xdr:grpSpPr>
        <xdr:sp macro="" textlink="$G$12">
          <xdr:nvSpPr>
            <xdr:cNvPr id="4" name="Rectangle 7">
              <a:extLst>
                <a:ext uri="{FF2B5EF4-FFF2-40B4-BE49-F238E27FC236}">
                  <a16:creationId xmlns:a16="http://schemas.microsoft.com/office/drawing/2014/main" id="{A82FB9C1-4039-48E4-A43A-71FEE9AC91F8}"/>
                </a:ext>
                <a:ext uri="{147F2762-F138-4A5C-976F-8EAC2B608ADB}">
                  <a16:predDERef xmlns:a16="http://schemas.microsoft.com/office/drawing/2014/main" pred="{06E79BCE-3CCA-492C-9009-2D0F2E8DC04C}"/>
                </a:ext>
              </a:extLst>
            </xdr:cNvPr>
            <xdr:cNvSpPr/>
          </xdr:nvSpPr>
          <xdr:spPr>
            <a:xfrm>
              <a:off x="3307302" y="3235878"/>
              <a:ext cx="666735" cy="1084583"/>
            </a:xfrm>
            <a:prstGeom prst="rect">
              <a:avLst/>
            </a:prstGeom>
            <a:noFill/>
          </xdr:spPr>
          <xdr:txBody>
            <a:bodyPr wrap="square" lIns="91440" tIns="45720" rIns="91440" bIns="45720">
              <a:spAutoFit/>
            </a:bodyPr>
            <a:lstStyle/>
            <a:p>
              <a:pPr algn="ctr"/>
              <a:fld id="{F342305B-C29E-453C-8448-FD61340C574D}" type="TxLink">
                <a:rPr lang="en-US" sz="6600" b="0" i="0" u="none" strike="noStrike"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latin typeface="Calibri"/>
                  <a:cs typeface="Calibri"/>
                </a:rPr>
                <a:pPr algn="ctr"/>
                <a:t>7</a:t>
              </a:fld>
              <a:endParaRPr lang="en-US" sz="49600" b="1"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endParaRPr>
            </a:p>
          </xdr:txBody>
        </xdr:sp>
        <xdr:sp macro="" textlink="$G$12">
          <xdr:nvSpPr>
            <xdr:cNvPr id="6" name="Rectangle 9">
              <a:extLst>
                <a:ext uri="{FF2B5EF4-FFF2-40B4-BE49-F238E27FC236}">
                  <a16:creationId xmlns:a16="http://schemas.microsoft.com/office/drawing/2014/main" id="{5A336433-C8F5-4767-B5D4-82F0928B8A59}"/>
                </a:ext>
              </a:extLst>
            </xdr:cNvPr>
            <xdr:cNvSpPr/>
          </xdr:nvSpPr>
          <xdr:spPr>
            <a:xfrm flipV="1">
              <a:off x="3979355" y="4366448"/>
              <a:ext cx="666735" cy="571734"/>
            </a:xfrm>
            <a:prstGeom prst="rect">
              <a:avLst/>
            </a:prstGeom>
            <a:noFill/>
          </xdr:spPr>
          <xdr:txBody>
            <a:bodyPr wrap="square" lIns="91440" tIns="45720" rIns="91440" bIns="45720">
              <a:spAutoFit/>
            </a:bodyPr>
            <a:lstStyle/>
            <a:p>
              <a:pPr algn="ctr"/>
              <a:fld id="{F342305B-C29E-453C-8448-FD61340C574D}" type="TxLink">
                <a:rPr lang="en-US" sz="3200" b="0" i="0" u="none" strike="noStrike"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latin typeface="Calibri"/>
                  <a:cs typeface="Calibri"/>
                </a:rPr>
                <a:pPr algn="ctr"/>
                <a:t>7</a:t>
              </a:fld>
              <a:endParaRPr lang="en-US" sz="3200" b="1"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endParaRPr>
            </a:p>
          </xdr:txBody>
        </xdr:sp>
        <xdr:sp macro="" textlink="">
          <xdr:nvSpPr>
            <xdr:cNvPr id="9" name="Freeform: Shape 14">
              <a:extLst>
                <a:ext uri="{FF2B5EF4-FFF2-40B4-BE49-F238E27FC236}">
                  <a16:creationId xmlns:a16="http://schemas.microsoft.com/office/drawing/2014/main" id="{61CA3EB4-7592-4962-B1CA-AB81E04DE88B}"/>
                </a:ext>
              </a:extLst>
            </xdr:cNvPr>
            <xdr:cNvSpPr/>
          </xdr:nvSpPr>
          <xdr:spPr>
            <a:xfrm rot="18916598">
              <a:off x="2378508" y="3359363"/>
              <a:ext cx="2531050" cy="1097185"/>
            </a:xfrm>
            <a:custGeom>
              <a:avLst/>
              <a:gdLst>
                <a:gd name="connsiteX0" fmla="*/ 2293780 w 2387594"/>
                <a:gd name="connsiteY0" fmla="*/ 314733 h 1030632"/>
                <a:gd name="connsiteX1" fmla="*/ 2387594 w 2387594"/>
                <a:gd name="connsiteY1" fmla="*/ 515316 h 1030632"/>
                <a:gd name="connsiteX2" fmla="*/ 2386433 w 2387594"/>
                <a:gd name="connsiteY2" fmla="*/ 525247 h 1030632"/>
                <a:gd name="connsiteX3" fmla="*/ 2033765 w 2387594"/>
                <a:gd name="connsiteY3" fmla="*/ 881337 h 1030632"/>
                <a:gd name="connsiteX4" fmla="*/ 1953163 w 2387594"/>
                <a:gd name="connsiteY4" fmla="*/ 912959 h 1030632"/>
                <a:gd name="connsiteX5" fmla="*/ 1193797 w 2387594"/>
                <a:gd name="connsiteY5" fmla="*/ 1030632 h 1030632"/>
                <a:gd name="connsiteX6" fmla="*/ 0 w 2387594"/>
                <a:gd name="connsiteY6" fmla="*/ 515316 h 1030632"/>
                <a:gd name="connsiteX7" fmla="*/ 874 w 2387594"/>
                <a:gd name="connsiteY7" fmla="*/ 507843 h 1030632"/>
                <a:gd name="connsiteX8" fmla="*/ 10513 w 2387594"/>
                <a:gd name="connsiteY8" fmla="*/ 495941 h 1030632"/>
                <a:gd name="connsiteX9" fmla="*/ 353826 w 2387594"/>
                <a:gd name="connsiteY9" fmla="*/ 149297 h 1030632"/>
                <a:gd name="connsiteX10" fmla="*/ 434431 w 2387594"/>
                <a:gd name="connsiteY10" fmla="*/ 117674 h 1030632"/>
                <a:gd name="connsiteX11" fmla="*/ 1193797 w 2387594"/>
                <a:gd name="connsiteY11" fmla="*/ 0 h 1030632"/>
                <a:gd name="connsiteX12" fmla="*/ 2293780 w 2387594"/>
                <a:gd name="connsiteY12" fmla="*/ 314733 h 10306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2387594" h="1030632">
                  <a:moveTo>
                    <a:pt x="2293780" y="314733"/>
                  </a:moveTo>
                  <a:cubicBezTo>
                    <a:pt x="2354189" y="376384"/>
                    <a:pt x="2387595" y="444166"/>
                    <a:pt x="2387594" y="515316"/>
                  </a:cubicBezTo>
                  <a:lnTo>
                    <a:pt x="2386433" y="525247"/>
                  </a:lnTo>
                  <a:lnTo>
                    <a:pt x="2033765" y="881337"/>
                  </a:lnTo>
                  <a:lnTo>
                    <a:pt x="1953163" y="912959"/>
                  </a:lnTo>
                  <a:cubicBezTo>
                    <a:pt x="1746804" y="986472"/>
                    <a:pt x="1482248" y="1030632"/>
                    <a:pt x="1193797" y="1030632"/>
                  </a:cubicBezTo>
                  <a:cubicBezTo>
                    <a:pt x="534481" y="1030633"/>
                    <a:pt x="0" y="799918"/>
                    <a:pt x="0" y="515316"/>
                  </a:cubicBezTo>
                  <a:lnTo>
                    <a:pt x="874" y="507843"/>
                  </a:lnTo>
                  <a:lnTo>
                    <a:pt x="10513" y="495941"/>
                  </a:lnTo>
                  <a:lnTo>
                    <a:pt x="353826" y="149297"/>
                  </a:lnTo>
                  <a:lnTo>
                    <a:pt x="434431" y="117674"/>
                  </a:lnTo>
                  <a:cubicBezTo>
                    <a:pt x="640790" y="44161"/>
                    <a:pt x="905346" y="0"/>
                    <a:pt x="1193797" y="0"/>
                  </a:cubicBezTo>
                  <a:cubicBezTo>
                    <a:pt x="1688284" y="1"/>
                    <a:pt x="2112552" y="129778"/>
                    <a:pt x="2293780" y="314733"/>
                  </a:cubicBezTo>
                  <a:close/>
                </a:path>
              </a:pathLst>
            </a:custGeom>
            <a:no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CO"/>
            </a:p>
          </xdr:txBody>
        </xdr:sp>
        <xdr:sp macro="" textlink="$G$13">
          <xdr:nvSpPr>
            <xdr:cNvPr id="12" name="Rectangle 15">
              <a:extLst>
                <a:ext uri="{FF2B5EF4-FFF2-40B4-BE49-F238E27FC236}">
                  <a16:creationId xmlns:a16="http://schemas.microsoft.com/office/drawing/2014/main" id="{A2D42875-BE6B-485F-846D-D84C8D52653D}"/>
                </a:ext>
                <a:ext uri="{147F2762-F138-4A5C-976F-8EAC2B608ADB}">
                  <a16:predDERef xmlns:a16="http://schemas.microsoft.com/office/drawing/2014/main" pred="{06E79BCE-3CCA-492C-9009-2D0F2E8DC04C}"/>
                </a:ext>
              </a:extLst>
            </xdr:cNvPr>
            <xdr:cNvSpPr/>
          </xdr:nvSpPr>
          <xdr:spPr>
            <a:xfrm>
              <a:off x="2707884" y="2697694"/>
              <a:ext cx="455389" cy="202610"/>
            </a:xfrm>
            <a:prstGeom prst="rect">
              <a:avLst/>
            </a:prstGeom>
            <a:noFill/>
          </xdr:spPr>
          <xdr:txBody>
            <a:bodyPr wrap="square" lIns="91440" tIns="45720" rIns="91440" bIns="45720">
              <a:noAutofit/>
            </a:bodyPr>
            <a:lstStyle/>
            <a:p>
              <a:pPr algn="ctr"/>
              <a:fld id="{8D01CD33-8C7F-4E13-A978-83303715F1B0}" type="TxLink">
                <a:rPr lang="en-US" sz="2400" b="0" i="0" u="none" strike="noStrike"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latin typeface="Calibri"/>
                  <a:cs typeface="Calibri"/>
                </a:rPr>
                <a:pPr algn="ctr"/>
                <a:t> </a:t>
              </a:fld>
              <a:endParaRPr lang="en-US" sz="148100" b="1" cap="none" spc="0">
                <a:ln w="12700">
                  <a:solidFill>
                    <a:schemeClr val="tx2">
                      <a:lumMod val="75000"/>
                    </a:schemeClr>
                  </a:solidFill>
                  <a:prstDash val="solid"/>
                </a:ln>
                <a:solidFill>
                  <a:schemeClr val="bg1"/>
                </a:solidFill>
                <a:effectLst>
                  <a:outerShdw dist="38100" dir="2640000" algn="bl" rotWithShape="0">
                    <a:schemeClr val="tx2">
                      <a:lumMod val="75000"/>
                    </a:schemeClr>
                  </a:outerShdw>
                </a:effectLst>
              </a:endParaRPr>
            </a:p>
          </xdr:txBody>
        </xdr:sp>
        <xdr:sp macro="" textlink="">
          <xdr:nvSpPr>
            <xdr:cNvPr id="3" name="Freeform: Shape 5">
              <a:extLst>
                <a:ext uri="{FF2B5EF4-FFF2-40B4-BE49-F238E27FC236}">
                  <a16:creationId xmlns:a16="http://schemas.microsoft.com/office/drawing/2014/main" id="{2C31094F-D0D1-4F78-986B-B0641B2FB613}"/>
                </a:ext>
              </a:extLst>
            </xdr:cNvPr>
            <xdr:cNvSpPr/>
          </xdr:nvSpPr>
          <xdr:spPr>
            <a:xfrm>
              <a:off x="2700819" y="2569981"/>
              <a:ext cx="1909403" cy="2397162"/>
            </a:xfrm>
            <a:custGeom>
              <a:avLst/>
              <a:gdLst>
                <a:gd name="connsiteX0" fmla="*/ 254284 w 1722120"/>
                <a:gd name="connsiteY0" fmla="*/ 95250 h 2202180"/>
                <a:gd name="connsiteX1" fmla="*/ 83820 w 1722120"/>
                <a:gd name="connsiteY1" fmla="*/ 265714 h 2202180"/>
                <a:gd name="connsiteX2" fmla="*/ 83820 w 1722120"/>
                <a:gd name="connsiteY2" fmla="*/ 1936466 h 2202180"/>
                <a:gd name="connsiteX3" fmla="*/ 254284 w 1722120"/>
                <a:gd name="connsiteY3" fmla="*/ 2106930 h 2202180"/>
                <a:gd name="connsiteX4" fmla="*/ 1467836 w 1722120"/>
                <a:gd name="connsiteY4" fmla="*/ 2106930 h 2202180"/>
                <a:gd name="connsiteX5" fmla="*/ 1638300 w 1722120"/>
                <a:gd name="connsiteY5" fmla="*/ 1936466 h 2202180"/>
                <a:gd name="connsiteX6" fmla="*/ 1638300 w 1722120"/>
                <a:gd name="connsiteY6" fmla="*/ 265714 h 2202180"/>
                <a:gd name="connsiteX7" fmla="*/ 1467836 w 1722120"/>
                <a:gd name="connsiteY7" fmla="*/ 95250 h 2202180"/>
                <a:gd name="connsiteX8" fmla="*/ 188848 w 1722120"/>
                <a:gd name="connsiteY8" fmla="*/ 0 h 2202180"/>
                <a:gd name="connsiteX9" fmla="*/ 1533272 w 1722120"/>
                <a:gd name="connsiteY9" fmla="*/ 0 h 2202180"/>
                <a:gd name="connsiteX10" fmla="*/ 1722120 w 1722120"/>
                <a:gd name="connsiteY10" fmla="*/ 188848 h 2202180"/>
                <a:gd name="connsiteX11" fmla="*/ 1722120 w 1722120"/>
                <a:gd name="connsiteY11" fmla="*/ 2013332 h 2202180"/>
                <a:gd name="connsiteX12" fmla="*/ 1533272 w 1722120"/>
                <a:gd name="connsiteY12" fmla="*/ 2202180 h 2202180"/>
                <a:gd name="connsiteX13" fmla="*/ 188848 w 1722120"/>
                <a:gd name="connsiteY13" fmla="*/ 2202180 h 2202180"/>
                <a:gd name="connsiteX14" fmla="*/ 0 w 1722120"/>
                <a:gd name="connsiteY14" fmla="*/ 2013332 h 2202180"/>
                <a:gd name="connsiteX15" fmla="*/ 0 w 1722120"/>
                <a:gd name="connsiteY15" fmla="*/ 188848 h 2202180"/>
                <a:gd name="connsiteX16" fmla="*/ 188848 w 1722120"/>
                <a:gd name="connsiteY16" fmla="*/ 0 h 2202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1722120" h="2202180">
                  <a:moveTo>
                    <a:pt x="254284" y="95250"/>
                  </a:moveTo>
                  <a:cubicBezTo>
                    <a:pt x="160139" y="95250"/>
                    <a:pt x="83820" y="171569"/>
                    <a:pt x="83820" y="265714"/>
                  </a:cubicBezTo>
                  <a:lnTo>
                    <a:pt x="83820" y="1936466"/>
                  </a:lnTo>
                  <a:cubicBezTo>
                    <a:pt x="83820" y="2030611"/>
                    <a:pt x="160139" y="2106930"/>
                    <a:pt x="254284" y="2106930"/>
                  </a:cubicBezTo>
                  <a:lnTo>
                    <a:pt x="1467836" y="2106930"/>
                  </a:lnTo>
                  <a:cubicBezTo>
                    <a:pt x="1561981" y="2106930"/>
                    <a:pt x="1638300" y="2030611"/>
                    <a:pt x="1638300" y="1936466"/>
                  </a:cubicBezTo>
                  <a:lnTo>
                    <a:pt x="1638300" y="265714"/>
                  </a:lnTo>
                  <a:cubicBezTo>
                    <a:pt x="1638300" y="171569"/>
                    <a:pt x="1561981" y="95250"/>
                    <a:pt x="1467836" y="95250"/>
                  </a:cubicBezTo>
                  <a:close/>
                  <a:moveTo>
                    <a:pt x="188848" y="0"/>
                  </a:moveTo>
                  <a:lnTo>
                    <a:pt x="1533272" y="0"/>
                  </a:lnTo>
                  <a:cubicBezTo>
                    <a:pt x="1637570" y="0"/>
                    <a:pt x="1722120" y="84550"/>
                    <a:pt x="1722120" y="188848"/>
                  </a:cubicBezTo>
                  <a:lnTo>
                    <a:pt x="1722120" y="2013332"/>
                  </a:lnTo>
                  <a:cubicBezTo>
                    <a:pt x="1722120" y="2117630"/>
                    <a:pt x="1637570" y="2202180"/>
                    <a:pt x="1533272" y="2202180"/>
                  </a:cubicBezTo>
                  <a:lnTo>
                    <a:pt x="188848" y="2202180"/>
                  </a:lnTo>
                  <a:cubicBezTo>
                    <a:pt x="84550" y="2202180"/>
                    <a:pt x="0" y="2117630"/>
                    <a:pt x="0" y="2013332"/>
                  </a:cubicBezTo>
                  <a:lnTo>
                    <a:pt x="0" y="188848"/>
                  </a:lnTo>
                  <a:cubicBezTo>
                    <a:pt x="0" y="84550"/>
                    <a:pt x="84550" y="0"/>
                    <a:pt x="188848" y="0"/>
                  </a:cubicBezTo>
                  <a:close/>
                </a:path>
              </a:pathLst>
            </a:cu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485540</xdr:colOff>
      <xdr:row>6</xdr:row>
      <xdr:rowOff>155340</xdr:rowOff>
    </xdr:from>
    <xdr:to>
      <xdr:col>7</xdr:col>
      <xdr:colOff>223602</xdr:colOff>
      <xdr:row>8</xdr:row>
      <xdr:rowOff>156143</xdr:rowOff>
    </xdr:to>
    <xdr:sp macro="[0]!lanzamiento" textlink="">
      <xdr:nvSpPr>
        <xdr:cNvPr id="2" name="Rectángulo redondeado 2">
          <a:extLst>
            <a:ext uri="{FF2B5EF4-FFF2-40B4-BE49-F238E27FC236}">
              <a16:creationId xmlns:a16="http://schemas.microsoft.com/office/drawing/2014/main" id="{F9BCFE30-04AF-4FAA-BD31-AEAA6840D9C7}"/>
            </a:ext>
            <a:ext uri="{147F2762-F138-4A5C-976F-8EAC2B608ADB}">
              <a16:predDERef xmlns:a16="http://schemas.microsoft.com/office/drawing/2014/main" pred="{00000000-0008-0000-0400-000002000000}"/>
            </a:ext>
          </a:extLst>
        </xdr:cNvPr>
        <xdr:cNvSpPr/>
      </xdr:nvSpPr>
      <xdr:spPr>
        <a:xfrm>
          <a:off x="3131373" y="1431220"/>
          <a:ext cx="1722438" cy="365340"/>
        </a:xfrm>
        <a:prstGeom prst="roundRect">
          <a:avLst/>
        </a:prstGeom>
        <a:solidFill>
          <a:schemeClr val="bg1"/>
        </a:solidFill>
        <a:ln>
          <a:solidFill>
            <a:schemeClr val="accent6"/>
          </a:solidFill>
        </a:ln>
      </xdr:spPr>
      <xdr:style>
        <a:lnRef idx="0">
          <a:schemeClr val="accent1"/>
        </a:lnRef>
        <a:fillRef idx="3">
          <a:schemeClr val="accent1"/>
        </a:fillRef>
        <a:effectRef idx="3">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600" b="1" i="0" u="none" strike="noStrike">
              <a:solidFill>
                <a:srgbClr val="000000"/>
              </a:solidFill>
              <a:latin typeface="+mj-lt"/>
            </a:rPr>
            <a:t>Lanzar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581024</xdr:colOff>
      <xdr:row>9</xdr:row>
      <xdr:rowOff>195261</xdr:rowOff>
    </xdr:from>
    <xdr:to>
      <xdr:col>9</xdr:col>
      <xdr:colOff>433389</xdr:colOff>
      <xdr:row>11</xdr:row>
      <xdr:rowOff>157964</xdr:rowOff>
    </xdr:to>
    <xdr:sp macro="[0]!rollos" textlink="">
      <xdr:nvSpPr>
        <xdr:cNvPr id="3" name="Rectángulo redondeado 2">
          <a:extLst>
            <a:ext uri="{FF2B5EF4-FFF2-40B4-BE49-F238E27FC236}">
              <a16:creationId xmlns:a16="http://schemas.microsoft.com/office/drawing/2014/main" id="{F8CEF52C-1526-49AE-BB4A-9DA993A5E9A4}"/>
            </a:ext>
            <a:ext uri="{147F2762-F138-4A5C-976F-8EAC2B608ADB}">
              <a16:predDERef xmlns:a16="http://schemas.microsoft.com/office/drawing/2014/main" pred="{00000000-0008-0000-0400-000002000000}"/>
            </a:ext>
          </a:extLst>
        </xdr:cNvPr>
        <xdr:cNvSpPr/>
      </xdr:nvSpPr>
      <xdr:spPr>
        <a:xfrm>
          <a:off x="4891087" y="2195511"/>
          <a:ext cx="1724027" cy="362753"/>
        </a:xfrm>
        <a:prstGeom prst="roundRect">
          <a:avLst/>
        </a:prstGeom>
        <a:solidFill>
          <a:schemeClr val="bg1"/>
        </a:solidFill>
        <a:ln>
          <a:solidFill>
            <a:schemeClr val="accent6"/>
          </a:solidFill>
        </a:ln>
      </xdr:spPr>
      <xdr:style>
        <a:lnRef idx="0">
          <a:schemeClr val="accent1"/>
        </a:lnRef>
        <a:fillRef idx="3">
          <a:schemeClr val="accent1"/>
        </a:fillRef>
        <a:effectRef idx="3">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600" b="1" i="0" u="none" strike="noStrike">
              <a:solidFill>
                <a:srgbClr val="000000"/>
              </a:solidFill>
              <a:latin typeface="+mj-lt"/>
            </a:rPr>
            <a:t>Ejecutar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iandes-my.sharepoint.com/Users/ja.zambrano2210/Dropbox/SAD/SAD%202016-10/Examenes/Parcial%202/parcial%202/solucion%20jon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unto 1"/>
      <sheetName val="Punto 2"/>
      <sheetName val="Punto 3"/>
      <sheetName val="Punto 4"/>
      <sheetName val="Punto 5"/>
      <sheetName val="Punto 6"/>
      <sheetName val="Dato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767AE-FA1B-411B-B110-3C6E90CE274A}">
  <sheetPr codeName="Hoja01">
    <tabColor rgb="FFFF0000"/>
  </sheetPr>
  <dimension ref="A1:C22"/>
  <sheetViews>
    <sheetView workbookViewId="0">
      <selection activeCell="A17" sqref="A17"/>
    </sheetView>
  </sheetViews>
  <sheetFormatPr baseColWidth="10" defaultColWidth="11.42578125" defaultRowHeight="15"/>
  <cols>
    <col min="1" max="1" width="4.5703125" style="241" customWidth="1"/>
    <col min="2" max="2" width="11.42578125" style="241"/>
    <col min="3" max="3" width="166.85546875" style="241" customWidth="1"/>
    <col min="4" max="16384" width="11.42578125" style="241"/>
  </cols>
  <sheetData>
    <row r="1" spans="1:3">
      <c r="A1" s="274"/>
      <c r="B1" s="275"/>
      <c r="C1" s="240"/>
    </row>
    <row r="2" spans="1:3" ht="23.25">
      <c r="A2" s="242"/>
      <c r="B2" s="276" t="s">
        <v>0</v>
      </c>
      <c r="C2" s="277"/>
    </row>
    <row r="3" spans="1:3" ht="23.25">
      <c r="A3" s="243"/>
      <c r="B3" s="278" t="s">
        <v>1</v>
      </c>
      <c r="C3" s="279"/>
    </row>
    <row r="4" spans="1:3" ht="14.45" customHeight="1">
      <c r="A4" s="243"/>
      <c r="B4" s="244"/>
      <c r="C4" s="245"/>
    </row>
    <row r="5" spans="1:3" ht="15.75">
      <c r="A5" s="246" t="s">
        <v>2</v>
      </c>
      <c r="B5" s="266" t="s">
        <v>3</v>
      </c>
      <c r="C5" s="280"/>
    </row>
    <row r="6" spans="1:3" ht="15.75">
      <c r="A6" s="246" t="s">
        <v>2</v>
      </c>
      <c r="B6" s="266" t="s">
        <v>4</v>
      </c>
      <c r="C6" s="267"/>
    </row>
    <row r="7" spans="1:3" ht="15.75">
      <c r="A7" s="246" t="s">
        <v>2</v>
      </c>
      <c r="B7" s="272" t="s">
        <v>5</v>
      </c>
      <c r="C7" s="273"/>
    </row>
    <row r="8" spans="1:3" ht="15.6" customHeight="1">
      <c r="A8" s="246" t="s">
        <v>2</v>
      </c>
      <c r="B8" s="268" t="s">
        <v>6</v>
      </c>
      <c r="C8" s="269"/>
    </row>
    <row r="9" spans="1:3" ht="15.6" customHeight="1">
      <c r="A9" s="246" t="s">
        <v>2</v>
      </c>
      <c r="B9" s="266" t="s">
        <v>7</v>
      </c>
      <c r="C9" s="267"/>
    </row>
    <row r="10" spans="1:3" ht="14.45" customHeight="1">
      <c r="A10" s="246" t="s">
        <v>2</v>
      </c>
      <c r="B10" s="266" t="s">
        <v>8</v>
      </c>
      <c r="C10" s="267"/>
    </row>
    <row r="11" spans="1:3" ht="15.6" customHeight="1">
      <c r="A11" s="246" t="s">
        <v>2</v>
      </c>
      <c r="B11" s="266" t="s">
        <v>9</v>
      </c>
      <c r="C11" s="267"/>
    </row>
    <row r="12" spans="1:3" ht="14.45" customHeight="1">
      <c r="A12" s="246" t="s">
        <v>2</v>
      </c>
      <c r="B12" s="266" t="s">
        <v>10</v>
      </c>
      <c r="C12" s="267"/>
    </row>
    <row r="13" spans="1:3" ht="15.6" customHeight="1">
      <c r="A13" s="246" t="s">
        <v>2</v>
      </c>
      <c r="B13" s="270" t="s">
        <v>11</v>
      </c>
      <c r="C13" s="271"/>
    </row>
    <row r="14" spans="1:3" ht="15.6" customHeight="1">
      <c r="A14" s="246"/>
      <c r="B14" s="270"/>
      <c r="C14" s="271"/>
    </row>
    <row r="15" spans="1:3" ht="15.75">
      <c r="A15" s="246" t="s">
        <v>2</v>
      </c>
      <c r="B15" s="268" t="s">
        <v>12</v>
      </c>
      <c r="C15" s="269"/>
    </row>
    <row r="16" spans="1:3" ht="15.75" thickBot="1">
      <c r="A16" s="247"/>
      <c r="B16" s="248"/>
      <c r="C16" s="249"/>
    </row>
    <row r="17" spans="1:3" ht="15.75">
      <c r="A17" s="246"/>
      <c r="B17" s="250"/>
      <c r="C17" s="251"/>
    </row>
    <row r="18" spans="1:3" ht="12.95" customHeight="1">
      <c r="A18" s="252"/>
      <c r="B18" s="253"/>
      <c r="C18" s="253"/>
    </row>
    <row r="19" spans="1:3">
      <c r="A19" s="252"/>
      <c r="B19" s="254"/>
      <c r="C19" s="254"/>
    </row>
    <row r="20" spans="1:3">
      <c r="A20" s="255"/>
      <c r="B20" s="254"/>
      <c r="C20" s="254"/>
    </row>
    <row r="21" spans="1:3">
      <c r="A21" s="2"/>
      <c r="B21" s="1"/>
      <c r="C21" s="1"/>
    </row>
    <row r="22" spans="1:3">
      <c r="A22" s="255"/>
      <c r="B22" s="256"/>
      <c r="C22" s="256"/>
    </row>
  </sheetData>
  <mergeCells count="13">
    <mergeCell ref="B8:C8"/>
    <mergeCell ref="B9:C9"/>
    <mergeCell ref="B7:C7"/>
    <mergeCell ref="A1:B1"/>
    <mergeCell ref="B2:C2"/>
    <mergeCell ref="B3:C3"/>
    <mergeCell ref="B5:C5"/>
    <mergeCell ref="B6:C6"/>
    <mergeCell ref="B10:C10"/>
    <mergeCell ref="B11:C11"/>
    <mergeCell ref="B12:C12"/>
    <mergeCell ref="B15:C15"/>
    <mergeCell ref="B13:C1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59D25-242D-442B-8176-EBC027FD7CCF}">
  <sheetPr codeName="Hoja02"/>
  <dimension ref="B2:C20"/>
  <sheetViews>
    <sheetView workbookViewId="0">
      <selection activeCell="B2" sqref="B2"/>
    </sheetView>
  </sheetViews>
  <sheetFormatPr baseColWidth="10" defaultColWidth="11.42578125" defaultRowHeight="15"/>
  <cols>
    <col min="1" max="1" width="11.42578125" style="241"/>
    <col min="2" max="2" width="25" style="241" customWidth="1"/>
    <col min="3" max="3" width="73" style="241" customWidth="1"/>
    <col min="4" max="16384" width="11.42578125" style="241"/>
  </cols>
  <sheetData>
    <row r="2" spans="2:3">
      <c r="B2" s="258" t="s">
        <v>13</v>
      </c>
      <c r="C2" s="258" t="s">
        <v>14</v>
      </c>
    </row>
    <row r="3" spans="2:3" ht="35.1" customHeight="1">
      <c r="B3" s="257" t="s">
        <v>455</v>
      </c>
      <c r="C3" s="259" t="s">
        <v>15</v>
      </c>
    </row>
    <row r="4" spans="2:3" ht="35.1" customHeight="1">
      <c r="B4" s="257" t="s">
        <v>456</v>
      </c>
      <c r="C4" s="259" t="s">
        <v>16</v>
      </c>
    </row>
    <row r="5" spans="2:3" ht="35.1" customHeight="1">
      <c r="B5" s="257" t="s">
        <v>457</v>
      </c>
      <c r="C5" s="259" t="s">
        <v>17</v>
      </c>
    </row>
    <row r="6" spans="2:3" ht="35.1" customHeight="1">
      <c r="B6" s="257" t="s">
        <v>458</v>
      </c>
      <c r="C6" s="259" t="s">
        <v>18</v>
      </c>
    </row>
    <row r="7" spans="2:3" ht="35.1" customHeight="1">
      <c r="B7" s="257" t="s">
        <v>459</v>
      </c>
      <c r="C7" s="259" t="s">
        <v>19</v>
      </c>
    </row>
    <row r="8" spans="2:3" ht="35.1" customHeight="1">
      <c r="B8" s="257" t="s">
        <v>460</v>
      </c>
      <c r="C8" s="259" t="s">
        <v>20</v>
      </c>
    </row>
    <row r="9" spans="2:3" ht="35.1" customHeight="1">
      <c r="B9" s="257" t="s">
        <v>461</v>
      </c>
      <c r="C9" s="259" t="s">
        <v>21</v>
      </c>
    </row>
    <row r="10" spans="2:3" ht="35.1" customHeight="1">
      <c r="B10" s="257" t="s">
        <v>462</v>
      </c>
      <c r="C10" s="259" t="s">
        <v>22</v>
      </c>
    </row>
    <row r="11" spans="2:3" ht="35.1" customHeight="1">
      <c r="B11" s="257" t="s">
        <v>463</v>
      </c>
      <c r="C11" s="259" t="s">
        <v>23</v>
      </c>
    </row>
    <row r="12" spans="2:3" ht="35.1" customHeight="1">
      <c r="B12" s="257" t="s">
        <v>464</v>
      </c>
      <c r="C12" s="259" t="s">
        <v>24</v>
      </c>
    </row>
    <row r="13" spans="2:3" ht="35.1" customHeight="1">
      <c r="B13" s="257" t="s">
        <v>465</v>
      </c>
      <c r="C13" s="259" t="s">
        <v>25</v>
      </c>
    </row>
    <row r="14" spans="2:3" ht="35.1" customHeight="1"/>
    <row r="15" spans="2:3" ht="35.1" customHeight="1"/>
    <row r="16" spans="2:3" ht="35.1" customHeight="1"/>
    <row r="17" ht="35.1" customHeight="1"/>
    <row r="18" ht="35.1" customHeight="1"/>
    <row r="19" ht="35.1" customHeight="1"/>
    <row r="20" ht="35.1"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81E67-9827-4F7D-9DC3-F1AF545820DD}">
  <sheetPr codeName="Hoja03"/>
  <dimension ref="A1:AQ125"/>
  <sheetViews>
    <sheetView showGridLines="0" topLeftCell="B3" zoomScale="95" zoomScaleNormal="100" workbookViewId="0">
      <selection activeCell="D13" sqref="D13"/>
    </sheetView>
  </sheetViews>
  <sheetFormatPr baseColWidth="10" defaultColWidth="12.42578125" defaultRowHeight="15"/>
  <cols>
    <col min="1" max="1" width="6.42578125" style="118" customWidth="1"/>
    <col min="2" max="2" width="20.7109375" style="117" bestFit="1" customWidth="1"/>
    <col min="3" max="3" width="37.42578125" style="117" customWidth="1"/>
    <col min="4" max="5" width="34.85546875" style="117" bestFit="1" customWidth="1"/>
    <col min="6" max="16384" width="12.42578125" style="117"/>
  </cols>
  <sheetData>
    <row r="1" spans="1:43" s="118" customFormat="1" ht="15" customHeight="1">
      <c r="A1" s="126"/>
      <c r="B1" s="126"/>
    </row>
    <row r="2" spans="1:43" s="118" customFormat="1" ht="15" customHeight="1">
      <c r="A2" s="126"/>
      <c r="B2" s="107" t="s">
        <v>26</v>
      </c>
    </row>
    <row r="3" spans="1:43" ht="18.75" customHeight="1">
      <c r="B3" s="284" t="s">
        <v>466</v>
      </c>
      <c r="C3" s="284"/>
      <c r="D3" s="284"/>
      <c r="E3" s="284"/>
    </row>
    <row r="4" spans="1:43" ht="18.75" customHeight="1">
      <c r="B4" s="284"/>
      <c r="C4" s="284"/>
      <c r="D4" s="284"/>
      <c r="E4" s="284"/>
    </row>
    <row r="5" spans="1:43" ht="18.75" customHeight="1">
      <c r="B5" s="284"/>
      <c r="C5" s="284"/>
      <c r="D5" s="284"/>
      <c r="E5" s="284"/>
    </row>
    <row r="6" spans="1:43" ht="18.75" customHeight="1">
      <c r="B6" s="180"/>
      <c r="C6" s="181"/>
      <c r="D6" s="181"/>
      <c r="E6" s="181"/>
    </row>
    <row r="7" spans="1:43" ht="18.75" customHeight="1">
      <c r="B7" s="181"/>
      <c r="C7" s="181"/>
      <c r="D7" s="220" t="s">
        <v>27</v>
      </c>
      <c r="E7" s="220" t="s">
        <v>27</v>
      </c>
    </row>
    <row r="8" spans="1:43" s="118" customFormat="1" ht="15" customHeight="1">
      <c r="B8" s="95" t="s">
        <v>28</v>
      </c>
      <c r="C8" s="185" t="s">
        <v>30</v>
      </c>
      <c r="D8" s="185" t="s">
        <v>29</v>
      </c>
      <c r="E8" s="185" t="s">
        <v>30</v>
      </c>
    </row>
    <row r="9" spans="1:43" s="118" customFormat="1">
      <c r="B9" s="95" t="s">
        <v>31</v>
      </c>
      <c r="C9" s="125" t="s">
        <v>32</v>
      </c>
      <c r="D9" s="185" t="s">
        <v>32</v>
      </c>
      <c r="E9" s="185" t="s">
        <v>33</v>
      </c>
      <c r="G9" s="117"/>
      <c r="H9" s="117"/>
      <c r="I9" s="117"/>
      <c r="J9" s="117"/>
      <c r="K9" s="117"/>
      <c r="L9" s="117"/>
      <c r="P9" s="117"/>
      <c r="Q9" s="117"/>
      <c r="R9" s="117"/>
      <c r="S9" s="117"/>
      <c r="T9" s="117"/>
      <c r="U9" s="117"/>
      <c r="V9" s="117"/>
      <c r="W9" s="117"/>
      <c r="X9" s="117"/>
      <c r="Y9" s="117"/>
      <c r="Z9" s="117"/>
      <c r="AA9" s="117"/>
      <c r="AB9" s="117"/>
      <c r="AC9" s="117"/>
      <c r="AD9" s="117"/>
      <c r="AE9" s="117"/>
      <c r="AF9" s="117"/>
      <c r="AG9" s="117"/>
      <c r="AH9" s="117"/>
      <c r="AI9" s="117"/>
      <c r="AJ9" s="117"/>
      <c r="AK9" s="117"/>
      <c r="AL9" s="117"/>
      <c r="AM9" s="117"/>
      <c r="AN9" s="117"/>
      <c r="AO9" s="117"/>
      <c r="AP9" s="117"/>
      <c r="AQ9" s="117"/>
    </row>
    <row r="10" spans="1:43">
      <c r="C10" s="117" t="s">
        <v>33</v>
      </c>
    </row>
    <row r="14" spans="1:43" ht="15.75" thickBot="1"/>
    <row r="15" spans="1:43" ht="15.75" thickBot="1">
      <c r="B15" s="281" t="s">
        <v>34</v>
      </c>
      <c r="C15" s="282"/>
      <c r="D15" s="282"/>
      <c r="E15" s="283"/>
    </row>
    <row r="16" spans="1:43">
      <c r="B16" s="182" t="s">
        <v>35</v>
      </c>
      <c r="C16" s="183" t="s">
        <v>36</v>
      </c>
      <c r="D16" s="183" t="s">
        <v>37</v>
      </c>
      <c r="E16" s="184" t="s">
        <v>38</v>
      </c>
    </row>
    <row r="17" spans="2:5">
      <c r="B17" s="124" t="s">
        <v>39</v>
      </c>
      <c r="C17" s="123" t="s">
        <v>40</v>
      </c>
      <c r="D17" s="123" t="s">
        <v>41</v>
      </c>
      <c r="E17" s="122" t="s">
        <v>29</v>
      </c>
    </row>
    <row r="18" spans="2:5">
      <c r="B18" s="124" t="s">
        <v>42</v>
      </c>
      <c r="C18" s="123" t="s">
        <v>40</v>
      </c>
      <c r="D18" s="123" t="s">
        <v>41</v>
      </c>
      <c r="E18" s="122" t="s">
        <v>29</v>
      </c>
    </row>
    <row r="19" spans="2:5">
      <c r="B19" s="124" t="s">
        <v>43</v>
      </c>
      <c r="C19" s="123" t="s">
        <v>40</v>
      </c>
      <c r="D19" s="123" t="s">
        <v>41</v>
      </c>
      <c r="E19" s="122" t="s">
        <v>29</v>
      </c>
    </row>
    <row r="20" spans="2:5">
      <c r="B20" s="124" t="s">
        <v>44</v>
      </c>
      <c r="C20" s="123" t="s">
        <v>40</v>
      </c>
      <c r="D20" s="123" t="s">
        <v>41</v>
      </c>
      <c r="E20" s="122" t="s">
        <v>29</v>
      </c>
    </row>
    <row r="21" spans="2:5">
      <c r="B21" s="124" t="s">
        <v>45</v>
      </c>
      <c r="C21" s="123" t="s">
        <v>46</v>
      </c>
      <c r="D21" s="123" t="s">
        <v>47</v>
      </c>
      <c r="E21" s="122" t="s">
        <v>48</v>
      </c>
    </row>
    <row r="22" spans="2:5">
      <c r="B22" s="124" t="s">
        <v>49</v>
      </c>
      <c r="C22" s="123" t="s">
        <v>50</v>
      </c>
      <c r="D22" s="123" t="s">
        <v>47</v>
      </c>
      <c r="E22" s="122" t="s">
        <v>48</v>
      </c>
    </row>
    <row r="23" spans="2:5">
      <c r="B23" s="124" t="s">
        <v>51</v>
      </c>
      <c r="C23" s="123" t="s">
        <v>40</v>
      </c>
      <c r="D23" s="123" t="s">
        <v>41</v>
      </c>
      <c r="E23" s="122" t="s">
        <v>29</v>
      </c>
    </row>
    <row r="24" spans="2:5">
      <c r="B24" s="124" t="s">
        <v>52</v>
      </c>
      <c r="C24" s="123" t="s">
        <v>40</v>
      </c>
      <c r="D24" s="123" t="s">
        <v>41</v>
      </c>
      <c r="E24" s="122" t="s">
        <v>29</v>
      </c>
    </row>
    <row r="25" spans="2:5">
      <c r="B25" s="124" t="s">
        <v>53</v>
      </c>
      <c r="C25" s="123" t="s">
        <v>54</v>
      </c>
      <c r="D25" s="123" t="s">
        <v>54</v>
      </c>
      <c r="E25" s="122" t="s">
        <v>29</v>
      </c>
    </row>
    <row r="26" spans="2:5">
      <c r="B26" s="124" t="s">
        <v>55</v>
      </c>
      <c r="C26" s="123" t="s">
        <v>40</v>
      </c>
      <c r="D26" s="123" t="s">
        <v>41</v>
      </c>
      <c r="E26" s="122" t="s">
        <v>29</v>
      </c>
    </row>
    <row r="27" spans="2:5">
      <c r="B27" s="124" t="s">
        <v>56</v>
      </c>
      <c r="C27" s="123" t="s">
        <v>40</v>
      </c>
      <c r="D27" s="123" t="s">
        <v>41</v>
      </c>
      <c r="E27" s="122" t="s">
        <v>29</v>
      </c>
    </row>
    <row r="28" spans="2:5">
      <c r="B28" s="124" t="s">
        <v>57</v>
      </c>
      <c r="C28" s="123" t="s">
        <v>46</v>
      </c>
      <c r="D28" s="123" t="s">
        <v>47</v>
      </c>
      <c r="E28" s="122" t="s">
        <v>48</v>
      </c>
    </row>
    <row r="29" spans="2:5">
      <c r="B29" s="124" t="s">
        <v>58</v>
      </c>
      <c r="C29" s="123" t="s">
        <v>50</v>
      </c>
      <c r="D29" s="123" t="s">
        <v>47</v>
      </c>
      <c r="E29" s="122" t="s">
        <v>48</v>
      </c>
    </row>
    <row r="30" spans="2:5">
      <c r="B30" s="124" t="s">
        <v>59</v>
      </c>
      <c r="C30" s="123" t="s">
        <v>40</v>
      </c>
      <c r="D30" s="123" t="s">
        <v>41</v>
      </c>
      <c r="E30" s="122" t="s">
        <v>29</v>
      </c>
    </row>
    <row r="31" spans="2:5">
      <c r="B31" s="124" t="s">
        <v>60</v>
      </c>
      <c r="C31" s="123" t="s">
        <v>40</v>
      </c>
      <c r="D31" s="123" t="s">
        <v>41</v>
      </c>
      <c r="E31" s="122" t="s">
        <v>29</v>
      </c>
    </row>
    <row r="32" spans="2:5">
      <c r="B32" s="124" t="s">
        <v>61</v>
      </c>
      <c r="C32" s="123" t="s">
        <v>40</v>
      </c>
      <c r="D32" s="123" t="s">
        <v>41</v>
      </c>
      <c r="E32" s="122" t="s">
        <v>29</v>
      </c>
    </row>
    <row r="33" spans="2:5">
      <c r="B33" s="124" t="s">
        <v>62</v>
      </c>
      <c r="C33" s="123" t="s">
        <v>40</v>
      </c>
      <c r="D33" s="123" t="s">
        <v>41</v>
      </c>
      <c r="E33" s="122" t="s">
        <v>29</v>
      </c>
    </row>
    <row r="34" spans="2:5">
      <c r="B34" s="124" t="s">
        <v>63</v>
      </c>
      <c r="C34" s="123" t="s">
        <v>40</v>
      </c>
      <c r="D34" s="123" t="s">
        <v>41</v>
      </c>
      <c r="E34" s="122" t="s">
        <v>29</v>
      </c>
    </row>
    <row r="35" spans="2:5">
      <c r="B35" s="124" t="s">
        <v>64</v>
      </c>
      <c r="C35" s="123" t="s">
        <v>46</v>
      </c>
      <c r="D35" s="123" t="s">
        <v>47</v>
      </c>
      <c r="E35" s="122" t="s">
        <v>48</v>
      </c>
    </row>
    <row r="36" spans="2:5">
      <c r="B36" s="124" t="s">
        <v>65</v>
      </c>
      <c r="C36" s="123" t="s">
        <v>50</v>
      </c>
      <c r="D36" s="123" t="s">
        <v>47</v>
      </c>
      <c r="E36" s="122" t="s">
        <v>48</v>
      </c>
    </row>
    <row r="37" spans="2:5">
      <c r="B37" s="124" t="s">
        <v>66</v>
      </c>
      <c r="C37" s="123" t="s">
        <v>40</v>
      </c>
      <c r="D37" s="123" t="s">
        <v>41</v>
      </c>
      <c r="E37" s="122" t="s">
        <v>29</v>
      </c>
    </row>
    <row r="38" spans="2:5">
      <c r="B38" s="124" t="s">
        <v>67</v>
      </c>
      <c r="C38" s="123" t="s">
        <v>40</v>
      </c>
      <c r="D38" s="123" t="s">
        <v>41</v>
      </c>
      <c r="E38" s="122" t="s">
        <v>29</v>
      </c>
    </row>
    <row r="39" spans="2:5">
      <c r="B39" s="124" t="s">
        <v>68</v>
      </c>
      <c r="C39" s="123" t="s">
        <v>40</v>
      </c>
      <c r="D39" s="123" t="s">
        <v>41</v>
      </c>
      <c r="E39" s="122" t="s">
        <v>29</v>
      </c>
    </row>
    <row r="40" spans="2:5">
      <c r="B40" s="124" t="s">
        <v>69</v>
      </c>
      <c r="C40" s="123" t="s">
        <v>40</v>
      </c>
      <c r="D40" s="123" t="s">
        <v>41</v>
      </c>
      <c r="E40" s="122" t="s">
        <v>29</v>
      </c>
    </row>
    <row r="41" spans="2:5">
      <c r="B41" s="124" t="s">
        <v>70</v>
      </c>
      <c r="C41" s="123" t="s">
        <v>40</v>
      </c>
      <c r="D41" s="123" t="s">
        <v>41</v>
      </c>
      <c r="E41" s="122" t="s">
        <v>29</v>
      </c>
    </row>
    <row r="42" spans="2:5">
      <c r="B42" s="124" t="s">
        <v>71</v>
      </c>
      <c r="C42" s="123" t="s">
        <v>46</v>
      </c>
      <c r="D42" s="123" t="s">
        <v>47</v>
      </c>
      <c r="E42" s="122" t="s">
        <v>48</v>
      </c>
    </row>
    <row r="43" spans="2:5">
      <c r="B43" s="124" t="s">
        <v>72</v>
      </c>
      <c r="C43" s="123" t="s">
        <v>50</v>
      </c>
      <c r="D43" s="123" t="s">
        <v>47</v>
      </c>
      <c r="E43" s="122" t="s">
        <v>48</v>
      </c>
    </row>
    <row r="44" spans="2:5">
      <c r="B44" s="124" t="s">
        <v>73</v>
      </c>
      <c r="C44" s="123" t="s">
        <v>30</v>
      </c>
      <c r="D44" s="123" t="s">
        <v>41</v>
      </c>
      <c r="E44" s="122" t="s">
        <v>29</v>
      </c>
    </row>
    <row r="45" spans="2:5">
      <c r="B45" s="124" t="s">
        <v>74</v>
      </c>
      <c r="C45" s="123" t="s">
        <v>30</v>
      </c>
      <c r="D45" s="123" t="s">
        <v>41</v>
      </c>
      <c r="E45" s="122" t="s">
        <v>29</v>
      </c>
    </row>
    <row r="46" spans="2:5">
      <c r="B46" s="124" t="s">
        <v>32</v>
      </c>
      <c r="C46" s="123" t="s">
        <v>30</v>
      </c>
      <c r="D46" s="123" t="s">
        <v>41</v>
      </c>
      <c r="E46" s="122" t="s">
        <v>29</v>
      </c>
    </row>
    <row r="47" spans="2:5">
      <c r="B47" s="124" t="s">
        <v>75</v>
      </c>
      <c r="C47" s="123" t="s">
        <v>30</v>
      </c>
      <c r="D47" s="123" t="s">
        <v>76</v>
      </c>
      <c r="E47" s="122" t="s">
        <v>41</v>
      </c>
    </row>
    <row r="48" spans="2:5">
      <c r="B48" s="124" t="s">
        <v>77</v>
      </c>
      <c r="C48" s="123" t="s">
        <v>30</v>
      </c>
      <c r="D48" s="123" t="s">
        <v>76</v>
      </c>
      <c r="E48" s="122" t="s">
        <v>41</v>
      </c>
    </row>
    <row r="49" spans="2:5">
      <c r="B49" s="124" t="s">
        <v>78</v>
      </c>
      <c r="C49" s="123" t="s">
        <v>46</v>
      </c>
      <c r="D49" s="123" t="s">
        <v>47</v>
      </c>
      <c r="E49" s="122" t="s">
        <v>48</v>
      </c>
    </row>
    <row r="50" spans="2:5" ht="15" customHeight="1">
      <c r="B50" s="124" t="s">
        <v>79</v>
      </c>
      <c r="C50" s="123" t="s">
        <v>50</v>
      </c>
      <c r="D50" s="123" t="s">
        <v>47</v>
      </c>
      <c r="E50" s="122" t="s">
        <v>48</v>
      </c>
    </row>
    <row r="51" spans="2:5" ht="15" customHeight="1">
      <c r="B51" s="124" t="s">
        <v>80</v>
      </c>
      <c r="C51" s="123" t="s">
        <v>30</v>
      </c>
      <c r="D51" s="123" t="s">
        <v>76</v>
      </c>
      <c r="E51" s="122" t="s">
        <v>41</v>
      </c>
    </row>
    <row r="52" spans="2:5" ht="15" customHeight="1">
      <c r="B52" s="124" t="s">
        <v>81</v>
      </c>
      <c r="C52" s="123" t="s">
        <v>30</v>
      </c>
      <c r="D52" s="123" t="s">
        <v>76</v>
      </c>
      <c r="E52" s="122" t="s">
        <v>41</v>
      </c>
    </row>
    <row r="53" spans="2:5" ht="15" customHeight="1">
      <c r="B53" s="124" t="s">
        <v>82</v>
      </c>
      <c r="C53" s="123" t="s">
        <v>30</v>
      </c>
      <c r="D53" s="123" t="s">
        <v>76</v>
      </c>
      <c r="E53" s="122" t="s">
        <v>41</v>
      </c>
    </row>
    <row r="54" spans="2:5" ht="15" customHeight="1">
      <c r="B54" s="124" t="s">
        <v>83</v>
      </c>
      <c r="C54" s="123" t="s">
        <v>30</v>
      </c>
      <c r="D54" s="123" t="s">
        <v>76</v>
      </c>
      <c r="E54" s="122" t="s">
        <v>41</v>
      </c>
    </row>
    <row r="55" spans="2:5" ht="15" customHeight="1">
      <c r="B55" s="124" t="s">
        <v>84</v>
      </c>
      <c r="C55" s="123" t="s">
        <v>30</v>
      </c>
      <c r="D55" s="123" t="s">
        <v>76</v>
      </c>
      <c r="E55" s="122" t="s">
        <v>41</v>
      </c>
    </row>
    <row r="56" spans="2:5" ht="15" customHeight="1">
      <c r="B56" s="124" t="s">
        <v>85</v>
      </c>
      <c r="C56" s="123" t="s">
        <v>46</v>
      </c>
      <c r="D56" s="123" t="s">
        <v>47</v>
      </c>
      <c r="E56" s="122" t="s">
        <v>48</v>
      </c>
    </row>
    <row r="57" spans="2:5" ht="15" customHeight="1">
      <c r="B57" s="124" t="s">
        <v>86</v>
      </c>
      <c r="C57" s="123" t="s">
        <v>50</v>
      </c>
      <c r="D57" s="123" t="s">
        <v>47</v>
      </c>
      <c r="E57" s="122" t="s">
        <v>48</v>
      </c>
    </row>
    <row r="58" spans="2:5" ht="15" customHeight="1">
      <c r="B58" s="124" t="s">
        <v>87</v>
      </c>
      <c r="C58" s="123" t="s">
        <v>30</v>
      </c>
      <c r="D58" s="123" t="s">
        <v>76</v>
      </c>
      <c r="E58" s="122" t="s">
        <v>41</v>
      </c>
    </row>
    <row r="59" spans="2:5" ht="15" customHeight="1">
      <c r="B59" s="124" t="s">
        <v>88</v>
      </c>
      <c r="C59" s="123" t="s">
        <v>30</v>
      </c>
      <c r="D59" s="123" t="s">
        <v>76</v>
      </c>
      <c r="E59" s="122" t="s">
        <v>41</v>
      </c>
    </row>
    <row r="60" spans="2:5" ht="15" customHeight="1">
      <c r="B60" s="124" t="s">
        <v>89</v>
      </c>
      <c r="C60" s="123" t="s">
        <v>30</v>
      </c>
      <c r="D60" s="123" t="s">
        <v>76</v>
      </c>
      <c r="E60" s="122" t="s">
        <v>41</v>
      </c>
    </row>
    <row r="61" spans="2:5">
      <c r="B61" s="124" t="s">
        <v>90</v>
      </c>
      <c r="C61" s="123" t="s">
        <v>54</v>
      </c>
      <c r="D61" s="123" t="s">
        <v>54</v>
      </c>
      <c r="E61" s="122" t="s">
        <v>41</v>
      </c>
    </row>
    <row r="62" spans="2:5">
      <c r="B62" s="124" t="s">
        <v>91</v>
      </c>
      <c r="C62" s="123" t="s">
        <v>30</v>
      </c>
      <c r="D62" s="123" t="s">
        <v>76</v>
      </c>
      <c r="E62" s="122" t="s">
        <v>41</v>
      </c>
    </row>
    <row r="63" spans="2:5">
      <c r="B63" s="124" t="s">
        <v>92</v>
      </c>
      <c r="C63" s="123" t="s">
        <v>46</v>
      </c>
      <c r="D63" s="123" t="s">
        <v>47</v>
      </c>
      <c r="E63" s="122" t="s">
        <v>48</v>
      </c>
    </row>
    <row r="64" spans="2:5">
      <c r="B64" s="124" t="s">
        <v>93</v>
      </c>
      <c r="C64" s="123" t="s">
        <v>50</v>
      </c>
      <c r="D64" s="123" t="s">
        <v>47</v>
      </c>
      <c r="E64" s="122" t="s">
        <v>48</v>
      </c>
    </row>
    <row r="65" spans="2:5">
      <c r="B65" s="124" t="s">
        <v>94</v>
      </c>
      <c r="C65" s="123" t="s">
        <v>30</v>
      </c>
      <c r="D65" s="123" t="s">
        <v>76</v>
      </c>
      <c r="E65" s="122" t="s">
        <v>41</v>
      </c>
    </row>
    <row r="66" spans="2:5">
      <c r="B66" s="124" t="s">
        <v>95</v>
      </c>
      <c r="C66" s="123" t="s">
        <v>30</v>
      </c>
      <c r="D66" s="123" t="s">
        <v>76</v>
      </c>
      <c r="E66" s="122" t="s">
        <v>41</v>
      </c>
    </row>
    <row r="67" spans="2:5">
      <c r="B67" s="124" t="s">
        <v>96</v>
      </c>
      <c r="C67" s="123" t="s">
        <v>30</v>
      </c>
      <c r="D67" s="123" t="s">
        <v>76</v>
      </c>
      <c r="E67" s="122" t="s">
        <v>41</v>
      </c>
    </row>
    <row r="68" spans="2:5">
      <c r="B68" s="124" t="s">
        <v>97</v>
      </c>
      <c r="C68" s="123" t="s">
        <v>30</v>
      </c>
      <c r="D68" s="123" t="s">
        <v>76</v>
      </c>
      <c r="E68" s="122" t="s">
        <v>41</v>
      </c>
    </row>
    <row r="69" spans="2:5">
      <c r="B69" s="124" t="s">
        <v>98</v>
      </c>
      <c r="C69" s="123" t="s">
        <v>30</v>
      </c>
      <c r="D69" s="123" t="s">
        <v>76</v>
      </c>
      <c r="E69" s="122" t="s">
        <v>41</v>
      </c>
    </row>
    <row r="70" spans="2:5">
      <c r="B70" s="124" t="s">
        <v>99</v>
      </c>
      <c r="C70" s="123" t="s">
        <v>46</v>
      </c>
      <c r="D70" s="123" t="s">
        <v>47</v>
      </c>
      <c r="E70" s="122" t="s">
        <v>48</v>
      </c>
    </row>
    <row r="71" spans="2:5">
      <c r="B71" s="124" t="s">
        <v>100</v>
      </c>
      <c r="C71" s="123" t="s">
        <v>50</v>
      </c>
      <c r="D71" s="123" t="s">
        <v>47</v>
      </c>
      <c r="E71" s="122" t="s">
        <v>48</v>
      </c>
    </row>
    <row r="72" spans="2:5">
      <c r="B72" s="124" t="s">
        <v>101</v>
      </c>
      <c r="C72" s="123" t="s">
        <v>30</v>
      </c>
      <c r="D72" s="123" t="s">
        <v>76</v>
      </c>
      <c r="E72" s="122" t="s">
        <v>41</v>
      </c>
    </row>
    <row r="73" spans="2:5">
      <c r="B73" s="124" t="s">
        <v>102</v>
      </c>
      <c r="C73" s="123" t="s">
        <v>30</v>
      </c>
      <c r="D73" s="123" t="s">
        <v>76</v>
      </c>
      <c r="E73" s="122" t="s">
        <v>41</v>
      </c>
    </row>
    <row r="74" spans="2:5">
      <c r="B74" s="124" t="s">
        <v>103</v>
      </c>
      <c r="C74" s="123" t="s">
        <v>30</v>
      </c>
      <c r="D74" s="123" t="s">
        <v>76</v>
      </c>
      <c r="E74" s="122" t="s">
        <v>41</v>
      </c>
    </row>
    <row r="75" spans="2:5">
      <c r="B75" s="124" t="s">
        <v>104</v>
      </c>
      <c r="C75" s="123" t="s">
        <v>30</v>
      </c>
      <c r="D75" s="123" t="s">
        <v>76</v>
      </c>
      <c r="E75" s="122" t="s">
        <v>41</v>
      </c>
    </row>
    <row r="76" spans="2:5">
      <c r="B76" s="124" t="s">
        <v>105</v>
      </c>
      <c r="C76" s="123" t="s">
        <v>30</v>
      </c>
      <c r="D76" s="123" t="s">
        <v>76</v>
      </c>
      <c r="E76" s="122" t="s">
        <v>41</v>
      </c>
    </row>
    <row r="77" spans="2:5">
      <c r="B77" s="124" t="s">
        <v>106</v>
      </c>
      <c r="C77" s="123" t="s">
        <v>46</v>
      </c>
      <c r="D77" s="123" t="s">
        <v>47</v>
      </c>
      <c r="E77" s="122" t="s">
        <v>48</v>
      </c>
    </row>
    <row r="78" spans="2:5">
      <c r="B78" s="124" t="s">
        <v>107</v>
      </c>
      <c r="C78" s="123" t="s">
        <v>50</v>
      </c>
      <c r="D78" s="123" t="s">
        <v>47</v>
      </c>
      <c r="E78" s="122" t="s">
        <v>48</v>
      </c>
    </row>
    <row r="79" spans="2:5">
      <c r="B79" s="124" t="s">
        <v>108</v>
      </c>
      <c r="C79" s="123" t="s">
        <v>30</v>
      </c>
      <c r="D79" s="123" t="s">
        <v>76</v>
      </c>
      <c r="E79" s="122" t="s">
        <v>41</v>
      </c>
    </row>
    <row r="80" spans="2:5">
      <c r="B80" s="124" t="s">
        <v>109</v>
      </c>
      <c r="C80" s="123" t="s">
        <v>30</v>
      </c>
      <c r="D80" s="123" t="s">
        <v>76</v>
      </c>
      <c r="E80" s="122" t="s">
        <v>41</v>
      </c>
    </row>
    <row r="81" spans="2:5">
      <c r="B81" s="124" t="s">
        <v>110</v>
      </c>
      <c r="C81" s="123" t="s">
        <v>30</v>
      </c>
      <c r="D81" s="123" t="s">
        <v>54</v>
      </c>
      <c r="E81" s="122" t="s">
        <v>54</v>
      </c>
    </row>
    <row r="82" spans="2:5">
      <c r="B82" s="124" t="s">
        <v>111</v>
      </c>
      <c r="C82" s="123" t="s">
        <v>30</v>
      </c>
      <c r="D82" s="123" t="s">
        <v>76</v>
      </c>
      <c r="E82" s="122" t="s">
        <v>41</v>
      </c>
    </row>
    <row r="83" spans="2:5">
      <c r="B83" s="124" t="s">
        <v>112</v>
      </c>
      <c r="C83" s="123" t="s">
        <v>30</v>
      </c>
      <c r="D83" s="123" t="s">
        <v>76</v>
      </c>
      <c r="E83" s="122" t="s">
        <v>41</v>
      </c>
    </row>
    <row r="84" spans="2:5">
      <c r="B84" s="124" t="s">
        <v>113</v>
      </c>
      <c r="C84" s="123" t="s">
        <v>46</v>
      </c>
      <c r="D84" s="123" t="s">
        <v>47</v>
      </c>
      <c r="E84" s="122" t="s">
        <v>48</v>
      </c>
    </row>
    <row r="85" spans="2:5">
      <c r="B85" s="124" t="s">
        <v>114</v>
      </c>
      <c r="C85" s="123" t="s">
        <v>50</v>
      </c>
      <c r="D85" s="123" t="s">
        <v>47</v>
      </c>
      <c r="E85" s="122" t="s">
        <v>48</v>
      </c>
    </row>
    <row r="86" spans="2:5">
      <c r="B86" s="124" t="s">
        <v>115</v>
      </c>
      <c r="C86" s="123" t="s">
        <v>30</v>
      </c>
      <c r="D86" s="123" t="s">
        <v>76</v>
      </c>
      <c r="E86" s="122" t="s">
        <v>41</v>
      </c>
    </row>
    <row r="87" spans="2:5">
      <c r="B87" s="124" t="s">
        <v>116</v>
      </c>
      <c r="C87" s="123" t="s">
        <v>30</v>
      </c>
      <c r="D87" s="123" t="s">
        <v>76</v>
      </c>
      <c r="E87" s="122" t="s">
        <v>41</v>
      </c>
    </row>
    <row r="88" spans="2:5">
      <c r="B88" s="124" t="s">
        <v>117</v>
      </c>
      <c r="C88" s="123" t="s">
        <v>30</v>
      </c>
      <c r="D88" s="123" t="s">
        <v>76</v>
      </c>
      <c r="E88" s="122" t="s">
        <v>41</v>
      </c>
    </row>
    <row r="89" spans="2:5">
      <c r="B89" s="124" t="s">
        <v>118</v>
      </c>
      <c r="C89" s="123" t="s">
        <v>30</v>
      </c>
      <c r="D89" s="123" t="s">
        <v>76</v>
      </c>
      <c r="E89" s="122" t="s">
        <v>41</v>
      </c>
    </row>
    <row r="90" spans="2:5">
      <c r="B90" s="124" t="s">
        <v>119</v>
      </c>
      <c r="C90" s="123" t="s">
        <v>30</v>
      </c>
      <c r="D90" s="123" t="s">
        <v>76</v>
      </c>
      <c r="E90" s="122" t="s">
        <v>41</v>
      </c>
    </row>
    <row r="91" spans="2:5">
      <c r="B91" s="124" t="s">
        <v>120</v>
      </c>
      <c r="C91" s="123" t="s">
        <v>46</v>
      </c>
      <c r="D91" s="123" t="s">
        <v>47</v>
      </c>
      <c r="E91" s="122" t="s">
        <v>48</v>
      </c>
    </row>
    <row r="92" spans="2:5">
      <c r="B92" s="124" t="s">
        <v>121</v>
      </c>
      <c r="C92" s="123" t="s">
        <v>50</v>
      </c>
      <c r="D92" s="123" t="s">
        <v>47</v>
      </c>
      <c r="E92" s="122" t="s">
        <v>48</v>
      </c>
    </row>
    <row r="93" spans="2:5">
      <c r="B93" s="124" t="s">
        <v>122</v>
      </c>
      <c r="C93" s="123" t="s">
        <v>30</v>
      </c>
      <c r="D93" s="123" t="s">
        <v>76</v>
      </c>
      <c r="E93" s="122" t="s">
        <v>41</v>
      </c>
    </row>
    <row r="94" spans="2:5">
      <c r="B94" s="124" t="s">
        <v>123</v>
      </c>
      <c r="C94" s="123" t="s">
        <v>30</v>
      </c>
      <c r="D94" s="123" t="s">
        <v>76</v>
      </c>
      <c r="E94" s="122" t="s">
        <v>41</v>
      </c>
    </row>
    <row r="95" spans="2:5">
      <c r="B95" s="124" t="s">
        <v>124</v>
      </c>
      <c r="C95" s="123" t="s">
        <v>30</v>
      </c>
      <c r="D95" s="123" t="s">
        <v>76</v>
      </c>
      <c r="E95" s="122" t="s">
        <v>41</v>
      </c>
    </row>
    <row r="96" spans="2:5">
      <c r="B96" s="124" t="s">
        <v>125</v>
      </c>
      <c r="C96" s="123" t="s">
        <v>30</v>
      </c>
      <c r="D96" s="123" t="s">
        <v>76</v>
      </c>
      <c r="E96" s="122" t="s">
        <v>41</v>
      </c>
    </row>
    <row r="97" spans="2:5">
      <c r="B97" s="124" t="s">
        <v>126</v>
      </c>
      <c r="C97" s="123" t="s">
        <v>30</v>
      </c>
      <c r="D97" s="123" t="s">
        <v>76</v>
      </c>
      <c r="E97" s="122" t="s">
        <v>41</v>
      </c>
    </row>
    <row r="98" spans="2:5">
      <c r="B98" s="124" t="s">
        <v>127</v>
      </c>
      <c r="C98" s="123" t="s">
        <v>46</v>
      </c>
      <c r="D98" s="123" t="s">
        <v>47</v>
      </c>
      <c r="E98" s="122" t="s">
        <v>48</v>
      </c>
    </row>
    <row r="99" spans="2:5">
      <c r="B99" s="124" t="s">
        <v>128</v>
      </c>
      <c r="C99" s="123" t="s">
        <v>50</v>
      </c>
      <c r="D99" s="123" t="s">
        <v>47</v>
      </c>
      <c r="E99" s="122" t="s">
        <v>48</v>
      </c>
    </row>
    <row r="100" spans="2:5">
      <c r="B100" s="124" t="s">
        <v>129</v>
      </c>
      <c r="C100" s="123" t="s">
        <v>30</v>
      </c>
      <c r="D100" s="123" t="s">
        <v>76</v>
      </c>
      <c r="E100" s="122" t="s">
        <v>41</v>
      </c>
    </row>
    <row r="101" spans="2:5">
      <c r="B101" s="124" t="s">
        <v>130</v>
      </c>
      <c r="C101" s="123" t="s">
        <v>30</v>
      </c>
      <c r="D101" s="123" t="s">
        <v>76</v>
      </c>
      <c r="E101" s="122" t="s">
        <v>41</v>
      </c>
    </row>
    <row r="102" spans="2:5">
      <c r="B102" s="124" t="s">
        <v>131</v>
      </c>
      <c r="C102" s="123" t="s">
        <v>30</v>
      </c>
      <c r="D102" s="123" t="s">
        <v>76</v>
      </c>
      <c r="E102" s="122" t="s">
        <v>41</v>
      </c>
    </row>
    <row r="103" spans="2:5">
      <c r="B103" s="124" t="s">
        <v>132</v>
      </c>
      <c r="C103" s="123" t="s">
        <v>30</v>
      </c>
      <c r="D103" s="123" t="s">
        <v>76</v>
      </c>
      <c r="E103" s="122" t="s">
        <v>41</v>
      </c>
    </row>
    <row r="104" spans="2:5">
      <c r="B104" s="124" t="s">
        <v>133</v>
      </c>
      <c r="C104" s="123" t="s">
        <v>30</v>
      </c>
      <c r="D104" s="123" t="s">
        <v>76</v>
      </c>
      <c r="E104" s="122" t="s">
        <v>41</v>
      </c>
    </row>
    <row r="105" spans="2:5">
      <c r="B105" s="124" t="s">
        <v>134</v>
      </c>
      <c r="C105" s="123" t="s">
        <v>46</v>
      </c>
      <c r="D105" s="123" t="s">
        <v>47</v>
      </c>
      <c r="E105" s="122" t="s">
        <v>48</v>
      </c>
    </row>
    <row r="106" spans="2:5">
      <c r="B106" s="124" t="s">
        <v>135</v>
      </c>
      <c r="C106" s="123" t="s">
        <v>50</v>
      </c>
      <c r="D106" s="123" t="s">
        <v>47</v>
      </c>
      <c r="E106" s="122" t="s">
        <v>48</v>
      </c>
    </row>
    <row r="107" spans="2:5">
      <c r="B107" s="124" t="s">
        <v>136</v>
      </c>
      <c r="C107" s="123" t="s">
        <v>30</v>
      </c>
      <c r="D107" s="123" t="s">
        <v>76</v>
      </c>
      <c r="E107" s="122" t="s">
        <v>41</v>
      </c>
    </row>
    <row r="108" spans="2:5">
      <c r="B108" s="124" t="s">
        <v>137</v>
      </c>
      <c r="C108" s="123" t="s">
        <v>30</v>
      </c>
      <c r="D108" s="123" t="s">
        <v>76</v>
      </c>
      <c r="E108" s="122" t="s">
        <v>41</v>
      </c>
    </row>
    <row r="109" spans="2:5">
      <c r="B109" s="124" t="s">
        <v>138</v>
      </c>
      <c r="C109" s="123" t="s">
        <v>30</v>
      </c>
      <c r="D109" s="123" t="s">
        <v>76</v>
      </c>
      <c r="E109" s="122" t="s">
        <v>41</v>
      </c>
    </row>
    <row r="110" spans="2:5">
      <c r="B110" s="124" t="s">
        <v>139</v>
      </c>
      <c r="C110" s="123" t="s">
        <v>30</v>
      </c>
      <c r="D110" s="123" t="s">
        <v>76</v>
      </c>
      <c r="E110" s="122" t="s">
        <v>41</v>
      </c>
    </row>
    <row r="111" spans="2:5">
      <c r="B111" s="124" t="s">
        <v>33</v>
      </c>
      <c r="C111" s="123" t="s">
        <v>30</v>
      </c>
      <c r="D111" s="123" t="s">
        <v>76</v>
      </c>
      <c r="E111" s="122" t="s">
        <v>41</v>
      </c>
    </row>
    <row r="112" spans="2:5">
      <c r="B112" s="124" t="s">
        <v>140</v>
      </c>
      <c r="C112" s="123" t="s">
        <v>46</v>
      </c>
      <c r="D112" s="123" t="s">
        <v>47</v>
      </c>
      <c r="E112" s="122" t="s">
        <v>48</v>
      </c>
    </row>
    <row r="113" spans="2:5">
      <c r="B113" s="124" t="s">
        <v>141</v>
      </c>
      <c r="C113" s="123" t="s">
        <v>50</v>
      </c>
      <c r="D113" s="123" t="s">
        <v>47</v>
      </c>
      <c r="E113" s="122" t="s">
        <v>48</v>
      </c>
    </row>
    <row r="114" spans="2:5">
      <c r="B114" s="124" t="s">
        <v>142</v>
      </c>
      <c r="C114" s="123" t="s">
        <v>143</v>
      </c>
      <c r="D114" s="123" t="s">
        <v>76</v>
      </c>
      <c r="E114" s="122" t="s">
        <v>41</v>
      </c>
    </row>
    <row r="115" spans="2:5">
      <c r="B115" s="124" t="s">
        <v>144</v>
      </c>
      <c r="C115" s="123" t="s">
        <v>143</v>
      </c>
      <c r="D115" s="123" t="s">
        <v>76</v>
      </c>
      <c r="E115" s="122" t="s">
        <v>41</v>
      </c>
    </row>
    <row r="116" spans="2:5">
      <c r="B116" s="124" t="s">
        <v>145</v>
      </c>
      <c r="C116" s="123" t="s">
        <v>143</v>
      </c>
      <c r="D116" s="123" t="s">
        <v>76</v>
      </c>
      <c r="E116" s="122" t="s">
        <v>41</v>
      </c>
    </row>
    <row r="117" spans="2:5">
      <c r="B117" s="124" t="s">
        <v>146</v>
      </c>
      <c r="C117" s="123" t="s">
        <v>147</v>
      </c>
      <c r="D117" s="123" t="s">
        <v>147</v>
      </c>
      <c r="E117" s="122" t="s">
        <v>147</v>
      </c>
    </row>
    <row r="118" spans="2:5">
      <c r="B118" s="124" t="s">
        <v>148</v>
      </c>
      <c r="C118" s="123" t="s">
        <v>147</v>
      </c>
      <c r="D118" s="123" t="s">
        <v>147</v>
      </c>
      <c r="E118" s="122" t="s">
        <v>147</v>
      </c>
    </row>
    <row r="119" spans="2:5">
      <c r="B119" s="124" t="s">
        <v>149</v>
      </c>
      <c r="C119" s="123" t="s">
        <v>46</v>
      </c>
      <c r="D119" s="123" t="s">
        <v>47</v>
      </c>
      <c r="E119" s="122" t="s">
        <v>48</v>
      </c>
    </row>
    <row r="120" spans="2:5">
      <c r="B120" s="124" t="s">
        <v>150</v>
      </c>
      <c r="C120" s="123" t="s">
        <v>50</v>
      </c>
      <c r="D120" s="123" t="s">
        <v>47</v>
      </c>
      <c r="E120" s="122" t="s">
        <v>48</v>
      </c>
    </row>
    <row r="121" spans="2:5">
      <c r="B121" s="124" t="s">
        <v>151</v>
      </c>
      <c r="C121" s="123" t="s">
        <v>143</v>
      </c>
      <c r="D121" s="123" t="s">
        <v>76</v>
      </c>
      <c r="E121" s="122" t="s">
        <v>41</v>
      </c>
    </row>
    <row r="122" spans="2:5">
      <c r="B122" s="124" t="s">
        <v>152</v>
      </c>
      <c r="C122" s="123" t="s">
        <v>143</v>
      </c>
      <c r="D122" s="123" t="s">
        <v>76</v>
      </c>
      <c r="E122" s="122" t="s">
        <v>41</v>
      </c>
    </row>
    <row r="123" spans="2:5">
      <c r="B123" s="124" t="s">
        <v>153</v>
      </c>
      <c r="C123" s="123" t="s">
        <v>143</v>
      </c>
      <c r="D123" s="123" t="s">
        <v>76</v>
      </c>
      <c r="E123" s="122" t="s">
        <v>41</v>
      </c>
    </row>
    <row r="124" spans="2:5">
      <c r="B124" s="124" t="s">
        <v>154</v>
      </c>
      <c r="C124" s="123" t="s">
        <v>143</v>
      </c>
      <c r="D124" s="123" t="s">
        <v>76</v>
      </c>
      <c r="E124" s="122" t="s">
        <v>41</v>
      </c>
    </row>
    <row r="125" spans="2:5" ht="15.75" thickBot="1">
      <c r="B125" s="121" t="s">
        <v>155</v>
      </c>
      <c r="C125" s="120" t="s">
        <v>143</v>
      </c>
      <c r="D125" s="120" t="s">
        <v>54</v>
      </c>
      <c r="E125" s="119" t="s">
        <v>54</v>
      </c>
    </row>
  </sheetData>
  <mergeCells count="2">
    <mergeCell ref="B15:E15"/>
    <mergeCell ref="B3:E5"/>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7A912-6F37-4206-BC8F-88360351EC73}">
  <sheetPr codeName="Hoja04"/>
  <dimension ref="B1:M19"/>
  <sheetViews>
    <sheetView showGridLines="0" zoomScale="94" workbookViewId="0">
      <selection activeCell="C11" sqref="C11"/>
    </sheetView>
  </sheetViews>
  <sheetFormatPr baseColWidth="10" defaultColWidth="10.7109375" defaultRowHeight="15"/>
  <cols>
    <col min="7" max="7" width="2.28515625" customWidth="1"/>
    <col min="12" max="12" width="2" customWidth="1"/>
  </cols>
  <sheetData>
    <row r="1" spans="2:13" ht="15.75" thickBot="1"/>
    <row r="2" spans="2:13" ht="15.75" thickBot="1">
      <c r="B2" s="96" t="s">
        <v>156</v>
      </c>
    </row>
    <row r="3" spans="2:13" ht="49.15" customHeight="1" thickBot="1">
      <c r="B3" s="285" t="s">
        <v>467</v>
      </c>
      <c r="C3" s="286"/>
      <c r="D3" s="286"/>
      <c r="E3" s="286"/>
      <c r="F3" s="286"/>
      <c r="G3" s="286"/>
      <c r="H3" s="286"/>
      <c r="I3" s="286"/>
      <c r="J3" s="286"/>
      <c r="K3" s="286"/>
      <c r="L3" s="287"/>
    </row>
    <row r="4" spans="2:13">
      <c r="B4" s="56"/>
      <c r="C4" s="56"/>
      <c r="D4" s="56"/>
      <c r="E4" s="56"/>
      <c r="F4" s="56"/>
      <c r="G4" s="56"/>
      <c r="H4" s="56"/>
      <c r="I4" s="56"/>
      <c r="J4" s="56"/>
      <c r="K4" s="56"/>
      <c r="L4" s="56"/>
    </row>
    <row r="5" spans="2:13">
      <c r="B5" s="26"/>
      <c r="G5" s="288" t="s">
        <v>157</v>
      </c>
      <c r="H5" s="289"/>
    </row>
    <row r="6" spans="2:13" ht="15.75" thickBot="1">
      <c r="E6" s="95" t="s">
        <v>158</v>
      </c>
      <c r="G6" s="154"/>
      <c r="H6" s="155"/>
      <c r="I6" s="155"/>
      <c r="J6" s="155"/>
      <c r="K6" s="155"/>
      <c r="L6" s="156"/>
    </row>
    <row r="7" spans="2:13">
      <c r="B7" s="290" t="s">
        <v>159</v>
      </c>
      <c r="C7" s="131">
        <v>3</v>
      </c>
      <c r="E7" s="231">
        <v>2</v>
      </c>
      <c r="G7" s="157"/>
      <c r="H7" s="290" t="s">
        <v>159</v>
      </c>
      <c r="I7" s="131">
        <v>2</v>
      </c>
      <c r="K7" s="220" t="s">
        <v>27</v>
      </c>
      <c r="L7" s="158"/>
    </row>
    <row r="8" spans="2:13">
      <c r="B8" s="291"/>
      <c r="C8" s="130">
        <v>4</v>
      </c>
      <c r="G8" s="157"/>
      <c r="H8" s="291"/>
      <c r="I8" s="130">
        <v>4</v>
      </c>
      <c r="K8" s="188">
        <v>2</v>
      </c>
      <c r="L8" s="158"/>
      <c r="M8" t="s">
        <v>475</v>
      </c>
    </row>
    <row r="9" spans="2:13">
      <c r="B9" s="291"/>
      <c r="C9" s="130">
        <v>5</v>
      </c>
      <c r="G9" s="157"/>
      <c r="H9" s="291"/>
      <c r="I9" s="130">
        <v>5</v>
      </c>
      <c r="L9" s="158"/>
    </row>
    <row r="10" spans="2:13">
      <c r="B10" s="291"/>
      <c r="C10" s="130">
        <v>3</v>
      </c>
      <c r="G10" s="157"/>
      <c r="H10" s="291"/>
      <c r="I10" s="130">
        <v>3</v>
      </c>
      <c r="L10" s="158"/>
    </row>
    <row r="11" spans="2:13" ht="15.75" thickBot="1">
      <c r="B11" s="292"/>
      <c r="C11" s="129">
        <v>2</v>
      </c>
      <c r="G11" s="157"/>
      <c r="H11" s="292"/>
      <c r="I11" s="129">
        <v>2</v>
      </c>
      <c r="L11" s="158"/>
    </row>
    <row r="12" spans="2:13" ht="15.75" thickTop="1">
      <c r="B12" s="128"/>
      <c r="G12" s="160"/>
      <c r="H12" s="187"/>
      <c r="I12" s="161"/>
      <c r="J12" s="161"/>
      <c r="K12" s="161"/>
      <c r="L12" s="162"/>
    </row>
    <row r="13" spans="2:13" ht="15.75" thickBot="1"/>
    <row r="14" spans="2:13">
      <c r="C14" s="131">
        <v>2</v>
      </c>
    </row>
    <row r="15" spans="2:13">
      <c r="C15" s="130">
        <v>28</v>
      </c>
    </row>
    <row r="16" spans="2:13">
      <c r="C16" s="130">
        <v>28</v>
      </c>
    </row>
    <row r="17" spans="3:3">
      <c r="C17" s="130">
        <v>28</v>
      </c>
    </row>
    <row r="18" spans="3:3" ht="15.75" thickBot="1">
      <c r="C18" s="129">
        <v>6</v>
      </c>
    </row>
    <row r="19" spans="3:3" ht="15.75" thickTop="1"/>
  </sheetData>
  <mergeCells count="4">
    <mergeCell ref="B3:L3"/>
    <mergeCell ref="G5:H5"/>
    <mergeCell ref="B7:B11"/>
    <mergeCell ref="H7:H1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AC715-E539-4EE4-905D-3147960FD663}">
  <sheetPr codeName="Hoja05"/>
  <dimension ref="B1:M28"/>
  <sheetViews>
    <sheetView topLeftCell="E1" zoomScale="85" workbookViewId="0">
      <selection activeCell="I23" sqref="I23"/>
    </sheetView>
  </sheetViews>
  <sheetFormatPr baseColWidth="10" defaultColWidth="11.42578125" defaultRowHeight="15"/>
  <cols>
    <col min="1" max="1" width="11.42578125" style="5"/>
    <col min="2" max="2" width="12.5703125" style="5" customWidth="1"/>
    <col min="3" max="8" width="11.42578125" style="5"/>
    <col min="9" max="9" width="11.42578125" style="5" customWidth="1"/>
    <col min="10" max="10" width="5.42578125" style="5" customWidth="1"/>
    <col min="11" max="13" width="10" style="5" customWidth="1"/>
    <col min="14" max="16384" width="11.42578125" style="5"/>
  </cols>
  <sheetData>
    <row r="1" spans="2:13" ht="15.75" thickBot="1"/>
    <row r="2" spans="2:13" ht="15.75" thickBot="1">
      <c r="B2" s="105" t="s">
        <v>160</v>
      </c>
    </row>
    <row r="3" spans="2:13" ht="14.45" customHeight="1">
      <c r="B3" s="293" t="s">
        <v>161</v>
      </c>
      <c r="C3" s="294"/>
      <c r="D3" s="294"/>
      <c r="E3" s="294"/>
      <c r="F3" s="294"/>
      <c r="G3" s="294"/>
      <c r="H3" s="294"/>
      <c r="I3" s="294"/>
      <c r="J3" s="100"/>
      <c r="K3" s="100"/>
      <c r="L3" s="100"/>
      <c r="M3" s="101"/>
    </row>
    <row r="4" spans="2:13" ht="14.45" customHeight="1">
      <c r="B4" s="295"/>
      <c r="C4" s="296"/>
      <c r="D4" s="296"/>
      <c r="E4" s="296"/>
      <c r="F4" s="296"/>
      <c r="G4" s="296"/>
      <c r="H4" s="296"/>
      <c r="I4" s="296"/>
      <c r="J4" s="104" t="s">
        <v>162</v>
      </c>
      <c r="K4" s="6"/>
      <c r="L4" s="6"/>
      <c r="M4" s="102"/>
    </row>
    <row r="5" spans="2:13" ht="14.45" customHeight="1">
      <c r="B5" s="295"/>
      <c r="C5" s="296"/>
      <c r="D5" s="296"/>
      <c r="E5" s="296"/>
      <c r="F5" s="296"/>
      <c r="G5" s="296"/>
      <c r="H5" s="296"/>
      <c r="I5" s="296"/>
      <c r="J5" s="6"/>
      <c r="K5" s="6"/>
      <c r="L5" s="6"/>
      <c r="M5" s="102"/>
    </row>
    <row r="6" spans="2:13" ht="14.45" customHeight="1">
      <c r="B6" s="295"/>
      <c r="C6" s="296"/>
      <c r="D6" s="296"/>
      <c r="E6" s="296"/>
      <c r="F6" s="296"/>
      <c r="G6" s="296"/>
      <c r="H6" s="296"/>
      <c r="I6" s="296"/>
      <c r="J6" s="6"/>
      <c r="M6" s="9"/>
    </row>
    <row r="7" spans="2:13" ht="14.45" customHeight="1">
      <c r="B7" s="295"/>
      <c r="C7" s="296"/>
      <c r="D7" s="296"/>
      <c r="E7" s="296"/>
      <c r="F7" s="296"/>
      <c r="G7" s="296"/>
      <c r="H7" s="296"/>
      <c r="I7" s="296"/>
      <c r="J7" s="103"/>
      <c r="M7" s="9"/>
    </row>
    <row r="8" spans="2:13" ht="14.45" customHeight="1">
      <c r="B8" s="295"/>
      <c r="C8" s="296"/>
      <c r="D8" s="296"/>
      <c r="E8" s="296"/>
      <c r="F8" s="296"/>
      <c r="G8" s="296"/>
      <c r="H8" s="296"/>
      <c r="I8" s="296"/>
      <c r="J8" s="103"/>
      <c r="M8" s="9"/>
    </row>
    <row r="9" spans="2:13" ht="14.45" customHeight="1">
      <c r="B9" s="134"/>
      <c r="C9" s="135"/>
      <c r="D9" s="135"/>
      <c r="E9" s="135"/>
      <c r="F9" s="135"/>
      <c r="G9" s="135"/>
      <c r="H9" s="135"/>
      <c r="I9" s="135"/>
      <c r="J9" s="103"/>
      <c r="M9" s="9"/>
    </row>
    <row r="10" spans="2:13" ht="14.45" customHeight="1">
      <c r="B10" s="2" t="s">
        <v>163</v>
      </c>
      <c r="C10" s="103"/>
      <c r="D10" s="103"/>
      <c r="E10" s="103"/>
      <c r="F10" s="103"/>
      <c r="G10" s="103"/>
      <c r="H10" s="103"/>
      <c r="I10" s="103"/>
      <c r="J10" s="103"/>
      <c r="M10" s="9"/>
    </row>
    <row r="11" spans="2:13" ht="14.45" customHeight="1">
      <c r="B11" s="2"/>
      <c r="C11" s="103"/>
      <c r="D11" s="103"/>
      <c r="E11" s="103"/>
      <c r="F11" s="103"/>
      <c r="G11" s="103"/>
      <c r="H11" s="103"/>
      <c r="I11" s="103"/>
      <c r="J11" s="103"/>
      <c r="M11" s="9"/>
    </row>
    <row r="12" spans="2:13" ht="14.45" customHeight="1">
      <c r="B12" s="97"/>
      <c r="C12" s="103"/>
      <c r="D12" s="103"/>
      <c r="E12" s="103"/>
      <c r="F12" s="103"/>
      <c r="G12" s="103"/>
      <c r="H12" s="103"/>
      <c r="I12" s="103"/>
      <c r="J12" s="103"/>
      <c r="M12" s="9"/>
    </row>
    <row r="13" spans="2:13" ht="14.45" customHeight="1" thickBot="1">
      <c r="B13" s="98"/>
      <c r="C13" s="99"/>
      <c r="D13" s="99"/>
      <c r="E13" s="99"/>
      <c r="F13" s="99"/>
      <c r="G13" s="99"/>
      <c r="H13" s="99"/>
      <c r="I13" s="99"/>
      <c r="J13" s="99"/>
      <c r="K13" s="8"/>
      <c r="L13" s="8"/>
      <c r="M13" s="7"/>
    </row>
    <row r="14" spans="2:13" ht="14.45" customHeight="1">
      <c r="B14" s="6"/>
      <c r="C14" s="6"/>
      <c r="D14" s="6"/>
      <c r="E14" s="6"/>
      <c r="F14" s="6"/>
      <c r="G14" s="6"/>
      <c r="H14" s="6"/>
      <c r="I14" s="6"/>
      <c r="J14" s="6"/>
    </row>
    <row r="16" spans="2:13">
      <c r="B16" s="95" t="s">
        <v>164</v>
      </c>
      <c r="C16" s="139">
        <v>5</v>
      </c>
    </row>
    <row r="17" spans="2:8" s="138" customFormat="1">
      <c r="B17" s="95" t="s">
        <v>165</v>
      </c>
      <c r="C17" s="137">
        <v>1</v>
      </c>
      <c r="D17" s="138">
        <v>5</v>
      </c>
      <c r="E17" s="138">
        <v>10</v>
      </c>
      <c r="F17" s="138">
        <v>10</v>
      </c>
      <c r="G17" s="138">
        <v>5</v>
      </c>
      <c r="H17" s="138">
        <v>1</v>
      </c>
    </row>
    <row r="21" spans="2:8">
      <c r="B21" s="136" t="s">
        <v>27</v>
      </c>
    </row>
    <row r="22" spans="2:8" s="138" customFormat="1">
      <c r="B22" s="140" t="s">
        <v>164</v>
      </c>
      <c r="C22" s="141">
        <v>4</v>
      </c>
    </row>
    <row r="23" spans="2:8" s="138" customFormat="1">
      <c r="B23" s="140" t="s">
        <v>165</v>
      </c>
      <c r="C23" s="142">
        <v>1</v>
      </c>
      <c r="D23" s="138">
        <v>4</v>
      </c>
      <c r="E23" s="138">
        <v>6</v>
      </c>
      <c r="F23" s="138">
        <v>4</v>
      </c>
      <c r="G23" s="138">
        <v>1</v>
      </c>
    </row>
    <row r="25" spans="2:8">
      <c r="B25" s="136" t="s">
        <v>27</v>
      </c>
    </row>
    <row r="26" spans="2:8">
      <c r="B26" s="140" t="s">
        <v>164</v>
      </c>
      <c r="C26" s="141">
        <v>5</v>
      </c>
      <c r="D26" s="138"/>
      <c r="E26" s="138"/>
      <c r="F26" s="138"/>
      <c r="G26" s="138"/>
      <c r="H26" s="138"/>
    </row>
    <row r="27" spans="2:8">
      <c r="B27" s="140" t="s">
        <v>165</v>
      </c>
      <c r="C27" s="142">
        <v>1</v>
      </c>
      <c r="D27" s="138">
        <v>5</v>
      </c>
      <c r="E27" s="138">
        <v>10</v>
      </c>
      <c r="F27" s="138">
        <v>10</v>
      </c>
      <c r="G27" s="138">
        <v>5</v>
      </c>
      <c r="H27" s="138">
        <v>1</v>
      </c>
    </row>
    <row r="28" spans="2:8">
      <c r="C28" s="138"/>
      <c r="D28" s="138"/>
      <c r="E28" s="138"/>
      <c r="F28" s="138"/>
      <c r="G28" s="138"/>
      <c r="H28" s="138"/>
    </row>
  </sheetData>
  <mergeCells count="1">
    <mergeCell ref="B3:I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16EBB-F6D1-4FC0-BCCE-D016AA1734A4}">
  <sheetPr codeName="Hoja06"/>
  <dimension ref="B2:P28"/>
  <sheetViews>
    <sheetView showGridLines="0" topLeftCell="E1" zoomScale="86" workbookViewId="0">
      <selection activeCell="H7" sqref="H7"/>
    </sheetView>
  </sheetViews>
  <sheetFormatPr baseColWidth="10" defaultColWidth="9.140625" defaultRowHeight="15"/>
  <cols>
    <col min="1" max="1" width="8.5703125" customWidth="1"/>
    <col min="2" max="2" width="1" customWidth="1"/>
    <col min="3" max="3" width="10.85546875" customWidth="1"/>
    <col min="4" max="4" width="10.42578125" customWidth="1"/>
    <col min="12" max="12" width="12.140625" bestFit="1" customWidth="1"/>
  </cols>
  <sheetData>
    <row r="2" spans="2:16" ht="15.75" thickBot="1">
      <c r="C2" s="107" t="s">
        <v>166</v>
      </c>
    </row>
    <row r="3" spans="2:16" ht="19.350000000000001" customHeight="1">
      <c r="C3" s="297" t="s">
        <v>468</v>
      </c>
      <c r="D3" s="298"/>
      <c r="E3" s="298"/>
      <c r="F3" s="298"/>
      <c r="G3" s="298"/>
      <c r="H3" s="298"/>
      <c r="I3" s="298"/>
      <c r="J3" s="298"/>
      <c r="K3" s="298"/>
      <c r="L3" s="298"/>
      <c r="M3" s="298"/>
      <c r="N3" s="298"/>
      <c r="O3" s="298"/>
      <c r="P3" s="299"/>
    </row>
    <row r="4" spans="2:16" ht="19.350000000000001" customHeight="1">
      <c r="C4" s="300"/>
      <c r="D4" s="301"/>
      <c r="E4" s="301"/>
      <c r="F4" s="301"/>
      <c r="G4" s="301"/>
      <c r="H4" s="301"/>
      <c r="I4" s="301"/>
      <c r="J4" s="301"/>
      <c r="K4" s="301"/>
      <c r="L4" s="301"/>
      <c r="M4" s="301"/>
      <c r="N4" s="301"/>
      <c r="O4" s="301"/>
      <c r="P4" s="302"/>
    </row>
    <row r="5" spans="2:16" ht="30.75" customHeight="1" thickBot="1">
      <c r="C5" s="303"/>
      <c r="D5" s="304"/>
      <c r="E5" s="304"/>
      <c r="F5" s="304"/>
      <c r="G5" s="304"/>
      <c r="H5" s="304"/>
      <c r="I5" s="304"/>
      <c r="J5" s="304"/>
      <c r="K5" s="304"/>
      <c r="L5" s="304"/>
      <c r="M5" s="304"/>
      <c r="N5" s="304"/>
      <c r="O5" s="304"/>
      <c r="P5" s="305"/>
    </row>
    <row r="6" spans="2:16">
      <c r="C6" s="46"/>
      <c r="D6" s="46"/>
      <c r="E6" s="46"/>
      <c r="F6" s="46"/>
      <c r="G6" s="46"/>
      <c r="H6" s="46"/>
      <c r="I6" s="46"/>
      <c r="J6" s="46"/>
      <c r="K6" s="46"/>
      <c r="L6" s="46"/>
      <c r="M6" s="46"/>
      <c r="N6" s="46"/>
      <c r="O6" s="46"/>
      <c r="P6" s="46"/>
    </row>
    <row r="7" spans="2:16" ht="15.75" thickBot="1">
      <c r="C7" s="95" t="s">
        <v>167</v>
      </c>
      <c r="D7" s="261" t="str" cm="1">
        <f t="array" aca="1" ref="D7" ca="1">PosicionLlena(G8:O14)</f>
        <v>6-9</v>
      </c>
    </row>
    <row r="8" spans="2:16">
      <c r="G8" s="116" t="str">
        <f t="shared" ref="G8:O14" ca="1" si="0">IF(RAND()&lt;0.5,CHAR(RANDBETWEEN(65,80)),"")</f>
        <v>C</v>
      </c>
      <c r="H8" s="115" t="str">
        <f t="shared" ca="1" si="0"/>
        <v>L</v>
      </c>
      <c r="I8" s="115" t="str">
        <f t="shared" ca="1" si="0"/>
        <v>A</v>
      </c>
      <c r="J8" s="115" t="str">
        <f t="shared" ca="1" si="0"/>
        <v>K</v>
      </c>
      <c r="K8" s="115" t="str">
        <f t="shared" ca="1" si="0"/>
        <v/>
      </c>
      <c r="L8" s="115" t="str">
        <f t="shared" ca="1" si="0"/>
        <v>I</v>
      </c>
      <c r="M8" s="115" t="str">
        <f t="shared" ca="1" si="0"/>
        <v/>
      </c>
      <c r="N8" s="115" t="str">
        <f t="shared" ca="1" si="0"/>
        <v/>
      </c>
      <c r="O8" s="114" t="str">
        <f t="shared" ca="1" si="0"/>
        <v/>
      </c>
    </row>
    <row r="9" spans="2:16">
      <c r="G9" s="113" t="str">
        <f t="shared" ca="1" si="0"/>
        <v/>
      </c>
      <c r="H9" s="112" t="str">
        <f t="shared" ca="1" si="0"/>
        <v/>
      </c>
      <c r="I9" s="112" t="str">
        <f t="shared" ca="1" si="0"/>
        <v/>
      </c>
      <c r="J9" s="112" t="str">
        <f t="shared" ca="1" si="0"/>
        <v>G</v>
      </c>
      <c r="K9" s="112" t="str">
        <f t="shared" ca="1" si="0"/>
        <v>M</v>
      </c>
      <c r="L9" s="112" t="str">
        <f t="shared" ca="1" si="0"/>
        <v>C</v>
      </c>
      <c r="M9" s="112" t="str">
        <f t="shared" ca="1" si="0"/>
        <v>B</v>
      </c>
      <c r="N9" s="112" t="str">
        <f t="shared" ca="1" si="0"/>
        <v/>
      </c>
      <c r="O9" s="111" t="str">
        <f t="shared" ca="1" si="0"/>
        <v/>
      </c>
    </row>
    <row r="10" spans="2:16">
      <c r="G10" s="113" t="str">
        <f t="shared" ca="1" si="0"/>
        <v/>
      </c>
      <c r="H10" s="112" t="str">
        <f t="shared" ca="1" si="0"/>
        <v/>
      </c>
      <c r="I10" s="112" t="str">
        <f t="shared" ca="1" si="0"/>
        <v>H</v>
      </c>
      <c r="J10" s="112" t="str">
        <f t="shared" ca="1" si="0"/>
        <v/>
      </c>
      <c r="K10" s="112" t="str">
        <f t="shared" ca="1" si="0"/>
        <v>O</v>
      </c>
      <c r="L10" s="112" t="str">
        <f t="shared" ca="1" si="0"/>
        <v>O</v>
      </c>
      <c r="M10" s="112" t="str">
        <f t="shared" ca="1" si="0"/>
        <v/>
      </c>
      <c r="N10" s="112" t="str">
        <f t="shared" ca="1" si="0"/>
        <v/>
      </c>
      <c r="O10" s="111" t="str">
        <f t="shared" ca="1" si="0"/>
        <v/>
      </c>
      <c r="P10" s="157"/>
    </row>
    <row r="11" spans="2:16">
      <c r="G11" s="113" t="str">
        <f t="shared" ca="1" si="0"/>
        <v>D</v>
      </c>
      <c r="H11" s="112" t="str">
        <f t="shared" ca="1" si="0"/>
        <v>E</v>
      </c>
      <c r="I11" s="112" t="str">
        <f t="shared" ca="1" si="0"/>
        <v/>
      </c>
      <c r="J11" s="112" t="str">
        <f t="shared" ca="1" si="0"/>
        <v>J</v>
      </c>
      <c r="K11" s="112" t="str">
        <f t="shared" ca="1" si="0"/>
        <v>L</v>
      </c>
      <c r="L11" s="112" t="str">
        <f t="shared" ca="1" si="0"/>
        <v/>
      </c>
      <c r="M11" s="112" t="str">
        <f t="shared" ca="1" si="0"/>
        <v/>
      </c>
      <c r="N11" s="112" t="str">
        <f t="shared" ca="1" si="0"/>
        <v/>
      </c>
      <c r="O11" s="111" t="str">
        <f t="shared" ca="1" si="0"/>
        <v>C</v>
      </c>
    </row>
    <row r="12" spans="2:16">
      <c r="G12" s="113" t="str">
        <f t="shared" ca="1" si="0"/>
        <v>H</v>
      </c>
      <c r="H12" s="112" t="str">
        <f t="shared" ca="1" si="0"/>
        <v/>
      </c>
      <c r="I12" s="112" t="str">
        <f t="shared" ca="1" si="0"/>
        <v/>
      </c>
      <c r="J12" s="112" t="str">
        <f t="shared" ca="1" si="0"/>
        <v/>
      </c>
      <c r="K12" s="112" t="str">
        <f t="shared" ca="1" si="0"/>
        <v/>
      </c>
      <c r="L12" s="112" t="str">
        <f t="shared" ca="1" si="0"/>
        <v/>
      </c>
      <c r="M12" s="112" t="str">
        <f t="shared" ca="1" si="0"/>
        <v/>
      </c>
      <c r="N12" s="112" t="str">
        <f t="shared" ca="1" si="0"/>
        <v>G</v>
      </c>
      <c r="O12" s="111" t="str">
        <f t="shared" ca="1" si="0"/>
        <v/>
      </c>
    </row>
    <row r="13" spans="2:16">
      <c r="G13" s="113" t="str">
        <f t="shared" ca="1" si="0"/>
        <v/>
      </c>
      <c r="H13" s="112" t="str">
        <f t="shared" ca="1" si="0"/>
        <v/>
      </c>
      <c r="I13" s="112" t="str">
        <f t="shared" ca="1" si="0"/>
        <v/>
      </c>
      <c r="J13" s="112" t="str">
        <f t="shared" ca="1" si="0"/>
        <v/>
      </c>
      <c r="K13" s="112" t="str">
        <f t="shared" ca="1" si="0"/>
        <v/>
      </c>
      <c r="L13" s="112"/>
      <c r="M13" s="112" t="str">
        <f t="shared" ca="1" si="0"/>
        <v/>
      </c>
      <c r="N13" s="112" t="str">
        <f t="shared" ca="1" si="0"/>
        <v>G</v>
      </c>
      <c r="O13" s="111" t="str">
        <f t="shared" ca="1" si="0"/>
        <v>F</v>
      </c>
    </row>
    <row r="14" spans="2:16" ht="15.75" thickBot="1">
      <c r="G14" s="110" t="str">
        <f ca="1">IF(RAND()&lt;0.5,CHAR(RANDBETWEEN(65,80)),"")</f>
        <v/>
      </c>
      <c r="H14" s="109" t="str">
        <f t="shared" ca="1" si="0"/>
        <v/>
      </c>
      <c r="I14" s="109" t="str">
        <f t="shared" ca="1" si="0"/>
        <v/>
      </c>
      <c r="J14" s="109" t="str">
        <f t="shared" ca="1" si="0"/>
        <v>B</v>
      </c>
      <c r="K14" s="109" t="str">
        <f t="shared" ca="1" si="0"/>
        <v/>
      </c>
      <c r="L14" s="109" t="str">
        <f t="shared" ca="1" si="0"/>
        <v>E</v>
      </c>
      <c r="M14" s="109" t="str">
        <f t="shared" ca="1" si="0"/>
        <v>A</v>
      </c>
      <c r="N14" s="109" t="str">
        <f t="shared" ca="1" si="0"/>
        <v>K</v>
      </c>
      <c r="O14" s="108" t="str">
        <f t="shared" ca="1" si="0"/>
        <v/>
      </c>
    </row>
    <row r="16" spans="2:16">
      <c r="B16" s="307" t="s">
        <v>168</v>
      </c>
      <c r="C16" s="308"/>
      <c r="D16" s="309"/>
    </row>
    <row r="17" spans="2:16">
      <c r="B17" s="154"/>
      <c r="C17" s="155"/>
      <c r="D17" s="155"/>
      <c r="E17" s="155"/>
      <c r="F17" s="155"/>
      <c r="G17" s="155"/>
      <c r="H17" s="155"/>
      <c r="I17" s="155"/>
      <c r="J17" s="155"/>
      <c r="K17" s="155"/>
      <c r="L17" s="155"/>
      <c r="M17" s="155"/>
      <c r="N17" s="155"/>
      <c r="O17" s="155"/>
      <c r="P17" s="156"/>
    </row>
    <row r="18" spans="2:16">
      <c r="B18" s="157"/>
      <c r="C18" s="306" t="s">
        <v>27</v>
      </c>
      <c r="D18" s="306"/>
      <c r="P18" s="158"/>
    </row>
    <row r="19" spans="2:16" ht="13.9" customHeight="1" thickBot="1">
      <c r="B19" s="157"/>
      <c r="C19" s="310" t="s">
        <v>169</v>
      </c>
      <c r="D19" s="311"/>
      <c r="G19" s="159">
        <v>1</v>
      </c>
      <c r="H19" s="159">
        <v>2</v>
      </c>
      <c r="I19" s="159">
        <v>3</v>
      </c>
      <c r="J19" s="159">
        <v>4</v>
      </c>
      <c r="K19" s="159">
        <v>5</v>
      </c>
      <c r="L19" s="159">
        <v>6</v>
      </c>
      <c r="M19" s="159">
        <v>7</v>
      </c>
      <c r="N19" s="159">
        <v>8</v>
      </c>
      <c r="O19" s="159">
        <v>9</v>
      </c>
      <c r="P19" s="158"/>
    </row>
    <row r="20" spans="2:16" ht="13.9" customHeight="1">
      <c r="B20" s="157"/>
      <c r="C20" s="312"/>
      <c r="D20" s="313"/>
      <c r="F20">
        <v>1</v>
      </c>
      <c r="G20" s="144" t="s">
        <v>170</v>
      </c>
      <c r="H20" s="145" t="s">
        <v>171</v>
      </c>
      <c r="I20" s="145" t="s">
        <v>172</v>
      </c>
      <c r="J20" s="145" t="s">
        <v>173</v>
      </c>
      <c r="K20" s="145" t="s">
        <v>173</v>
      </c>
      <c r="L20" s="145" t="s">
        <v>174</v>
      </c>
      <c r="M20" s="145" t="s">
        <v>170</v>
      </c>
      <c r="N20" s="145" t="s">
        <v>175</v>
      </c>
      <c r="O20" s="146" t="s">
        <v>176</v>
      </c>
      <c r="P20" s="158"/>
    </row>
    <row r="21" spans="2:16">
      <c r="B21" s="157"/>
      <c r="C21" s="314"/>
      <c r="D21" s="315"/>
      <c r="F21">
        <v>2</v>
      </c>
      <c r="G21" s="147" t="s">
        <v>172</v>
      </c>
      <c r="H21" s="148" t="s">
        <v>177</v>
      </c>
      <c r="I21" s="148" t="s">
        <v>173</v>
      </c>
      <c r="J21" s="148" t="s">
        <v>177</v>
      </c>
      <c r="K21" s="148" t="s">
        <v>175</v>
      </c>
      <c r="L21" s="148" t="s">
        <v>178</v>
      </c>
      <c r="M21" s="148" t="s">
        <v>172</v>
      </c>
      <c r="N21" s="148" t="s">
        <v>179</v>
      </c>
      <c r="O21" s="149" t="s">
        <v>176</v>
      </c>
      <c r="P21" s="158"/>
    </row>
    <row r="22" spans="2:16">
      <c r="B22" s="157"/>
      <c r="C22" s="163"/>
      <c r="D22" s="163"/>
      <c r="F22">
        <v>3</v>
      </c>
      <c r="G22" s="147" t="s">
        <v>173</v>
      </c>
      <c r="H22" s="148" t="s">
        <v>173</v>
      </c>
      <c r="I22" s="148" t="s">
        <v>179</v>
      </c>
      <c r="J22" s="148" t="s">
        <v>179</v>
      </c>
      <c r="K22" s="148" t="s">
        <v>172</v>
      </c>
      <c r="L22" s="148" t="s">
        <v>180</v>
      </c>
      <c r="M22" s="148" t="s">
        <v>173</v>
      </c>
      <c r="N22" s="148" t="s">
        <v>173</v>
      </c>
      <c r="O22" s="149" t="s">
        <v>181</v>
      </c>
      <c r="P22" s="158"/>
    </row>
    <row r="23" spans="2:16">
      <c r="B23" s="157"/>
      <c r="F23">
        <v>4</v>
      </c>
      <c r="G23" s="147" t="s">
        <v>173</v>
      </c>
      <c r="H23" s="148" t="s">
        <v>172</v>
      </c>
      <c r="I23" s="148" t="s">
        <v>173</v>
      </c>
      <c r="J23" s="148" t="s">
        <v>173</v>
      </c>
      <c r="K23" s="148" t="s">
        <v>173</v>
      </c>
      <c r="L23" s="148" t="s">
        <v>170</v>
      </c>
      <c r="M23" s="148" t="s">
        <v>173</v>
      </c>
      <c r="N23" s="148" t="s">
        <v>178</v>
      </c>
      <c r="O23" s="149" t="s">
        <v>176</v>
      </c>
      <c r="P23" s="158"/>
    </row>
    <row r="24" spans="2:16">
      <c r="B24" s="157"/>
      <c r="F24">
        <v>5</v>
      </c>
      <c r="G24" s="147" t="s">
        <v>175</v>
      </c>
      <c r="H24" s="148" t="s">
        <v>173</v>
      </c>
      <c r="I24" s="148" t="s">
        <v>173</v>
      </c>
      <c r="J24" s="148" t="s">
        <v>181</v>
      </c>
      <c r="K24" s="148" t="s">
        <v>178</v>
      </c>
      <c r="L24" s="148" t="s">
        <v>173</v>
      </c>
      <c r="M24" s="148" t="s">
        <v>173</v>
      </c>
      <c r="N24" s="148" t="s">
        <v>178</v>
      </c>
      <c r="O24" s="149" t="s">
        <v>173</v>
      </c>
      <c r="P24" s="158"/>
    </row>
    <row r="25" spans="2:16">
      <c r="B25" s="157"/>
      <c r="F25">
        <v>6</v>
      </c>
      <c r="G25" s="147" t="s">
        <v>173</v>
      </c>
      <c r="H25" s="148" t="s">
        <v>173</v>
      </c>
      <c r="I25" s="148" t="s">
        <v>179</v>
      </c>
      <c r="J25" s="148" t="s">
        <v>173</v>
      </c>
      <c r="K25" s="148" t="s">
        <v>173</v>
      </c>
      <c r="L25" s="148" t="s">
        <v>173</v>
      </c>
      <c r="M25" s="148" t="s">
        <v>173</v>
      </c>
      <c r="N25" s="148"/>
      <c r="O25" s="150" t="s">
        <v>170</v>
      </c>
      <c r="P25" s="158"/>
    </row>
    <row r="26" spans="2:16" ht="15.75" thickBot="1">
      <c r="B26" s="157"/>
      <c r="F26">
        <v>7</v>
      </c>
      <c r="G26" s="151" t="s">
        <v>182</v>
      </c>
      <c r="H26" s="152" t="s">
        <v>183</v>
      </c>
      <c r="I26" s="152" t="s">
        <v>183</v>
      </c>
      <c r="J26" s="152" t="s">
        <v>173</v>
      </c>
      <c r="K26" s="152" t="s">
        <v>173</v>
      </c>
      <c r="L26" s="152" t="s">
        <v>173</v>
      </c>
      <c r="M26" s="152" t="s">
        <v>177</v>
      </c>
      <c r="N26" s="152" t="s">
        <v>173</v>
      </c>
      <c r="O26" s="153" t="s">
        <v>173</v>
      </c>
      <c r="P26" s="158"/>
    </row>
    <row r="27" spans="2:16">
      <c r="B27" s="157"/>
      <c r="P27" s="158"/>
    </row>
    <row r="28" spans="2:16">
      <c r="B28" s="160"/>
      <c r="C28" s="161"/>
      <c r="D28" s="161"/>
      <c r="E28" s="161"/>
      <c r="F28" s="161"/>
      <c r="G28" s="161"/>
      <c r="H28" s="161"/>
      <c r="I28" s="161"/>
      <c r="J28" s="161"/>
      <c r="K28" s="161"/>
      <c r="L28" s="161">
        <f>IF(O26=" ",1,0)</f>
        <v>0</v>
      </c>
      <c r="M28" s="161"/>
      <c r="N28" s="161"/>
      <c r="O28" s="161"/>
      <c r="P28" s="162"/>
    </row>
  </sheetData>
  <mergeCells count="4">
    <mergeCell ref="C3:P5"/>
    <mergeCell ref="C18:D18"/>
    <mergeCell ref="B16:D16"/>
    <mergeCell ref="C19:D2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7E6CB-C3A7-4FEA-AD34-035A4B06CFA6}">
  <sheetPr codeName="Hoja07"/>
  <dimension ref="B1:J11"/>
  <sheetViews>
    <sheetView showGridLines="0" zoomScale="117" workbookViewId="0">
      <selection activeCell="D12" sqref="D12"/>
    </sheetView>
  </sheetViews>
  <sheetFormatPr baseColWidth="10" defaultColWidth="9.140625" defaultRowHeight="15"/>
  <cols>
    <col min="2" max="2" width="10.5703125" customWidth="1"/>
    <col min="3" max="3" width="13" bestFit="1" customWidth="1"/>
    <col min="4" max="4" width="12.42578125" customWidth="1"/>
    <col min="5" max="5" width="10.5703125" bestFit="1" customWidth="1"/>
    <col min="6" max="6" width="11.140625" customWidth="1"/>
    <col min="7" max="7" width="9.42578125" bestFit="1" customWidth="1"/>
    <col min="10" max="10" width="10.28515625" customWidth="1"/>
  </cols>
  <sheetData>
    <row r="1" spans="2:10" ht="15.75" thickBot="1"/>
    <row r="2" spans="2:10" ht="15.75" thickBot="1">
      <c r="B2" s="96" t="s">
        <v>184</v>
      </c>
    </row>
    <row r="3" spans="2:10">
      <c r="B3" s="297" t="s">
        <v>469</v>
      </c>
      <c r="C3" s="298"/>
      <c r="D3" s="298"/>
      <c r="E3" s="298"/>
      <c r="F3" s="298"/>
      <c r="G3" s="298"/>
      <c r="H3" s="298"/>
      <c r="I3" s="298"/>
      <c r="J3" s="299"/>
    </row>
    <row r="4" spans="2:10">
      <c r="B4" s="300"/>
      <c r="C4" s="301"/>
      <c r="D4" s="301"/>
      <c r="E4" s="301"/>
      <c r="F4" s="301"/>
      <c r="G4" s="301"/>
      <c r="H4" s="301"/>
      <c r="I4" s="301"/>
      <c r="J4" s="302"/>
    </row>
    <row r="5" spans="2:10">
      <c r="B5" s="300"/>
      <c r="C5" s="301"/>
      <c r="D5" s="301"/>
      <c r="E5" s="301"/>
      <c r="F5" s="301"/>
      <c r="G5" s="301"/>
      <c r="H5" s="301"/>
      <c r="I5" s="301"/>
      <c r="J5" s="302"/>
    </row>
    <row r="6" spans="2:10" ht="15.75" thickBot="1">
      <c r="B6" s="303"/>
      <c r="C6" s="304"/>
      <c r="D6" s="304"/>
      <c r="E6" s="304"/>
      <c r="F6" s="304"/>
      <c r="G6" s="304"/>
      <c r="H6" s="304"/>
      <c r="I6" s="304"/>
      <c r="J6" s="305"/>
    </row>
    <row r="8" spans="2:10">
      <c r="E8" s="136" t="s">
        <v>27</v>
      </c>
    </row>
    <row r="9" spans="2:10">
      <c r="C9" s="106" t="s">
        <v>185</v>
      </c>
      <c r="D9" s="165" t="s">
        <v>186</v>
      </c>
      <c r="E9" s="164" t="s">
        <v>186</v>
      </c>
    </row>
    <row r="10" spans="2:10">
      <c r="C10" s="106" t="s">
        <v>187</v>
      </c>
      <c r="D10" s="165" t="s">
        <v>188</v>
      </c>
      <c r="E10" s="164" t="s">
        <v>188</v>
      </c>
    </row>
    <row r="11" spans="2:10">
      <c r="C11" s="95" t="s">
        <v>167</v>
      </c>
      <c r="D11" s="186" cm="1">
        <f t="array" ref="D11">DentroCadenas(D9,D10)</f>
        <v>2</v>
      </c>
      <c r="E11" s="164">
        <v>2</v>
      </c>
    </row>
  </sheetData>
  <mergeCells count="1">
    <mergeCell ref="B3:J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A7829-C4F5-4A55-A538-1C88F6F217DE}">
  <sheetPr codeName="Hoja08"/>
  <dimension ref="F1:BR28"/>
  <sheetViews>
    <sheetView showGridLines="0" topLeftCell="AP1" zoomScale="86" workbookViewId="0">
      <selection activeCell="AU10" sqref="AU10"/>
    </sheetView>
  </sheetViews>
  <sheetFormatPr baseColWidth="10" defaultColWidth="2.7109375" defaultRowHeight="15"/>
  <cols>
    <col min="1" max="15" width="2.7109375" style="3"/>
    <col min="16" max="16" width="4.5703125" style="3" bestFit="1" customWidth="1"/>
    <col min="17" max="50" width="2.7109375" style="3"/>
    <col min="51" max="51" width="4.42578125" style="3" bestFit="1" customWidth="1"/>
    <col min="52" max="53" width="2.7109375" style="3"/>
    <col min="54" max="54" width="12" style="3" bestFit="1" customWidth="1"/>
    <col min="55" max="55" width="3.140625" style="3" customWidth="1"/>
    <col min="56" max="16384" width="2.7109375" style="3"/>
  </cols>
  <sheetData>
    <row r="1" spans="6:70" ht="15.75" thickBot="1"/>
    <row r="2" spans="6:70" ht="15.75" thickBot="1">
      <c r="F2" s="316" t="s">
        <v>189</v>
      </c>
      <c r="G2" s="317"/>
      <c r="H2" s="317"/>
      <c r="I2" s="317"/>
      <c r="J2" s="317"/>
      <c r="K2" s="317"/>
      <c r="L2" s="318"/>
      <c r="BG2" s="307" t="s">
        <v>27</v>
      </c>
      <c r="BH2" s="308"/>
      <c r="BI2" s="308"/>
      <c r="BJ2" s="309"/>
      <c r="BK2" s="307" t="s">
        <v>27</v>
      </c>
      <c r="BL2" s="308"/>
      <c r="BM2" s="308"/>
      <c r="BN2" s="309"/>
      <c r="BO2" s="307" t="s">
        <v>27</v>
      </c>
      <c r="BP2" s="308"/>
      <c r="BQ2" s="308"/>
      <c r="BR2" s="309"/>
    </row>
    <row r="3" spans="6:70" ht="25.15" customHeight="1">
      <c r="F3" s="319" t="s">
        <v>470</v>
      </c>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0"/>
      <c r="AK3" s="320"/>
      <c r="AL3" s="320"/>
      <c r="AM3" s="320"/>
      <c r="AN3" s="320"/>
      <c r="AO3" s="320"/>
      <c r="AP3" s="321"/>
      <c r="AV3" s="325" t="s">
        <v>164</v>
      </c>
      <c r="AW3" s="325"/>
      <c r="AX3" s="325"/>
      <c r="AY3" s="325"/>
      <c r="AZ3" s="325"/>
      <c r="BA3" s="325"/>
      <c r="BB3" s="325"/>
      <c r="BC3" s="326">
        <v>3</v>
      </c>
      <c r="BD3" s="326"/>
      <c r="BE3" s="326"/>
      <c r="BF3" s="326"/>
      <c r="BG3" s="327">
        <v>2</v>
      </c>
      <c r="BH3" s="328"/>
      <c r="BI3" s="328"/>
      <c r="BJ3" s="329"/>
      <c r="BK3" s="327">
        <v>4</v>
      </c>
      <c r="BL3" s="328"/>
      <c r="BM3" s="328"/>
      <c r="BN3" s="329"/>
      <c r="BO3" s="327">
        <v>5</v>
      </c>
      <c r="BP3" s="328"/>
      <c r="BQ3" s="328"/>
      <c r="BR3" s="329"/>
    </row>
    <row r="4" spans="6:70" ht="31.9" customHeight="1" thickBot="1">
      <c r="F4" s="322"/>
      <c r="G4" s="323"/>
      <c r="H4" s="323"/>
      <c r="I4" s="323"/>
      <c r="J4" s="323"/>
      <c r="K4" s="323"/>
      <c r="L4" s="323"/>
      <c r="M4" s="323"/>
      <c r="N4" s="323"/>
      <c r="O4" s="323"/>
      <c r="P4" s="323"/>
      <c r="Q4" s="323"/>
      <c r="R4" s="323"/>
      <c r="S4" s="323"/>
      <c r="T4" s="323"/>
      <c r="U4" s="323"/>
      <c r="V4" s="323"/>
      <c r="W4" s="323"/>
      <c r="X4" s="323"/>
      <c r="Y4" s="323"/>
      <c r="Z4" s="323"/>
      <c r="AA4" s="323"/>
      <c r="AB4" s="323"/>
      <c r="AC4" s="323"/>
      <c r="AD4" s="323"/>
      <c r="AE4" s="323"/>
      <c r="AF4" s="323"/>
      <c r="AG4" s="323"/>
      <c r="AH4" s="323"/>
      <c r="AI4" s="323"/>
      <c r="AJ4" s="323"/>
      <c r="AK4" s="323"/>
      <c r="AL4" s="323"/>
      <c r="AM4" s="323"/>
      <c r="AN4" s="323"/>
      <c r="AO4" s="323"/>
      <c r="AP4" s="324"/>
      <c r="AV4" s="325" t="s">
        <v>190</v>
      </c>
      <c r="AW4" s="325"/>
      <c r="AX4" s="325"/>
      <c r="AY4" s="325"/>
      <c r="AZ4" s="325"/>
      <c r="BA4" s="325"/>
      <c r="BB4" s="325"/>
      <c r="BC4" s="326" cm="1">
        <f t="array" ref="BC4">N_ESIMA_REGION(F6:AP27,BC3)</f>
        <v>187</v>
      </c>
      <c r="BD4" s="326"/>
      <c r="BE4" s="326"/>
      <c r="BF4" s="326"/>
      <c r="BG4" s="327">
        <v>203</v>
      </c>
      <c r="BH4" s="328"/>
      <c r="BI4" s="328"/>
      <c r="BJ4" s="329"/>
      <c r="BK4" s="327">
        <v>101</v>
      </c>
      <c r="BL4" s="328"/>
      <c r="BM4" s="328"/>
      <c r="BN4" s="329"/>
      <c r="BO4" s="327">
        <v>96</v>
      </c>
      <c r="BP4" s="328"/>
      <c r="BQ4" s="328"/>
      <c r="BR4" s="329"/>
    </row>
    <row r="5" spans="6:70" ht="15.75" thickBot="1"/>
    <row r="6" spans="6:70">
      <c r="F6" s="44"/>
      <c r="G6" s="43"/>
      <c r="H6" s="43"/>
      <c r="I6" s="43"/>
      <c r="J6" s="43"/>
      <c r="K6" s="43"/>
      <c r="L6" s="43"/>
      <c r="M6" s="43"/>
      <c r="N6" s="43"/>
      <c r="O6" s="43"/>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1"/>
    </row>
    <row r="7" spans="6:70">
      <c r="F7" s="38"/>
      <c r="G7" s="37"/>
      <c r="H7" s="37"/>
      <c r="I7" s="37"/>
      <c r="J7" s="37"/>
      <c r="K7" s="37"/>
      <c r="L7" s="37"/>
      <c r="M7" s="37"/>
      <c r="N7" s="37"/>
      <c r="O7" s="37"/>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39"/>
    </row>
    <row r="8" spans="6:70">
      <c r="F8" s="38"/>
      <c r="G8" s="37"/>
      <c r="H8" s="37"/>
      <c r="I8" s="37"/>
      <c r="J8" s="37"/>
      <c r="K8" s="37"/>
      <c r="L8" s="37"/>
      <c r="M8" s="37"/>
      <c r="N8" s="37"/>
      <c r="O8" s="37"/>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39"/>
    </row>
    <row r="9" spans="6:70">
      <c r="F9" s="38"/>
      <c r="G9" s="37"/>
      <c r="H9" s="37"/>
      <c r="I9" s="37"/>
      <c r="J9" s="37"/>
      <c r="K9" s="37"/>
      <c r="L9" s="37"/>
      <c r="M9" s="37"/>
      <c r="N9" s="37"/>
      <c r="O9" s="37"/>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39"/>
    </row>
    <row r="10" spans="6:70">
      <c r="F10" s="38"/>
      <c r="G10" s="37"/>
      <c r="H10" s="37"/>
      <c r="I10" s="37"/>
      <c r="J10" s="37"/>
      <c r="K10" s="37"/>
      <c r="L10" s="37"/>
      <c r="M10" s="37"/>
      <c r="N10" s="37"/>
      <c r="O10" s="37"/>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39"/>
    </row>
    <row r="11" spans="6:70">
      <c r="F11" s="38"/>
      <c r="G11" s="37"/>
      <c r="H11" s="37"/>
      <c r="I11" s="37"/>
      <c r="J11" s="37"/>
      <c r="K11" s="37"/>
      <c r="L11" s="37"/>
      <c r="M11" s="37"/>
      <c r="N11" s="37"/>
      <c r="O11" s="37"/>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39"/>
    </row>
    <row r="12" spans="6:70">
      <c r="F12" s="38"/>
      <c r="G12" s="37"/>
      <c r="H12" s="37"/>
      <c r="I12" s="37"/>
      <c r="J12" s="37"/>
      <c r="K12" s="37"/>
      <c r="L12" s="37"/>
      <c r="M12" s="37"/>
      <c r="N12" s="37"/>
      <c r="O12" s="37"/>
      <c r="P12" s="40"/>
      <c r="Q12" s="40"/>
      <c r="R12" s="40"/>
      <c r="S12" s="40"/>
      <c r="T12" s="40"/>
      <c r="U12" s="40"/>
      <c r="V12" s="40"/>
      <c r="W12" s="33"/>
      <c r="X12" s="33"/>
      <c r="Y12" s="33"/>
      <c r="Z12" s="33"/>
      <c r="AA12" s="33"/>
      <c r="AB12" s="33"/>
      <c r="AC12" s="33"/>
      <c r="AD12" s="33"/>
      <c r="AE12" s="33"/>
      <c r="AF12" s="33"/>
      <c r="AG12" s="40"/>
      <c r="AH12" s="40"/>
      <c r="AI12" s="40"/>
      <c r="AJ12" s="40"/>
      <c r="AK12" s="40"/>
      <c r="AL12" s="40"/>
      <c r="AM12" s="40"/>
      <c r="AN12" s="40"/>
      <c r="AO12" s="40"/>
      <c r="AP12" s="39"/>
    </row>
    <row r="13" spans="6:70">
      <c r="F13" s="38"/>
      <c r="G13" s="37"/>
      <c r="H13" s="37"/>
      <c r="I13" s="37"/>
      <c r="J13" s="37"/>
      <c r="K13" s="37"/>
      <c r="L13" s="37"/>
      <c r="M13" s="37"/>
      <c r="N13" s="37"/>
      <c r="O13" s="37"/>
      <c r="P13" s="37"/>
      <c r="Q13" s="37"/>
      <c r="R13" s="37"/>
      <c r="S13" s="37"/>
      <c r="T13" s="37"/>
      <c r="U13" s="40"/>
      <c r="V13" s="40"/>
      <c r="W13" s="33"/>
      <c r="X13" s="33"/>
      <c r="Y13" s="33"/>
      <c r="Z13" s="33"/>
      <c r="AA13" s="33"/>
      <c r="AB13" s="33"/>
      <c r="AC13" s="33"/>
      <c r="AD13" s="33"/>
      <c r="AE13" s="33"/>
      <c r="AF13" s="33"/>
      <c r="AG13" s="40"/>
      <c r="AH13" s="40"/>
      <c r="AI13" s="40"/>
      <c r="AJ13" s="40"/>
      <c r="AK13" s="40"/>
      <c r="AL13" s="40"/>
      <c r="AM13" s="40"/>
      <c r="AN13" s="40"/>
      <c r="AO13" s="40"/>
      <c r="AP13" s="39"/>
    </row>
    <row r="14" spans="6:70">
      <c r="F14" s="38"/>
      <c r="G14" s="37"/>
      <c r="H14" s="37"/>
      <c r="I14" s="37"/>
      <c r="J14" s="37"/>
      <c r="K14" s="37"/>
      <c r="L14" s="37"/>
      <c r="M14" s="37"/>
      <c r="N14" s="37"/>
      <c r="O14" s="37"/>
      <c r="P14" s="37"/>
      <c r="Q14" s="37"/>
      <c r="R14" s="37"/>
      <c r="S14" s="37"/>
      <c r="T14" s="37"/>
      <c r="U14" s="40"/>
      <c r="V14" s="40"/>
      <c r="W14" s="33"/>
      <c r="X14" s="33"/>
      <c r="Y14" s="33"/>
      <c r="Z14" s="33"/>
      <c r="AA14" s="33"/>
      <c r="AB14" s="33"/>
      <c r="AC14" s="33"/>
      <c r="AD14" s="33"/>
      <c r="AE14" s="33"/>
      <c r="AF14" s="33"/>
      <c r="AG14" s="40"/>
      <c r="AH14" s="40"/>
      <c r="AI14" s="40"/>
      <c r="AJ14" s="40"/>
      <c r="AK14" s="40"/>
      <c r="AL14" s="40"/>
      <c r="AM14" s="40"/>
      <c r="AN14" s="40"/>
      <c r="AO14" s="40"/>
      <c r="AP14" s="39"/>
    </row>
    <row r="15" spans="6:70">
      <c r="F15" s="38"/>
      <c r="G15" s="37"/>
      <c r="H15" s="37"/>
      <c r="I15" s="37"/>
      <c r="J15" s="37"/>
      <c r="K15" s="37"/>
      <c r="L15" s="37"/>
      <c r="M15" s="37"/>
      <c r="N15" s="37"/>
      <c r="O15" s="37"/>
      <c r="P15" s="37"/>
      <c r="Q15" s="37"/>
      <c r="R15" s="37"/>
      <c r="S15" s="37"/>
      <c r="T15" s="37"/>
      <c r="U15" s="40"/>
      <c r="V15" s="40"/>
      <c r="W15" s="33"/>
      <c r="X15" s="33"/>
      <c r="Y15" s="33"/>
      <c r="Z15" s="33"/>
      <c r="AA15" s="33"/>
      <c r="AB15" s="33"/>
      <c r="AC15" s="33"/>
      <c r="AD15" s="33"/>
      <c r="AE15" s="33"/>
      <c r="AF15" s="33"/>
      <c r="AG15" s="40"/>
      <c r="AH15" s="40"/>
      <c r="AI15" s="40"/>
      <c r="AJ15" s="40"/>
      <c r="AK15" s="40"/>
      <c r="AL15" s="40"/>
      <c r="AM15" s="40"/>
      <c r="AN15" s="40"/>
      <c r="AO15" s="40"/>
      <c r="AP15" s="39"/>
    </row>
    <row r="16" spans="6:70">
      <c r="F16" s="38"/>
      <c r="G16" s="37"/>
      <c r="H16" s="37"/>
      <c r="I16" s="37"/>
      <c r="J16" s="37"/>
      <c r="K16" s="37"/>
      <c r="L16" s="37"/>
      <c r="M16" s="37"/>
      <c r="N16" s="37"/>
      <c r="O16" s="37"/>
      <c r="P16" s="37"/>
      <c r="Q16" s="37"/>
      <c r="R16" s="37"/>
      <c r="S16" s="37"/>
      <c r="T16" s="37"/>
      <c r="U16" s="40"/>
      <c r="V16" s="40"/>
      <c r="W16" s="33"/>
      <c r="X16" s="33"/>
      <c r="Y16" s="33"/>
      <c r="Z16" s="33"/>
      <c r="AA16" s="33"/>
      <c r="AB16" s="33"/>
      <c r="AC16" s="33"/>
      <c r="AD16" s="33"/>
      <c r="AE16" s="33"/>
      <c r="AF16" s="33"/>
      <c r="AG16" s="40"/>
      <c r="AH16" s="40"/>
      <c r="AI16" s="40"/>
      <c r="AJ16" s="40"/>
      <c r="AK16" s="40"/>
      <c r="AL16" s="40"/>
      <c r="AM16" s="40"/>
      <c r="AN16" s="40"/>
      <c r="AO16" s="40"/>
      <c r="AP16" s="39"/>
    </row>
    <row r="17" spans="6:42">
      <c r="F17" s="38"/>
      <c r="G17" s="37"/>
      <c r="H17" s="37"/>
      <c r="I17" s="37"/>
      <c r="J17" s="37"/>
      <c r="K17" s="37"/>
      <c r="L17" s="37"/>
      <c r="M17" s="37"/>
      <c r="N17" s="37"/>
      <c r="O17" s="37"/>
      <c r="P17" s="37"/>
      <c r="Q17" s="37"/>
      <c r="R17" s="37"/>
      <c r="S17" s="37"/>
      <c r="T17" s="37"/>
      <c r="U17" s="37"/>
      <c r="V17" s="37"/>
      <c r="W17" s="33"/>
      <c r="X17" s="33"/>
      <c r="Y17" s="33"/>
      <c r="Z17" s="33"/>
      <c r="AA17" s="33"/>
      <c r="AB17" s="33"/>
      <c r="AC17" s="33"/>
      <c r="AD17" s="33"/>
      <c r="AE17" s="33"/>
      <c r="AF17" s="33"/>
      <c r="AG17" s="33"/>
      <c r="AH17" s="33"/>
      <c r="AI17" s="33"/>
      <c r="AJ17" s="33"/>
      <c r="AK17" s="33"/>
      <c r="AL17" s="33"/>
      <c r="AM17" s="33"/>
      <c r="AN17" s="33"/>
      <c r="AO17" s="33"/>
      <c r="AP17" s="36"/>
    </row>
    <row r="18" spans="6:42">
      <c r="F18" s="35"/>
      <c r="G18" s="34"/>
      <c r="H18" s="34"/>
      <c r="I18" s="34"/>
      <c r="J18" s="34"/>
      <c r="K18" s="34"/>
      <c r="L18" s="34"/>
      <c r="M18" s="37"/>
      <c r="N18" s="37"/>
      <c r="O18" s="37"/>
      <c r="P18" s="37"/>
      <c r="Q18" s="37"/>
      <c r="R18" s="37"/>
      <c r="S18" s="37"/>
      <c r="T18" s="37"/>
      <c r="U18" s="37"/>
      <c r="V18" s="37"/>
      <c r="W18" s="33"/>
      <c r="X18" s="33"/>
      <c r="Y18" s="33"/>
      <c r="Z18" s="33"/>
      <c r="AA18" s="33"/>
      <c r="AB18" s="33"/>
      <c r="AC18" s="33"/>
      <c r="AD18" s="33"/>
      <c r="AE18" s="33"/>
      <c r="AF18" s="33"/>
      <c r="AG18" s="33"/>
      <c r="AH18" s="33"/>
      <c r="AI18" s="33"/>
      <c r="AJ18" s="33"/>
      <c r="AK18" s="33"/>
      <c r="AL18" s="33"/>
      <c r="AM18" s="33"/>
      <c r="AN18" s="33"/>
      <c r="AO18" s="33"/>
      <c r="AP18" s="36"/>
    </row>
    <row r="19" spans="6:42">
      <c r="F19" s="35"/>
      <c r="G19" s="34"/>
      <c r="H19" s="34"/>
      <c r="I19" s="34"/>
      <c r="J19" s="34"/>
      <c r="K19" s="34"/>
      <c r="L19" s="34"/>
      <c r="M19" s="37"/>
      <c r="N19" s="37"/>
      <c r="O19" s="37"/>
      <c r="P19" s="37"/>
      <c r="Q19" s="37"/>
      <c r="R19" s="37"/>
      <c r="S19" s="37"/>
      <c r="T19" s="37"/>
      <c r="U19" s="37"/>
      <c r="V19" s="37"/>
      <c r="W19" s="33"/>
      <c r="X19" s="33"/>
      <c r="Y19" s="33"/>
      <c r="Z19" s="33"/>
      <c r="AA19" s="33"/>
      <c r="AB19" s="33"/>
      <c r="AC19" s="33"/>
      <c r="AD19" s="33"/>
      <c r="AE19" s="33"/>
      <c r="AF19" s="33"/>
      <c r="AG19" s="33"/>
      <c r="AH19" s="33"/>
      <c r="AI19" s="33"/>
      <c r="AJ19" s="33"/>
      <c r="AK19" s="33"/>
      <c r="AL19" s="33"/>
      <c r="AM19" s="33"/>
      <c r="AN19" s="33"/>
      <c r="AO19" s="33"/>
      <c r="AP19" s="36"/>
    </row>
    <row r="20" spans="6:42">
      <c r="F20" s="35"/>
      <c r="G20" s="34"/>
      <c r="H20" s="34"/>
      <c r="I20" s="34"/>
      <c r="J20" s="34"/>
      <c r="K20" s="34"/>
      <c r="L20" s="34"/>
      <c r="M20" s="37"/>
      <c r="N20" s="37"/>
      <c r="O20" s="37"/>
      <c r="P20" s="37"/>
      <c r="Q20" s="37"/>
      <c r="R20" s="37"/>
      <c r="S20" s="37"/>
      <c r="T20" s="37"/>
      <c r="U20" s="37"/>
      <c r="V20" s="37"/>
      <c r="W20" s="33"/>
      <c r="X20" s="33"/>
      <c r="Y20" s="33"/>
      <c r="Z20" s="33"/>
      <c r="AA20" s="33"/>
      <c r="AB20" s="33"/>
      <c r="AC20" s="33"/>
      <c r="AD20" s="33"/>
      <c r="AE20" s="33"/>
      <c r="AF20" s="33"/>
      <c r="AG20" s="33"/>
      <c r="AH20" s="33"/>
      <c r="AI20" s="33"/>
      <c r="AJ20" s="33"/>
      <c r="AK20" s="33"/>
      <c r="AL20" s="33"/>
      <c r="AM20" s="33"/>
      <c r="AN20" s="33"/>
      <c r="AO20" s="33"/>
      <c r="AP20" s="36"/>
    </row>
    <row r="21" spans="6:42">
      <c r="F21" s="35"/>
      <c r="G21" s="34"/>
      <c r="H21" s="34"/>
      <c r="I21" s="34"/>
      <c r="J21" s="34"/>
      <c r="K21" s="34"/>
      <c r="L21" s="34"/>
      <c r="M21" s="37"/>
      <c r="N21" s="37"/>
      <c r="O21" s="37"/>
      <c r="P21" s="37"/>
      <c r="Q21" s="37"/>
      <c r="R21" s="37"/>
      <c r="S21" s="37"/>
      <c r="T21" s="37"/>
      <c r="U21" s="37"/>
      <c r="V21" s="37"/>
      <c r="W21" s="33"/>
      <c r="X21" s="33"/>
      <c r="Y21" s="33"/>
      <c r="Z21" s="33"/>
      <c r="AA21" s="33"/>
      <c r="AB21" s="33"/>
      <c r="AC21" s="33"/>
      <c r="AD21" s="33"/>
      <c r="AE21" s="33"/>
      <c r="AF21" s="33"/>
      <c r="AG21" s="33"/>
      <c r="AH21" s="33"/>
      <c r="AI21" s="33"/>
      <c r="AJ21" s="33"/>
      <c r="AK21" s="33"/>
      <c r="AL21" s="33"/>
      <c r="AM21" s="33"/>
      <c r="AN21" s="33"/>
      <c r="AO21" s="33"/>
      <c r="AP21" s="36"/>
    </row>
    <row r="22" spans="6:42">
      <c r="F22" s="35"/>
      <c r="G22" s="34"/>
      <c r="H22" s="34"/>
      <c r="I22" s="34"/>
      <c r="J22" s="34"/>
      <c r="K22" s="34"/>
      <c r="L22" s="34"/>
      <c r="M22" s="34"/>
      <c r="N22" s="34"/>
      <c r="O22" s="34"/>
      <c r="P22" s="34"/>
      <c r="Q22" s="34"/>
      <c r="R22" s="34"/>
      <c r="S22" s="34"/>
      <c r="T22" s="34"/>
      <c r="U22" s="34"/>
      <c r="V22" s="34"/>
      <c r="W22" s="33"/>
      <c r="X22" s="33"/>
      <c r="Y22" s="33"/>
      <c r="Z22" s="33"/>
      <c r="AA22" s="33"/>
      <c r="AB22" s="33"/>
      <c r="AC22" s="33"/>
      <c r="AD22" s="33"/>
      <c r="AE22" s="33"/>
      <c r="AF22" s="33"/>
      <c r="AG22" s="33"/>
      <c r="AH22" s="33"/>
      <c r="AI22" s="33"/>
      <c r="AJ22" s="33"/>
      <c r="AK22" s="33"/>
      <c r="AL22" s="33"/>
      <c r="AM22" s="33"/>
      <c r="AN22" s="33"/>
      <c r="AO22" s="33"/>
      <c r="AP22" s="36"/>
    </row>
    <row r="23" spans="6:42">
      <c r="F23" s="35"/>
      <c r="G23" s="34"/>
      <c r="H23" s="34"/>
      <c r="I23" s="34"/>
      <c r="J23" s="34"/>
      <c r="K23" s="34"/>
      <c r="L23" s="34"/>
      <c r="M23" s="34"/>
      <c r="N23" s="34"/>
      <c r="O23" s="34"/>
      <c r="P23" s="34"/>
      <c r="Q23" s="34"/>
      <c r="R23" s="34"/>
      <c r="S23" s="34"/>
      <c r="T23" s="34"/>
      <c r="U23" s="34"/>
      <c r="V23" s="34"/>
      <c r="W23" s="33"/>
      <c r="X23" s="33"/>
      <c r="Y23" s="33"/>
      <c r="Z23" s="33"/>
      <c r="AA23" s="33"/>
      <c r="AB23" s="33"/>
      <c r="AC23" s="33"/>
      <c r="AD23" s="33"/>
      <c r="AE23" s="33"/>
      <c r="AF23" s="33"/>
      <c r="AG23" s="33"/>
      <c r="AH23" s="31"/>
      <c r="AI23" s="31"/>
      <c r="AJ23" s="31"/>
      <c r="AK23" s="31"/>
      <c r="AL23" s="31"/>
      <c r="AM23" s="31"/>
      <c r="AN23" s="31"/>
      <c r="AO23" s="31"/>
      <c r="AP23" s="30"/>
    </row>
    <row r="24" spans="6:42">
      <c r="F24" s="35"/>
      <c r="G24" s="34"/>
      <c r="H24" s="34"/>
      <c r="I24" s="34"/>
      <c r="J24" s="34"/>
      <c r="K24" s="34"/>
      <c r="L24" s="34"/>
      <c r="M24" s="34"/>
      <c r="N24" s="34"/>
      <c r="O24" s="34"/>
      <c r="P24" s="34"/>
      <c r="Q24" s="34"/>
      <c r="R24" s="34"/>
      <c r="S24" s="34"/>
      <c r="T24" s="34"/>
      <c r="U24" s="34"/>
      <c r="V24" s="34"/>
      <c r="W24" s="33"/>
      <c r="X24" s="33"/>
      <c r="Y24" s="33"/>
      <c r="Z24" s="33"/>
      <c r="AA24" s="33"/>
      <c r="AB24" s="33"/>
      <c r="AC24" s="33"/>
      <c r="AD24" s="33"/>
      <c r="AE24" s="33"/>
      <c r="AF24" s="33"/>
      <c r="AG24" s="33"/>
      <c r="AH24" s="31"/>
      <c r="AI24" s="31"/>
      <c r="AJ24" s="31"/>
      <c r="AK24" s="31"/>
      <c r="AL24" s="31"/>
      <c r="AM24" s="31"/>
      <c r="AN24" s="31"/>
      <c r="AO24" s="31"/>
      <c r="AP24" s="30"/>
    </row>
    <row r="25" spans="6:42">
      <c r="F25" s="35"/>
      <c r="G25" s="34"/>
      <c r="H25" s="34"/>
      <c r="I25" s="34"/>
      <c r="J25" s="34"/>
      <c r="K25" s="34"/>
      <c r="L25" s="34"/>
      <c r="M25" s="34"/>
      <c r="N25" s="34"/>
      <c r="O25" s="34"/>
      <c r="P25" s="34"/>
      <c r="Q25" s="34"/>
      <c r="R25" s="34"/>
      <c r="S25" s="34"/>
      <c r="T25" s="34"/>
      <c r="U25" s="34"/>
      <c r="V25" s="34"/>
      <c r="W25" s="33"/>
      <c r="X25" s="33"/>
      <c r="Y25" s="33"/>
      <c r="Z25" s="33"/>
      <c r="AA25" s="33"/>
      <c r="AB25" s="33"/>
      <c r="AC25" s="33"/>
      <c r="AD25" s="33"/>
      <c r="AE25" s="33"/>
      <c r="AF25" s="33"/>
      <c r="AG25" s="33"/>
      <c r="AH25" s="31"/>
      <c r="AI25" s="31"/>
      <c r="AJ25" s="31"/>
      <c r="AK25" s="31"/>
      <c r="AL25" s="31"/>
      <c r="AM25" s="31"/>
      <c r="AN25" s="31"/>
      <c r="AO25" s="31"/>
      <c r="AP25" s="30"/>
    </row>
    <row r="26" spans="6:42">
      <c r="F26" s="32"/>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0"/>
    </row>
    <row r="27" spans="6:42" ht="15.75" thickBot="1">
      <c r="F27" s="29"/>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7"/>
    </row>
    <row r="28" spans="6:42">
      <c r="P28" s="3">
        <f>COUNTBLANK(F6:AP27)</f>
        <v>814</v>
      </c>
    </row>
  </sheetData>
  <dataConsolidate/>
  <mergeCells count="15">
    <mergeCell ref="BK2:BN2"/>
    <mergeCell ref="BK3:BN3"/>
    <mergeCell ref="BK4:BN4"/>
    <mergeCell ref="BO2:BR2"/>
    <mergeCell ref="BO3:BR3"/>
    <mergeCell ref="BO4:BR4"/>
    <mergeCell ref="F2:L2"/>
    <mergeCell ref="BG2:BJ2"/>
    <mergeCell ref="F3:AP4"/>
    <mergeCell ref="AV3:BB3"/>
    <mergeCell ref="BC3:BF3"/>
    <mergeCell ref="BG3:BJ3"/>
    <mergeCell ref="AV4:BB4"/>
    <mergeCell ref="BC4:BF4"/>
    <mergeCell ref="BG4:BJ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9DFD6-221E-4A32-AB56-DF010104725E}">
  <sheetPr codeName="Hoja09"/>
  <dimension ref="A1:Y31"/>
  <sheetViews>
    <sheetView showGridLines="0" topLeftCell="E6" zoomScale="105" workbookViewId="0">
      <selection activeCell="J16" sqref="J16"/>
    </sheetView>
  </sheetViews>
  <sheetFormatPr baseColWidth="10" defaultColWidth="11.7109375" defaultRowHeight="15" customHeight="1"/>
  <cols>
    <col min="1" max="1" width="11.7109375" customWidth="1"/>
    <col min="2" max="5" width="11.85546875" customWidth="1"/>
    <col min="6" max="6" width="10.5703125" customWidth="1"/>
    <col min="7" max="8" width="11.85546875" customWidth="1"/>
    <col min="9" max="9" width="22.7109375" customWidth="1"/>
    <col min="10" max="10" width="13.7109375" customWidth="1"/>
    <col min="11" max="11" width="0.85546875" customWidth="1"/>
    <col min="12" max="13" width="11.85546875" customWidth="1"/>
    <col min="14" max="14" width="23.28515625" bestFit="1" customWidth="1"/>
    <col min="15" max="15" width="7.5703125" customWidth="1"/>
    <col min="16" max="19" width="11.85546875" customWidth="1"/>
    <col min="20" max="20" width="17" customWidth="1"/>
    <col min="21" max="30" width="11.85546875" customWidth="1"/>
  </cols>
  <sheetData>
    <row r="1" spans="1:25" ht="15" customHeight="1" thickBot="1">
      <c r="A1" s="57"/>
      <c r="B1" s="58"/>
    </row>
    <row r="2" spans="1:25" ht="15" customHeight="1">
      <c r="A2" s="57"/>
      <c r="B2" s="167" t="s">
        <v>191</v>
      </c>
    </row>
    <row r="3" spans="1:25" ht="15" customHeight="1">
      <c r="B3" s="330" t="s">
        <v>453</v>
      </c>
      <c r="C3" s="330"/>
      <c r="D3" s="330"/>
      <c r="E3" s="330"/>
      <c r="F3" s="330"/>
      <c r="G3" s="330"/>
      <c r="H3" s="330"/>
      <c r="I3" s="330"/>
      <c r="J3" s="166"/>
      <c r="K3" s="166"/>
      <c r="L3" s="166"/>
      <c r="M3" s="166"/>
      <c r="N3" s="166"/>
      <c r="O3" s="166"/>
      <c r="P3" s="56"/>
      <c r="R3" s="56"/>
      <c r="S3" s="56"/>
      <c r="T3" s="56"/>
      <c r="U3" s="56"/>
      <c r="V3" s="56"/>
      <c r="W3" s="56"/>
      <c r="X3" s="56"/>
      <c r="Y3" s="56"/>
    </row>
    <row r="4" spans="1:25" ht="14.65" customHeight="1">
      <c r="B4" s="330"/>
      <c r="C4" s="330"/>
      <c r="D4" s="330"/>
      <c r="E4" s="330"/>
      <c r="F4" s="330"/>
      <c r="G4" s="330"/>
      <c r="H4" s="330"/>
      <c r="I4" s="330"/>
      <c r="J4" s="166"/>
      <c r="K4" s="166"/>
      <c r="L4" s="166"/>
      <c r="M4" s="166"/>
      <c r="N4" s="166"/>
      <c r="O4" s="166"/>
      <c r="P4" s="56"/>
      <c r="R4" s="56"/>
      <c r="S4" s="56"/>
      <c r="T4" s="56"/>
      <c r="U4" s="56"/>
      <c r="V4" s="56"/>
      <c r="W4" s="56"/>
      <c r="X4" s="56"/>
      <c r="Y4" s="56"/>
    </row>
    <row r="5" spans="1:25" ht="14.65" customHeight="1">
      <c r="B5" s="166"/>
      <c r="C5" s="166"/>
      <c r="D5" s="166"/>
      <c r="E5" s="166"/>
      <c r="F5" s="166"/>
      <c r="G5" s="166"/>
      <c r="H5" s="166"/>
      <c r="I5" s="166"/>
      <c r="J5" s="166"/>
      <c r="K5" s="166"/>
      <c r="L5" s="166"/>
      <c r="M5" s="166"/>
      <c r="N5" s="166"/>
      <c r="O5" s="166"/>
      <c r="P5" s="56"/>
      <c r="R5" s="56"/>
      <c r="S5" s="56"/>
      <c r="T5" s="56"/>
      <c r="U5" s="56"/>
      <c r="V5" s="56"/>
      <c r="W5" s="56"/>
      <c r="X5" s="56"/>
      <c r="Y5" s="56"/>
    </row>
    <row r="6" spans="1:25" ht="15" customHeight="1" thickBot="1">
      <c r="B6" s="53" t="s">
        <v>192</v>
      </c>
      <c r="D6" s="53" t="s">
        <v>193</v>
      </c>
      <c r="E6" s="166"/>
      <c r="F6" s="220" t="s">
        <v>168</v>
      </c>
      <c r="L6" s="166"/>
      <c r="M6" s="166"/>
      <c r="N6" s="166"/>
      <c r="O6" s="166"/>
      <c r="P6" s="56"/>
      <c r="R6" s="56"/>
      <c r="S6" s="56"/>
      <c r="T6" s="56"/>
      <c r="U6" s="56"/>
      <c r="V6" s="56"/>
      <c r="W6" s="56"/>
      <c r="X6" s="56"/>
      <c r="Y6" s="56"/>
    </row>
    <row r="7" spans="1:25" ht="15.75" thickBot="1">
      <c r="B7" s="105" t="s">
        <v>194</v>
      </c>
      <c r="D7" s="105" t="s">
        <v>194</v>
      </c>
      <c r="F7" s="171"/>
      <c r="G7" s="172"/>
      <c r="H7" s="172"/>
      <c r="I7" s="172"/>
      <c r="J7" s="172"/>
      <c r="K7" s="156"/>
      <c r="L7" s="166"/>
      <c r="M7" s="56"/>
    </row>
    <row r="8" spans="1:25" ht="15.75" thickBot="1">
      <c r="B8" s="168">
        <f t="shared" ref="B8:B25" ca="1" si="0">RANDBETWEEN(1,20)</f>
        <v>3</v>
      </c>
      <c r="D8" s="52"/>
      <c r="E8" s="46"/>
      <c r="F8" s="157"/>
      <c r="G8" s="53" t="s">
        <v>192</v>
      </c>
      <c r="I8" s="26" t="s">
        <v>193</v>
      </c>
      <c r="K8" s="158"/>
      <c r="L8" s="166"/>
      <c r="M8" s="56"/>
    </row>
    <row r="9" spans="1:25" ht="15.75" thickBot="1">
      <c r="B9" s="169">
        <f t="shared" ca="1" si="0"/>
        <v>7</v>
      </c>
      <c r="F9" s="157"/>
      <c r="G9" s="105" t="s">
        <v>194</v>
      </c>
      <c r="I9" s="220" t="s">
        <v>27</v>
      </c>
      <c r="K9" s="158"/>
    </row>
    <row r="10" spans="1:25">
      <c r="B10" s="169">
        <f t="shared" ca="1" si="0"/>
        <v>19</v>
      </c>
      <c r="F10" s="157"/>
      <c r="G10" s="177">
        <v>18</v>
      </c>
      <c r="I10" s="173">
        <v>17</v>
      </c>
      <c r="J10" cm="1">
        <f t="array" aca="1" ref="J10" ca="1">unico_max(B8:B25 )</f>
        <v>19</v>
      </c>
      <c r="K10" s="158"/>
    </row>
    <row r="11" spans="1:25" ht="15.75" thickBot="1">
      <c r="B11" s="169">
        <f t="shared" ca="1" si="0"/>
        <v>7</v>
      </c>
      <c r="F11" s="157"/>
      <c r="G11" s="169">
        <v>16</v>
      </c>
      <c r="K11" s="158"/>
    </row>
    <row r="12" spans="1:25" ht="15.75" thickBot="1">
      <c r="B12" s="169">
        <f t="shared" ca="1" si="0"/>
        <v>2</v>
      </c>
      <c r="F12" s="157"/>
      <c r="G12" s="169">
        <v>12</v>
      </c>
      <c r="I12" s="105" t="s">
        <v>195</v>
      </c>
      <c r="J12" s="175">
        <f>LARGE(G10:G27,2)</f>
        <v>18</v>
      </c>
      <c r="K12" s="158"/>
    </row>
    <row r="13" spans="1:25" ht="15.75" thickBot="1">
      <c r="B13" s="169">
        <f ca="1">RANDBETWEEN(1,20)</f>
        <v>9</v>
      </c>
      <c r="F13" s="157"/>
      <c r="G13" s="169">
        <v>12</v>
      </c>
      <c r="I13" s="174" t="s">
        <v>196</v>
      </c>
      <c r="J13" s="175">
        <f>+MAX(G10:G27)</f>
        <v>18</v>
      </c>
      <c r="K13" s="158"/>
    </row>
    <row r="14" spans="1:25" ht="15.75" thickBot="1">
      <c r="B14" s="169">
        <f ca="1">RANDBETWEEN(1,20)</f>
        <v>12</v>
      </c>
      <c r="F14" s="157"/>
      <c r="G14" s="169">
        <v>15</v>
      </c>
      <c r="J14" s="176"/>
      <c r="K14" s="158"/>
    </row>
    <row r="15" spans="1:25" ht="15.75" thickBot="1">
      <c r="B15" s="169">
        <f t="shared" ca="1" si="0"/>
        <v>6</v>
      </c>
      <c r="F15" s="157"/>
      <c r="G15" s="177">
        <v>18</v>
      </c>
      <c r="K15" s="158"/>
    </row>
    <row r="16" spans="1:25">
      <c r="B16" s="169">
        <f t="shared" ca="1" si="0"/>
        <v>6</v>
      </c>
      <c r="F16" s="157"/>
      <c r="G16" s="177">
        <v>18</v>
      </c>
      <c r="K16" s="158"/>
    </row>
    <row r="17" spans="2:11">
      <c r="B17" s="169">
        <f ca="1">RANDBETWEEN(1,20)</f>
        <v>18</v>
      </c>
      <c r="F17" s="157"/>
      <c r="G17" s="169">
        <v>9</v>
      </c>
      <c r="I17" cm="1">
        <f t="array" ref="I17">ej_7(G10:G27)</f>
        <v>17</v>
      </c>
      <c r="K17" s="158"/>
    </row>
    <row r="18" spans="2:11" ht="15.75" thickBot="1">
      <c r="B18" s="169">
        <f t="shared" ca="1" si="0"/>
        <v>8</v>
      </c>
      <c r="F18" s="157"/>
      <c r="G18" s="169">
        <v>8</v>
      </c>
      <c r="K18" s="158"/>
    </row>
    <row r="19" spans="2:11">
      <c r="B19" s="169">
        <f t="shared" ca="1" si="0"/>
        <v>12</v>
      </c>
      <c r="F19" s="157"/>
      <c r="G19" s="177">
        <v>18</v>
      </c>
      <c r="K19" s="158"/>
    </row>
    <row r="20" spans="2:11">
      <c r="B20" s="169">
        <f t="shared" ca="1" si="0"/>
        <v>2</v>
      </c>
      <c r="F20" s="157"/>
      <c r="G20" s="169">
        <v>17</v>
      </c>
      <c r="K20" s="158"/>
    </row>
    <row r="21" spans="2:11">
      <c r="B21" s="169">
        <f t="shared" ca="1" si="0"/>
        <v>6</v>
      </c>
      <c r="F21" s="157"/>
      <c r="G21" s="169">
        <v>10</v>
      </c>
      <c r="K21" s="158"/>
    </row>
    <row r="22" spans="2:11">
      <c r="B22" s="169">
        <f t="shared" ca="1" si="0"/>
        <v>1</v>
      </c>
      <c r="F22" s="157"/>
      <c r="G22" s="169">
        <v>3</v>
      </c>
      <c r="K22" s="158"/>
    </row>
    <row r="23" spans="2:11">
      <c r="B23" s="169">
        <f t="shared" ca="1" si="0"/>
        <v>9</v>
      </c>
      <c r="F23" s="157"/>
      <c r="G23" s="169">
        <v>16</v>
      </c>
      <c r="K23" s="158"/>
    </row>
    <row r="24" spans="2:11">
      <c r="B24" s="169">
        <f t="shared" ca="1" si="0"/>
        <v>1</v>
      </c>
      <c r="F24" s="157"/>
      <c r="G24" s="169">
        <v>11</v>
      </c>
      <c r="K24" s="158"/>
    </row>
    <row r="25" spans="2:11" ht="15.75" thickBot="1">
      <c r="B25" s="170">
        <f t="shared" ca="1" si="0"/>
        <v>18</v>
      </c>
      <c r="F25" s="157"/>
      <c r="G25" s="169">
        <v>13</v>
      </c>
      <c r="K25" s="158"/>
    </row>
    <row r="26" spans="2:11" ht="15.75" thickTop="1">
      <c r="F26" s="157"/>
      <c r="G26" s="169">
        <v>9</v>
      </c>
      <c r="K26" s="158"/>
    </row>
    <row r="27" spans="2:11" ht="15.75" thickBot="1">
      <c r="F27" s="157"/>
      <c r="G27" s="170">
        <v>1</v>
      </c>
      <c r="K27" s="158"/>
    </row>
    <row r="28" spans="2:11" ht="15.75" thickTop="1">
      <c r="F28" s="157"/>
      <c r="K28" s="158"/>
    </row>
    <row r="29" spans="2:11">
      <c r="F29" s="160"/>
      <c r="G29" s="161"/>
      <c r="H29" s="161"/>
      <c r="I29" s="161"/>
      <c r="J29" s="161"/>
      <c r="K29" s="162"/>
    </row>
    <row r="30" spans="2:11"/>
    <row r="31" spans="2:11"/>
  </sheetData>
  <dataConsolidate/>
  <mergeCells count="1">
    <mergeCell ref="B3:I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08431-826F-4E0F-B975-D34E8CC70EAF}">
  <sheetPr codeName="Hoja10"/>
  <dimension ref="B1:U331"/>
  <sheetViews>
    <sheetView showGridLines="0" topLeftCell="D7" zoomScale="94" workbookViewId="0">
      <selection activeCell="G13" sqref="G13"/>
    </sheetView>
  </sheetViews>
  <sheetFormatPr baseColWidth="10" defaultColWidth="8.85546875" defaultRowHeight="15"/>
  <cols>
    <col min="2" max="2" width="9.140625" customWidth="1"/>
    <col min="3" max="3" width="21.42578125" customWidth="1"/>
    <col min="4" max="4" width="27" customWidth="1"/>
    <col min="5" max="5" width="4" customWidth="1"/>
    <col min="6" max="6" width="22.5703125" customWidth="1"/>
    <col min="7" max="7" width="30.85546875" customWidth="1"/>
    <col min="9" max="9" width="13" customWidth="1"/>
    <col min="11" max="11" width="81.42578125" bestFit="1" customWidth="1"/>
  </cols>
  <sheetData>
    <row r="1" spans="2:21">
      <c r="I1" s="178"/>
      <c r="J1" s="178"/>
      <c r="K1" s="178"/>
      <c r="L1" s="178"/>
      <c r="M1" s="178"/>
      <c r="N1" s="178"/>
      <c r="S1" s="178"/>
      <c r="T1" s="178"/>
      <c r="U1" s="178"/>
    </row>
    <row r="2" spans="2:21">
      <c r="B2" s="106" t="s">
        <v>197</v>
      </c>
      <c r="I2" s="178"/>
      <c r="J2" s="178"/>
      <c r="K2" s="178"/>
      <c r="L2" s="178"/>
      <c r="M2" s="178"/>
      <c r="N2" s="178"/>
      <c r="S2" s="178"/>
      <c r="T2" s="178"/>
      <c r="U2" s="178"/>
    </row>
    <row r="3" spans="2:21" ht="16.899999999999999" customHeight="1">
      <c r="B3" s="331" t="s">
        <v>471</v>
      </c>
      <c r="C3" s="331"/>
      <c r="D3" s="331"/>
      <c r="E3" s="331"/>
      <c r="F3" s="331"/>
      <c r="G3" s="331"/>
      <c r="H3" s="331"/>
      <c r="I3" s="178"/>
      <c r="J3" s="178"/>
      <c r="K3" s="178"/>
      <c r="L3" s="178"/>
      <c r="M3" s="178"/>
      <c r="N3" s="178"/>
    </row>
    <row r="4" spans="2:21" ht="16.899999999999999" customHeight="1">
      <c r="B4" s="331"/>
      <c r="C4" s="331"/>
      <c r="D4" s="331"/>
      <c r="E4" s="331"/>
      <c r="F4" s="331"/>
      <c r="G4" s="331"/>
      <c r="H4" s="331"/>
      <c r="I4" s="178"/>
      <c r="J4" s="178"/>
    </row>
    <row r="5" spans="2:21" ht="16.899999999999999" customHeight="1">
      <c r="B5" s="331"/>
      <c r="C5" s="331"/>
      <c r="D5" s="331"/>
      <c r="E5" s="331"/>
      <c r="F5" s="331"/>
      <c r="G5" s="331"/>
      <c r="H5" s="331"/>
    </row>
    <row r="6" spans="2:21" ht="16.899999999999999" customHeight="1">
      <c r="B6" s="331"/>
      <c r="C6" s="331"/>
      <c r="D6" s="331"/>
      <c r="E6" s="331"/>
      <c r="F6" s="331"/>
      <c r="G6" s="331"/>
      <c r="H6" s="331"/>
    </row>
    <row r="7" spans="2:21" ht="16.899999999999999" customHeight="1">
      <c r="B7" s="331"/>
      <c r="C7" s="331"/>
      <c r="D7" s="331"/>
      <c r="E7" s="331"/>
      <c r="F7" s="331"/>
      <c r="G7" s="331"/>
      <c r="H7" s="331"/>
    </row>
    <row r="8" spans="2:21" ht="16.899999999999999" customHeight="1">
      <c r="B8" s="331"/>
      <c r="C8" s="331"/>
      <c r="D8" s="331"/>
      <c r="E8" s="331"/>
      <c r="F8" s="331"/>
      <c r="G8" s="331"/>
      <c r="H8" s="331"/>
    </row>
    <row r="11" spans="2:21">
      <c r="E11" s="306" t="s">
        <v>27</v>
      </c>
      <c r="F11" s="306"/>
    </row>
    <row r="12" spans="2:21">
      <c r="C12" s="106" t="s">
        <v>198</v>
      </c>
      <c r="D12" s="179" t="str" cm="1">
        <f t="array" ref="D12">ControlCalidad(C17:D331,F17:G331)</f>
        <v>Falso</v>
      </c>
      <c r="E12" s="335" t="b">
        <v>0</v>
      </c>
      <c r="F12" s="335"/>
      <c r="G12" t="str" cm="1">
        <f t="array" ref="G12">EJ_8(C17:D331,F17:G331)</f>
        <v>Falso</v>
      </c>
    </row>
    <row r="15" spans="2:21">
      <c r="C15" s="26" t="s">
        <v>199</v>
      </c>
      <c r="D15" s="26"/>
      <c r="F15" s="26" t="s">
        <v>200</v>
      </c>
    </row>
    <row r="16" spans="2:21" ht="15" customHeight="1">
      <c r="C16" s="332" t="s">
        <v>201</v>
      </c>
      <c r="D16" s="332"/>
      <c r="F16" s="334" t="s">
        <v>201</v>
      </c>
      <c r="G16" s="334"/>
    </row>
    <row r="17" spans="2:7">
      <c r="C17" s="333" t="s">
        <v>202</v>
      </c>
      <c r="D17" s="333"/>
      <c r="F17" s="333" t="s">
        <v>203</v>
      </c>
      <c r="G17" s="333"/>
    </row>
    <row r="18" spans="2:7">
      <c r="B18" s="25"/>
      <c r="C18" s="333" t="s">
        <v>204</v>
      </c>
      <c r="D18" s="333"/>
      <c r="F18" s="333" t="s">
        <v>205</v>
      </c>
      <c r="G18" s="333"/>
    </row>
    <row r="19" spans="2:7">
      <c r="B19" s="25"/>
      <c r="C19" s="333" t="s">
        <v>206</v>
      </c>
      <c r="D19" s="333"/>
      <c r="F19" s="333" t="s">
        <v>207</v>
      </c>
      <c r="G19" s="333"/>
    </row>
    <row r="20" spans="2:7">
      <c r="B20" s="25"/>
      <c r="C20" s="333" t="s">
        <v>206</v>
      </c>
      <c r="D20" s="333"/>
      <c r="F20" s="333" t="s">
        <v>208</v>
      </c>
      <c r="G20" s="333"/>
    </row>
    <row r="21" spans="2:7">
      <c r="B21" s="25"/>
      <c r="C21" s="333" t="s">
        <v>206</v>
      </c>
      <c r="D21" s="333"/>
      <c r="F21" s="333" t="s">
        <v>209</v>
      </c>
      <c r="G21" s="333"/>
    </row>
    <row r="22" spans="2:7">
      <c r="B22" s="25"/>
      <c r="C22" s="333" t="s">
        <v>206</v>
      </c>
      <c r="D22" s="333"/>
      <c r="F22" s="333" t="s">
        <v>210</v>
      </c>
      <c r="G22" s="333"/>
    </row>
    <row r="23" spans="2:7">
      <c r="B23" s="25"/>
      <c r="C23" s="333" t="s">
        <v>211</v>
      </c>
      <c r="D23" s="333"/>
      <c r="F23" s="333" t="s">
        <v>212</v>
      </c>
      <c r="G23" s="333"/>
    </row>
    <row r="24" spans="2:7">
      <c r="B24" s="25"/>
      <c r="C24" s="333" t="s">
        <v>213</v>
      </c>
      <c r="D24" s="333"/>
      <c r="F24" s="333" t="s">
        <v>214</v>
      </c>
      <c r="G24" s="333"/>
    </row>
    <row r="25" spans="2:7">
      <c r="B25" s="25"/>
      <c r="C25" s="333" t="s">
        <v>215</v>
      </c>
      <c r="D25" s="333"/>
      <c r="F25" s="333" t="s">
        <v>216</v>
      </c>
      <c r="G25" s="333"/>
    </row>
    <row r="26" spans="2:7">
      <c r="B26" s="25"/>
      <c r="C26" s="333" t="s">
        <v>215</v>
      </c>
      <c r="D26" s="333"/>
      <c r="F26" s="333" t="s">
        <v>217</v>
      </c>
      <c r="G26" s="333"/>
    </row>
    <row r="27" spans="2:7">
      <c r="B27" s="25"/>
      <c r="C27" s="333" t="s">
        <v>215</v>
      </c>
      <c r="D27" s="333"/>
      <c r="F27" s="333" t="s">
        <v>218</v>
      </c>
      <c r="G27" s="333"/>
    </row>
    <row r="28" spans="2:7">
      <c r="B28" s="25"/>
      <c r="C28" s="333" t="s">
        <v>219</v>
      </c>
      <c r="D28" s="333"/>
      <c r="F28" s="333" t="s">
        <v>220</v>
      </c>
      <c r="G28" s="333"/>
    </row>
    <row r="29" spans="2:7">
      <c r="B29" s="25"/>
      <c r="C29" s="333" t="s">
        <v>221</v>
      </c>
      <c r="D29" s="333"/>
      <c r="F29" s="333" t="s">
        <v>222</v>
      </c>
      <c r="G29" s="333"/>
    </row>
    <row r="30" spans="2:7">
      <c r="B30" s="25"/>
      <c r="C30" s="333" t="s">
        <v>223</v>
      </c>
      <c r="D30" s="333"/>
      <c r="F30" s="333" t="s">
        <v>224</v>
      </c>
      <c r="G30" s="333"/>
    </row>
    <row r="31" spans="2:7">
      <c r="B31" s="25"/>
      <c r="C31" s="333" t="s">
        <v>225</v>
      </c>
      <c r="D31" s="333"/>
      <c r="F31" s="333" t="s">
        <v>210</v>
      </c>
      <c r="G31" s="333"/>
    </row>
    <row r="32" spans="2:7">
      <c r="B32" s="25"/>
      <c r="C32" s="333" t="s">
        <v>226</v>
      </c>
      <c r="D32" s="333"/>
      <c r="F32" s="333" t="s">
        <v>224</v>
      </c>
      <c r="G32" s="333"/>
    </row>
    <row r="33" spans="2:7">
      <c r="B33" s="25"/>
      <c r="C33" s="333" t="s">
        <v>226</v>
      </c>
      <c r="D33" s="333"/>
      <c r="F33" s="333" t="s">
        <v>227</v>
      </c>
      <c r="G33" s="333"/>
    </row>
    <row r="34" spans="2:7">
      <c r="B34" s="25"/>
      <c r="C34" s="333" t="s">
        <v>228</v>
      </c>
      <c r="D34" s="333"/>
      <c r="F34" s="333" t="s">
        <v>229</v>
      </c>
      <c r="G34" s="333"/>
    </row>
    <row r="35" spans="2:7">
      <c r="B35" s="25"/>
      <c r="C35" s="333" t="s">
        <v>230</v>
      </c>
      <c r="D35" s="333"/>
      <c r="F35" s="333" t="s">
        <v>231</v>
      </c>
      <c r="G35" s="333"/>
    </row>
    <row r="36" spans="2:7">
      <c r="B36" s="25"/>
      <c r="C36" s="333" t="s">
        <v>230</v>
      </c>
      <c r="D36" s="333"/>
      <c r="F36" s="333" t="s">
        <v>206</v>
      </c>
      <c r="G36" s="333"/>
    </row>
    <row r="37" spans="2:7">
      <c r="B37" s="25"/>
      <c r="C37" s="333" t="s">
        <v>230</v>
      </c>
      <c r="D37" s="333"/>
      <c r="F37" s="333" t="s">
        <v>232</v>
      </c>
      <c r="G37" s="333"/>
    </row>
    <row r="38" spans="2:7">
      <c r="B38" s="25"/>
      <c r="C38" s="333" t="s">
        <v>233</v>
      </c>
      <c r="D38" s="333"/>
      <c r="F38" s="333" t="s">
        <v>222</v>
      </c>
      <c r="G38" s="333"/>
    </row>
    <row r="39" spans="2:7">
      <c r="B39" s="25"/>
      <c r="C39" s="333" t="s">
        <v>234</v>
      </c>
      <c r="D39" s="333"/>
      <c r="F39" s="333" t="s">
        <v>235</v>
      </c>
      <c r="G39" s="333"/>
    </row>
    <row r="40" spans="2:7">
      <c r="B40" s="25"/>
      <c r="C40" s="333" t="s">
        <v>236</v>
      </c>
      <c r="D40" s="333"/>
      <c r="F40" s="333" t="s">
        <v>237</v>
      </c>
      <c r="G40" s="333"/>
    </row>
    <row r="41" spans="2:7">
      <c r="B41" s="25"/>
      <c r="C41" s="333" t="s">
        <v>238</v>
      </c>
      <c r="D41" s="333"/>
      <c r="F41" s="333" t="s">
        <v>239</v>
      </c>
      <c r="G41" s="333"/>
    </row>
    <row r="42" spans="2:7">
      <c r="B42" s="25"/>
      <c r="C42" s="333" t="s">
        <v>238</v>
      </c>
      <c r="D42" s="333"/>
      <c r="F42" s="333" t="s">
        <v>240</v>
      </c>
      <c r="G42" s="333"/>
    </row>
    <row r="43" spans="2:7">
      <c r="B43" s="25"/>
      <c r="C43" s="333" t="s">
        <v>222</v>
      </c>
      <c r="D43" s="333"/>
      <c r="F43" s="333" t="s">
        <v>241</v>
      </c>
      <c r="G43" s="333"/>
    </row>
    <row r="44" spans="2:7">
      <c r="B44" s="25"/>
      <c r="C44" s="333" t="s">
        <v>222</v>
      </c>
      <c r="D44" s="333"/>
      <c r="F44" s="333" t="s">
        <v>242</v>
      </c>
      <c r="G44" s="333"/>
    </row>
    <row r="45" spans="2:7">
      <c r="B45" s="25"/>
      <c r="C45" s="333" t="s">
        <v>243</v>
      </c>
      <c r="D45" s="333"/>
      <c r="F45" s="333" t="s">
        <v>244</v>
      </c>
      <c r="G45" s="333"/>
    </row>
    <row r="46" spans="2:7">
      <c r="B46" s="25"/>
      <c r="C46" s="333" t="s">
        <v>243</v>
      </c>
      <c r="D46" s="333"/>
      <c r="F46" s="333" t="s">
        <v>245</v>
      </c>
      <c r="G46" s="333"/>
    </row>
    <row r="47" spans="2:7">
      <c r="B47" s="25"/>
      <c r="C47" s="333" t="s">
        <v>203</v>
      </c>
      <c r="D47" s="333"/>
      <c r="F47" s="333" t="s">
        <v>246</v>
      </c>
      <c r="G47" s="333"/>
    </row>
    <row r="48" spans="2:7">
      <c r="B48" s="25"/>
      <c r="C48" s="333" t="s">
        <v>247</v>
      </c>
      <c r="D48" s="333"/>
      <c r="F48" s="333" t="s">
        <v>248</v>
      </c>
      <c r="G48" s="333"/>
    </row>
    <row r="49" spans="2:7">
      <c r="B49" s="25"/>
      <c r="C49" s="333" t="s">
        <v>246</v>
      </c>
      <c r="D49" s="333"/>
      <c r="F49" s="333" t="s">
        <v>249</v>
      </c>
      <c r="G49" s="333"/>
    </row>
    <row r="50" spans="2:7">
      <c r="B50" s="25"/>
      <c r="C50" s="333" t="s">
        <v>250</v>
      </c>
      <c r="D50" s="333"/>
      <c r="F50" s="333" t="s">
        <v>251</v>
      </c>
      <c r="G50" s="333"/>
    </row>
    <row r="51" spans="2:7">
      <c r="B51" s="25"/>
      <c r="C51" s="333" t="s">
        <v>252</v>
      </c>
      <c r="D51" s="333"/>
      <c r="F51" s="333" t="s">
        <v>253</v>
      </c>
      <c r="G51" s="333"/>
    </row>
    <row r="52" spans="2:7">
      <c r="B52" s="25"/>
      <c r="C52" s="333" t="s">
        <v>252</v>
      </c>
      <c r="D52" s="333"/>
      <c r="F52" s="333" t="s">
        <v>254</v>
      </c>
      <c r="G52" s="333"/>
    </row>
    <row r="53" spans="2:7">
      <c r="B53" s="25"/>
      <c r="C53" s="333" t="s">
        <v>252</v>
      </c>
      <c r="D53" s="333"/>
      <c r="F53" s="333" t="s">
        <v>255</v>
      </c>
      <c r="G53" s="333"/>
    </row>
    <row r="54" spans="2:7">
      <c r="B54" s="25"/>
      <c r="C54" s="333" t="s">
        <v>256</v>
      </c>
      <c r="D54" s="333"/>
      <c r="F54" s="333" t="s">
        <v>218</v>
      </c>
      <c r="G54" s="333"/>
    </row>
    <row r="55" spans="2:7">
      <c r="B55" s="25"/>
      <c r="C55" s="333" t="s">
        <v>256</v>
      </c>
      <c r="D55" s="333"/>
      <c r="F55" s="333" t="s">
        <v>257</v>
      </c>
      <c r="G55" s="333"/>
    </row>
    <row r="56" spans="2:7">
      <c r="B56" s="25"/>
      <c r="C56" s="333" t="s">
        <v>249</v>
      </c>
      <c r="D56" s="333"/>
      <c r="F56" s="333" t="s">
        <v>258</v>
      </c>
      <c r="G56" s="333"/>
    </row>
    <row r="57" spans="2:7">
      <c r="B57" s="25"/>
      <c r="C57" s="333" t="s">
        <v>249</v>
      </c>
      <c r="D57" s="333"/>
      <c r="F57" s="333" t="s">
        <v>259</v>
      </c>
      <c r="G57" s="333"/>
    </row>
    <row r="58" spans="2:7">
      <c r="B58" s="25"/>
      <c r="C58" s="333" t="s">
        <v>207</v>
      </c>
      <c r="D58" s="333"/>
      <c r="F58" s="333" t="s">
        <v>215</v>
      </c>
      <c r="G58" s="333"/>
    </row>
    <row r="59" spans="2:7">
      <c r="B59" s="25"/>
      <c r="C59" s="333" t="s">
        <v>207</v>
      </c>
      <c r="D59" s="333"/>
      <c r="F59" s="333" t="s">
        <v>260</v>
      </c>
      <c r="G59" s="333"/>
    </row>
    <row r="60" spans="2:7">
      <c r="B60" s="25"/>
      <c r="C60" s="333" t="s">
        <v>261</v>
      </c>
      <c r="D60" s="333"/>
      <c r="F60" s="333" t="s">
        <v>262</v>
      </c>
      <c r="G60" s="333"/>
    </row>
    <row r="61" spans="2:7">
      <c r="B61" s="25"/>
      <c r="C61" s="333" t="s">
        <v>263</v>
      </c>
      <c r="D61" s="333"/>
      <c r="F61" s="333" t="s">
        <v>264</v>
      </c>
      <c r="G61" s="333"/>
    </row>
    <row r="62" spans="2:7">
      <c r="B62" s="25"/>
      <c r="C62" s="333" t="s">
        <v>265</v>
      </c>
      <c r="D62" s="333"/>
      <c r="F62" s="333" t="s">
        <v>266</v>
      </c>
      <c r="G62" s="333"/>
    </row>
    <row r="63" spans="2:7">
      <c r="B63" s="25"/>
      <c r="C63" s="333" t="s">
        <v>267</v>
      </c>
      <c r="D63" s="333"/>
      <c r="F63" s="333" t="s">
        <v>210</v>
      </c>
      <c r="G63" s="333"/>
    </row>
    <row r="64" spans="2:7">
      <c r="B64" s="25"/>
      <c r="C64" s="333" t="s">
        <v>267</v>
      </c>
      <c r="D64" s="333"/>
      <c r="F64" s="333" t="s">
        <v>268</v>
      </c>
      <c r="G64" s="333"/>
    </row>
    <row r="65" spans="2:7">
      <c r="B65" s="25"/>
      <c r="C65" s="333" t="s">
        <v>269</v>
      </c>
      <c r="D65" s="333"/>
      <c r="F65" s="333" t="s">
        <v>270</v>
      </c>
      <c r="G65" s="333"/>
    </row>
    <row r="66" spans="2:7">
      <c r="B66" s="25"/>
      <c r="C66" s="333" t="s">
        <v>271</v>
      </c>
      <c r="D66" s="333"/>
      <c r="F66" s="333" t="s">
        <v>272</v>
      </c>
      <c r="G66" s="333"/>
    </row>
    <row r="67" spans="2:7">
      <c r="B67" s="25"/>
      <c r="C67" s="333" t="s">
        <v>271</v>
      </c>
      <c r="D67" s="333"/>
      <c r="F67" s="333" t="s">
        <v>237</v>
      </c>
      <c r="G67" s="333"/>
    </row>
    <row r="68" spans="2:7">
      <c r="B68" s="25"/>
      <c r="C68" s="333" t="s">
        <v>273</v>
      </c>
      <c r="D68" s="333"/>
      <c r="F68" s="333" t="s">
        <v>206</v>
      </c>
      <c r="G68" s="333"/>
    </row>
    <row r="69" spans="2:7">
      <c r="B69" s="25"/>
      <c r="C69" s="333" t="s">
        <v>220</v>
      </c>
      <c r="D69" s="333"/>
      <c r="F69" s="333" t="s">
        <v>274</v>
      </c>
      <c r="G69" s="333"/>
    </row>
    <row r="70" spans="2:7">
      <c r="B70" s="25"/>
      <c r="C70" s="333" t="s">
        <v>220</v>
      </c>
      <c r="D70" s="333"/>
      <c r="F70" s="333" t="s">
        <v>275</v>
      </c>
      <c r="G70" s="333"/>
    </row>
    <row r="71" spans="2:7">
      <c r="B71" s="25"/>
      <c r="C71" s="333" t="s">
        <v>220</v>
      </c>
      <c r="D71" s="333"/>
      <c r="F71" s="333" t="s">
        <v>276</v>
      </c>
      <c r="G71" s="333"/>
    </row>
    <row r="72" spans="2:7">
      <c r="B72" s="25"/>
      <c r="C72" s="333" t="s">
        <v>220</v>
      </c>
      <c r="D72" s="333"/>
      <c r="F72" s="333" t="s">
        <v>277</v>
      </c>
      <c r="G72" s="333"/>
    </row>
    <row r="73" spans="2:7">
      <c r="B73" s="25"/>
      <c r="C73" s="333" t="s">
        <v>220</v>
      </c>
      <c r="D73" s="333"/>
      <c r="F73" s="333" t="s">
        <v>278</v>
      </c>
      <c r="G73" s="333"/>
    </row>
    <row r="74" spans="2:7">
      <c r="B74" s="25"/>
      <c r="C74" s="333" t="s">
        <v>279</v>
      </c>
      <c r="D74" s="333"/>
      <c r="F74" s="333" t="s">
        <v>280</v>
      </c>
      <c r="G74" s="333"/>
    </row>
    <row r="75" spans="2:7">
      <c r="B75" s="25"/>
      <c r="C75" s="333" t="s">
        <v>281</v>
      </c>
      <c r="D75" s="333"/>
      <c r="F75" s="333" t="s">
        <v>282</v>
      </c>
      <c r="G75" s="333"/>
    </row>
    <row r="76" spans="2:7">
      <c r="B76" s="25"/>
      <c r="C76" s="333" t="s">
        <v>283</v>
      </c>
      <c r="D76" s="333"/>
      <c r="F76" s="333" t="s">
        <v>220</v>
      </c>
      <c r="G76" s="333"/>
    </row>
    <row r="77" spans="2:7">
      <c r="B77" s="25"/>
      <c r="C77" s="333" t="s">
        <v>284</v>
      </c>
      <c r="D77" s="333"/>
      <c r="F77" s="333" t="s">
        <v>285</v>
      </c>
      <c r="G77" s="333"/>
    </row>
    <row r="78" spans="2:7">
      <c r="B78" s="25"/>
      <c r="C78" s="333" t="s">
        <v>286</v>
      </c>
      <c r="D78" s="333"/>
      <c r="F78" s="333" t="s">
        <v>243</v>
      </c>
      <c r="G78" s="333"/>
    </row>
    <row r="79" spans="2:7">
      <c r="B79" s="25"/>
      <c r="C79" s="333" t="s">
        <v>287</v>
      </c>
      <c r="D79" s="333"/>
      <c r="F79" s="333" t="s">
        <v>220</v>
      </c>
      <c r="G79" s="333"/>
    </row>
    <row r="80" spans="2:7">
      <c r="B80" s="25"/>
      <c r="C80" s="333" t="s">
        <v>288</v>
      </c>
      <c r="D80" s="333"/>
      <c r="F80" s="333" t="s">
        <v>237</v>
      </c>
      <c r="G80" s="333"/>
    </row>
    <row r="81" spans="2:7">
      <c r="B81" s="25"/>
      <c r="C81" s="333" t="s">
        <v>289</v>
      </c>
      <c r="D81" s="333"/>
      <c r="F81" s="333" t="s">
        <v>290</v>
      </c>
      <c r="G81" s="333"/>
    </row>
    <row r="82" spans="2:7">
      <c r="B82" s="25"/>
      <c r="C82" s="333" t="s">
        <v>289</v>
      </c>
      <c r="D82" s="333"/>
      <c r="F82" s="333" t="s">
        <v>291</v>
      </c>
      <c r="G82" s="333"/>
    </row>
    <row r="83" spans="2:7">
      <c r="B83" s="25"/>
      <c r="C83" s="333" t="s">
        <v>289</v>
      </c>
      <c r="D83" s="333"/>
      <c r="F83" s="333" t="s">
        <v>292</v>
      </c>
      <c r="G83" s="333"/>
    </row>
    <row r="84" spans="2:7">
      <c r="B84" s="25"/>
      <c r="C84" s="333" t="s">
        <v>293</v>
      </c>
      <c r="D84" s="333"/>
      <c r="F84" s="333" t="s">
        <v>294</v>
      </c>
      <c r="G84" s="333"/>
    </row>
    <row r="85" spans="2:7">
      <c r="B85" s="25"/>
      <c r="C85" s="333" t="s">
        <v>295</v>
      </c>
      <c r="D85" s="333"/>
      <c r="F85" s="333" t="s">
        <v>246</v>
      </c>
      <c r="G85" s="333"/>
    </row>
    <row r="86" spans="2:7">
      <c r="B86" s="25"/>
      <c r="C86" s="333" t="s">
        <v>296</v>
      </c>
      <c r="D86" s="333"/>
      <c r="F86" s="333" t="s">
        <v>297</v>
      </c>
      <c r="G86" s="333"/>
    </row>
    <row r="87" spans="2:7">
      <c r="B87" s="25"/>
      <c r="C87" s="333" t="s">
        <v>296</v>
      </c>
      <c r="D87" s="333"/>
      <c r="F87" s="333" t="s">
        <v>206</v>
      </c>
      <c r="G87" s="333"/>
    </row>
    <row r="88" spans="2:7">
      <c r="B88" s="25"/>
      <c r="C88" s="333" t="s">
        <v>298</v>
      </c>
      <c r="D88" s="333"/>
      <c r="F88" s="333" t="s">
        <v>215</v>
      </c>
      <c r="G88" s="333"/>
    </row>
    <row r="89" spans="2:7">
      <c r="B89" s="25"/>
      <c r="C89" s="333" t="s">
        <v>298</v>
      </c>
      <c r="D89" s="333"/>
      <c r="F89" s="333" t="s">
        <v>299</v>
      </c>
      <c r="G89" s="333"/>
    </row>
    <row r="90" spans="2:7">
      <c r="B90" s="25"/>
      <c r="C90" s="333" t="s">
        <v>276</v>
      </c>
      <c r="D90" s="333"/>
      <c r="F90" s="333" t="s">
        <v>270</v>
      </c>
      <c r="G90" s="333"/>
    </row>
    <row r="91" spans="2:7">
      <c r="B91" s="25"/>
      <c r="C91" s="333" t="s">
        <v>300</v>
      </c>
      <c r="D91" s="333"/>
      <c r="F91" s="333" t="s">
        <v>222</v>
      </c>
      <c r="G91" s="333"/>
    </row>
    <row r="92" spans="2:7">
      <c r="B92" s="25"/>
      <c r="C92" s="333" t="s">
        <v>300</v>
      </c>
      <c r="D92" s="333"/>
      <c r="F92" s="333" t="s">
        <v>301</v>
      </c>
      <c r="G92" s="333"/>
    </row>
    <row r="93" spans="2:7">
      <c r="B93" s="25"/>
      <c r="C93" s="333" t="s">
        <v>245</v>
      </c>
      <c r="D93" s="333"/>
      <c r="F93" s="333" t="s">
        <v>302</v>
      </c>
      <c r="G93" s="333"/>
    </row>
    <row r="94" spans="2:7">
      <c r="B94" s="25"/>
      <c r="C94" s="333" t="s">
        <v>303</v>
      </c>
      <c r="D94" s="333"/>
      <c r="F94" s="333" t="s">
        <v>267</v>
      </c>
      <c r="G94" s="333"/>
    </row>
    <row r="95" spans="2:7">
      <c r="B95" s="25"/>
      <c r="C95" s="333" t="s">
        <v>303</v>
      </c>
      <c r="D95" s="333"/>
      <c r="F95" s="333" t="s">
        <v>304</v>
      </c>
      <c r="G95" s="333"/>
    </row>
    <row r="96" spans="2:7">
      <c r="B96" s="25"/>
      <c r="C96" s="333" t="s">
        <v>305</v>
      </c>
      <c r="D96" s="333"/>
      <c r="F96" s="333" t="s">
        <v>306</v>
      </c>
      <c r="G96" s="333"/>
    </row>
    <row r="97" spans="2:7">
      <c r="B97" s="25"/>
      <c r="C97" s="333" t="s">
        <v>248</v>
      </c>
      <c r="D97" s="333"/>
      <c r="F97" s="333" t="s">
        <v>217</v>
      </c>
      <c r="G97" s="333"/>
    </row>
    <row r="98" spans="2:7">
      <c r="B98" s="25"/>
      <c r="C98" s="333" t="s">
        <v>307</v>
      </c>
      <c r="D98" s="333"/>
      <c r="F98" s="333" t="s">
        <v>308</v>
      </c>
      <c r="G98" s="333"/>
    </row>
    <row r="99" spans="2:7">
      <c r="B99" s="25"/>
      <c r="C99" s="333" t="s">
        <v>240</v>
      </c>
      <c r="D99" s="333"/>
      <c r="F99" s="333" t="s">
        <v>309</v>
      </c>
      <c r="G99" s="333"/>
    </row>
    <row r="100" spans="2:7">
      <c r="B100" s="25"/>
      <c r="C100" s="333" t="s">
        <v>240</v>
      </c>
      <c r="D100" s="333"/>
      <c r="F100" s="333" t="s">
        <v>267</v>
      </c>
      <c r="G100" s="333"/>
    </row>
    <row r="101" spans="2:7">
      <c r="B101" s="25"/>
      <c r="C101" s="333" t="s">
        <v>310</v>
      </c>
      <c r="D101" s="333"/>
      <c r="F101" s="333" t="s">
        <v>255</v>
      </c>
      <c r="G101" s="333"/>
    </row>
    <row r="102" spans="2:7">
      <c r="B102" s="25"/>
      <c r="C102" s="333" t="s">
        <v>311</v>
      </c>
      <c r="D102" s="333"/>
      <c r="F102" s="333" t="s">
        <v>298</v>
      </c>
      <c r="G102" s="333"/>
    </row>
    <row r="103" spans="2:7">
      <c r="B103" s="25"/>
      <c r="C103" s="333" t="s">
        <v>311</v>
      </c>
      <c r="D103" s="333"/>
      <c r="F103" s="333" t="s">
        <v>266</v>
      </c>
      <c r="G103" s="333"/>
    </row>
    <row r="104" spans="2:7">
      <c r="B104" s="25"/>
      <c r="C104" s="333" t="s">
        <v>311</v>
      </c>
      <c r="D104" s="333"/>
      <c r="F104" s="333" t="s">
        <v>312</v>
      </c>
      <c r="G104" s="333"/>
    </row>
    <row r="105" spans="2:7">
      <c r="B105" s="25"/>
      <c r="C105" s="333" t="s">
        <v>313</v>
      </c>
      <c r="D105" s="333"/>
      <c r="F105" s="333" t="s">
        <v>314</v>
      </c>
      <c r="G105" s="333"/>
    </row>
    <row r="106" spans="2:7">
      <c r="B106" s="25"/>
      <c r="C106" s="333" t="s">
        <v>231</v>
      </c>
      <c r="D106" s="333"/>
      <c r="F106" s="333" t="s">
        <v>258</v>
      </c>
      <c r="G106" s="333"/>
    </row>
    <row r="107" spans="2:7">
      <c r="B107" s="25"/>
      <c r="C107" s="333" t="s">
        <v>231</v>
      </c>
      <c r="D107" s="333"/>
      <c r="F107" s="333" t="s">
        <v>290</v>
      </c>
      <c r="G107" s="333"/>
    </row>
    <row r="108" spans="2:7">
      <c r="B108" s="25"/>
      <c r="C108" s="333" t="s">
        <v>315</v>
      </c>
      <c r="D108" s="333"/>
      <c r="F108" s="333" t="s">
        <v>316</v>
      </c>
      <c r="G108" s="333"/>
    </row>
    <row r="109" spans="2:7">
      <c r="B109" s="25"/>
      <c r="C109" s="333" t="s">
        <v>282</v>
      </c>
      <c r="D109" s="333"/>
      <c r="F109" s="333" t="s">
        <v>252</v>
      </c>
      <c r="G109" s="333"/>
    </row>
    <row r="110" spans="2:7">
      <c r="B110" s="25"/>
      <c r="C110" s="333" t="s">
        <v>317</v>
      </c>
      <c r="D110" s="333"/>
      <c r="F110" s="333" t="s">
        <v>223</v>
      </c>
      <c r="G110" s="333"/>
    </row>
    <row r="111" spans="2:7">
      <c r="B111" s="25"/>
      <c r="C111" s="333" t="s">
        <v>318</v>
      </c>
      <c r="D111" s="333"/>
      <c r="F111" s="333" t="s">
        <v>319</v>
      </c>
      <c r="G111" s="333"/>
    </row>
    <row r="112" spans="2:7">
      <c r="B112" s="25"/>
      <c r="C112" s="333" t="s">
        <v>320</v>
      </c>
      <c r="D112" s="333"/>
      <c r="F112" s="333" t="s">
        <v>321</v>
      </c>
      <c r="G112" s="333"/>
    </row>
    <row r="113" spans="2:7">
      <c r="B113" s="25"/>
      <c r="C113" s="333" t="s">
        <v>322</v>
      </c>
      <c r="D113" s="333"/>
      <c r="F113" s="333" t="s">
        <v>208</v>
      </c>
      <c r="G113" s="333"/>
    </row>
    <row r="114" spans="2:7">
      <c r="B114" s="25"/>
      <c r="C114" s="333" t="s">
        <v>235</v>
      </c>
      <c r="D114" s="333"/>
      <c r="F114" s="333" t="s">
        <v>323</v>
      </c>
      <c r="G114" s="333"/>
    </row>
    <row r="115" spans="2:7">
      <c r="B115" s="25"/>
      <c r="C115" s="333" t="s">
        <v>235</v>
      </c>
      <c r="D115" s="333"/>
      <c r="F115" s="333" t="s">
        <v>324</v>
      </c>
      <c r="G115" s="333"/>
    </row>
    <row r="116" spans="2:7">
      <c r="B116" s="25"/>
      <c r="C116" s="333" t="s">
        <v>235</v>
      </c>
      <c r="D116" s="333"/>
      <c r="F116" s="333" t="s">
        <v>325</v>
      </c>
      <c r="G116" s="333"/>
    </row>
    <row r="117" spans="2:7">
      <c r="B117" s="25"/>
      <c r="C117" s="333" t="s">
        <v>326</v>
      </c>
      <c r="D117" s="333"/>
      <c r="F117" s="333" t="s">
        <v>258</v>
      </c>
      <c r="G117" s="333"/>
    </row>
    <row r="118" spans="2:7">
      <c r="B118" s="25"/>
      <c r="C118" s="333" t="s">
        <v>327</v>
      </c>
      <c r="D118" s="333"/>
      <c r="F118" s="333" t="s">
        <v>240</v>
      </c>
      <c r="G118" s="333"/>
    </row>
    <row r="119" spans="2:7">
      <c r="B119" s="25"/>
      <c r="C119" s="333" t="s">
        <v>328</v>
      </c>
      <c r="D119" s="333"/>
      <c r="F119" s="333" t="s">
        <v>217</v>
      </c>
      <c r="G119" s="333"/>
    </row>
    <row r="120" spans="2:7">
      <c r="B120" s="25"/>
      <c r="C120" s="333" t="s">
        <v>328</v>
      </c>
      <c r="D120" s="333"/>
      <c r="F120" s="333" t="s">
        <v>327</v>
      </c>
      <c r="G120" s="333"/>
    </row>
    <row r="121" spans="2:7">
      <c r="B121" s="25"/>
      <c r="C121" s="333" t="s">
        <v>328</v>
      </c>
      <c r="D121" s="333"/>
      <c r="F121" s="333" t="s">
        <v>271</v>
      </c>
      <c r="G121" s="333"/>
    </row>
    <row r="122" spans="2:7">
      <c r="B122" s="25"/>
      <c r="C122" s="333" t="s">
        <v>328</v>
      </c>
      <c r="D122" s="333"/>
      <c r="F122" s="333" t="s">
        <v>329</v>
      </c>
      <c r="G122" s="333"/>
    </row>
    <row r="123" spans="2:7">
      <c r="B123" s="25"/>
      <c r="C123" s="333" t="s">
        <v>239</v>
      </c>
      <c r="D123" s="333"/>
      <c r="F123" s="333" t="s">
        <v>242</v>
      </c>
      <c r="G123" s="333"/>
    </row>
    <row r="124" spans="2:7">
      <c r="B124" s="25"/>
      <c r="C124" s="333" t="s">
        <v>227</v>
      </c>
      <c r="D124" s="333"/>
      <c r="F124" s="333" t="s">
        <v>328</v>
      </c>
      <c r="G124" s="333"/>
    </row>
    <row r="125" spans="2:7">
      <c r="B125" s="25"/>
      <c r="C125" s="333" t="s">
        <v>330</v>
      </c>
      <c r="D125" s="333"/>
      <c r="F125" s="333" t="s">
        <v>331</v>
      </c>
      <c r="G125" s="333"/>
    </row>
    <row r="126" spans="2:7">
      <c r="B126" s="25"/>
      <c r="C126" s="333" t="s">
        <v>330</v>
      </c>
      <c r="D126" s="333"/>
      <c r="F126" s="333" t="s">
        <v>269</v>
      </c>
      <c r="G126" s="333"/>
    </row>
    <row r="127" spans="2:7">
      <c r="B127" s="25"/>
      <c r="C127" s="333" t="s">
        <v>332</v>
      </c>
      <c r="D127" s="333"/>
      <c r="F127" s="333" t="s">
        <v>285</v>
      </c>
      <c r="G127" s="333"/>
    </row>
    <row r="128" spans="2:7">
      <c r="B128" s="25"/>
      <c r="C128" s="333" t="s">
        <v>333</v>
      </c>
      <c r="D128" s="333"/>
      <c r="F128" s="333" t="s">
        <v>220</v>
      </c>
      <c r="G128" s="333"/>
    </row>
    <row r="129" spans="2:7">
      <c r="B129" s="25"/>
      <c r="C129" s="333" t="s">
        <v>329</v>
      </c>
      <c r="D129" s="333"/>
      <c r="F129" s="333" t="s">
        <v>226</v>
      </c>
      <c r="G129" s="333"/>
    </row>
    <row r="130" spans="2:7">
      <c r="B130" s="25"/>
      <c r="C130" s="333" t="s">
        <v>329</v>
      </c>
      <c r="D130" s="333"/>
      <c r="F130" s="333" t="s">
        <v>334</v>
      </c>
      <c r="G130" s="333"/>
    </row>
    <row r="131" spans="2:7">
      <c r="B131" s="25"/>
      <c r="C131" s="333" t="s">
        <v>335</v>
      </c>
      <c r="D131" s="333"/>
      <c r="F131" s="333" t="s">
        <v>336</v>
      </c>
      <c r="G131" s="333"/>
    </row>
    <row r="132" spans="2:7">
      <c r="B132" s="25"/>
      <c r="C132" s="333" t="s">
        <v>337</v>
      </c>
      <c r="D132" s="333"/>
      <c r="F132" s="333" t="s">
        <v>255</v>
      </c>
      <c r="G132" s="333"/>
    </row>
    <row r="133" spans="2:7">
      <c r="B133" s="25"/>
      <c r="C133" s="333" t="s">
        <v>337</v>
      </c>
      <c r="D133" s="333"/>
      <c r="F133" s="333" t="s">
        <v>338</v>
      </c>
      <c r="G133" s="333"/>
    </row>
    <row r="134" spans="2:7">
      <c r="B134" s="25"/>
      <c r="C134" s="333" t="s">
        <v>208</v>
      </c>
      <c r="D134" s="333"/>
      <c r="F134" s="333" t="s">
        <v>286</v>
      </c>
      <c r="G134" s="333"/>
    </row>
    <row r="135" spans="2:7">
      <c r="B135" s="25"/>
      <c r="C135" s="333" t="s">
        <v>274</v>
      </c>
      <c r="D135" s="333"/>
      <c r="F135" s="333" t="s">
        <v>205</v>
      </c>
      <c r="G135" s="333"/>
    </row>
    <row r="136" spans="2:7">
      <c r="B136" s="25"/>
      <c r="C136" s="333" t="s">
        <v>274</v>
      </c>
      <c r="D136" s="333"/>
      <c r="F136" s="333" t="s">
        <v>251</v>
      </c>
      <c r="G136" s="333"/>
    </row>
    <row r="137" spans="2:7">
      <c r="B137" s="25"/>
      <c r="C137" s="333" t="s">
        <v>339</v>
      </c>
      <c r="D137" s="333"/>
      <c r="F137" s="333" t="s">
        <v>307</v>
      </c>
      <c r="G137" s="333"/>
    </row>
    <row r="138" spans="2:7">
      <c r="B138" s="25"/>
      <c r="C138" s="333" t="s">
        <v>340</v>
      </c>
      <c r="D138" s="333"/>
      <c r="F138" s="333" t="s">
        <v>244</v>
      </c>
      <c r="G138" s="333"/>
    </row>
    <row r="139" spans="2:7">
      <c r="B139" s="25"/>
      <c r="C139" s="333" t="s">
        <v>237</v>
      </c>
      <c r="D139" s="333"/>
      <c r="F139" s="333" t="s">
        <v>266</v>
      </c>
      <c r="G139" s="333"/>
    </row>
    <row r="140" spans="2:7">
      <c r="B140" s="25"/>
      <c r="C140" s="333" t="s">
        <v>242</v>
      </c>
      <c r="D140" s="333"/>
      <c r="F140" s="333" t="s">
        <v>209</v>
      </c>
      <c r="G140" s="333"/>
    </row>
    <row r="141" spans="2:7">
      <c r="B141" s="25"/>
      <c r="C141" s="333" t="s">
        <v>341</v>
      </c>
      <c r="D141" s="333"/>
      <c r="F141" s="333" t="s">
        <v>342</v>
      </c>
      <c r="G141" s="333"/>
    </row>
    <row r="142" spans="2:7">
      <c r="B142" s="25"/>
      <c r="C142" s="333" t="s">
        <v>341</v>
      </c>
      <c r="D142" s="333"/>
      <c r="F142" s="333" t="s">
        <v>285</v>
      </c>
      <c r="G142" s="333"/>
    </row>
    <row r="143" spans="2:7">
      <c r="B143" s="25"/>
      <c r="C143" s="333" t="s">
        <v>341</v>
      </c>
      <c r="D143" s="333"/>
      <c r="F143" s="333" t="s">
        <v>343</v>
      </c>
      <c r="G143" s="333"/>
    </row>
    <row r="144" spans="2:7">
      <c r="B144" s="25"/>
      <c r="C144" s="333" t="s">
        <v>344</v>
      </c>
      <c r="D144" s="333"/>
      <c r="F144" s="333" t="s">
        <v>345</v>
      </c>
      <c r="G144" s="333"/>
    </row>
    <row r="145" spans="2:7">
      <c r="B145" s="25"/>
      <c r="C145" s="333" t="s">
        <v>343</v>
      </c>
      <c r="D145" s="333"/>
      <c r="F145" s="333" t="s">
        <v>238</v>
      </c>
      <c r="G145" s="333"/>
    </row>
    <row r="146" spans="2:7">
      <c r="B146" s="25"/>
      <c r="C146" s="333" t="s">
        <v>343</v>
      </c>
      <c r="D146" s="333"/>
      <c r="F146" s="333" t="s">
        <v>346</v>
      </c>
      <c r="G146" s="333"/>
    </row>
    <row r="147" spans="2:7">
      <c r="B147" s="25"/>
      <c r="C147" s="333" t="s">
        <v>343</v>
      </c>
      <c r="D147" s="333"/>
      <c r="F147" s="333" t="s">
        <v>347</v>
      </c>
      <c r="G147" s="333"/>
    </row>
    <row r="148" spans="2:7">
      <c r="B148" s="25"/>
      <c r="C148" s="333" t="s">
        <v>348</v>
      </c>
      <c r="D148" s="333"/>
      <c r="F148" s="333" t="s">
        <v>305</v>
      </c>
      <c r="G148" s="333"/>
    </row>
    <row r="149" spans="2:7">
      <c r="B149" s="25"/>
      <c r="C149" s="333" t="s">
        <v>348</v>
      </c>
      <c r="D149" s="333"/>
      <c r="F149" s="333" t="s">
        <v>228</v>
      </c>
      <c r="G149" s="333"/>
    </row>
    <row r="150" spans="2:7">
      <c r="B150" s="25"/>
      <c r="C150" s="333" t="s">
        <v>348</v>
      </c>
      <c r="D150" s="333"/>
      <c r="F150" s="333" t="s">
        <v>320</v>
      </c>
      <c r="G150" s="333"/>
    </row>
    <row r="151" spans="2:7">
      <c r="B151" s="25"/>
      <c r="C151" s="333" t="s">
        <v>278</v>
      </c>
      <c r="D151" s="333"/>
      <c r="F151" s="333" t="s">
        <v>335</v>
      </c>
      <c r="G151" s="333"/>
    </row>
    <row r="152" spans="2:7">
      <c r="B152" s="25"/>
      <c r="C152" s="333" t="s">
        <v>278</v>
      </c>
      <c r="D152" s="333"/>
      <c r="F152" s="333" t="s">
        <v>233</v>
      </c>
      <c r="G152" s="333"/>
    </row>
    <row r="153" spans="2:7">
      <c r="B153" s="25"/>
      <c r="C153" s="333" t="s">
        <v>278</v>
      </c>
      <c r="D153" s="333"/>
      <c r="F153" s="333" t="s">
        <v>271</v>
      </c>
      <c r="G153" s="333"/>
    </row>
    <row r="154" spans="2:7">
      <c r="B154" s="25"/>
      <c r="C154" s="333" t="s">
        <v>349</v>
      </c>
      <c r="D154" s="333"/>
      <c r="F154" s="333" t="s">
        <v>219</v>
      </c>
      <c r="G154" s="333"/>
    </row>
    <row r="155" spans="2:7">
      <c r="B155" s="25"/>
      <c r="C155" s="333" t="s">
        <v>323</v>
      </c>
      <c r="D155" s="333"/>
      <c r="F155" s="333" t="s">
        <v>337</v>
      </c>
      <c r="G155" s="333"/>
    </row>
    <row r="156" spans="2:7">
      <c r="B156" s="25"/>
      <c r="C156" s="333" t="s">
        <v>350</v>
      </c>
      <c r="D156" s="333"/>
      <c r="F156" s="333" t="s">
        <v>333</v>
      </c>
      <c r="G156" s="333"/>
    </row>
    <row r="157" spans="2:7">
      <c r="B157" s="25"/>
      <c r="C157" s="333" t="s">
        <v>266</v>
      </c>
      <c r="D157" s="333"/>
      <c r="F157" s="333" t="s">
        <v>351</v>
      </c>
      <c r="G157" s="333"/>
    </row>
    <row r="158" spans="2:7">
      <c r="B158" s="25"/>
      <c r="C158" s="333" t="s">
        <v>266</v>
      </c>
      <c r="D158" s="333"/>
      <c r="F158" s="333" t="s">
        <v>285</v>
      </c>
      <c r="G158" s="333"/>
    </row>
    <row r="159" spans="2:7">
      <c r="B159" s="25"/>
      <c r="C159" s="333" t="s">
        <v>209</v>
      </c>
      <c r="D159" s="333"/>
      <c r="F159" s="333" t="s">
        <v>237</v>
      </c>
      <c r="G159" s="333"/>
    </row>
    <row r="160" spans="2:7">
      <c r="B160" s="25"/>
      <c r="C160" s="333" t="s">
        <v>352</v>
      </c>
      <c r="D160" s="333"/>
      <c r="F160" s="333" t="s">
        <v>353</v>
      </c>
      <c r="G160" s="333"/>
    </row>
    <row r="161" spans="2:7">
      <c r="B161" s="25"/>
      <c r="C161" s="333" t="s">
        <v>216</v>
      </c>
      <c r="D161" s="333"/>
      <c r="F161" s="333" t="s">
        <v>354</v>
      </c>
      <c r="G161" s="333"/>
    </row>
    <row r="162" spans="2:7">
      <c r="B162" s="25"/>
      <c r="C162" s="333" t="s">
        <v>355</v>
      </c>
      <c r="D162" s="333"/>
      <c r="F162" s="333" t="s">
        <v>204</v>
      </c>
      <c r="G162" s="333"/>
    </row>
    <row r="163" spans="2:7">
      <c r="B163" s="25"/>
      <c r="C163" s="333" t="s">
        <v>356</v>
      </c>
      <c r="D163" s="333"/>
      <c r="F163" s="333" t="s">
        <v>343</v>
      </c>
      <c r="G163" s="333"/>
    </row>
    <row r="164" spans="2:7">
      <c r="B164" s="25"/>
      <c r="C164" s="333" t="s">
        <v>205</v>
      </c>
      <c r="D164" s="333"/>
      <c r="F164" s="333" t="s">
        <v>357</v>
      </c>
      <c r="G164" s="333"/>
    </row>
    <row r="165" spans="2:7">
      <c r="B165" s="25"/>
      <c r="C165" s="333" t="s">
        <v>205</v>
      </c>
      <c r="D165" s="333"/>
      <c r="F165" s="333" t="s">
        <v>205</v>
      </c>
      <c r="G165" s="333"/>
    </row>
    <row r="166" spans="2:7">
      <c r="B166" s="25"/>
      <c r="C166" s="333" t="s">
        <v>205</v>
      </c>
      <c r="D166" s="333"/>
      <c r="F166" s="333" t="s">
        <v>331</v>
      </c>
      <c r="G166" s="333"/>
    </row>
    <row r="167" spans="2:7">
      <c r="B167" s="25"/>
      <c r="C167" s="333" t="s">
        <v>205</v>
      </c>
      <c r="D167" s="333"/>
      <c r="F167" s="333" t="s">
        <v>358</v>
      </c>
      <c r="G167" s="333"/>
    </row>
    <row r="168" spans="2:7">
      <c r="B168" s="25"/>
      <c r="C168" s="333" t="s">
        <v>359</v>
      </c>
      <c r="D168" s="333"/>
      <c r="F168" s="333" t="s">
        <v>255</v>
      </c>
      <c r="G168" s="333"/>
    </row>
    <row r="169" spans="2:7">
      <c r="B169" s="25"/>
      <c r="C169" s="333" t="s">
        <v>277</v>
      </c>
      <c r="D169" s="333"/>
      <c r="F169" s="333" t="s">
        <v>214</v>
      </c>
      <c r="G169" s="333"/>
    </row>
    <row r="170" spans="2:7">
      <c r="B170" s="25"/>
      <c r="C170" s="333" t="s">
        <v>277</v>
      </c>
      <c r="D170" s="333"/>
      <c r="F170" s="333" t="s">
        <v>256</v>
      </c>
      <c r="G170" s="333"/>
    </row>
    <row r="171" spans="2:7">
      <c r="B171" s="25"/>
      <c r="C171" s="333" t="s">
        <v>277</v>
      </c>
      <c r="D171" s="333"/>
      <c r="F171" s="333" t="s">
        <v>283</v>
      </c>
      <c r="G171" s="333"/>
    </row>
    <row r="172" spans="2:7">
      <c r="B172" s="25"/>
      <c r="C172" s="333" t="s">
        <v>324</v>
      </c>
      <c r="D172" s="333"/>
      <c r="F172" s="333" t="s">
        <v>360</v>
      </c>
      <c r="G172" s="333"/>
    </row>
    <row r="173" spans="2:7">
      <c r="B173" s="25"/>
      <c r="C173" s="333" t="s">
        <v>253</v>
      </c>
      <c r="D173" s="333"/>
      <c r="F173" s="333" t="s">
        <v>259</v>
      </c>
      <c r="G173" s="333"/>
    </row>
    <row r="174" spans="2:7">
      <c r="B174" s="25"/>
      <c r="C174" s="333" t="s">
        <v>361</v>
      </c>
      <c r="D174" s="333"/>
      <c r="F174" s="333" t="s">
        <v>302</v>
      </c>
      <c r="G174" s="333"/>
    </row>
    <row r="175" spans="2:7">
      <c r="B175" s="25"/>
      <c r="C175" s="333" t="s">
        <v>362</v>
      </c>
      <c r="D175" s="333"/>
      <c r="F175" s="333" t="s">
        <v>343</v>
      </c>
      <c r="G175" s="333"/>
    </row>
    <row r="176" spans="2:7">
      <c r="B176" s="25"/>
      <c r="C176" s="333" t="s">
        <v>363</v>
      </c>
      <c r="D176" s="333"/>
      <c r="F176" s="333" t="s">
        <v>346</v>
      </c>
      <c r="G176" s="333"/>
    </row>
    <row r="177" spans="2:7">
      <c r="B177" s="25"/>
      <c r="C177" s="333" t="s">
        <v>363</v>
      </c>
      <c r="D177" s="333"/>
      <c r="F177" s="333" t="s">
        <v>309</v>
      </c>
      <c r="G177" s="333"/>
    </row>
    <row r="178" spans="2:7">
      <c r="B178" s="25"/>
      <c r="C178" s="333" t="s">
        <v>363</v>
      </c>
      <c r="D178" s="333"/>
      <c r="F178" s="333" t="s">
        <v>364</v>
      </c>
      <c r="G178" s="333"/>
    </row>
    <row r="179" spans="2:7">
      <c r="B179" s="25"/>
      <c r="C179" s="333" t="s">
        <v>365</v>
      </c>
      <c r="D179" s="333"/>
      <c r="F179" s="333" t="s">
        <v>216</v>
      </c>
      <c r="G179" s="333"/>
    </row>
    <row r="180" spans="2:7">
      <c r="B180" s="25"/>
      <c r="C180" s="333" t="s">
        <v>366</v>
      </c>
      <c r="D180" s="333"/>
      <c r="F180" s="333" t="s">
        <v>311</v>
      </c>
      <c r="G180" s="333"/>
    </row>
    <row r="181" spans="2:7">
      <c r="B181" s="25"/>
      <c r="C181" s="333" t="s">
        <v>297</v>
      </c>
      <c r="D181" s="333"/>
      <c r="F181" s="333" t="s">
        <v>228</v>
      </c>
      <c r="G181" s="333"/>
    </row>
    <row r="182" spans="2:7">
      <c r="B182" s="25"/>
      <c r="C182" s="333" t="s">
        <v>297</v>
      </c>
      <c r="D182" s="333"/>
      <c r="F182" s="333" t="s">
        <v>230</v>
      </c>
      <c r="G182" s="333"/>
    </row>
    <row r="183" spans="2:7">
      <c r="B183" s="25"/>
      <c r="C183" s="333" t="s">
        <v>297</v>
      </c>
      <c r="D183" s="333"/>
      <c r="F183" s="333" t="s">
        <v>282</v>
      </c>
      <c r="G183" s="333"/>
    </row>
    <row r="184" spans="2:7">
      <c r="B184" s="25"/>
      <c r="C184" s="333" t="s">
        <v>304</v>
      </c>
      <c r="D184" s="333"/>
      <c r="F184" s="333" t="s">
        <v>277</v>
      </c>
      <c r="G184" s="333"/>
    </row>
    <row r="185" spans="2:7">
      <c r="B185" s="25"/>
      <c r="C185" s="333" t="s">
        <v>304</v>
      </c>
      <c r="D185" s="333"/>
      <c r="F185" s="333" t="s">
        <v>224</v>
      </c>
      <c r="G185" s="333"/>
    </row>
    <row r="186" spans="2:7">
      <c r="B186" s="25"/>
      <c r="C186" s="333" t="s">
        <v>367</v>
      </c>
      <c r="D186" s="333"/>
      <c r="F186" s="333" t="s">
        <v>339</v>
      </c>
      <c r="G186" s="333"/>
    </row>
    <row r="187" spans="2:7">
      <c r="B187" s="25"/>
      <c r="C187" s="333" t="s">
        <v>334</v>
      </c>
      <c r="D187" s="333"/>
      <c r="F187" s="333" t="s">
        <v>267</v>
      </c>
      <c r="G187" s="333"/>
    </row>
    <row r="188" spans="2:7">
      <c r="B188" s="25"/>
      <c r="C188" s="333" t="s">
        <v>368</v>
      </c>
      <c r="D188" s="333"/>
      <c r="F188" s="333" t="s">
        <v>331</v>
      </c>
      <c r="G188" s="333"/>
    </row>
    <row r="189" spans="2:7">
      <c r="B189" s="25"/>
      <c r="C189" s="333" t="s">
        <v>368</v>
      </c>
      <c r="D189" s="333"/>
      <c r="F189" s="333" t="s">
        <v>302</v>
      </c>
      <c r="G189" s="333"/>
    </row>
    <row r="190" spans="2:7">
      <c r="B190" s="25"/>
      <c r="C190" s="333" t="s">
        <v>369</v>
      </c>
      <c r="D190" s="333"/>
      <c r="F190" s="333" t="s">
        <v>370</v>
      </c>
      <c r="G190" s="333"/>
    </row>
    <row r="191" spans="2:7">
      <c r="B191" s="25"/>
      <c r="C191" s="333" t="s">
        <v>255</v>
      </c>
      <c r="D191" s="333"/>
      <c r="F191" s="333" t="s">
        <v>297</v>
      </c>
      <c r="G191" s="333"/>
    </row>
    <row r="192" spans="2:7">
      <c r="B192" s="25"/>
      <c r="C192" s="333" t="s">
        <v>255</v>
      </c>
      <c r="D192" s="333"/>
      <c r="F192" s="333" t="s">
        <v>225</v>
      </c>
      <c r="G192" s="333"/>
    </row>
    <row r="193" spans="2:7">
      <c r="B193" s="25"/>
      <c r="C193" s="333" t="s">
        <v>255</v>
      </c>
      <c r="D193" s="333"/>
      <c r="F193" s="333" t="s">
        <v>214</v>
      </c>
      <c r="G193" s="333"/>
    </row>
    <row r="194" spans="2:7">
      <c r="B194" s="25"/>
      <c r="C194" s="333" t="s">
        <v>336</v>
      </c>
      <c r="D194" s="333"/>
      <c r="F194" s="333" t="s">
        <v>365</v>
      </c>
      <c r="G194" s="333"/>
    </row>
    <row r="195" spans="2:7">
      <c r="B195" s="25"/>
      <c r="C195" s="333" t="s">
        <v>371</v>
      </c>
      <c r="D195" s="333"/>
      <c r="F195" s="333" t="s">
        <v>283</v>
      </c>
      <c r="G195" s="333"/>
    </row>
    <row r="196" spans="2:7">
      <c r="B196" s="25"/>
      <c r="C196" s="333" t="s">
        <v>372</v>
      </c>
      <c r="D196" s="333"/>
      <c r="F196" s="333" t="s">
        <v>268</v>
      </c>
      <c r="G196" s="333"/>
    </row>
    <row r="197" spans="2:7">
      <c r="B197" s="25"/>
      <c r="C197" s="333" t="s">
        <v>357</v>
      </c>
      <c r="D197" s="333"/>
      <c r="F197" s="333" t="s">
        <v>339</v>
      </c>
      <c r="G197" s="333"/>
    </row>
    <row r="198" spans="2:7">
      <c r="B198" s="25"/>
      <c r="C198" s="333" t="s">
        <v>357</v>
      </c>
      <c r="D198" s="333"/>
      <c r="F198" s="333" t="s">
        <v>242</v>
      </c>
      <c r="G198" s="333"/>
    </row>
    <row r="199" spans="2:7">
      <c r="B199" s="25"/>
      <c r="C199" s="333" t="s">
        <v>373</v>
      </c>
      <c r="D199" s="333"/>
      <c r="F199" s="333" t="s">
        <v>258</v>
      </c>
      <c r="G199" s="333"/>
    </row>
    <row r="200" spans="2:7">
      <c r="B200" s="25"/>
      <c r="C200" s="333" t="s">
        <v>258</v>
      </c>
      <c r="D200" s="333"/>
      <c r="F200" s="333" t="s">
        <v>339</v>
      </c>
      <c r="G200" s="333"/>
    </row>
    <row r="201" spans="2:7">
      <c r="B201" s="25"/>
      <c r="C201" s="333" t="s">
        <v>374</v>
      </c>
      <c r="D201" s="333"/>
      <c r="F201" s="333" t="s">
        <v>363</v>
      </c>
      <c r="G201" s="333"/>
    </row>
    <row r="202" spans="2:7">
      <c r="B202" s="25"/>
      <c r="C202" s="333" t="s">
        <v>290</v>
      </c>
      <c r="D202" s="333"/>
      <c r="F202" s="333" t="s">
        <v>375</v>
      </c>
      <c r="G202" s="333"/>
    </row>
    <row r="203" spans="2:7">
      <c r="B203" s="25"/>
      <c r="C203" s="333" t="s">
        <v>290</v>
      </c>
      <c r="D203" s="333"/>
      <c r="F203" s="333" t="s">
        <v>214</v>
      </c>
      <c r="G203" s="333"/>
    </row>
    <row r="204" spans="2:7">
      <c r="B204" s="25"/>
      <c r="C204" s="333" t="s">
        <v>308</v>
      </c>
      <c r="D204" s="333"/>
      <c r="F204" s="333" t="s">
        <v>364</v>
      </c>
      <c r="G204" s="333"/>
    </row>
    <row r="205" spans="2:7">
      <c r="B205" s="25"/>
      <c r="C205" s="333" t="s">
        <v>376</v>
      </c>
      <c r="D205" s="333"/>
      <c r="F205" s="333" t="s">
        <v>323</v>
      </c>
      <c r="G205" s="333"/>
    </row>
    <row r="206" spans="2:7">
      <c r="B206" s="25"/>
      <c r="C206" s="333" t="s">
        <v>275</v>
      </c>
      <c r="D206" s="333"/>
      <c r="F206" s="333" t="s">
        <v>341</v>
      </c>
      <c r="G206" s="333"/>
    </row>
    <row r="207" spans="2:7">
      <c r="B207" s="25"/>
      <c r="C207" s="333" t="s">
        <v>377</v>
      </c>
      <c r="D207" s="333"/>
      <c r="F207" s="333" t="s">
        <v>325</v>
      </c>
      <c r="G207" s="333"/>
    </row>
    <row r="208" spans="2:7">
      <c r="B208" s="25"/>
      <c r="C208" s="333" t="s">
        <v>378</v>
      </c>
      <c r="D208" s="333"/>
      <c r="F208" s="333" t="s">
        <v>326</v>
      </c>
      <c r="G208" s="333"/>
    </row>
    <row r="209" spans="2:7">
      <c r="B209" s="25"/>
      <c r="C209" s="333" t="s">
        <v>251</v>
      </c>
      <c r="D209" s="333"/>
      <c r="F209" s="333" t="s">
        <v>328</v>
      </c>
      <c r="G209" s="333"/>
    </row>
    <row r="210" spans="2:7">
      <c r="B210" s="25"/>
      <c r="C210" s="333" t="s">
        <v>251</v>
      </c>
      <c r="D210" s="333"/>
      <c r="F210" s="333" t="s">
        <v>266</v>
      </c>
      <c r="G210" s="333"/>
    </row>
    <row r="211" spans="2:7">
      <c r="B211" s="25"/>
      <c r="C211" s="333" t="s">
        <v>379</v>
      </c>
      <c r="D211" s="333"/>
      <c r="F211" s="333" t="s">
        <v>264</v>
      </c>
      <c r="G211" s="333"/>
    </row>
    <row r="212" spans="2:7">
      <c r="B212" s="25"/>
      <c r="C212" s="333" t="s">
        <v>380</v>
      </c>
      <c r="D212" s="333"/>
      <c r="F212" s="333" t="s">
        <v>207</v>
      </c>
      <c r="G212" s="333"/>
    </row>
    <row r="213" spans="2:7">
      <c r="B213" s="25"/>
      <c r="C213" s="333" t="s">
        <v>358</v>
      </c>
      <c r="D213" s="333"/>
      <c r="F213" s="333" t="s">
        <v>275</v>
      </c>
      <c r="G213" s="333"/>
    </row>
    <row r="214" spans="2:7">
      <c r="B214" s="25"/>
      <c r="C214" s="333" t="s">
        <v>358</v>
      </c>
      <c r="D214" s="333"/>
      <c r="F214" s="333" t="s">
        <v>248</v>
      </c>
      <c r="G214" s="333"/>
    </row>
    <row r="215" spans="2:7">
      <c r="B215" s="25"/>
      <c r="C215" s="333" t="s">
        <v>358</v>
      </c>
      <c r="D215" s="333"/>
      <c r="F215" s="333" t="s">
        <v>217</v>
      </c>
      <c r="G215" s="333"/>
    </row>
    <row r="216" spans="2:7">
      <c r="B216" s="25"/>
      <c r="C216" s="333" t="s">
        <v>291</v>
      </c>
      <c r="D216" s="333"/>
      <c r="F216" s="333" t="s">
        <v>345</v>
      </c>
      <c r="G216" s="333"/>
    </row>
    <row r="217" spans="2:7">
      <c r="B217" s="25"/>
      <c r="C217" s="333" t="s">
        <v>381</v>
      </c>
      <c r="D217" s="333"/>
      <c r="F217" s="333" t="s">
        <v>207</v>
      </c>
      <c r="G217" s="333"/>
    </row>
    <row r="218" spans="2:7">
      <c r="B218" s="25"/>
      <c r="C218" s="333" t="s">
        <v>244</v>
      </c>
      <c r="D218" s="333"/>
      <c r="F218" s="333" t="s">
        <v>224</v>
      </c>
      <c r="G218" s="333"/>
    </row>
    <row r="219" spans="2:7">
      <c r="B219" s="25"/>
      <c r="C219" s="333" t="s">
        <v>244</v>
      </c>
      <c r="D219" s="333"/>
      <c r="F219" s="333" t="s">
        <v>348</v>
      </c>
      <c r="G219" s="333"/>
    </row>
    <row r="220" spans="2:7">
      <c r="B220" s="25"/>
      <c r="C220" s="333" t="s">
        <v>244</v>
      </c>
      <c r="D220" s="333"/>
      <c r="F220" s="333" t="s">
        <v>382</v>
      </c>
      <c r="G220" s="333"/>
    </row>
    <row r="221" spans="2:7">
      <c r="B221" s="25"/>
      <c r="C221" s="333" t="s">
        <v>345</v>
      </c>
      <c r="D221" s="333"/>
      <c r="F221" s="333" t="s">
        <v>336</v>
      </c>
      <c r="G221" s="333"/>
    </row>
    <row r="222" spans="2:7">
      <c r="B222" s="25"/>
      <c r="C222" s="333" t="s">
        <v>345</v>
      </c>
      <c r="D222" s="333"/>
      <c r="F222" s="333" t="s">
        <v>324</v>
      </c>
      <c r="G222" s="333"/>
    </row>
    <row r="223" spans="2:7">
      <c r="B223" s="25"/>
      <c r="C223" s="333" t="s">
        <v>224</v>
      </c>
      <c r="D223" s="333"/>
      <c r="F223" s="333" t="s">
        <v>278</v>
      </c>
      <c r="G223" s="333"/>
    </row>
    <row r="224" spans="2:7">
      <c r="B224" s="25"/>
      <c r="C224" s="333" t="s">
        <v>224</v>
      </c>
      <c r="D224" s="333"/>
      <c r="F224" s="333" t="s">
        <v>294</v>
      </c>
      <c r="G224" s="333"/>
    </row>
    <row r="225" spans="2:7">
      <c r="B225" s="25"/>
      <c r="C225" s="333" t="s">
        <v>383</v>
      </c>
      <c r="D225" s="333"/>
      <c r="F225" s="333" t="s">
        <v>285</v>
      </c>
      <c r="G225" s="333"/>
    </row>
    <row r="226" spans="2:7">
      <c r="B226" s="25"/>
      <c r="C226" s="333" t="s">
        <v>268</v>
      </c>
      <c r="D226" s="333"/>
      <c r="F226" s="333" t="s">
        <v>236</v>
      </c>
      <c r="G226" s="333"/>
    </row>
    <row r="227" spans="2:7">
      <c r="B227" s="25"/>
      <c r="C227" s="333" t="s">
        <v>268</v>
      </c>
      <c r="D227" s="333"/>
      <c r="F227" s="333" t="s">
        <v>357</v>
      </c>
      <c r="G227" s="333"/>
    </row>
    <row r="228" spans="2:7">
      <c r="B228" s="25"/>
      <c r="C228" s="333" t="s">
        <v>354</v>
      </c>
      <c r="D228" s="333"/>
      <c r="F228" s="333" t="s">
        <v>247</v>
      </c>
      <c r="G228" s="333"/>
    </row>
    <row r="229" spans="2:7">
      <c r="B229" s="25"/>
      <c r="C229" s="333" t="s">
        <v>384</v>
      </c>
      <c r="D229" s="333"/>
      <c r="F229" s="333" t="s">
        <v>274</v>
      </c>
      <c r="G229" s="333"/>
    </row>
    <row r="230" spans="2:7">
      <c r="B230" s="25"/>
      <c r="C230" s="333" t="s">
        <v>385</v>
      </c>
      <c r="D230" s="333"/>
      <c r="F230" s="333" t="s">
        <v>251</v>
      </c>
      <c r="G230" s="333"/>
    </row>
    <row r="231" spans="2:7">
      <c r="B231" s="25"/>
      <c r="C231" s="333" t="s">
        <v>259</v>
      </c>
      <c r="D231" s="333"/>
      <c r="F231" s="333" t="s">
        <v>310</v>
      </c>
      <c r="G231" s="333"/>
    </row>
    <row r="232" spans="2:7">
      <c r="B232" s="25"/>
      <c r="C232" s="333" t="s">
        <v>259</v>
      </c>
      <c r="D232" s="333"/>
      <c r="F232" s="333" t="s">
        <v>208</v>
      </c>
      <c r="G232" s="333"/>
    </row>
    <row r="233" spans="2:7">
      <c r="B233" s="25"/>
      <c r="C233" s="333" t="s">
        <v>386</v>
      </c>
      <c r="D233" s="333"/>
      <c r="F233" s="333" t="s">
        <v>230</v>
      </c>
      <c r="G233" s="333"/>
    </row>
    <row r="234" spans="2:7">
      <c r="B234" s="25"/>
      <c r="C234" s="333" t="s">
        <v>387</v>
      </c>
      <c r="D234" s="333"/>
      <c r="F234" s="333" t="s">
        <v>238</v>
      </c>
      <c r="G234" s="333"/>
    </row>
    <row r="235" spans="2:7">
      <c r="C235" s="333" t="s">
        <v>218</v>
      </c>
      <c r="D235" s="333"/>
      <c r="F235" s="333" t="s">
        <v>328</v>
      </c>
      <c r="G235" s="333"/>
    </row>
    <row r="236" spans="2:7">
      <c r="C236" s="333" t="s">
        <v>388</v>
      </c>
      <c r="D236" s="333"/>
      <c r="F236" s="333" t="s">
        <v>389</v>
      </c>
      <c r="G236" s="333"/>
    </row>
    <row r="237" spans="2:7">
      <c r="C237" s="333" t="s">
        <v>214</v>
      </c>
      <c r="D237" s="333"/>
      <c r="F237" s="333" t="s">
        <v>210</v>
      </c>
      <c r="G237" s="333"/>
    </row>
    <row r="238" spans="2:7">
      <c r="C238" s="333" t="s">
        <v>280</v>
      </c>
      <c r="D238" s="333"/>
      <c r="F238" s="333" t="s">
        <v>363</v>
      </c>
      <c r="G238" s="333"/>
    </row>
    <row r="239" spans="2:7">
      <c r="C239" s="333" t="s">
        <v>390</v>
      </c>
      <c r="D239" s="333"/>
      <c r="F239" s="333" t="s">
        <v>391</v>
      </c>
      <c r="G239" s="333"/>
    </row>
    <row r="240" spans="2:7">
      <c r="C240" s="333" t="s">
        <v>392</v>
      </c>
      <c r="D240" s="333"/>
      <c r="F240" s="333" t="s">
        <v>393</v>
      </c>
      <c r="G240" s="333"/>
    </row>
    <row r="241" spans="3:7">
      <c r="C241" s="333" t="s">
        <v>394</v>
      </c>
      <c r="D241" s="333"/>
      <c r="F241" s="333" t="s">
        <v>394</v>
      </c>
      <c r="G241" s="333"/>
    </row>
    <row r="242" spans="3:7">
      <c r="C242" s="333" t="s">
        <v>395</v>
      </c>
      <c r="D242" s="333"/>
      <c r="F242" s="333" t="s">
        <v>358</v>
      </c>
      <c r="G242" s="333"/>
    </row>
    <row r="243" spans="3:7">
      <c r="C243" s="333" t="s">
        <v>292</v>
      </c>
      <c r="D243" s="333"/>
      <c r="F243" s="333" t="s">
        <v>257</v>
      </c>
      <c r="G243" s="333"/>
    </row>
    <row r="244" spans="3:7">
      <c r="C244" s="333" t="s">
        <v>292</v>
      </c>
      <c r="D244" s="333"/>
      <c r="F244" s="333" t="s">
        <v>323</v>
      </c>
      <c r="G244" s="333"/>
    </row>
    <row r="245" spans="3:7">
      <c r="C245" s="333" t="s">
        <v>346</v>
      </c>
      <c r="D245" s="333"/>
      <c r="F245" s="333" t="s">
        <v>205</v>
      </c>
      <c r="G245" s="333"/>
    </row>
    <row r="246" spans="3:7">
      <c r="C246" s="333" t="s">
        <v>342</v>
      </c>
      <c r="D246" s="333"/>
      <c r="F246" s="333" t="s">
        <v>267</v>
      </c>
      <c r="G246" s="333"/>
    </row>
    <row r="247" spans="3:7">
      <c r="C247" s="333" t="s">
        <v>396</v>
      </c>
      <c r="D247" s="333"/>
      <c r="F247" s="333" t="s">
        <v>260</v>
      </c>
      <c r="G247" s="333"/>
    </row>
    <row r="248" spans="3:7">
      <c r="C248" s="333" t="s">
        <v>325</v>
      </c>
      <c r="D248" s="333"/>
      <c r="F248" s="333" t="s">
        <v>285</v>
      </c>
      <c r="G248" s="333"/>
    </row>
    <row r="249" spans="3:7">
      <c r="C249" s="333" t="s">
        <v>325</v>
      </c>
      <c r="D249" s="333"/>
      <c r="F249" s="333" t="s">
        <v>343</v>
      </c>
      <c r="G249" s="333"/>
    </row>
    <row r="250" spans="3:7">
      <c r="C250" s="333" t="s">
        <v>325</v>
      </c>
      <c r="D250" s="333"/>
      <c r="F250" s="333" t="s">
        <v>343</v>
      </c>
      <c r="G250" s="333"/>
    </row>
    <row r="251" spans="3:7">
      <c r="C251" s="333" t="s">
        <v>397</v>
      </c>
      <c r="D251" s="333"/>
      <c r="F251" s="333" t="s">
        <v>381</v>
      </c>
      <c r="G251" s="333"/>
    </row>
    <row r="252" spans="3:7">
      <c r="C252" s="333" t="s">
        <v>398</v>
      </c>
      <c r="D252" s="333"/>
      <c r="F252" s="333" t="s">
        <v>248</v>
      </c>
      <c r="G252" s="333"/>
    </row>
    <row r="253" spans="3:7">
      <c r="C253" s="333" t="s">
        <v>306</v>
      </c>
      <c r="D253" s="333"/>
      <c r="F253" s="333" t="s">
        <v>270</v>
      </c>
      <c r="G253" s="333"/>
    </row>
    <row r="254" spans="3:7">
      <c r="C254" s="333" t="s">
        <v>399</v>
      </c>
      <c r="D254" s="333"/>
      <c r="F254" s="333" t="s">
        <v>285</v>
      </c>
      <c r="G254" s="333"/>
    </row>
    <row r="255" spans="3:7">
      <c r="C255" s="333" t="s">
        <v>400</v>
      </c>
      <c r="D255" s="333"/>
      <c r="F255" s="333" t="s">
        <v>401</v>
      </c>
      <c r="G255" s="333"/>
    </row>
    <row r="256" spans="3:7">
      <c r="C256" s="333" t="s">
        <v>393</v>
      </c>
      <c r="D256" s="333"/>
      <c r="F256" s="333" t="s">
        <v>215</v>
      </c>
      <c r="G256" s="333"/>
    </row>
    <row r="257" spans="3:7">
      <c r="C257" s="333" t="s">
        <v>391</v>
      </c>
      <c r="D257" s="333"/>
      <c r="F257" s="333" t="s">
        <v>331</v>
      </c>
      <c r="G257" s="333"/>
    </row>
    <row r="258" spans="3:7">
      <c r="C258" s="333" t="s">
        <v>402</v>
      </c>
      <c r="D258" s="333"/>
      <c r="F258" s="333" t="s">
        <v>343</v>
      </c>
      <c r="G258" s="333"/>
    </row>
    <row r="259" spans="3:7">
      <c r="C259" s="333" t="s">
        <v>257</v>
      </c>
      <c r="D259" s="333"/>
      <c r="F259" s="333" t="s">
        <v>284</v>
      </c>
      <c r="G259" s="333"/>
    </row>
    <row r="260" spans="3:7">
      <c r="C260" s="333" t="s">
        <v>403</v>
      </c>
      <c r="D260" s="333"/>
      <c r="F260" s="333" t="s">
        <v>348</v>
      </c>
      <c r="G260" s="333"/>
    </row>
    <row r="261" spans="3:7">
      <c r="C261" s="333" t="s">
        <v>404</v>
      </c>
      <c r="D261" s="333"/>
      <c r="F261" s="333" t="s">
        <v>405</v>
      </c>
      <c r="G261" s="333"/>
    </row>
    <row r="262" spans="3:7">
      <c r="C262" s="333" t="s">
        <v>404</v>
      </c>
      <c r="D262" s="333"/>
      <c r="F262" s="333" t="s">
        <v>354</v>
      </c>
      <c r="G262" s="333"/>
    </row>
    <row r="263" spans="3:7">
      <c r="C263" s="333" t="s">
        <v>364</v>
      </c>
      <c r="D263" s="333"/>
      <c r="F263" s="333" t="s">
        <v>406</v>
      </c>
      <c r="G263" s="333"/>
    </row>
    <row r="264" spans="3:7">
      <c r="C264" s="333" t="s">
        <v>389</v>
      </c>
      <c r="D264" s="333"/>
      <c r="F264" s="333" t="s">
        <v>351</v>
      </c>
      <c r="G264" s="333"/>
    </row>
    <row r="265" spans="3:7">
      <c r="C265" s="333" t="s">
        <v>331</v>
      </c>
      <c r="D265" s="333"/>
      <c r="F265" s="333" t="s">
        <v>223</v>
      </c>
      <c r="G265" s="333"/>
    </row>
    <row r="266" spans="3:7">
      <c r="C266" s="333" t="s">
        <v>331</v>
      </c>
      <c r="D266" s="333"/>
      <c r="F266" s="333" t="s">
        <v>212</v>
      </c>
      <c r="G266" s="333"/>
    </row>
    <row r="267" spans="3:7">
      <c r="C267" s="333" t="s">
        <v>321</v>
      </c>
      <c r="D267" s="333"/>
      <c r="F267" s="333" t="s">
        <v>261</v>
      </c>
      <c r="G267" s="333"/>
    </row>
    <row r="268" spans="3:7">
      <c r="C268" s="333" t="s">
        <v>241</v>
      </c>
      <c r="D268" s="333"/>
      <c r="F268" s="333" t="s">
        <v>326</v>
      </c>
      <c r="G268" s="333"/>
    </row>
    <row r="269" spans="3:7">
      <c r="C269" s="333" t="s">
        <v>314</v>
      </c>
      <c r="D269" s="333"/>
      <c r="F269" s="333" t="s">
        <v>385</v>
      </c>
      <c r="G269" s="333"/>
    </row>
    <row r="270" spans="3:7">
      <c r="C270" s="333" t="s">
        <v>272</v>
      </c>
      <c r="D270" s="333"/>
      <c r="F270" s="333" t="s">
        <v>331</v>
      </c>
      <c r="G270" s="333"/>
    </row>
    <row r="271" spans="3:7">
      <c r="C271" s="333" t="s">
        <v>401</v>
      </c>
      <c r="D271" s="333"/>
      <c r="F271" s="333" t="s">
        <v>224</v>
      </c>
      <c r="G271" s="333"/>
    </row>
    <row r="272" spans="3:7">
      <c r="C272" s="333" t="s">
        <v>270</v>
      </c>
      <c r="D272" s="333"/>
      <c r="F272" s="333" t="s">
        <v>360</v>
      </c>
      <c r="G272" s="333"/>
    </row>
    <row r="273" spans="3:7">
      <c r="C273" s="333" t="s">
        <v>360</v>
      </c>
      <c r="D273" s="333"/>
      <c r="F273" s="333" t="s">
        <v>345</v>
      </c>
      <c r="G273" s="333"/>
    </row>
    <row r="274" spans="3:7">
      <c r="C274" s="333" t="s">
        <v>407</v>
      </c>
      <c r="D274" s="333"/>
      <c r="F274" s="333" t="s">
        <v>252</v>
      </c>
      <c r="G274" s="333"/>
    </row>
    <row r="275" spans="3:7">
      <c r="C275" s="333" t="s">
        <v>408</v>
      </c>
      <c r="D275" s="333"/>
      <c r="F275" s="333" t="s">
        <v>331</v>
      </c>
      <c r="G275" s="333"/>
    </row>
    <row r="276" spans="3:7">
      <c r="C276" s="333" t="s">
        <v>409</v>
      </c>
      <c r="D276" s="333"/>
      <c r="F276" s="333" t="s">
        <v>244</v>
      </c>
      <c r="G276" s="333"/>
    </row>
    <row r="277" spans="3:7">
      <c r="C277" s="333" t="s">
        <v>316</v>
      </c>
      <c r="D277" s="333"/>
      <c r="F277" s="333" t="s">
        <v>219</v>
      </c>
      <c r="G277" s="333"/>
    </row>
    <row r="278" spans="3:7">
      <c r="C278" s="333" t="s">
        <v>410</v>
      </c>
      <c r="D278" s="333"/>
      <c r="F278" s="333" t="s">
        <v>379</v>
      </c>
      <c r="G278" s="333"/>
    </row>
    <row r="279" spans="3:7">
      <c r="C279" s="333" t="s">
        <v>262</v>
      </c>
      <c r="D279" s="333"/>
      <c r="F279" s="333" t="s">
        <v>258</v>
      </c>
      <c r="G279" s="333"/>
    </row>
    <row r="280" spans="3:7">
      <c r="C280" s="333" t="s">
        <v>411</v>
      </c>
      <c r="D280" s="333"/>
      <c r="F280" s="333" t="s">
        <v>259</v>
      </c>
      <c r="G280" s="333"/>
    </row>
    <row r="281" spans="3:7">
      <c r="C281" s="333" t="s">
        <v>294</v>
      </c>
      <c r="D281" s="333"/>
      <c r="F281" s="333" t="s">
        <v>285</v>
      </c>
      <c r="G281" s="333"/>
    </row>
    <row r="282" spans="3:7">
      <c r="C282" s="333" t="s">
        <v>294</v>
      </c>
      <c r="D282" s="333"/>
      <c r="F282" s="333" t="s">
        <v>210</v>
      </c>
      <c r="G282" s="333"/>
    </row>
    <row r="283" spans="3:7">
      <c r="C283" s="333" t="s">
        <v>382</v>
      </c>
      <c r="D283" s="333"/>
      <c r="F283" s="333" t="s">
        <v>338</v>
      </c>
      <c r="G283" s="333"/>
    </row>
    <row r="284" spans="3:7">
      <c r="C284" s="333" t="s">
        <v>232</v>
      </c>
      <c r="D284" s="333"/>
      <c r="F284" s="333" t="s">
        <v>264</v>
      </c>
      <c r="G284" s="333"/>
    </row>
    <row r="285" spans="3:7">
      <c r="C285" s="333" t="s">
        <v>232</v>
      </c>
      <c r="D285" s="333"/>
      <c r="F285" s="333" t="s">
        <v>220</v>
      </c>
      <c r="G285" s="333"/>
    </row>
    <row r="286" spans="3:7">
      <c r="C286" s="333" t="s">
        <v>232</v>
      </c>
      <c r="D286" s="333"/>
      <c r="F286" s="333" t="s">
        <v>358</v>
      </c>
      <c r="G286" s="333"/>
    </row>
    <row r="287" spans="3:7">
      <c r="C287" s="333" t="s">
        <v>232</v>
      </c>
      <c r="D287" s="333"/>
      <c r="F287" s="333" t="s">
        <v>401</v>
      </c>
      <c r="G287" s="333"/>
    </row>
    <row r="288" spans="3:7">
      <c r="C288" s="333" t="s">
        <v>412</v>
      </c>
      <c r="D288" s="333"/>
      <c r="F288" s="333" t="s">
        <v>367</v>
      </c>
      <c r="G288" s="333"/>
    </row>
    <row r="289" spans="3:7">
      <c r="C289" s="333" t="s">
        <v>412</v>
      </c>
      <c r="D289" s="333"/>
      <c r="F289" s="333" t="s">
        <v>301</v>
      </c>
      <c r="G289" s="333"/>
    </row>
    <row r="290" spans="3:7">
      <c r="C290" s="333" t="s">
        <v>413</v>
      </c>
      <c r="D290" s="333"/>
      <c r="F290" s="333" t="s">
        <v>374</v>
      </c>
      <c r="G290" s="333"/>
    </row>
    <row r="291" spans="3:7">
      <c r="C291" s="333" t="s">
        <v>414</v>
      </c>
      <c r="D291" s="333"/>
      <c r="F291" s="333" t="s">
        <v>220</v>
      </c>
      <c r="G291" s="333"/>
    </row>
    <row r="292" spans="3:7">
      <c r="C292" s="333" t="s">
        <v>415</v>
      </c>
      <c r="D292" s="333"/>
      <c r="F292" s="333" t="s">
        <v>383</v>
      </c>
      <c r="G292" s="333"/>
    </row>
    <row r="293" spans="3:7">
      <c r="C293" s="333" t="s">
        <v>302</v>
      </c>
      <c r="D293" s="333"/>
      <c r="F293" s="333" t="s">
        <v>317</v>
      </c>
      <c r="G293" s="333"/>
    </row>
    <row r="294" spans="3:7">
      <c r="C294" s="333" t="s">
        <v>302</v>
      </c>
      <c r="D294" s="333"/>
      <c r="F294" s="333" t="s">
        <v>343</v>
      </c>
      <c r="G294" s="333"/>
    </row>
    <row r="295" spans="3:7">
      <c r="C295" s="333" t="s">
        <v>405</v>
      </c>
      <c r="D295" s="333"/>
      <c r="F295" s="333" t="s">
        <v>205</v>
      </c>
      <c r="G295" s="333"/>
    </row>
    <row r="296" spans="3:7">
      <c r="C296" s="333" t="s">
        <v>347</v>
      </c>
      <c r="D296" s="333"/>
      <c r="F296" s="333" t="s">
        <v>274</v>
      </c>
      <c r="G296" s="333"/>
    </row>
    <row r="297" spans="3:7">
      <c r="C297" s="333" t="s">
        <v>319</v>
      </c>
      <c r="D297" s="333"/>
      <c r="F297" s="333" t="s">
        <v>266</v>
      </c>
      <c r="G297" s="333"/>
    </row>
    <row r="298" spans="3:7">
      <c r="C298" s="333" t="s">
        <v>406</v>
      </c>
      <c r="D298" s="333"/>
      <c r="F298" s="333" t="s">
        <v>258</v>
      </c>
      <c r="G298" s="333"/>
    </row>
    <row r="299" spans="3:7">
      <c r="C299" s="333" t="s">
        <v>309</v>
      </c>
      <c r="D299" s="333"/>
      <c r="F299" s="333" t="s">
        <v>385</v>
      </c>
      <c r="G299" s="333"/>
    </row>
    <row r="300" spans="3:7">
      <c r="C300" s="333" t="s">
        <v>217</v>
      </c>
      <c r="D300" s="333"/>
      <c r="F300" s="333" t="s">
        <v>256</v>
      </c>
      <c r="G300" s="333"/>
    </row>
    <row r="301" spans="3:7">
      <c r="C301" s="333" t="s">
        <v>217</v>
      </c>
      <c r="D301" s="333"/>
      <c r="F301" s="333" t="s">
        <v>271</v>
      </c>
      <c r="G301" s="333"/>
    </row>
    <row r="302" spans="3:7">
      <c r="C302" s="333" t="s">
        <v>217</v>
      </c>
      <c r="D302" s="333"/>
      <c r="F302" s="333" t="s">
        <v>285</v>
      </c>
      <c r="G302" s="333"/>
    </row>
    <row r="303" spans="3:7">
      <c r="C303" s="333" t="s">
        <v>229</v>
      </c>
      <c r="D303" s="333"/>
      <c r="F303" s="333" t="s">
        <v>301</v>
      </c>
      <c r="G303" s="333"/>
    </row>
    <row r="304" spans="3:7">
      <c r="C304" s="333" t="s">
        <v>229</v>
      </c>
      <c r="D304" s="333"/>
      <c r="F304" s="333" t="s">
        <v>220</v>
      </c>
      <c r="G304" s="333"/>
    </row>
    <row r="305" spans="3:7">
      <c r="C305" s="333" t="s">
        <v>212</v>
      </c>
      <c r="D305" s="333"/>
      <c r="F305" s="333" t="s">
        <v>276</v>
      </c>
      <c r="G305" s="333"/>
    </row>
    <row r="306" spans="3:7">
      <c r="C306" s="333" t="s">
        <v>210</v>
      </c>
      <c r="D306" s="333"/>
      <c r="F306" s="333" t="s">
        <v>243</v>
      </c>
      <c r="G306" s="333"/>
    </row>
    <row r="307" spans="3:7">
      <c r="C307" s="333" t="s">
        <v>210</v>
      </c>
      <c r="D307" s="333"/>
      <c r="F307" s="333" t="s">
        <v>357</v>
      </c>
      <c r="G307" s="333"/>
    </row>
    <row r="308" spans="3:7">
      <c r="C308" s="333" t="s">
        <v>210</v>
      </c>
      <c r="D308" s="333"/>
      <c r="F308" s="333" t="s">
        <v>329</v>
      </c>
      <c r="G308" s="333"/>
    </row>
    <row r="309" spans="3:7">
      <c r="C309" s="333" t="s">
        <v>210</v>
      </c>
      <c r="D309" s="333"/>
      <c r="F309" s="333" t="s">
        <v>276</v>
      </c>
      <c r="G309" s="333"/>
    </row>
    <row r="310" spans="3:7">
      <c r="C310" s="333" t="s">
        <v>210</v>
      </c>
      <c r="D310" s="333"/>
      <c r="F310" s="333" t="s">
        <v>251</v>
      </c>
      <c r="G310" s="333"/>
    </row>
    <row r="311" spans="3:7">
      <c r="C311" s="333" t="s">
        <v>260</v>
      </c>
      <c r="D311" s="333"/>
      <c r="F311" s="333" t="s">
        <v>259</v>
      </c>
      <c r="G311" s="333"/>
    </row>
    <row r="312" spans="3:7">
      <c r="C312" s="333" t="s">
        <v>301</v>
      </c>
      <c r="D312" s="333"/>
      <c r="F312" s="333" t="s">
        <v>254</v>
      </c>
      <c r="G312" s="333"/>
    </row>
    <row r="313" spans="3:7">
      <c r="C313" s="333" t="s">
        <v>301</v>
      </c>
      <c r="D313" s="333"/>
      <c r="F313" s="333" t="s">
        <v>248</v>
      </c>
      <c r="G313" s="333"/>
    </row>
    <row r="314" spans="3:7">
      <c r="C314" s="333" t="s">
        <v>375</v>
      </c>
      <c r="D314" s="333"/>
      <c r="F314" s="333" t="s">
        <v>255</v>
      </c>
      <c r="G314" s="333"/>
    </row>
    <row r="315" spans="3:7">
      <c r="C315" s="333" t="s">
        <v>416</v>
      </c>
      <c r="D315" s="333"/>
      <c r="F315" s="333" t="s">
        <v>345</v>
      </c>
      <c r="G315" s="333"/>
    </row>
    <row r="316" spans="3:7">
      <c r="C316" s="333" t="s">
        <v>353</v>
      </c>
      <c r="D316" s="333"/>
      <c r="F316" s="333" t="s">
        <v>251</v>
      </c>
      <c r="G316" s="333"/>
    </row>
    <row r="317" spans="3:7">
      <c r="C317" s="333" t="s">
        <v>285</v>
      </c>
      <c r="D317" s="333"/>
      <c r="F317" s="333" t="s">
        <v>336</v>
      </c>
      <c r="G317" s="333"/>
    </row>
    <row r="318" spans="3:7">
      <c r="C318" s="333" t="s">
        <v>285</v>
      </c>
      <c r="D318" s="333"/>
      <c r="F318" s="333" t="s">
        <v>313</v>
      </c>
      <c r="G318" s="333"/>
    </row>
    <row r="319" spans="3:7">
      <c r="C319" s="333" t="s">
        <v>285</v>
      </c>
      <c r="D319" s="333"/>
      <c r="F319" s="333" t="s">
        <v>268</v>
      </c>
      <c r="G319" s="333"/>
    </row>
    <row r="320" spans="3:7">
      <c r="C320" s="333" t="s">
        <v>285</v>
      </c>
      <c r="D320" s="333"/>
      <c r="F320" s="333" t="s">
        <v>279</v>
      </c>
      <c r="G320" s="333"/>
    </row>
    <row r="321" spans="3:7">
      <c r="C321" s="333" t="s">
        <v>312</v>
      </c>
      <c r="D321" s="333"/>
      <c r="F321" s="333" t="s">
        <v>236</v>
      </c>
      <c r="G321" s="333"/>
    </row>
    <row r="322" spans="3:7">
      <c r="C322" s="333" t="s">
        <v>254</v>
      </c>
      <c r="D322" s="333"/>
      <c r="F322" s="333" t="s">
        <v>306</v>
      </c>
      <c r="G322" s="333"/>
    </row>
    <row r="323" spans="3:7">
      <c r="C323" s="333" t="s">
        <v>254</v>
      </c>
      <c r="D323" s="333"/>
      <c r="F323" s="333" t="s">
        <v>297</v>
      </c>
      <c r="G323" s="333"/>
    </row>
    <row r="324" spans="3:7">
      <c r="C324" s="333" t="s">
        <v>299</v>
      </c>
      <c r="D324" s="333"/>
      <c r="F324" s="333" t="s">
        <v>380</v>
      </c>
      <c r="G324" s="333"/>
    </row>
    <row r="325" spans="3:7">
      <c r="C325" s="333" t="s">
        <v>338</v>
      </c>
      <c r="D325" s="333"/>
      <c r="F325" s="333" t="s">
        <v>309</v>
      </c>
      <c r="G325" s="333"/>
    </row>
    <row r="326" spans="3:7">
      <c r="C326" s="333" t="s">
        <v>351</v>
      </c>
      <c r="D326" s="333"/>
      <c r="F326" s="333" t="s">
        <v>241</v>
      </c>
      <c r="G326" s="333"/>
    </row>
    <row r="327" spans="3:7">
      <c r="C327" s="333" t="s">
        <v>351</v>
      </c>
      <c r="D327" s="333"/>
      <c r="F327" s="333" t="s">
        <v>340</v>
      </c>
      <c r="G327" s="333"/>
    </row>
    <row r="328" spans="3:7">
      <c r="C328" s="333" t="s">
        <v>264</v>
      </c>
      <c r="D328" s="333"/>
      <c r="F328" s="333" t="s">
        <v>408</v>
      </c>
      <c r="G328" s="333"/>
    </row>
    <row r="329" spans="3:7">
      <c r="C329" s="333" t="s">
        <v>417</v>
      </c>
      <c r="D329" s="333"/>
      <c r="F329" s="333" t="s">
        <v>404</v>
      </c>
      <c r="G329" s="333"/>
    </row>
    <row r="330" spans="3:7">
      <c r="C330" s="333" t="s">
        <v>418</v>
      </c>
      <c r="D330" s="333"/>
      <c r="F330" s="333" t="s">
        <v>240</v>
      </c>
      <c r="G330" s="333"/>
    </row>
    <row r="331" spans="3:7">
      <c r="C331" s="333" t="s">
        <v>370</v>
      </c>
      <c r="D331" s="333"/>
      <c r="F331" s="333" t="s">
        <v>325</v>
      </c>
      <c r="G331" s="333"/>
    </row>
  </sheetData>
  <mergeCells count="635">
    <mergeCell ref="F329:G329"/>
    <mergeCell ref="F330:G330"/>
    <mergeCell ref="F331:G331"/>
    <mergeCell ref="F16:G16"/>
    <mergeCell ref="E11:F11"/>
    <mergeCell ref="E12:F12"/>
    <mergeCell ref="F324:G324"/>
    <mergeCell ref="F325:G325"/>
    <mergeCell ref="F326:G326"/>
    <mergeCell ref="F327:G327"/>
    <mergeCell ref="F328:G328"/>
    <mergeCell ref="F319:G319"/>
    <mergeCell ref="F320:G320"/>
    <mergeCell ref="F321:G321"/>
    <mergeCell ref="F322:G322"/>
    <mergeCell ref="F323:G323"/>
    <mergeCell ref="F314:G314"/>
    <mergeCell ref="F315:G315"/>
    <mergeCell ref="F316:G316"/>
    <mergeCell ref="F317:G317"/>
    <mergeCell ref="F318:G318"/>
    <mergeCell ref="F309:G309"/>
    <mergeCell ref="F310:G310"/>
    <mergeCell ref="F311:G311"/>
    <mergeCell ref="F312:G312"/>
    <mergeCell ref="F313:G313"/>
    <mergeCell ref="F304:G304"/>
    <mergeCell ref="F305:G305"/>
    <mergeCell ref="F306:G306"/>
    <mergeCell ref="F307:G307"/>
    <mergeCell ref="F308:G308"/>
    <mergeCell ref="F299:G299"/>
    <mergeCell ref="F300:G300"/>
    <mergeCell ref="F301:G301"/>
    <mergeCell ref="F302:G302"/>
    <mergeCell ref="F303:G303"/>
    <mergeCell ref="F294:G294"/>
    <mergeCell ref="F295:G295"/>
    <mergeCell ref="F296:G296"/>
    <mergeCell ref="F297:G297"/>
    <mergeCell ref="F298:G298"/>
    <mergeCell ref="F289:G289"/>
    <mergeCell ref="F290:G290"/>
    <mergeCell ref="F291:G291"/>
    <mergeCell ref="F292:G292"/>
    <mergeCell ref="F293:G293"/>
    <mergeCell ref="F284:G284"/>
    <mergeCell ref="F285:G285"/>
    <mergeCell ref="F286:G286"/>
    <mergeCell ref="F287:G287"/>
    <mergeCell ref="F288:G288"/>
    <mergeCell ref="F279:G279"/>
    <mergeCell ref="F280:G280"/>
    <mergeCell ref="F281:G281"/>
    <mergeCell ref="F282:G282"/>
    <mergeCell ref="F283:G283"/>
    <mergeCell ref="F274:G274"/>
    <mergeCell ref="F275:G275"/>
    <mergeCell ref="F276:G276"/>
    <mergeCell ref="F277:G277"/>
    <mergeCell ref="F278:G278"/>
    <mergeCell ref="F269:G269"/>
    <mergeCell ref="F270:G270"/>
    <mergeCell ref="F271:G271"/>
    <mergeCell ref="F272:G272"/>
    <mergeCell ref="F273:G273"/>
    <mergeCell ref="F264:G264"/>
    <mergeCell ref="F265:G265"/>
    <mergeCell ref="F266:G266"/>
    <mergeCell ref="F267:G267"/>
    <mergeCell ref="F268:G268"/>
    <mergeCell ref="F259:G259"/>
    <mergeCell ref="F260:G260"/>
    <mergeCell ref="F261:G261"/>
    <mergeCell ref="F262:G262"/>
    <mergeCell ref="F263:G263"/>
    <mergeCell ref="F254:G254"/>
    <mergeCell ref="F255:G255"/>
    <mergeCell ref="F256:G256"/>
    <mergeCell ref="F257:G257"/>
    <mergeCell ref="F258:G258"/>
    <mergeCell ref="F249:G249"/>
    <mergeCell ref="F250:G250"/>
    <mergeCell ref="F251:G251"/>
    <mergeCell ref="F252:G252"/>
    <mergeCell ref="F253:G253"/>
    <mergeCell ref="F244:G244"/>
    <mergeCell ref="F245:G245"/>
    <mergeCell ref="F246:G246"/>
    <mergeCell ref="F247:G247"/>
    <mergeCell ref="F248:G248"/>
    <mergeCell ref="F239:G239"/>
    <mergeCell ref="F240:G240"/>
    <mergeCell ref="F241:G241"/>
    <mergeCell ref="F242:G242"/>
    <mergeCell ref="F243:G243"/>
    <mergeCell ref="F234:G234"/>
    <mergeCell ref="F235:G235"/>
    <mergeCell ref="F236:G236"/>
    <mergeCell ref="F237:G237"/>
    <mergeCell ref="F238:G238"/>
    <mergeCell ref="F229:G229"/>
    <mergeCell ref="F230:G230"/>
    <mergeCell ref="F231:G231"/>
    <mergeCell ref="F232:G232"/>
    <mergeCell ref="F233:G233"/>
    <mergeCell ref="F224:G224"/>
    <mergeCell ref="F225:G225"/>
    <mergeCell ref="F226:G226"/>
    <mergeCell ref="F227:G227"/>
    <mergeCell ref="F228:G228"/>
    <mergeCell ref="F219:G219"/>
    <mergeCell ref="F220:G220"/>
    <mergeCell ref="F221:G221"/>
    <mergeCell ref="F222:G222"/>
    <mergeCell ref="F223:G223"/>
    <mergeCell ref="F214:G214"/>
    <mergeCell ref="F215:G215"/>
    <mergeCell ref="F216:G216"/>
    <mergeCell ref="F217:G217"/>
    <mergeCell ref="F218:G218"/>
    <mergeCell ref="F209:G209"/>
    <mergeCell ref="F210:G210"/>
    <mergeCell ref="F211:G211"/>
    <mergeCell ref="F212:G212"/>
    <mergeCell ref="F213:G213"/>
    <mergeCell ref="F204:G204"/>
    <mergeCell ref="F205:G205"/>
    <mergeCell ref="F206:G206"/>
    <mergeCell ref="F207:G207"/>
    <mergeCell ref="F208:G208"/>
    <mergeCell ref="F199:G199"/>
    <mergeCell ref="F200:G200"/>
    <mergeCell ref="F201:G201"/>
    <mergeCell ref="F202:G202"/>
    <mergeCell ref="F203:G203"/>
    <mergeCell ref="F194:G194"/>
    <mergeCell ref="F195:G195"/>
    <mergeCell ref="F196:G196"/>
    <mergeCell ref="F197:G197"/>
    <mergeCell ref="F198:G198"/>
    <mergeCell ref="F189:G189"/>
    <mergeCell ref="F190:G190"/>
    <mergeCell ref="F191:G191"/>
    <mergeCell ref="F192:G192"/>
    <mergeCell ref="F193:G193"/>
    <mergeCell ref="F184:G184"/>
    <mergeCell ref="F185:G185"/>
    <mergeCell ref="F186:G186"/>
    <mergeCell ref="F187:G187"/>
    <mergeCell ref="F188:G188"/>
    <mergeCell ref="F179:G179"/>
    <mergeCell ref="F180:G180"/>
    <mergeCell ref="F181:G181"/>
    <mergeCell ref="F182:G182"/>
    <mergeCell ref="F183:G183"/>
    <mergeCell ref="F174:G174"/>
    <mergeCell ref="F175:G175"/>
    <mergeCell ref="F176:G176"/>
    <mergeCell ref="F177:G177"/>
    <mergeCell ref="F178:G178"/>
    <mergeCell ref="F169:G169"/>
    <mergeCell ref="F170:G170"/>
    <mergeCell ref="F171:G171"/>
    <mergeCell ref="F172:G172"/>
    <mergeCell ref="F173:G173"/>
    <mergeCell ref="F164:G164"/>
    <mergeCell ref="F165:G165"/>
    <mergeCell ref="F166:G166"/>
    <mergeCell ref="F167:G167"/>
    <mergeCell ref="F168:G168"/>
    <mergeCell ref="F159:G159"/>
    <mergeCell ref="F160:G160"/>
    <mergeCell ref="F161:G161"/>
    <mergeCell ref="F162:G162"/>
    <mergeCell ref="F163:G163"/>
    <mergeCell ref="F154:G154"/>
    <mergeCell ref="F155:G155"/>
    <mergeCell ref="F156:G156"/>
    <mergeCell ref="F157:G157"/>
    <mergeCell ref="F158:G158"/>
    <mergeCell ref="F149:G149"/>
    <mergeCell ref="F150:G150"/>
    <mergeCell ref="F151:G151"/>
    <mergeCell ref="F152:G152"/>
    <mergeCell ref="F153:G153"/>
    <mergeCell ref="F144:G144"/>
    <mergeCell ref="F145:G145"/>
    <mergeCell ref="F146:G146"/>
    <mergeCell ref="F147:G147"/>
    <mergeCell ref="F148:G148"/>
    <mergeCell ref="F139:G139"/>
    <mergeCell ref="F140:G140"/>
    <mergeCell ref="F141:G141"/>
    <mergeCell ref="F142:G142"/>
    <mergeCell ref="F143:G143"/>
    <mergeCell ref="F134:G134"/>
    <mergeCell ref="F135:G135"/>
    <mergeCell ref="F136:G136"/>
    <mergeCell ref="F137:G137"/>
    <mergeCell ref="F138:G138"/>
    <mergeCell ref="F129:G129"/>
    <mergeCell ref="F130:G130"/>
    <mergeCell ref="F131:G131"/>
    <mergeCell ref="F132:G132"/>
    <mergeCell ref="F133:G133"/>
    <mergeCell ref="F124:G124"/>
    <mergeCell ref="F125:G125"/>
    <mergeCell ref="F126:G126"/>
    <mergeCell ref="F127:G127"/>
    <mergeCell ref="F128:G128"/>
    <mergeCell ref="F119:G119"/>
    <mergeCell ref="F120:G120"/>
    <mergeCell ref="F121:G121"/>
    <mergeCell ref="F122:G122"/>
    <mergeCell ref="F123:G123"/>
    <mergeCell ref="F114:G114"/>
    <mergeCell ref="F115:G115"/>
    <mergeCell ref="F116:G116"/>
    <mergeCell ref="F117:G117"/>
    <mergeCell ref="F118:G118"/>
    <mergeCell ref="F109:G109"/>
    <mergeCell ref="F110:G110"/>
    <mergeCell ref="F111:G111"/>
    <mergeCell ref="F112:G112"/>
    <mergeCell ref="F113:G113"/>
    <mergeCell ref="F104:G104"/>
    <mergeCell ref="F105:G105"/>
    <mergeCell ref="F106:G106"/>
    <mergeCell ref="F107:G107"/>
    <mergeCell ref="F108:G108"/>
    <mergeCell ref="F99:G99"/>
    <mergeCell ref="F100:G100"/>
    <mergeCell ref="F101:G101"/>
    <mergeCell ref="F102:G102"/>
    <mergeCell ref="F103:G103"/>
    <mergeCell ref="F94:G94"/>
    <mergeCell ref="F95:G95"/>
    <mergeCell ref="F96:G96"/>
    <mergeCell ref="F97:G97"/>
    <mergeCell ref="F98:G98"/>
    <mergeCell ref="F89:G89"/>
    <mergeCell ref="F90:G90"/>
    <mergeCell ref="F91:G91"/>
    <mergeCell ref="F92:G92"/>
    <mergeCell ref="F93:G93"/>
    <mergeCell ref="F84:G84"/>
    <mergeCell ref="F85:G85"/>
    <mergeCell ref="F86:G86"/>
    <mergeCell ref="F87:G87"/>
    <mergeCell ref="F88:G88"/>
    <mergeCell ref="F79:G79"/>
    <mergeCell ref="F80:G80"/>
    <mergeCell ref="F81:G81"/>
    <mergeCell ref="F82:G82"/>
    <mergeCell ref="F83:G83"/>
    <mergeCell ref="F74:G74"/>
    <mergeCell ref="F75:G75"/>
    <mergeCell ref="F76:G76"/>
    <mergeCell ref="F77:G77"/>
    <mergeCell ref="F78:G78"/>
    <mergeCell ref="F69:G69"/>
    <mergeCell ref="F70:G70"/>
    <mergeCell ref="F71:G71"/>
    <mergeCell ref="F72:G72"/>
    <mergeCell ref="F73:G73"/>
    <mergeCell ref="F64:G64"/>
    <mergeCell ref="F65:G65"/>
    <mergeCell ref="F66:G66"/>
    <mergeCell ref="F67:G67"/>
    <mergeCell ref="F68:G68"/>
    <mergeCell ref="F59:G59"/>
    <mergeCell ref="F60:G60"/>
    <mergeCell ref="F61:G61"/>
    <mergeCell ref="F62:G62"/>
    <mergeCell ref="F63:G63"/>
    <mergeCell ref="F54:G54"/>
    <mergeCell ref="F55:G55"/>
    <mergeCell ref="F56:G56"/>
    <mergeCell ref="F57:G57"/>
    <mergeCell ref="F58:G58"/>
    <mergeCell ref="F49:G49"/>
    <mergeCell ref="F50:G50"/>
    <mergeCell ref="F51:G51"/>
    <mergeCell ref="F52:G52"/>
    <mergeCell ref="F53:G53"/>
    <mergeCell ref="F44:G44"/>
    <mergeCell ref="F45:G45"/>
    <mergeCell ref="F46:G46"/>
    <mergeCell ref="F47:G47"/>
    <mergeCell ref="F48:G48"/>
    <mergeCell ref="F39:G39"/>
    <mergeCell ref="F40:G40"/>
    <mergeCell ref="F41:G41"/>
    <mergeCell ref="F42:G42"/>
    <mergeCell ref="F43:G43"/>
    <mergeCell ref="F34:G34"/>
    <mergeCell ref="F35:G35"/>
    <mergeCell ref="F36:G36"/>
    <mergeCell ref="F37:G37"/>
    <mergeCell ref="F38:G38"/>
    <mergeCell ref="F29:G29"/>
    <mergeCell ref="F30:G30"/>
    <mergeCell ref="F31:G31"/>
    <mergeCell ref="F32:G32"/>
    <mergeCell ref="F33:G33"/>
    <mergeCell ref="C328:D328"/>
    <mergeCell ref="C329:D329"/>
    <mergeCell ref="C330:D330"/>
    <mergeCell ref="C331:D331"/>
    <mergeCell ref="F17:G17"/>
    <mergeCell ref="F18:G18"/>
    <mergeCell ref="F19:G19"/>
    <mergeCell ref="F20:G20"/>
    <mergeCell ref="F21:G21"/>
    <mergeCell ref="F22:G22"/>
    <mergeCell ref="F23:G23"/>
    <mergeCell ref="F24:G24"/>
    <mergeCell ref="F25:G25"/>
    <mergeCell ref="F26:G26"/>
    <mergeCell ref="F27:G27"/>
    <mergeCell ref="F28:G28"/>
    <mergeCell ref="C323:D323"/>
    <mergeCell ref="C324:D324"/>
    <mergeCell ref="C325:D325"/>
    <mergeCell ref="C326:D326"/>
    <mergeCell ref="C327:D327"/>
    <mergeCell ref="C318:D318"/>
    <mergeCell ref="C319:D319"/>
    <mergeCell ref="C320:D320"/>
    <mergeCell ref="C321:D321"/>
    <mergeCell ref="C322:D322"/>
    <mergeCell ref="C313:D313"/>
    <mergeCell ref="C314:D314"/>
    <mergeCell ref="C315:D315"/>
    <mergeCell ref="C316:D316"/>
    <mergeCell ref="C317:D317"/>
    <mergeCell ref="C308:D308"/>
    <mergeCell ref="C309:D309"/>
    <mergeCell ref="C310:D310"/>
    <mergeCell ref="C311:D311"/>
    <mergeCell ref="C312:D312"/>
    <mergeCell ref="C303:D303"/>
    <mergeCell ref="C304:D304"/>
    <mergeCell ref="C305:D305"/>
    <mergeCell ref="C306:D306"/>
    <mergeCell ref="C307:D307"/>
    <mergeCell ref="C298:D298"/>
    <mergeCell ref="C299:D299"/>
    <mergeCell ref="C300:D300"/>
    <mergeCell ref="C301:D301"/>
    <mergeCell ref="C302:D302"/>
    <mergeCell ref="C293:D293"/>
    <mergeCell ref="C294:D294"/>
    <mergeCell ref="C295:D295"/>
    <mergeCell ref="C296:D296"/>
    <mergeCell ref="C297:D297"/>
    <mergeCell ref="C288:D288"/>
    <mergeCell ref="C289:D289"/>
    <mergeCell ref="C290:D290"/>
    <mergeCell ref="C291:D291"/>
    <mergeCell ref="C292:D292"/>
    <mergeCell ref="C283:D283"/>
    <mergeCell ref="C284:D284"/>
    <mergeCell ref="C285:D285"/>
    <mergeCell ref="C286:D286"/>
    <mergeCell ref="C287:D287"/>
    <mergeCell ref="C278:D278"/>
    <mergeCell ref="C279:D279"/>
    <mergeCell ref="C280:D280"/>
    <mergeCell ref="C281:D281"/>
    <mergeCell ref="C282:D282"/>
    <mergeCell ref="C273:D273"/>
    <mergeCell ref="C274:D274"/>
    <mergeCell ref="C275:D275"/>
    <mergeCell ref="C276:D276"/>
    <mergeCell ref="C277:D277"/>
    <mergeCell ref="C268:D268"/>
    <mergeCell ref="C269:D269"/>
    <mergeCell ref="C270:D270"/>
    <mergeCell ref="C271:D271"/>
    <mergeCell ref="C272:D272"/>
    <mergeCell ref="C263:D263"/>
    <mergeCell ref="C264:D264"/>
    <mergeCell ref="C265:D265"/>
    <mergeCell ref="C266:D266"/>
    <mergeCell ref="C267:D267"/>
    <mergeCell ref="C258:D258"/>
    <mergeCell ref="C259:D259"/>
    <mergeCell ref="C260:D260"/>
    <mergeCell ref="C261:D261"/>
    <mergeCell ref="C262:D262"/>
    <mergeCell ref="C253:D253"/>
    <mergeCell ref="C254:D254"/>
    <mergeCell ref="C255:D255"/>
    <mergeCell ref="C256:D256"/>
    <mergeCell ref="C257:D257"/>
    <mergeCell ref="C248:D248"/>
    <mergeCell ref="C249:D249"/>
    <mergeCell ref="C250:D250"/>
    <mergeCell ref="C251:D251"/>
    <mergeCell ref="C252:D252"/>
    <mergeCell ref="C243:D243"/>
    <mergeCell ref="C244:D244"/>
    <mergeCell ref="C245:D245"/>
    <mergeCell ref="C246:D246"/>
    <mergeCell ref="C247:D247"/>
    <mergeCell ref="C238:D238"/>
    <mergeCell ref="C239:D239"/>
    <mergeCell ref="C240:D240"/>
    <mergeCell ref="C241:D241"/>
    <mergeCell ref="C242:D242"/>
    <mergeCell ref="C233:D233"/>
    <mergeCell ref="C234:D234"/>
    <mergeCell ref="C235:D235"/>
    <mergeCell ref="C236:D236"/>
    <mergeCell ref="C237:D237"/>
    <mergeCell ref="C228:D228"/>
    <mergeCell ref="C229:D229"/>
    <mergeCell ref="C230:D230"/>
    <mergeCell ref="C231:D231"/>
    <mergeCell ref="C232:D232"/>
    <mergeCell ref="C223:D223"/>
    <mergeCell ref="C224:D224"/>
    <mergeCell ref="C225:D225"/>
    <mergeCell ref="C226:D226"/>
    <mergeCell ref="C227:D227"/>
    <mergeCell ref="C218:D218"/>
    <mergeCell ref="C219:D219"/>
    <mergeCell ref="C220:D220"/>
    <mergeCell ref="C221:D221"/>
    <mergeCell ref="C222:D222"/>
    <mergeCell ref="C213:D213"/>
    <mergeCell ref="C214:D214"/>
    <mergeCell ref="C215:D215"/>
    <mergeCell ref="C216:D216"/>
    <mergeCell ref="C217:D217"/>
    <mergeCell ref="C208:D208"/>
    <mergeCell ref="C209:D209"/>
    <mergeCell ref="C210:D210"/>
    <mergeCell ref="C211:D211"/>
    <mergeCell ref="C212:D212"/>
    <mergeCell ref="C203:D203"/>
    <mergeCell ref="C204:D204"/>
    <mergeCell ref="C205:D205"/>
    <mergeCell ref="C206:D206"/>
    <mergeCell ref="C207:D207"/>
    <mergeCell ref="C198:D198"/>
    <mergeCell ref="C199:D199"/>
    <mergeCell ref="C200:D200"/>
    <mergeCell ref="C201:D201"/>
    <mergeCell ref="C202:D202"/>
    <mergeCell ref="C193:D193"/>
    <mergeCell ref="C194:D194"/>
    <mergeCell ref="C195:D195"/>
    <mergeCell ref="C196:D196"/>
    <mergeCell ref="C197:D197"/>
    <mergeCell ref="C188:D188"/>
    <mergeCell ref="C189:D189"/>
    <mergeCell ref="C190:D190"/>
    <mergeCell ref="C191:D191"/>
    <mergeCell ref="C192:D192"/>
    <mergeCell ref="C183:D183"/>
    <mergeCell ref="C184:D184"/>
    <mergeCell ref="C185:D185"/>
    <mergeCell ref="C186:D186"/>
    <mergeCell ref="C187:D187"/>
    <mergeCell ref="C178:D178"/>
    <mergeCell ref="C179:D179"/>
    <mergeCell ref="C180:D180"/>
    <mergeCell ref="C181:D181"/>
    <mergeCell ref="C182:D182"/>
    <mergeCell ref="C173:D173"/>
    <mergeCell ref="C174:D174"/>
    <mergeCell ref="C175:D175"/>
    <mergeCell ref="C176:D176"/>
    <mergeCell ref="C177:D177"/>
    <mergeCell ref="C168:D168"/>
    <mergeCell ref="C169:D169"/>
    <mergeCell ref="C170:D170"/>
    <mergeCell ref="C171:D171"/>
    <mergeCell ref="C172:D172"/>
    <mergeCell ref="C163:D163"/>
    <mergeCell ref="C164:D164"/>
    <mergeCell ref="C165:D165"/>
    <mergeCell ref="C166:D166"/>
    <mergeCell ref="C167:D167"/>
    <mergeCell ref="C158:D158"/>
    <mergeCell ref="C159:D159"/>
    <mergeCell ref="C160:D160"/>
    <mergeCell ref="C161:D161"/>
    <mergeCell ref="C162:D162"/>
    <mergeCell ref="C153:D153"/>
    <mergeCell ref="C154:D154"/>
    <mergeCell ref="C155:D155"/>
    <mergeCell ref="C156:D156"/>
    <mergeCell ref="C157:D157"/>
    <mergeCell ref="C148:D148"/>
    <mergeCell ref="C149:D149"/>
    <mergeCell ref="C150:D150"/>
    <mergeCell ref="C151:D151"/>
    <mergeCell ref="C152:D152"/>
    <mergeCell ref="C143:D143"/>
    <mergeCell ref="C144:D144"/>
    <mergeCell ref="C145:D145"/>
    <mergeCell ref="C146:D146"/>
    <mergeCell ref="C147:D147"/>
    <mergeCell ref="C138:D138"/>
    <mergeCell ref="C139:D139"/>
    <mergeCell ref="C140:D140"/>
    <mergeCell ref="C141:D141"/>
    <mergeCell ref="C142:D142"/>
    <mergeCell ref="C133:D133"/>
    <mergeCell ref="C134:D134"/>
    <mergeCell ref="C135:D135"/>
    <mergeCell ref="C136:D136"/>
    <mergeCell ref="C137:D137"/>
    <mergeCell ref="C128:D128"/>
    <mergeCell ref="C129:D129"/>
    <mergeCell ref="C130:D130"/>
    <mergeCell ref="C131:D131"/>
    <mergeCell ref="C132:D132"/>
    <mergeCell ref="C123:D123"/>
    <mergeCell ref="C124:D124"/>
    <mergeCell ref="C125:D125"/>
    <mergeCell ref="C126:D126"/>
    <mergeCell ref="C127:D127"/>
    <mergeCell ref="C118:D118"/>
    <mergeCell ref="C119:D119"/>
    <mergeCell ref="C120:D120"/>
    <mergeCell ref="C121:D121"/>
    <mergeCell ref="C122:D122"/>
    <mergeCell ref="C113:D113"/>
    <mergeCell ref="C114:D114"/>
    <mergeCell ref="C115:D115"/>
    <mergeCell ref="C116:D116"/>
    <mergeCell ref="C117:D117"/>
    <mergeCell ref="C108:D108"/>
    <mergeCell ref="C109:D109"/>
    <mergeCell ref="C110:D110"/>
    <mergeCell ref="C111:D111"/>
    <mergeCell ref="C112:D112"/>
    <mergeCell ref="C103:D103"/>
    <mergeCell ref="C104:D104"/>
    <mergeCell ref="C105:D105"/>
    <mergeCell ref="C106:D106"/>
    <mergeCell ref="C107:D107"/>
    <mergeCell ref="C98:D98"/>
    <mergeCell ref="C99:D99"/>
    <mergeCell ref="C100:D100"/>
    <mergeCell ref="C101:D101"/>
    <mergeCell ref="C102:D102"/>
    <mergeCell ref="C93:D93"/>
    <mergeCell ref="C94:D94"/>
    <mergeCell ref="C95:D95"/>
    <mergeCell ref="C96:D96"/>
    <mergeCell ref="C97:D97"/>
    <mergeCell ref="C88:D88"/>
    <mergeCell ref="C89:D89"/>
    <mergeCell ref="C90:D90"/>
    <mergeCell ref="C91:D91"/>
    <mergeCell ref="C92:D92"/>
    <mergeCell ref="C83:D83"/>
    <mergeCell ref="C84:D84"/>
    <mergeCell ref="C85:D85"/>
    <mergeCell ref="C86:D86"/>
    <mergeCell ref="C87:D87"/>
    <mergeCell ref="C78:D78"/>
    <mergeCell ref="C79:D79"/>
    <mergeCell ref="C80:D80"/>
    <mergeCell ref="C81:D81"/>
    <mergeCell ref="C82:D82"/>
    <mergeCell ref="C73:D73"/>
    <mergeCell ref="C74:D74"/>
    <mergeCell ref="C75:D75"/>
    <mergeCell ref="C76:D76"/>
    <mergeCell ref="C77:D77"/>
    <mergeCell ref="C68:D68"/>
    <mergeCell ref="C69:D69"/>
    <mergeCell ref="C70:D70"/>
    <mergeCell ref="C71:D71"/>
    <mergeCell ref="C72:D72"/>
    <mergeCell ref="C63:D63"/>
    <mergeCell ref="C64:D64"/>
    <mergeCell ref="C65:D65"/>
    <mergeCell ref="C66:D66"/>
    <mergeCell ref="C67:D67"/>
    <mergeCell ref="C58:D58"/>
    <mergeCell ref="C59:D59"/>
    <mergeCell ref="C60:D60"/>
    <mergeCell ref="C61:D61"/>
    <mergeCell ref="C62:D62"/>
    <mergeCell ref="C53:D53"/>
    <mergeCell ref="C54:D54"/>
    <mergeCell ref="C55:D55"/>
    <mergeCell ref="C56:D56"/>
    <mergeCell ref="C57:D57"/>
    <mergeCell ref="C48:D48"/>
    <mergeCell ref="C49:D49"/>
    <mergeCell ref="C50:D50"/>
    <mergeCell ref="C51:D51"/>
    <mergeCell ref="C52:D52"/>
    <mergeCell ref="C43:D43"/>
    <mergeCell ref="C44:D44"/>
    <mergeCell ref="C45:D45"/>
    <mergeCell ref="C46:D46"/>
    <mergeCell ref="C47:D47"/>
    <mergeCell ref="C38:D38"/>
    <mergeCell ref="C39:D39"/>
    <mergeCell ref="C40:D40"/>
    <mergeCell ref="C41:D41"/>
    <mergeCell ref="C42:D42"/>
    <mergeCell ref="C33:D33"/>
    <mergeCell ref="C34:D34"/>
    <mergeCell ref="C35:D35"/>
    <mergeCell ref="C36:D36"/>
    <mergeCell ref="C37:D37"/>
    <mergeCell ref="C28:D28"/>
    <mergeCell ref="C29:D29"/>
    <mergeCell ref="C30:D30"/>
    <mergeCell ref="C31:D31"/>
    <mergeCell ref="C32:D32"/>
    <mergeCell ref="B3:H8"/>
    <mergeCell ref="C16:D16"/>
    <mergeCell ref="C17:D17"/>
    <mergeCell ref="C23:D23"/>
    <mergeCell ref="C24:D24"/>
    <mergeCell ref="C25:D25"/>
    <mergeCell ref="C26:D26"/>
    <mergeCell ref="C27:D27"/>
    <mergeCell ref="C18:D18"/>
    <mergeCell ref="C19:D19"/>
    <mergeCell ref="C20:D20"/>
    <mergeCell ref="C21:D21"/>
    <mergeCell ref="C22:D2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D7E-BB8D-4D80-8096-926015C58E20}">
  <sheetPr codeName="Hoja11"/>
  <dimension ref="B1:Y27"/>
  <sheetViews>
    <sheetView topLeftCell="A10" zoomScale="148" workbookViewId="0">
      <selection activeCell="T17" sqref="T17"/>
    </sheetView>
  </sheetViews>
  <sheetFormatPr baseColWidth="10" defaultColWidth="11.42578125" defaultRowHeight="15"/>
  <cols>
    <col min="1" max="1" width="7.42578125" style="5" customWidth="1"/>
    <col min="2" max="21" width="4" style="5" customWidth="1"/>
    <col min="22" max="22" width="15.7109375" style="5" bestFit="1" customWidth="1"/>
    <col min="23" max="23" width="17.28515625" style="5" bestFit="1" customWidth="1"/>
    <col min="24" max="24" width="4" style="5" customWidth="1"/>
    <col min="25" max="25" width="3.7109375" style="5" customWidth="1"/>
    <col min="26" max="16384" width="11.42578125" style="5"/>
  </cols>
  <sheetData>
    <row r="1" spans="2:24" ht="15.75" thickBot="1"/>
    <row r="2" spans="2:24" ht="15.75" thickBot="1">
      <c r="B2" s="337" t="s">
        <v>419</v>
      </c>
      <c r="C2" s="338"/>
      <c r="D2" s="339"/>
    </row>
    <row r="3" spans="2:24" ht="14.25" customHeight="1">
      <c r="B3" s="340" t="s">
        <v>420</v>
      </c>
      <c r="C3" s="341"/>
      <c r="D3" s="341"/>
      <c r="E3" s="341"/>
      <c r="F3" s="341"/>
      <c r="G3" s="341"/>
      <c r="H3" s="341"/>
      <c r="I3" s="341"/>
      <c r="J3" s="341"/>
      <c r="K3" s="341"/>
      <c r="L3" s="341"/>
      <c r="M3" s="341"/>
      <c r="N3" s="341"/>
      <c r="O3" s="341"/>
      <c r="P3" s="341"/>
      <c r="Q3" s="341"/>
      <c r="R3" s="341"/>
      <c r="S3" s="341"/>
      <c r="T3" s="341"/>
      <c r="U3" s="341"/>
      <c r="V3" s="341"/>
      <c r="W3" s="341"/>
      <c r="X3" s="342"/>
    </row>
    <row r="4" spans="2:24">
      <c r="B4" s="343"/>
      <c r="C4" s="344"/>
      <c r="D4" s="344"/>
      <c r="E4" s="344"/>
      <c r="F4" s="344"/>
      <c r="G4" s="344"/>
      <c r="H4" s="344"/>
      <c r="I4" s="344"/>
      <c r="J4" s="344"/>
      <c r="K4" s="344"/>
      <c r="L4" s="344"/>
      <c r="M4" s="344"/>
      <c r="N4" s="344"/>
      <c r="O4" s="344"/>
      <c r="P4" s="344"/>
      <c r="Q4" s="344"/>
      <c r="R4" s="344"/>
      <c r="S4" s="344"/>
      <c r="T4" s="344"/>
      <c r="U4" s="344"/>
      <c r="V4" s="344"/>
      <c r="W4" s="344"/>
      <c r="X4" s="345"/>
    </row>
    <row r="5" spans="2:24">
      <c r="B5" s="343"/>
      <c r="C5" s="344"/>
      <c r="D5" s="344"/>
      <c r="E5" s="344"/>
      <c r="F5" s="344"/>
      <c r="G5" s="344"/>
      <c r="H5" s="344"/>
      <c r="I5" s="344"/>
      <c r="J5" s="344"/>
      <c r="K5" s="344"/>
      <c r="L5" s="344"/>
      <c r="M5" s="344"/>
      <c r="N5" s="344"/>
      <c r="O5" s="344"/>
      <c r="P5" s="344"/>
      <c r="Q5" s="344"/>
      <c r="R5" s="344"/>
      <c r="S5" s="344"/>
      <c r="T5" s="344"/>
      <c r="U5" s="344"/>
      <c r="V5" s="344"/>
      <c r="W5" s="344"/>
      <c r="X5" s="345"/>
    </row>
    <row r="6" spans="2:24">
      <c r="B6" s="343"/>
      <c r="C6" s="344"/>
      <c r="D6" s="344"/>
      <c r="E6" s="344"/>
      <c r="F6" s="344"/>
      <c r="G6" s="344"/>
      <c r="H6" s="344"/>
      <c r="I6" s="344"/>
      <c r="J6" s="344"/>
      <c r="K6" s="344"/>
      <c r="L6" s="344"/>
      <c r="M6" s="344"/>
      <c r="N6" s="344"/>
      <c r="O6" s="344"/>
      <c r="P6" s="344"/>
      <c r="Q6" s="344"/>
      <c r="R6" s="344"/>
      <c r="S6" s="344"/>
      <c r="T6" s="344"/>
      <c r="U6" s="344"/>
      <c r="V6" s="344"/>
      <c r="W6" s="344"/>
      <c r="X6" s="345"/>
    </row>
    <row r="7" spans="2:24">
      <c r="B7" s="343"/>
      <c r="C7" s="344"/>
      <c r="D7" s="344"/>
      <c r="E7" s="344"/>
      <c r="F7" s="344"/>
      <c r="G7" s="344"/>
      <c r="H7" s="344"/>
      <c r="I7" s="344"/>
      <c r="J7" s="344"/>
      <c r="K7" s="344"/>
      <c r="L7" s="344"/>
      <c r="M7" s="344"/>
      <c r="N7" s="344"/>
      <c r="O7" s="344"/>
      <c r="P7" s="344"/>
      <c r="Q7" s="344"/>
      <c r="R7" s="344"/>
      <c r="S7" s="344"/>
      <c r="T7" s="344"/>
      <c r="U7" s="344"/>
      <c r="V7" s="344"/>
      <c r="W7" s="344"/>
      <c r="X7" s="345"/>
    </row>
    <row r="8" spans="2:24">
      <c r="B8" s="343"/>
      <c r="C8" s="344"/>
      <c r="D8" s="344"/>
      <c r="E8" s="344"/>
      <c r="F8" s="344"/>
      <c r="G8" s="344"/>
      <c r="H8" s="344"/>
      <c r="I8" s="344"/>
      <c r="J8" s="344"/>
      <c r="K8" s="344"/>
      <c r="L8" s="344"/>
      <c r="M8" s="344"/>
      <c r="N8" s="344"/>
      <c r="O8" s="344"/>
      <c r="P8" s="344"/>
      <c r="Q8" s="344"/>
      <c r="R8" s="344"/>
      <c r="S8" s="344"/>
      <c r="T8" s="344"/>
      <c r="U8" s="344"/>
      <c r="V8" s="344"/>
      <c r="W8" s="344"/>
      <c r="X8" s="345"/>
    </row>
    <row r="9" spans="2:24">
      <c r="B9" s="343"/>
      <c r="C9" s="344"/>
      <c r="D9" s="344"/>
      <c r="E9" s="344"/>
      <c r="F9" s="344"/>
      <c r="G9" s="344"/>
      <c r="H9" s="344"/>
      <c r="I9" s="344"/>
      <c r="J9" s="344"/>
      <c r="K9" s="344"/>
      <c r="L9" s="344"/>
      <c r="M9" s="344"/>
      <c r="N9" s="344"/>
      <c r="O9" s="344"/>
      <c r="P9" s="344"/>
      <c r="Q9" s="344"/>
      <c r="R9" s="344"/>
      <c r="S9" s="344"/>
      <c r="T9" s="344"/>
      <c r="U9" s="344"/>
      <c r="V9" s="344"/>
      <c r="W9" s="344"/>
      <c r="X9" s="345"/>
    </row>
    <row r="10" spans="2:24">
      <c r="B10" s="343"/>
      <c r="C10" s="344"/>
      <c r="D10" s="344"/>
      <c r="E10" s="344"/>
      <c r="F10" s="344"/>
      <c r="G10" s="344"/>
      <c r="H10" s="344"/>
      <c r="I10" s="344"/>
      <c r="J10" s="344"/>
      <c r="K10" s="344"/>
      <c r="L10" s="344"/>
      <c r="M10" s="344"/>
      <c r="N10" s="344"/>
      <c r="O10" s="344"/>
      <c r="P10" s="344"/>
      <c r="Q10" s="344"/>
      <c r="R10" s="344"/>
      <c r="S10" s="344"/>
      <c r="T10" s="344"/>
      <c r="U10" s="344"/>
      <c r="V10" s="344"/>
      <c r="W10" s="344"/>
      <c r="X10" s="345"/>
    </row>
    <row r="11" spans="2:24">
      <c r="B11" s="343"/>
      <c r="C11" s="344"/>
      <c r="D11" s="344"/>
      <c r="E11" s="344"/>
      <c r="F11" s="344"/>
      <c r="G11" s="344"/>
      <c r="H11" s="344"/>
      <c r="I11" s="344"/>
      <c r="J11" s="344"/>
      <c r="K11" s="344"/>
      <c r="L11" s="344"/>
      <c r="M11" s="344"/>
      <c r="N11" s="344"/>
      <c r="O11" s="344"/>
      <c r="P11" s="344"/>
      <c r="Q11" s="344"/>
      <c r="R11" s="344"/>
      <c r="S11" s="344"/>
      <c r="T11" s="344"/>
      <c r="U11" s="344"/>
      <c r="V11" s="344"/>
      <c r="W11" s="344"/>
      <c r="X11" s="345"/>
    </row>
    <row r="12" spans="2:24">
      <c r="B12" s="343"/>
      <c r="C12" s="344"/>
      <c r="D12" s="344"/>
      <c r="E12" s="344"/>
      <c r="F12" s="344"/>
      <c r="G12" s="344"/>
      <c r="H12" s="344"/>
      <c r="I12" s="344"/>
      <c r="J12" s="344"/>
      <c r="K12" s="344"/>
      <c r="L12" s="344"/>
      <c r="M12" s="344"/>
      <c r="N12" s="344"/>
      <c r="O12" s="344"/>
      <c r="P12" s="344"/>
      <c r="Q12" s="344"/>
      <c r="R12" s="344"/>
      <c r="S12" s="344"/>
      <c r="T12" s="344"/>
      <c r="U12" s="344"/>
      <c r="V12" s="344"/>
      <c r="W12" s="344"/>
      <c r="X12" s="345"/>
    </row>
    <row r="13" spans="2:24" ht="15.75" thickBot="1">
      <c r="B13" s="346"/>
      <c r="C13" s="347"/>
      <c r="D13" s="347"/>
      <c r="E13" s="347"/>
      <c r="F13" s="347"/>
      <c r="G13" s="347"/>
      <c r="H13" s="347"/>
      <c r="I13" s="347"/>
      <c r="J13" s="347"/>
      <c r="K13" s="347"/>
      <c r="L13" s="347"/>
      <c r="M13" s="347"/>
      <c r="N13" s="347"/>
      <c r="O13" s="347"/>
      <c r="P13" s="347"/>
      <c r="Q13" s="347"/>
      <c r="R13" s="347"/>
      <c r="S13" s="347"/>
      <c r="T13" s="347"/>
      <c r="U13" s="347"/>
      <c r="V13" s="347"/>
      <c r="W13" s="347"/>
      <c r="X13" s="348"/>
    </row>
    <row r="15" spans="2:24" ht="15.75" thickBot="1">
      <c r="B15" s="336" t="s">
        <v>421</v>
      </c>
      <c r="C15" s="336"/>
      <c r="D15" s="336"/>
      <c r="G15" s="5" t="s">
        <v>422</v>
      </c>
    </row>
    <row r="16" spans="2:24" ht="15.75" thickBot="1">
      <c r="B16" s="336"/>
      <c r="C16" s="336"/>
      <c r="D16" s="336"/>
      <c r="G16" s="232"/>
      <c r="H16" s="189"/>
      <c r="I16" s="92"/>
      <c r="J16" s="93"/>
      <c r="K16" s="193"/>
      <c r="L16" s="233"/>
      <c r="M16" s="93"/>
      <c r="N16" s="387"/>
      <c r="O16" s="387"/>
      <c r="P16" s="94"/>
      <c r="Q16" s="189"/>
      <c r="R16" s="234"/>
    </row>
    <row r="17" spans="3:25">
      <c r="C17" s="91"/>
      <c r="G17" s="81"/>
      <c r="H17" s="77"/>
      <c r="I17" s="77"/>
      <c r="J17" s="77"/>
      <c r="K17" s="71"/>
      <c r="L17" s="73"/>
      <c r="M17" s="80"/>
      <c r="N17" s="80"/>
      <c r="O17" s="77"/>
      <c r="P17" s="80"/>
      <c r="Q17" s="71"/>
      <c r="R17" s="192"/>
    </row>
    <row r="18" spans="3:25">
      <c r="C18" s="89"/>
      <c r="G18" s="78"/>
      <c r="H18" s="80"/>
      <c r="I18" s="74"/>
      <c r="J18" s="74"/>
      <c r="K18" s="73"/>
      <c r="L18" s="73"/>
      <c r="M18" s="77"/>
      <c r="N18" s="72"/>
      <c r="O18" s="72"/>
      <c r="P18" s="72"/>
      <c r="Q18" s="73"/>
      <c r="R18" s="235"/>
    </row>
    <row r="19" spans="3:25">
      <c r="C19" s="88"/>
      <c r="G19" s="78"/>
      <c r="H19" s="80"/>
      <c r="I19" s="73"/>
      <c r="J19" s="72"/>
      <c r="K19" s="74"/>
      <c r="L19" s="71"/>
      <c r="M19" s="74"/>
      <c r="N19" s="77"/>
      <c r="O19" s="71"/>
      <c r="P19" s="75"/>
      <c r="Q19" s="72"/>
      <c r="R19" s="235"/>
    </row>
    <row r="20" spans="3:25">
      <c r="C20" s="87"/>
      <c r="G20" s="83"/>
      <c r="H20" s="72"/>
      <c r="I20" s="71"/>
      <c r="J20" s="80"/>
      <c r="K20" s="80"/>
      <c r="L20" s="71"/>
      <c r="M20" s="262"/>
      <c r="N20" s="262"/>
      <c r="O20" s="80"/>
      <c r="P20" s="71"/>
      <c r="Q20" s="74"/>
      <c r="R20" s="192"/>
    </row>
    <row r="21" spans="3:25">
      <c r="C21" s="86"/>
      <c r="G21" s="83"/>
      <c r="H21" s="77"/>
      <c r="I21" s="80"/>
      <c r="J21" s="71"/>
      <c r="K21" s="73"/>
      <c r="L21" s="71"/>
      <c r="M21" s="80"/>
      <c r="N21" s="73"/>
      <c r="O21" s="72"/>
      <c r="P21" s="71"/>
      <c r="Q21" s="75"/>
      <c r="R21" s="79"/>
    </row>
    <row r="22" spans="3:25">
      <c r="C22" s="84"/>
      <c r="G22" s="81"/>
      <c r="H22" s="71"/>
      <c r="I22" s="77"/>
      <c r="J22" s="73"/>
      <c r="K22" s="73"/>
      <c r="L22" s="72"/>
      <c r="M22" s="71"/>
      <c r="N22" s="74"/>
      <c r="O22" s="75"/>
      <c r="P22" s="73"/>
      <c r="Q22" s="74"/>
      <c r="R22" s="236"/>
      <c r="U22" s="307" t="s">
        <v>157</v>
      </c>
      <c r="V22" s="309"/>
    </row>
    <row r="23" spans="3:25" ht="15.75" thickBot="1">
      <c r="C23" s="82"/>
      <c r="G23" s="83"/>
      <c r="H23" s="71"/>
      <c r="I23" s="73"/>
      <c r="J23" s="75"/>
      <c r="K23" s="73"/>
      <c r="L23" s="71"/>
      <c r="M23" s="71"/>
      <c r="N23" s="75"/>
      <c r="O23" s="77"/>
      <c r="P23" s="80"/>
      <c r="Q23" s="80"/>
      <c r="R23" s="236"/>
      <c r="U23" s="194"/>
      <c r="V23" s="195"/>
      <c r="W23" s="195"/>
      <c r="X23" s="195"/>
      <c r="Y23" s="196"/>
    </row>
    <row r="24" spans="3:25" ht="15.75" thickBot="1">
      <c r="G24" s="78"/>
      <c r="H24" s="72"/>
      <c r="I24" s="75"/>
      <c r="J24" s="71"/>
      <c r="K24" s="74"/>
      <c r="L24" s="75"/>
      <c r="M24" s="80"/>
      <c r="N24" s="71"/>
      <c r="O24" s="71"/>
      <c r="P24" s="75"/>
      <c r="Q24" s="71"/>
      <c r="R24" s="90"/>
      <c r="U24" s="197"/>
      <c r="V24" s="205" t="s">
        <v>423</v>
      </c>
      <c r="W24" s="202" t="s">
        <v>424</v>
      </c>
      <c r="X24" s="206"/>
      <c r="Y24" s="198"/>
    </row>
    <row r="25" spans="3:25" ht="15.75" thickBot="1">
      <c r="G25" s="191"/>
      <c r="H25" s="71"/>
      <c r="I25" s="73"/>
      <c r="J25" s="71"/>
      <c r="K25" s="71"/>
      <c r="L25" s="73"/>
      <c r="M25" s="80"/>
      <c r="N25" s="77"/>
      <c r="O25" s="71"/>
      <c r="P25" s="80"/>
      <c r="Q25" s="74"/>
      <c r="R25" s="79"/>
      <c r="U25" s="197"/>
      <c r="V25" s="207" t="s">
        <v>425</v>
      </c>
      <c r="W25" s="203" t="s">
        <v>426</v>
      </c>
      <c r="X25" s="208"/>
      <c r="Y25" s="198"/>
    </row>
    <row r="26" spans="3:25">
      <c r="G26" s="85"/>
      <c r="H26" s="71"/>
      <c r="I26" s="73"/>
      <c r="J26" s="80"/>
      <c r="K26" s="80"/>
      <c r="L26" s="75"/>
      <c r="M26" s="72"/>
      <c r="N26" s="71"/>
      <c r="O26" s="80"/>
      <c r="P26" s="77"/>
      <c r="Q26" s="71"/>
      <c r="R26" s="76"/>
      <c r="U26" s="197"/>
      <c r="V26" s="209" t="s">
        <v>427</v>
      </c>
      <c r="W26" s="204" t="s">
        <v>428</v>
      </c>
      <c r="X26" s="210"/>
      <c r="Y26" s="198"/>
    </row>
    <row r="27" spans="3:25" ht="15.75" thickBot="1">
      <c r="G27" s="70"/>
      <c r="H27" s="237"/>
      <c r="I27" s="238"/>
      <c r="J27" s="237"/>
      <c r="K27" s="190"/>
      <c r="L27" s="263"/>
      <c r="M27" s="263"/>
      <c r="N27" s="69"/>
      <c r="O27" s="190"/>
      <c r="P27" s="69"/>
      <c r="Q27" s="238"/>
      <c r="R27" s="239"/>
      <c r="U27" s="199"/>
      <c r="V27" s="200"/>
      <c r="W27" s="200"/>
      <c r="X27" s="200"/>
      <c r="Y27" s="201"/>
    </row>
  </sheetData>
  <mergeCells count="4">
    <mergeCell ref="U22:V22"/>
    <mergeCell ref="B15:D16"/>
    <mergeCell ref="B2:D2"/>
    <mergeCell ref="B3:X1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571C9-9F21-424E-95A3-8BA5E19D8E98}">
  <sheetPr codeName="Hoja12"/>
  <dimension ref="D1:BC31"/>
  <sheetViews>
    <sheetView showGridLines="0" topLeftCell="C1" zoomScale="112" workbookViewId="0">
      <selection activeCell="T17" sqref="T17"/>
    </sheetView>
  </sheetViews>
  <sheetFormatPr baseColWidth="10" defaultColWidth="2.7109375" defaultRowHeight="15"/>
  <cols>
    <col min="1" max="21" width="2.7109375" style="3"/>
    <col min="22" max="22" width="12" style="3" bestFit="1" customWidth="1"/>
    <col min="23" max="16384" width="2.7109375" style="3"/>
  </cols>
  <sheetData>
    <row r="1" spans="4:55" ht="15.75" thickBot="1"/>
    <row r="2" spans="4:55">
      <c r="D2" s="337" t="s">
        <v>429</v>
      </c>
      <c r="E2" s="338"/>
      <c r="F2" s="338"/>
      <c r="G2" s="338"/>
      <c r="H2" s="339"/>
    </row>
    <row r="3" spans="4:55" ht="14.45" customHeight="1">
      <c r="D3" s="350" t="s">
        <v>430</v>
      </c>
      <c r="E3" s="351"/>
      <c r="F3" s="351"/>
      <c r="G3" s="351"/>
      <c r="H3" s="351"/>
      <c r="I3" s="351"/>
      <c r="J3" s="351"/>
      <c r="K3" s="351"/>
      <c r="L3" s="351"/>
      <c r="M3" s="351"/>
      <c r="N3" s="351"/>
      <c r="O3" s="351"/>
      <c r="P3" s="351"/>
      <c r="Q3" s="351"/>
      <c r="R3" s="351"/>
      <c r="S3" s="351"/>
      <c r="T3" s="351"/>
      <c r="U3" s="351"/>
      <c r="V3" s="351"/>
      <c r="W3" s="351"/>
      <c r="X3" s="351"/>
      <c r="Y3" s="351"/>
      <c r="Z3" s="351"/>
      <c r="AA3" s="351"/>
      <c r="AB3" s="351"/>
      <c r="AC3" s="351"/>
      <c r="AD3" s="351"/>
      <c r="AE3" s="351"/>
      <c r="AF3" s="351"/>
      <c r="AG3" s="351"/>
      <c r="AH3" s="351"/>
      <c r="AI3" s="351"/>
      <c r="AJ3" s="351"/>
      <c r="AK3" s="351"/>
      <c r="AL3" s="351"/>
      <c r="AM3" s="351"/>
      <c r="AN3" s="351"/>
      <c r="AO3" s="351"/>
      <c r="AP3" s="351"/>
      <c r="AQ3" s="351"/>
      <c r="AR3" s="351"/>
      <c r="AS3" s="351"/>
      <c r="AT3" s="351"/>
      <c r="AU3" s="351"/>
      <c r="AV3" s="351"/>
      <c r="AW3" s="351"/>
      <c r="AX3" s="351"/>
      <c r="AY3" s="351"/>
      <c r="AZ3" s="351"/>
      <c r="BA3" s="352"/>
    </row>
    <row r="4" spans="4:55" ht="14.45" customHeight="1">
      <c r="D4" s="353"/>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5"/>
    </row>
    <row r="5" spans="4:55" ht="14.45" customHeight="1">
      <c r="D5" s="353"/>
      <c r="E5" s="354"/>
      <c r="F5" s="354"/>
      <c r="G5" s="354"/>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5"/>
    </row>
    <row r="6" spans="4:55" ht="14.45" customHeight="1">
      <c r="D6" s="353"/>
      <c r="E6" s="354"/>
      <c r="F6" s="354"/>
      <c r="G6" s="354"/>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5"/>
    </row>
    <row r="7" spans="4:55" ht="14.45" customHeight="1">
      <c r="D7" s="353"/>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5"/>
    </row>
    <row r="8" spans="4:55" ht="14.45" customHeight="1">
      <c r="D8" s="353"/>
      <c r="E8" s="354"/>
      <c r="F8" s="354"/>
      <c r="G8" s="354"/>
      <c r="H8" s="354"/>
      <c r="I8" s="354"/>
      <c r="J8" s="354"/>
      <c r="K8" s="354"/>
      <c r="L8" s="354"/>
      <c r="M8" s="354"/>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5"/>
    </row>
    <row r="9" spans="4:55" ht="14.45" customHeight="1">
      <c r="D9" s="353"/>
      <c r="E9" s="354"/>
      <c r="F9" s="354"/>
      <c r="G9" s="354"/>
      <c r="H9" s="354"/>
      <c r="I9" s="354"/>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4"/>
      <c r="BA9" s="355"/>
    </row>
    <row r="10" spans="4:55" ht="14.45" customHeight="1">
      <c r="D10" s="356"/>
      <c r="E10" s="357"/>
      <c r="F10" s="357"/>
      <c r="G10" s="357"/>
      <c r="H10" s="357"/>
      <c r="I10" s="357"/>
      <c r="J10" s="357"/>
      <c r="K10" s="357"/>
      <c r="L10" s="357"/>
      <c r="M10" s="357"/>
      <c r="N10" s="357"/>
      <c r="O10" s="357"/>
      <c r="P10" s="357"/>
      <c r="Q10" s="357"/>
      <c r="R10" s="357"/>
      <c r="S10" s="357"/>
      <c r="T10" s="357"/>
      <c r="U10" s="357"/>
      <c r="V10" s="357"/>
      <c r="W10" s="357"/>
      <c r="X10" s="357"/>
      <c r="Y10" s="357"/>
      <c r="Z10" s="357"/>
      <c r="AA10" s="357"/>
      <c r="AB10" s="357"/>
      <c r="AC10" s="357"/>
      <c r="AD10" s="357"/>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8"/>
    </row>
    <row r="12" spans="4:55">
      <c r="D12" s="332" t="s">
        <v>431</v>
      </c>
      <c r="E12" s="332"/>
      <c r="F12" s="332"/>
      <c r="G12" s="332"/>
      <c r="H12" s="332"/>
      <c r="I12" s="332"/>
      <c r="J12" s="332"/>
      <c r="K12" s="332"/>
      <c r="L12" s="332"/>
      <c r="M12" s="332"/>
      <c r="N12" s="332"/>
      <c r="O12" s="332"/>
      <c r="P12" s="332"/>
      <c r="Q12" s="359">
        <v>5</v>
      </c>
      <c r="R12" s="360"/>
    </row>
    <row r="14" spans="4:55">
      <c r="G14" s="24"/>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2"/>
    </row>
    <row r="15" spans="4:55">
      <c r="G15" s="15"/>
      <c r="AJ15" s="13"/>
      <c r="AW15" s="349"/>
      <c r="AX15" s="349"/>
      <c r="AY15" s="349"/>
      <c r="AZ15" s="349"/>
      <c r="BA15" s="349"/>
      <c r="BB15" s="349"/>
      <c r="BC15" s="349"/>
    </row>
    <row r="16" spans="4:55">
      <c r="G16" s="15"/>
      <c r="K16" s="14"/>
      <c r="L16" s="16"/>
      <c r="M16" s="14"/>
      <c r="P16" s="14"/>
      <c r="Q16" s="14"/>
      <c r="R16" s="14"/>
      <c r="S16" s="14"/>
      <c r="T16" s="264"/>
      <c r="U16" s="14"/>
      <c r="V16" s="264"/>
      <c r="W16" s="14"/>
      <c r="X16" s="264"/>
      <c r="Y16" s="14"/>
      <c r="Z16" s="14"/>
      <c r="AA16" s="14"/>
      <c r="AD16" s="264"/>
      <c r="AE16" s="14"/>
      <c r="AF16" s="264"/>
      <c r="AJ16" s="13"/>
      <c r="AM16" s="21" t="s">
        <v>432</v>
      </c>
      <c r="AW16" s="349"/>
      <c r="AX16" s="349"/>
      <c r="AY16" s="349"/>
      <c r="AZ16" s="349"/>
      <c r="BA16" s="349"/>
      <c r="BB16" s="349"/>
      <c r="BC16" s="349"/>
    </row>
    <row r="17" spans="6:55">
      <c r="G17" s="15"/>
      <c r="H17" s="14"/>
      <c r="I17" s="14"/>
      <c r="J17" s="14"/>
      <c r="K17" s="14"/>
      <c r="L17" s="264"/>
      <c r="M17" s="14"/>
      <c r="P17" s="14"/>
      <c r="Q17" s="264"/>
      <c r="R17" s="14"/>
      <c r="S17" s="265"/>
      <c r="T17" s="265"/>
      <c r="U17" s="14"/>
      <c r="V17" s="264"/>
      <c r="W17" s="14"/>
      <c r="X17" s="14"/>
      <c r="Y17" s="264"/>
      <c r="Z17" s="14"/>
      <c r="AA17" s="14"/>
      <c r="AD17" s="14"/>
      <c r="AE17" s="14"/>
      <c r="AF17" s="14"/>
      <c r="AG17" s="264"/>
      <c r="AH17" s="14"/>
      <c r="AI17" s="264"/>
      <c r="AJ17" s="13"/>
      <c r="AW17" s="349"/>
      <c r="AX17" s="349"/>
      <c r="AY17" s="349"/>
      <c r="AZ17" s="349"/>
      <c r="BA17" s="349"/>
      <c r="BB17" s="349"/>
      <c r="BC17" s="349"/>
    </row>
    <row r="18" spans="6:55">
      <c r="F18" s="20"/>
      <c r="G18" s="19"/>
      <c r="H18" s="14"/>
      <c r="I18" s="14"/>
      <c r="J18" s="14"/>
      <c r="K18" s="14"/>
      <c r="L18" s="14"/>
      <c r="M18" s="14"/>
      <c r="P18" s="14"/>
      <c r="Q18" s="14"/>
      <c r="R18" s="14"/>
      <c r="S18" s="14"/>
      <c r="T18" s="14"/>
      <c r="U18" s="14"/>
      <c r="V18" s="264"/>
      <c r="W18" s="14"/>
      <c r="X18" s="14"/>
      <c r="Y18" s="14"/>
      <c r="Z18" s="14"/>
      <c r="AA18" s="14"/>
      <c r="AD18" s="14"/>
      <c r="AE18" s="264"/>
      <c r="AF18" s="14"/>
      <c r="AG18" s="14"/>
      <c r="AH18" s="264"/>
      <c r="AI18" s="14"/>
      <c r="AJ18" s="13"/>
      <c r="AM18" s="14"/>
      <c r="AN18" s="3" t="s">
        <v>433</v>
      </c>
      <c r="AW18" s="349"/>
      <c r="AX18" s="349"/>
      <c r="AY18" s="349"/>
      <c r="AZ18" s="349"/>
      <c r="BA18" s="349"/>
      <c r="BB18" s="349"/>
      <c r="BC18" s="349"/>
    </row>
    <row r="19" spans="6:55">
      <c r="G19" s="15"/>
      <c r="AJ19" s="13"/>
    </row>
    <row r="20" spans="6:55">
      <c r="G20" s="15"/>
      <c r="H20" s="14"/>
      <c r="I20" s="264"/>
      <c r="J20" s="264"/>
      <c r="K20" s="264"/>
      <c r="L20" s="264"/>
      <c r="M20" s="264"/>
      <c r="P20" s="264"/>
      <c r="Q20" s="14"/>
      <c r="R20" s="264"/>
      <c r="S20" s="14"/>
      <c r="T20" s="14"/>
      <c r="U20" s="14"/>
      <c r="V20" s="264"/>
      <c r="W20" s="14"/>
      <c r="X20" s="14"/>
      <c r="Y20" s="14"/>
      <c r="Z20" s="14"/>
      <c r="AA20" s="14"/>
      <c r="AD20" s="264"/>
      <c r="AE20" s="264"/>
      <c r="AF20" s="264"/>
      <c r="AG20" s="264"/>
      <c r="AH20" s="264"/>
      <c r="AI20" s="264"/>
      <c r="AJ20" s="13"/>
      <c r="AM20" s="18"/>
      <c r="AN20" s="3" t="s">
        <v>434</v>
      </c>
    </row>
    <row r="21" spans="6:55">
      <c r="G21" s="15"/>
      <c r="H21" s="14"/>
      <c r="I21" s="264"/>
      <c r="J21" s="264"/>
      <c r="K21" s="14"/>
      <c r="L21" s="14"/>
      <c r="M21" s="14"/>
      <c r="P21" s="14"/>
      <c r="Q21" s="14"/>
      <c r="R21" s="14"/>
      <c r="S21" s="264"/>
      <c r="T21" s="14"/>
      <c r="U21" s="14"/>
      <c r="V21" s="264"/>
      <c r="W21" s="14"/>
      <c r="X21" s="14"/>
      <c r="Y21" s="16"/>
      <c r="Z21" s="14"/>
      <c r="AA21" s="14"/>
      <c r="AD21" s="14"/>
      <c r="AE21" s="14"/>
      <c r="AF21" s="264"/>
      <c r="AG21" s="14"/>
      <c r="AH21" s="264"/>
      <c r="AI21" s="14"/>
      <c r="AJ21" s="13"/>
    </row>
    <row r="22" spans="6:55">
      <c r="G22" s="15"/>
      <c r="H22" s="14"/>
      <c r="I22" s="14"/>
      <c r="J22" s="14"/>
      <c r="K22" s="14"/>
      <c r="L22" s="264"/>
      <c r="M22" s="14"/>
      <c r="P22" s="14"/>
      <c r="Q22" s="264"/>
      <c r="R22" s="14"/>
      <c r="S22" s="14"/>
      <c r="T22" s="14"/>
      <c r="U22" s="14"/>
      <c r="V22" s="264"/>
      <c r="W22" s="14"/>
      <c r="X22" s="264"/>
      <c r="Y22" s="14"/>
      <c r="Z22" s="14"/>
      <c r="AA22" s="14"/>
      <c r="AD22" s="14"/>
      <c r="AE22" s="14"/>
      <c r="AF22" s="264"/>
      <c r="AG22" s="14"/>
      <c r="AH22" s="16"/>
      <c r="AI22" s="14"/>
      <c r="AJ22" s="13"/>
      <c r="AM22" s="17"/>
      <c r="AN22" s="3" t="s">
        <v>435</v>
      </c>
    </row>
    <row r="23" spans="6:55">
      <c r="G23" s="15"/>
      <c r="H23" s="14"/>
      <c r="I23" s="14"/>
      <c r="J23" s="264"/>
      <c r="K23" s="264"/>
      <c r="L23" s="14"/>
      <c r="M23" s="14"/>
      <c r="P23" s="264"/>
      <c r="Q23" s="14"/>
      <c r="R23" s="14"/>
      <c r="S23" s="264"/>
      <c r="T23" s="14"/>
      <c r="U23" s="14"/>
      <c r="V23" s="264"/>
      <c r="W23" s="14"/>
      <c r="X23" s="16"/>
      <c r="Y23" s="14"/>
      <c r="Z23" s="14"/>
      <c r="AA23" s="14"/>
      <c r="AD23" s="14"/>
      <c r="AE23" s="14"/>
      <c r="AF23" s="14"/>
      <c r="AG23" s="14"/>
      <c r="AH23" s="264"/>
      <c r="AI23" s="14"/>
      <c r="AJ23" s="13"/>
    </row>
    <row r="24" spans="6:55">
      <c r="G24" s="15"/>
      <c r="H24" s="14"/>
      <c r="I24" s="264"/>
      <c r="K24" s="264"/>
      <c r="L24" s="264"/>
      <c r="M24" s="264"/>
      <c r="P24" s="264"/>
      <c r="Q24" s="264"/>
      <c r="R24" s="14"/>
      <c r="S24" s="14"/>
      <c r="T24" s="264"/>
      <c r="U24" s="14"/>
      <c r="V24" s="14"/>
      <c r="W24" s="14"/>
      <c r="X24" s="264"/>
      <c r="Y24" s="14"/>
      <c r="Z24" s="14"/>
      <c r="AA24" s="14"/>
      <c r="AD24" s="264"/>
      <c r="AE24" s="14"/>
      <c r="AF24" s="264"/>
      <c r="AG24" s="14"/>
      <c r="AH24" s="264"/>
      <c r="AI24" s="14"/>
      <c r="AJ24" s="13"/>
    </row>
    <row r="25" spans="6:55">
      <c r="G25" s="15"/>
      <c r="H25" s="14"/>
      <c r="I25" s="14"/>
      <c r="J25" s="264"/>
      <c r="K25" s="14"/>
      <c r="L25" s="14"/>
      <c r="M25" s="14"/>
      <c r="P25" s="14"/>
      <c r="Q25" s="264"/>
      <c r="R25" s="264"/>
      <c r="S25" s="14"/>
      <c r="T25" s="264"/>
      <c r="U25" s="14"/>
      <c r="V25" s="264"/>
      <c r="W25" s="14"/>
      <c r="X25" s="14"/>
      <c r="Y25" s="14"/>
      <c r="Z25" s="14"/>
      <c r="AA25" s="264"/>
      <c r="AD25" s="14"/>
      <c r="AE25" s="14"/>
      <c r="AF25" s="14"/>
      <c r="AG25" s="14"/>
      <c r="AH25" s="264"/>
      <c r="AI25" s="264"/>
      <c r="AJ25" s="13"/>
    </row>
    <row r="26" spans="6:55">
      <c r="G26" s="15"/>
      <c r="H26" s="14"/>
      <c r="I26" s="14"/>
      <c r="J26" s="14"/>
      <c r="K26" s="14"/>
      <c r="L26" s="14"/>
      <c r="M26" s="14"/>
      <c r="P26" s="14"/>
      <c r="Q26" s="14"/>
      <c r="R26" s="14"/>
      <c r="S26" s="264"/>
      <c r="T26" s="264"/>
      <c r="U26" s="264"/>
      <c r="V26" s="264"/>
      <c r="W26" s="14"/>
      <c r="X26" s="14"/>
      <c r="Y26" s="14"/>
      <c r="Z26" s="14"/>
      <c r="AA26" s="14"/>
      <c r="AD26" s="264"/>
      <c r="AE26" s="14"/>
      <c r="AF26" s="264"/>
      <c r="AG26" s="14"/>
      <c r="AH26" s="264"/>
      <c r="AI26" s="14"/>
      <c r="AJ26" s="13"/>
    </row>
    <row r="27" spans="6:55">
      <c r="G27" s="15"/>
      <c r="H27" s="14"/>
      <c r="I27" s="14"/>
      <c r="J27" s="14"/>
      <c r="K27" s="14"/>
      <c r="L27" s="264"/>
      <c r="M27" s="14"/>
      <c r="P27" s="14"/>
      <c r="Q27" s="14"/>
      <c r="R27" s="14"/>
      <c r="S27" s="14"/>
      <c r="T27" s="14"/>
      <c r="U27" s="14"/>
      <c r="V27" s="264"/>
      <c r="W27" s="264"/>
      <c r="X27" s="14"/>
      <c r="Y27" s="14"/>
      <c r="Z27" s="14"/>
      <c r="AA27" s="264"/>
      <c r="AD27" s="14"/>
      <c r="AE27" s="14"/>
      <c r="AF27" s="14"/>
      <c r="AG27" s="14"/>
      <c r="AH27" s="264"/>
      <c r="AI27" s="14"/>
      <c r="AJ27" s="13"/>
    </row>
    <row r="28" spans="6:55">
      <c r="G28" s="15"/>
      <c r="AJ28" s="13"/>
    </row>
    <row r="29" spans="6:55">
      <c r="G29" s="15"/>
      <c r="H29" s="14"/>
      <c r="I29" s="14"/>
      <c r="J29" s="14"/>
      <c r="K29" s="14"/>
      <c r="L29" s="14"/>
      <c r="M29" s="14"/>
      <c r="P29" s="14"/>
      <c r="Q29" s="264"/>
      <c r="R29" s="14"/>
      <c r="S29" s="14"/>
      <c r="T29" s="16"/>
      <c r="U29" s="14"/>
      <c r="V29" s="264"/>
      <c r="W29" s="14"/>
      <c r="X29" s="14"/>
      <c r="Y29" s="264"/>
      <c r="Z29" s="14"/>
      <c r="AA29" s="14"/>
      <c r="AD29" s="14"/>
      <c r="AE29" s="14"/>
      <c r="AF29" s="14"/>
      <c r="AG29" s="14"/>
      <c r="AH29" s="14"/>
      <c r="AI29" s="14"/>
      <c r="AJ29" s="13"/>
    </row>
    <row r="30" spans="6:55">
      <c r="G30" s="15"/>
      <c r="H30" s="14"/>
      <c r="I30" s="14"/>
      <c r="J30" s="14"/>
      <c r="K30" s="14"/>
      <c r="L30" s="14"/>
      <c r="M30" s="14"/>
      <c r="P30" s="14"/>
      <c r="Q30" s="14"/>
      <c r="R30" s="14"/>
      <c r="S30" s="14"/>
      <c r="T30" s="14"/>
      <c r="U30" s="14"/>
      <c r="V30" s="14"/>
      <c r="W30" s="14"/>
      <c r="X30" s="14"/>
      <c r="Y30" s="14"/>
      <c r="Z30" s="14"/>
      <c r="AA30" s="14"/>
      <c r="AD30" s="14"/>
      <c r="AE30" s="14"/>
      <c r="AF30" s="14"/>
      <c r="AG30" s="14"/>
      <c r="AH30" s="14"/>
      <c r="AI30" s="14"/>
      <c r="AJ30" s="13"/>
    </row>
    <row r="31" spans="6:55">
      <c r="G31" s="12"/>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0"/>
    </row>
  </sheetData>
  <dataConsolidate/>
  <mergeCells count="5">
    <mergeCell ref="AW15:BC18"/>
    <mergeCell ref="D2:H2"/>
    <mergeCell ref="D3:BA10"/>
    <mergeCell ref="D12:P12"/>
    <mergeCell ref="Q12:R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DB81-1B00-48CD-9807-14FA31F690E8}">
  <sheetPr codeName="Hoja13"/>
  <dimension ref="B1:N36"/>
  <sheetViews>
    <sheetView showGridLines="0" topLeftCell="A4" zoomScale="115" zoomScaleNormal="100" workbookViewId="0">
      <selection activeCell="N6" sqref="N6"/>
    </sheetView>
  </sheetViews>
  <sheetFormatPr baseColWidth="10" defaultColWidth="11.7109375" defaultRowHeight="15" customHeight="1"/>
  <cols>
    <col min="1" max="1" width="5" customWidth="1"/>
    <col min="2" max="2" width="2.5703125" customWidth="1"/>
    <col min="14" max="14" width="5.140625" customWidth="1"/>
  </cols>
  <sheetData>
    <row r="1" spans="3:13" ht="15" customHeight="1" thickBot="1">
      <c r="J1">
        <v>1</v>
      </c>
      <c r="L1">
        <v>1</v>
      </c>
    </row>
    <row r="2" spans="3:13" ht="15" customHeight="1" thickBot="1">
      <c r="C2" s="211" t="s">
        <v>436</v>
      </c>
      <c r="I2">
        <v>1</v>
      </c>
      <c r="K2">
        <v>1</v>
      </c>
    </row>
    <row r="3" spans="3:13" ht="129.75" customHeight="1" thickBot="1">
      <c r="C3" s="361" t="s">
        <v>472</v>
      </c>
      <c r="D3" s="362"/>
      <c r="E3" s="362"/>
      <c r="F3" s="362"/>
      <c r="G3" s="362"/>
      <c r="H3" s="362"/>
      <c r="I3" s="362"/>
      <c r="J3" s="362"/>
      <c r="K3" s="362"/>
      <c r="L3" s="362"/>
      <c r="M3" s="363"/>
    </row>
    <row r="5" spans="3:13" ht="15" customHeight="1">
      <c r="C5" s="366"/>
      <c r="D5" s="332"/>
      <c r="E5" s="56"/>
      <c r="F5" s="56"/>
      <c r="G5" s="56"/>
      <c r="H5" s="56"/>
      <c r="I5" s="56"/>
      <c r="J5" s="56"/>
      <c r="K5" s="56"/>
      <c r="L5" s="56"/>
      <c r="M5" s="56"/>
    </row>
    <row r="6" spans="3:13" ht="15" customHeight="1">
      <c r="C6" s="56"/>
      <c r="D6" s="56"/>
      <c r="E6" s="56"/>
      <c r="F6" s="56"/>
      <c r="G6" s="56"/>
      <c r="H6" s="56"/>
      <c r="I6" s="56"/>
      <c r="J6" s="56"/>
      <c r="K6" s="56"/>
      <c r="L6" s="56"/>
      <c r="M6" s="56"/>
    </row>
    <row r="7" spans="3:13" ht="15" customHeight="1">
      <c r="C7" s="212"/>
      <c r="D7" s="213"/>
      <c r="E7" s="213"/>
      <c r="F7" s="213"/>
      <c r="G7" s="213"/>
      <c r="H7" s="213"/>
      <c r="I7" s="213"/>
      <c r="J7" s="213"/>
      <c r="K7" s="213"/>
      <c r="L7" s="213"/>
      <c r="M7" s="214"/>
    </row>
    <row r="8" spans="3:13" ht="15" customHeight="1">
      <c r="C8" s="215"/>
      <c r="D8" s="127"/>
      <c r="E8" s="127"/>
      <c r="F8" s="127"/>
      <c r="G8" s="127"/>
      <c r="H8" s="127"/>
      <c r="I8" s="127"/>
      <c r="J8" s="127"/>
      <c r="K8" s="127"/>
      <c r="L8" s="127"/>
      <c r="M8" s="216"/>
    </row>
    <row r="9" spans="3:13" ht="15" customHeight="1">
      <c r="C9" s="215"/>
      <c r="D9" s="127"/>
      <c r="E9" s="127"/>
      <c r="F9" s="127"/>
      <c r="G9" s="127"/>
      <c r="H9" s="127"/>
      <c r="I9" s="127"/>
      <c r="J9" s="127"/>
      <c r="K9" s="127"/>
      <c r="L9" s="127"/>
      <c r="M9" s="216"/>
    </row>
    <row r="10" spans="3:13" ht="15" customHeight="1">
      <c r="C10" s="215"/>
      <c r="D10" s="127"/>
      <c r="E10" s="127"/>
      <c r="F10" s="127"/>
      <c r="G10" s="127"/>
      <c r="H10" s="127"/>
      <c r="I10" s="127"/>
      <c r="J10" s="127"/>
      <c r="K10" s="127"/>
      <c r="L10" s="127"/>
      <c r="M10" s="216"/>
    </row>
    <row r="11" spans="3:13" ht="15" customHeight="1">
      <c r="C11" s="215"/>
      <c r="D11" s="127"/>
      <c r="E11" s="127"/>
      <c r="F11" s="127"/>
      <c r="G11" s="127"/>
      <c r="H11" s="127"/>
      <c r="I11" s="127"/>
      <c r="J11" s="127"/>
      <c r="K11" s="127"/>
      <c r="L11" s="127"/>
      <c r="M11" s="216">
        <v>1</v>
      </c>
    </row>
    <row r="12" spans="3:13" ht="14.25" customHeight="1">
      <c r="C12" s="215"/>
      <c r="D12" s="127"/>
      <c r="E12" s="127"/>
      <c r="F12" s="127">
        <v>1</v>
      </c>
      <c r="G12" s="127"/>
      <c r="H12" s="127"/>
      <c r="I12" s="127"/>
      <c r="J12" s="127"/>
      <c r="K12" s="127"/>
      <c r="L12" s="127">
        <v>1</v>
      </c>
      <c r="M12" s="216"/>
    </row>
    <row r="13" spans="3:13" ht="15" customHeight="1">
      <c r="C13" s="215"/>
      <c r="D13" s="127"/>
      <c r="E13" s="127">
        <v>1</v>
      </c>
      <c r="F13" s="127"/>
      <c r="G13" s="127">
        <v>1</v>
      </c>
      <c r="H13" s="127"/>
      <c r="I13" s="127">
        <v>1</v>
      </c>
      <c r="J13" s="127"/>
      <c r="K13" s="127">
        <v>1</v>
      </c>
      <c r="L13" s="127"/>
      <c r="M13" s="216"/>
    </row>
    <row r="14" spans="3:13" ht="15" customHeight="1">
      <c r="C14" s="215"/>
      <c r="D14" s="127">
        <v>1</v>
      </c>
      <c r="E14" s="127"/>
      <c r="F14" s="127"/>
      <c r="G14" s="127"/>
      <c r="H14" s="127">
        <v>1</v>
      </c>
      <c r="I14" s="127"/>
      <c r="J14" s="127">
        <v>1</v>
      </c>
      <c r="K14" s="127"/>
      <c r="L14" s="127"/>
      <c r="M14" s="216"/>
    </row>
    <row r="15" spans="3:13" ht="15" customHeight="1">
      <c r="C15" s="215"/>
      <c r="D15" s="127"/>
      <c r="E15" s="127"/>
      <c r="F15" s="127"/>
      <c r="G15" s="127"/>
      <c r="H15" s="127"/>
      <c r="I15" s="127"/>
      <c r="J15" s="127"/>
      <c r="K15" s="127"/>
      <c r="L15" s="127"/>
      <c r="M15" s="216"/>
    </row>
    <row r="16" spans="3:13" ht="15" customHeight="1">
      <c r="C16" s="217"/>
      <c r="D16" s="218"/>
      <c r="E16" s="218"/>
      <c r="F16" s="218"/>
      <c r="G16" s="218"/>
      <c r="H16" s="218"/>
      <c r="I16" s="218"/>
      <c r="J16" s="218"/>
      <c r="K16" s="218"/>
      <c r="L16" s="218"/>
      <c r="M16" s="219"/>
    </row>
    <row r="20" spans="2:14" ht="15" customHeight="1">
      <c r="B20" s="364"/>
      <c r="C20" s="365"/>
    </row>
    <row r="21" spans="2:14" ht="15" customHeight="1">
      <c r="B21" s="154"/>
      <c r="C21" s="155"/>
      <c r="D21" s="155"/>
      <c r="E21" s="155"/>
      <c r="F21" s="155"/>
      <c r="G21" s="155"/>
      <c r="H21" s="155"/>
      <c r="I21" s="155"/>
      <c r="J21" s="155"/>
      <c r="K21" s="155"/>
      <c r="L21" s="155"/>
      <c r="M21" s="155"/>
      <c r="N21" s="156"/>
    </row>
    <row r="22" spans="2:14" ht="15" customHeight="1">
      <c r="B22" s="157"/>
      <c r="C22" t="s">
        <v>437</v>
      </c>
      <c r="N22" s="158"/>
    </row>
    <row r="23" spans="2:14" ht="15" customHeight="1">
      <c r="B23" s="157"/>
      <c r="C23" t="s">
        <v>438</v>
      </c>
      <c r="N23" s="158"/>
    </row>
    <row r="24" spans="2:14" ht="15" customHeight="1">
      <c r="B24" s="157"/>
      <c r="N24" s="158"/>
    </row>
    <row r="25" spans="2:14" ht="15" customHeight="1">
      <c r="B25" s="157"/>
      <c r="N25" s="158"/>
    </row>
    <row r="26" spans="2:14" ht="15" customHeight="1">
      <c r="B26" s="157"/>
      <c r="N26" s="158"/>
    </row>
    <row r="27" spans="2:14" ht="15" customHeight="1">
      <c r="B27" s="157"/>
      <c r="N27" s="158"/>
    </row>
    <row r="28" spans="2:14" ht="15" customHeight="1">
      <c r="B28" s="157"/>
      <c r="N28" s="158"/>
    </row>
    <row r="29" spans="2:14" ht="15" customHeight="1">
      <c r="B29" s="157"/>
      <c r="N29" s="158"/>
    </row>
    <row r="30" spans="2:14" ht="15" customHeight="1">
      <c r="B30" s="157"/>
      <c r="N30" s="158"/>
    </row>
    <row r="31" spans="2:14" ht="15" customHeight="1">
      <c r="B31" s="157"/>
      <c r="N31" s="158"/>
    </row>
    <row r="32" spans="2:14" ht="15" customHeight="1">
      <c r="B32" s="157"/>
      <c r="N32" s="158"/>
    </row>
    <row r="33" spans="2:14" ht="15" customHeight="1">
      <c r="B33" s="157"/>
      <c r="N33" s="158"/>
    </row>
    <row r="34" spans="2:14" ht="15" customHeight="1">
      <c r="B34" s="157"/>
      <c r="N34" s="158"/>
    </row>
    <row r="35" spans="2:14" ht="15" customHeight="1">
      <c r="B35" s="157"/>
      <c r="N35" s="158"/>
    </row>
    <row r="36" spans="2:14" ht="15" customHeight="1">
      <c r="B36" s="160"/>
      <c r="C36" s="161"/>
      <c r="D36" s="161"/>
      <c r="E36" s="161"/>
      <c r="F36" s="161"/>
      <c r="G36" s="161"/>
      <c r="H36" s="161"/>
      <c r="I36" s="161"/>
      <c r="J36" s="161"/>
      <c r="K36" s="161"/>
      <c r="L36" s="161"/>
      <c r="M36" s="161"/>
      <c r="N36" s="162"/>
    </row>
  </sheetData>
  <dataConsolidate/>
  <mergeCells count="3">
    <mergeCell ref="C3:M3"/>
    <mergeCell ref="B20:C20"/>
    <mergeCell ref="C5:D5"/>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7B6F0-664A-4C47-896D-E3B8429A9818}">
  <sheetPr codeName="Hoja14"/>
  <dimension ref="A1:AT36"/>
  <sheetViews>
    <sheetView showGridLines="0" zoomScale="116" zoomScaleNormal="100" workbookViewId="0">
      <selection activeCell="Z11" sqref="Z11"/>
    </sheetView>
  </sheetViews>
  <sheetFormatPr baseColWidth="10" defaultColWidth="2.28515625" defaultRowHeight="12.95" customHeight="1"/>
  <cols>
    <col min="45" max="45" width="3" bestFit="1" customWidth="1"/>
    <col min="76" max="76" width="4.7109375" bestFit="1" customWidth="1"/>
  </cols>
  <sheetData>
    <row r="1" spans="1:46" ht="12.95" customHeight="1">
      <c r="A1" s="68"/>
      <c r="B1" s="68"/>
    </row>
    <row r="2" spans="1:46" ht="12.95" customHeight="1" thickBot="1">
      <c r="A2" s="68"/>
      <c r="B2" s="68"/>
      <c r="C2" s="366" t="s">
        <v>439</v>
      </c>
      <c r="D2" s="332"/>
      <c r="E2" s="332"/>
      <c r="F2" s="332"/>
      <c r="G2" s="332"/>
    </row>
    <row r="3" spans="1:46" ht="12.95" customHeight="1">
      <c r="C3" s="300" t="s">
        <v>473</v>
      </c>
      <c r="D3" s="301"/>
      <c r="E3" s="301"/>
      <c r="F3" s="298"/>
      <c r="G3" s="298"/>
      <c r="H3" s="298"/>
      <c r="I3" s="298"/>
      <c r="J3" s="298"/>
      <c r="K3" s="298"/>
      <c r="L3" s="298"/>
      <c r="M3" s="298"/>
      <c r="N3" s="298"/>
      <c r="O3" s="298"/>
      <c r="P3" s="298"/>
      <c r="Q3" s="298"/>
      <c r="R3" s="298"/>
      <c r="S3" s="298"/>
      <c r="T3" s="298"/>
      <c r="U3" s="298"/>
      <c r="V3" s="298"/>
      <c r="W3" s="298"/>
      <c r="X3" s="298"/>
      <c r="Y3" s="298"/>
      <c r="Z3" s="298"/>
      <c r="AA3" s="298"/>
      <c r="AB3" s="298"/>
      <c r="AC3" s="298"/>
      <c r="AD3" s="298"/>
      <c r="AE3" s="298"/>
      <c r="AF3" s="298"/>
      <c r="AG3" s="298"/>
      <c r="AH3" s="298"/>
      <c r="AI3" s="298"/>
      <c r="AJ3" s="298"/>
      <c r="AK3" s="298"/>
      <c r="AL3" s="298"/>
      <c r="AM3" s="298"/>
      <c r="AN3" s="298"/>
      <c r="AO3" s="298"/>
      <c r="AP3" s="298"/>
      <c r="AQ3" s="298"/>
      <c r="AR3" s="298"/>
      <c r="AS3" s="298"/>
      <c r="AT3" s="299"/>
    </row>
    <row r="4" spans="1:46" ht="12.95" customHeight="1">
      <c r="C4" s="300"/>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301"/>
      <c r="AK4" s="301"/>
      <c r="AL4" s="301"/>
      <c r="AM4" s="301"/>
      <c r="AN4" s="301"/>
      <c r="AO4" s="301"/>
      <c r="AP4" s="301"/>
      <c r="AQ4" s="301"/>
      <c r="AR4" s="301"/>
      <c r="AS4" s="301"/>
      <c r="AT4" s="302"/>
    </row>
    <row r="5" spans="1:46" ht="12.95" customHeight="1">
      <c r="C5" s="300"/>
      <c r="D5" s="301"/>
      <c r="E5" s="301"/>
      <c r="F5" s="301"/>
      <c r="G5" s="301"/>
      <c r="H5" s="301"/>
      <c r="I5" s="301"/>
      <c r="J5" s="301"/>
      <c r="K5" s="301"/>
      <c r="L5" s="301"/>
      <c r="M5" s="301"/>
      <c r="N5" s="301"/>
      <c r="O5" s="301"/>
      <c r="P5" s="301"/>
      <c r="Q5" s="301"/>
      <c r="R5" s="301"/>
      <c r="S5" s="301"/>
      <c r="T5" s="301"/>
      <c r="U5" s="301"/>
      <c r="V5" s="301"/>
      <c r="W5" s="301"/>
      <c r="X5" s="301"/>
      <c r="Y5" s="301"/>
      <c r="Z5" s="301"/>
      <c r="AA5" s="301"/>
      <c r="AB5" s="301"/>
      <c r="AC5" s="301"/>
      <c r="AD5" s="301"/>
      <c r="AE5" s="301"/>
      <c r="AF5" s="301"/>
      <c r="AG5" s="301"/>
      <c r="AH5" s="301"/>
      <c r="AI5" s="301"/>
      <c r="AJ5" s="301"/>
      <c r="AK5" s="301"/>
      <c r="AL5" s="301"/>
      <c r="AM5" s="301"/>
      <c r="AN5" s="301"/>
      <c r="AO5" s="301"/>
      <c r="AP5" s="301"/>
      <c r="AQ5" s="301"/>
      <c r="AR5" s="301"/>
      <c r="AS5" s="301"/>
      <c r="AT5" s="302"/>
    </row>
    <row r="6" spans="1:46" ht="12.95" customHeight="1">
      <c r="C6" s="300"/>
      <c r="D6" s="301"/>
      <c r="E6" s="301"/>
      <c r="F6" s="301"/>
      <c r="G6" s="301"/>
      <c r="H6" s="301"/>
      <c r="I6" s="301"/>
      <c r="J6" s="301"/>
      <c r="K6" s="301"/>
      <c r="L6" s="301"/>
      <c r="M6" s="301"/>
      <c r="N6" s="301"/>
      <c r="O6" s="301"/>
      <c r="P6" s="301"/>
      <c r="Q6" s="301"/>
      <c r="R6" s="301"/>
      <c r="S6" s="301"/>
      <c r="T6" s="301"/>
      <c r="U6" s="301"/>
      <c r="V6" s="301"/>
      <c r="W6" s="301"/>
      <c r="X6" s="301"/>
      <c r="Y6" s="301"/>
      <c r="Z6" s="301"/>
      <c r="AA6" s="301"/>
      <c r="AB6" s="301"/>
      <c r="AC6" s="301"/>
      <c r="AD6" s="301"/>
      <c r="AE6" s="301"/>
      <c r="AF6" s="301"/>
      <c r="AG6" s="301"/>
      <c r="AH6" s="301"/>
      <c r="AI6" s="301"/>
      <c r="AJ6" s="301"/>
      <c r="AK6" s="301"/>
      <c r="AL6" s="301"/>
      <c r="AM6" s="301"/>
      <c r="AN6" s="301"/>
      <c r="AO6" s="301"/>
      <c r="AP6" s="301"/>
      <c r="AQ6" s="301"/>
      <c r="AR6" s="301"/>
      <c r="AS6" s="301"/>
      <c r="AT6" s="302"/>
    </row>
    <row r="7" spans="1:46" ht="12.95" customHeight="1">
      <c r="C7" s="300"/>
      <c r="D7" s="301"/>
      <c r="E7" s="301"/>
      <c r="F7" s="301"/>
      <c r="G7" s="301"/>
      <c r="H7" s="301"/>
      <c r="I7" s="301"/>
      <c r="J7" s="301"/>
      <c r="K7" s="301"/>
      <c r="L7" s="301"/>
      <c r="M7" s="301"/>
      <c r="N7" s="301"/>
      <c r="O7" s="301"/>
      <c r="P7" s="301"/>
      <c r="Q7" s="301"/>
      <c r="R7" s="301"/>
      <c r="S7" s="301"/>
      <c r="T7" s="301"/>
      <c r="U7" s="301"/>
      <c r="V7" s="301"/>
      <c r="W7" s="301"/>
      <c r="X7" s="301"/>
      <c r="Y7" s="301"/>
      <c r="Z7" s="301"/>
      <c r="AA7" s="301"/>
      <c r="AB7" s="301"/>
      <c r="AC7" s="301"/>
      <c r="AD7" s="301"/>
      <c r="AE7" s="301"/>
      <c r="AF7" s="301"/>
      <c r="AG7" s="301"/>
      <c r="AH7" s="301"/>
      <c r="AI7" s="301"/>
      <c r="AJ7" s="301"/>
      <c r="AK7" s="301"/>
      <c r="AL7" s="301"/>
      <c r="AM7" s="301"/>
      <c r="AN7" s="301"/>
      <c r="AO7" s="301"/>
      <c r="AP7" s="301"/>
      <c r="AQ7" s="301"/>
      <c r="AR7" s="301"/>
      <c r="AS7" s="301"/>
      <c r="AT7" s="302"/>
    </row>
    <row r="8" spans="1:46" ht="12.95" customHeight="1" thickBot="1">
      <c r="C8" s="303"/>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5"/>
    </row>
    <row r="9" spans="1:46" ht="13.5" customHeight="1" thickBot="1">
      <c r="C9" s="46"/>
      <c r="D9" s="46"/>
      <c r="E9" s="46"/>
      <c r="F9" s="46"/>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row>
    <row r="10" spans="1:46" ht="12.95" customHeight="1">
      <c r="F10" s="67"/>
      <c r="G10" s="55"/>
      <c r="H10" s="55"/>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5"/>
      <c r="AJ10" s="55"/>
      <c r="AK10" s="55"/>
      <c r="AL10" s="55"/>
      <c r="AM10" s="55"/>
      <c r="AN10" s="55"/>
      <c r="AO10" s="55"/>
      <c r="AP10" s="55"/>
      <c r="AQ10" s="55"/>
      <c r="AR10" s="54"/>
    </row>
    <row r="11" spans="1:46" ht="12.95" customHeight="1">
      <c r="F11" s="51"/>
      <c r="N11" s="66"/>
      <c r="O11" s="66"/>
      <c r="P11" s="66"/>
      <c r="Q11" s="66"/>
      <c r="R11" s="66"/>
      <c r="S11" s="66"/>
      <c r="T11" s="66"/>
      <c r="Z11" s="61"/>
      <c r="AA11" s="61"/>
      <c r="AR11" s="50"/>
    </row>
    <row r="12" spans="1:46" ht="12.95" customHeight="1">
      <c r="F12" s="51"/>
      <c r="I12" s="59"/>
      <c r="J12" s="59"/>
      <c r="N12" s="66"/>
      <c r="O12" s="66"/>
      <c r="P12" s="66"/>
      <c r="Q12" s="66"/>
      <c r="R12" s="66"/>
      <c r="S12" s="66"/>
      <c r="T12" s="66"/>
      <c r="Z12" s="61"/>
      <c r="AA12" s="61"/>
      <c r="AO12" s="65"/>
      <c r="AP12" s="65"/>
      <c r="AR12" s="50"/>
    </row>
    <row r="13" spans="1:46" ht="12.95" customHeight="1">
      <c r="F13" s="51"/>
      <c r="I13" s="59"/>
      <c r="J13" s="59"/>
      <c r="N13" s="66"/>
      <c r="O13" s="66"/>
      <c r="P13" s="66"/>
      <c r="Q13" s="66"/>
      <c r="R13" s="66"/>
      <c r="S13" s="66"/>
      <c r="T13" s="66"/>
      <c r="Z13" s="61"/>
      <c r="AA13" s="61"/>
      <c r="AO13" s="65"/>
      <c r="AP13" s="65"/>
      <c r="AR13" s="50"/>
    </row>
    <row r="14" spans="1:46" ht="12.95" customHeight="1">
      <c r="F14" s="51"/>
      <c r="N14" s="66"/>
      <c r="O14" s="66"/>
      <c r="P14" s="66"/>
      <c r="Q14" s="66"/>
      <c r="R14" s="66"/>
      <c r="S14" s="66"/>
      <c r="T14" s="66"/>
      <c r="Z14" s="61"/>
      <c r="AA14" s="61"/>
      <c r="AF14" s="62"/>
      <c r="AG14" s="62"/>
      <c r="AH14" s="62"/>
      <c r="AI14" s="62"/>
      <c r="AJ14" s="62"/>
      <c r="AK14" s="62"/>
      <c r="AL14" s="62"/>
      <c r="AR14" s="50"/>
    </row>
    <row r="15" spans="1:46" ht="12.95" customHeight="1">
      <c r="F15" s="51"/>
      <c r="Z15" s="61"/>
      <c r="AA15" s="61"/>
      <c r="AF15" s="62"/>
      <c r="AG15" s="62"/>
      <c r="AH15" s="62"/>
      <c r="AI15" s="62"/>
      <c r="AJ15" s="62"/>
      <c r="AK15" s="62"/>
      <c r="AL15" s="62"/>
      <c r="AR15" s="50"/>
    </row>
    <row r="16" spans="1:46" ht="12.95" customHeight="1">
      <c r="F16" s="51"/>
      <c r="G16" s="260"/>
      <c r="H16" s="260"/>
      <c r="I16" s="260"/>
      <c r="J16" s="260"/>
      <c r="K16" s="260"/>
      <c r="L16" s="260"/>
      <c r="M16" s="260"/>
      <c r="N16" s="260"/>
      <c r="O16" s="260"/>
      <c r="P16" s="260"/>
      <c r="Q16" s="260"/>
      <c r="R16" s="260"/>
      <c r="S16" s="60"/>
      <c r="T16" s="60"/>
      <c r="U16" s="60"/>
      <c r="V16" s="60"/>
      <c r="W16" s="60"/>
      <c r="X16" s="60"/>
      <c r="Z16" s="61"/>
      <c r="AA16" s="61"/>
      <c r="AF16" s="62"/>
      <c r="AG16" s="62"/>
      <c r="AH16" s="62"/>
      <c r="AI16" s="62"/>
      <c r="AJ16" s="62"/>
      <c r="AK16" s="62"/>
      <c r="AL16" s="62"/>
      <c r="AR16" s="50"/>
    </row>
    <row r="17" spans="6:44" ht="12.95" customHeight="1">
      <c r="F17" s="51"/>
      <c r="G17" s="260"/>
      <c r="H17" s="260"/>
      <c r="I17" s="260"/>
      <c r="J17" s="260"/>
      <c r="K17" s="260"/>
      <c r="L17" s="260"/>
      <c r="M17" s="260"/>
      <c r="N17" s="260"/>
      <c r="O17" s="260"/>
      <c r="P17" s="260"/>
      <c r="Q17" s="260"/>
      <c r="R17" s="260"/>
      <c r="S17" s="60"/>
      <c r="T17" s="60"/>
      <c r="U17" s="60"/>
      <c r="V17" s="60"/>
      <c r="W17" s="60"/>
      <c r="X17" s="60"/>
      <c r="Z17" s="61"/>
      <c r="AA17" s="61"/>
      <c r="AR17" s="50"/>
    </row>
    <row r="18" spans="6:44" ht="12.95" customHeight="1">
      <c r="F18" s="51"/>
      <c r="G18" s="260"/>
      <c r="H18" s="260"/>
      <c r="I18" s="260"/>
      <c r="J18" s="260"/>
      <c r="K18" s="260"/>
      <c r="L18" s="260"/>
      <c r="M18" s="260"/>
      <c r="N18" s="260"/>
      <c r="O18" s="260"/>
      <c r="P18" s="260"/>
      <c r="Q18" s="260"/>
      <c r="R18" s="260"/>
      <c r="S18" s="60"/>
      <c r="T18" s="60"/>
      <c r="U18" s="60"/>
      <c r="V18" s="60"/>
      <c r="W18" s="60"/>
      <c r="X18" s="60"/>
      <c r="Z18" s="61"/>
      <c r="AA18" s="61"/>
      <c r="AR18" s="50"/>
    </row>
    <row r="19" spans="6:44" ht="12.95" customHeight="1">
      <c r="F19" s="51"/>
      <c r="G19" s="260"/>
      <c r="H19" s="260"/>
      <c r="I19" s="260"/>
      <c r="J19" s="260"/>
      <c r="K19" s="260"/>
      <c r="L19" s="260"/>
      <c r="M19" s="260"/>
      <c r="N19" s="260"/>
      <c r="O19" s="260"/>
      <c r="P19" s="260"/>
      <c r="Q19" s="260"/>
      <c r="R19" s="260"/>
      <c r="AJ19" s="61"/>
      <c r="AK19" s="61"/>
      <c r="AL19" s="61"/>
      <c r="AM19" s="61"/>
      <c r="AN19" s="61"/>
      <c r="AO19" s="61"/>
      <c r="AP19" s="61"/>
      <c r="AQ19" s="61"/>
      <c r="AR19" s="50"/>
    </row>
    <row r="20" spans="6:44" ht="12.95" customHeight="1">
      <c r="F20" s="51"/>
      <c r="G20" s="260"/>
      <c r="H20" s="260"/>
      <c r="I20" s="260"/>
      <c r="J20" s="260"/>
      <c r="K20" s="260"/>
      <c r="L20" s="260"/>
      <c r="M20" s="260"/>
      <c r="N20" s="260"/>
      <c r="O20" s="260"/>
      <c r="P20" s="260"/>
      <c r="Q20" s="260"/>
      <c r="R20" s="260"/>
      <c r="S20" s="63"/>
      <c r="T20" s="63"/>
      <c r="U20" s="63"/>
      <c r="AJ20" s="61"/>
      <c r="AK20" s="61"/>
      <c r="AL20" s="61"/>
      <c r="AM20" s="61"/>
      <c r="AN20" s="61"/>
      <c r="AO20" s="61"/>
      <c r="AP20" s="61"/>
      <c r="AQ20" s="61"/>
      <c r="AR20" s="50"/>
    </row>
    <row r="21" spans="6:44" ht="12.95" customHeight="1">
      <c r="F21" s="51"/>
      <c r="G21" s="260"/>
      <c r="H21" s="260"/>
      <c r="I21" s="260"/>
      <c r="J21" s="260"/>
      <c r="K21" s="260"/>
      <c r="L21" s="260"/>
      <c r="M21" s="260"/>
      <c r="N21" s="260"/>
      <c r="O21" s="260"/>
      <c r="P21" s="260"/>
      <c r="Q21" s="260"/>
      <c r="R21" s="260"/>
      <c r="S21" s="63"/>
      <c r="T21" s="63"/>
      <c r="U21" s="63"/>
      <c r="AJ21" s="61"/>
      <c r="AK21" s="61"/>
      <c r="AL21" s="61"/>
      <c r="AM21" s="61"/>
      <c r="AN21" s="61"/>
      <c r="AO21" s="61"/>
      <c r="AP21" s="61"/>
      <c r="AQ21" s="61"/>
      <c r="AR21" s="50"/>
    </row>
    <row r="22" spans="6:44" ht="12.95" customHeight="1">
      <c r="F22" s="51"/>
      <c r="G22" s="260"/>
      <c r="H22" s="260"/>
      <c r="I22" s="260"/>
      <c r="J22" s="260"/>
      <c r="K22" s="260"/>
      <c r="L22" s="260"/>
      <c r="M22" s="260"/>
      <c r="N22" s="260"/>
      <c r="O22" s="260"/>
      <c r="P22" s="260"/>
      <c r="Q22" s="260"/>
      <c r="R22" s="260"/>
      <c r="S22" s="63"/>
      <c r="T22" s="63"/>
      <c r="U22" s="63"/>
      <c r="AD22" s="45"/>
      <c r="AE22" s="45"/>
      <c r="AF22" s="45"/>
      <c r="AJ22" s="61"/>
      <c r="AK22" s="61"/>
      <c r="AL22" s="61"/>
      <c r="AM22" s="61"/>
      <c r="AN22" s="61"/>
      <c r="AO22" s="61"/>
      <c r="AP22" s="61"/>
      <c r="AQ22" s="61"/>
      <c r="AR22" s="50"/>
    </row>
    <row r="23" spans="6:44" ht="12.95" customHeight="1">
      <c r="F23" s="51"/>
      <c r="G23" s="260"/>
      <c r="H23" s="260"/>
      <c r="I23" s="260"/>
      <c r="J23" s="260"/>
      <c r="K23" s="260"/>
      <c r="L23" s="260"/>
      <c r="M23" s="260"/>
      <c r="N23" s="260"/>
      <c r="O23" s="260"/>
      <c r="P23" s="260"/>
      <c r="Q23" s="260"/>
      <c r="R23" s="260"/>
      <c r="AD23" s="45"/>
      <c r="AE23" s="45"/>
      <c r="AF23" s="45"/>
      <c r="AJ23" s="61"/>
      <c r="AK23" s="61"/>
      <c r="AL23" s="61"/>
      <c r="AM23" s="61"/>
      <c r="AN23" s="61"/>
      <c r="AO23" s="61"/>
      <c r="AP23" s="61"/>
      <c r="AQ23" s="61"/>
      <c r="AR23" s="50"/>
    </row>
    <row r="24" spans="6:44" ht="12.95" customHeight="1">
      <c r="F24" s="51"/>
      <c r="G24" s="260"/>
      <c r="H24" s="260"/>
      <c r="I24" s="260"/>
      <c r="J24" s="260"/>
      <c r="K24" s="260"/>
      <c r="L24" s="260"/>
      <c r="M24" s="260"/>
      <c r="N24" s="260"/>
      <c r="O24" s="260"/>
      <c r="P24" s="260"/>
      <c r="Q24" s="260"/>
      <c r="R24" s="260"/>
      <c r="S24" s="64"/>
      <c r="T24" s="64"/>
      <c r="U24" s="64"/>
      <c r="V24" s="64"/>
      <c r="W24" s="64"/>
      <c r="X24" s="64"/>
      <c r="Y24" s="64"/>
      <c r="Z24" s="64"/>
      <c r="AD24" s="45"/>
      <c r="AE24" s="45"/>
      <c r="AF24" s="45"/>
      <c r="AJ24" s="61"/>
      <c r="AK24" s="61"/>
      <c r="AL24" s="61"/>
      <c r="AM24" s="61"/>
      <c r="AN24" s="61"/>
      <c r="AO24" s="61"/>
      <c r="AP24" s="61"/>
      <c r="AQ24" s="61"/>
      <c r="AR24" s="50"/>
    </row>
    <row r="25" spans="6:44" ht="12.95" customHeight="1">
      <c r="F25" s="51"/>
      <c r="G25" s="260"/>
      <c r="H25" s="260"/>
      <c r="I25" s="260"/>
      <c r="J25" s="260"/>
      <c r="K25" s="260"/>
      <c r="L25" s="260"/>
      <c r="M25" s="260"/>
      <c r="N25" s="260"/>
      <c r="O25" s="260"/>
      <c r="P25" s="260"/>
      <c r="Q25" s="260"/>
      <c r="R25" s="260"/>
      <c r="AD25" s="45"/>
      <c r="AE25" s="45"/>
      <c r="AF25" s="45"/>
      <c r="AJ25" s="61"/>
      <c r="AK25" s="61"/>
      <c r="AL25" s="61"/>
      <c r="AM25" s="61"/>
      <c r="AN25" s="61"/>
      <c r="AO25" s="61"/>
      <c r="AP25" s="61"/>
      <c r="AQ25" s="61"/>
      <c r="AR25" s="50"/>
    </row>
    <row r="26" spans="6:44" ht="12.95" customHeight="1">
      <c r="F26" s="51"/>
      <c r="G26" s="260"/>
      <c r="H26" s="260"/>
      <c r="I26" s="260"/>
      <c r="J26" s="260"/>
      <c r="K26" s="260"/>
      <c r="L26" s="260"/>
      <c r="M26" s="260"/>
      <c r="N26" s="260"/>
      <c r="O26" s="260"/>
      <c r="P26" s="260"/>
      <c r="Q26" s="260"/>
      <c r="R26" s="260"/>
      <c r="AJ26" s="61"/>
      <c r="AK26" s="61"/>
      <c r="AL26" s="61"/>
      <c r="AM26" s="61"/>
      <c r="AN26" s="61"/>
      <c r="AO26" s="61"/>
      <c r="AP26" s="61"/>
      <c r="AQ26" s="61"/>
      <c r="AR26" s="50"/>
    </row>
    <row r="27" spans="6:44" ht="12.95" customHeight="1">
      <c r="F27" s="51"/>
      <c r="G27" s="260"/>
      <c r="H27" s="260"/>
      <c r="I27" s="260"/>
      <c r="J27" s="260"/>
      <c r="K27" s="260"/>
      <c r="L27" s="260"/>
      <c r="M27" s="260"/>
      <c r="N27" s="260"/>
      <c r="O27" s="260"/>
      <c r="P27" s="260"/>
      <c r="Q27" s="260"/>
      <c r="R27" s="260"/>
      <c r="AR27" s="50"/>
    </row>
    <row r="28" spans="6:44" ht="12.95" customHeight="1">
      <c r="F28" s="51"/>
      <c r="H28" s="61"/>
      <c r="I28" s="61"/>
      <c r="J28" s="61"/>
      <c r="K28" s="61"/>
      <c r="L28" s="61"/>
      <c r="M28" s="61"/>
      <c r="N28" s="61"/>
      <c r="O28" s="61"/>
      <c r="R28" s="64"/>
      <c r="S28" s="64"/>
      <c r="T28" s="64"/>
      <c r="U28" s="64"/>
      <c r="V28" s="64"/>
      <c r="W28" s="64"/>
      <c r="X28" s="64"/>
      <c r="Y28" s="64"/>
      <c r="Z28" s="64"/>
      <c r="AA28" s="64"/>
      <c r="AJ28" s="63"/>
      <c r="AK28" s="63"/>
      <c r="AL28" s="63"/>
      <c r="AO28" s="60"/>
      <c r="AP28" s="60"/>
      <c r="AQ28" s="60"/>
      <c r="AR28" s="50"/>
    </row>
    <row r="29" spans="6:44" ht="12.95" customHeight="1">
      <c r="F29" s="51"/>
      <c r="H29" s="61"/>
      <c r="I29" s="61"/>
      <c r="J29" s="61"/>
      <c r="K29" s="61"/>
      <c r="L29" s="61"/>
      <c r="M29" s="61"/>
      <c r="N29" s="61"/>
      <c r="O29" s="61"/>
      <c r="AJ29" s="63"/>
      <c r="AK29" s="63"/>
      <c r="AL29" s="63"/>
      <c r="AO29" s="60"/>
      <c r="AP29" s="60"/>
      <c r="AQ29" s="60"/>
      <c r="AR29" s="50"/>
    </row>
    <row r="30" spans="6:44" ht="12.95" customHeight="1">
      <c r="F30" s="51"/>
      <c r="H30" s="61"/>
      <c r="I30" s="61"/>
      <c r="J30" s="61"/>
      <c r="K30" s="61"/>
      <c r="L30" s="61"/>
      <c r="M30" s="61"/>
      <c r="N30" s="61"/>
      <c r="O30" s="61"/>
      <c r="AJ30" s="63"/>
      <c r="AK30" s="63"/>
      <c r="AL30" s="63"/>
      <c r="AO30" s="60"/>
      <c r="AP30" s="60"/>
      <c r="AQ30" s="60"/>
      <c r="AR30" s="50"/>
    </row>
    <row r="31" spans="6:44" ht="12.95" customHeight="1">
      <c r="F31" s="51"/>
      <c r="H31" s="61"/>
      <c r="I31" s="61"/>
      <c r="J31" s="61"/>
      <c r="K31" s="61"/>
      <c r="L31" s="61"/>
      <c r="M31" s="61"/>
      <c r="N31" s="61"/>
      <c r="O31" s="61"/>
      <c r="U31" s="45"/>
      <c r="V31" s="45"/>
      <c r="W31" s="45"/>
      <c r="AO31" s="60"/>
      <c r="AP31" s="60"/>
      <c r="AQ31" s="60"/>
      <c r="AR31" s="50"/>
    </row>
    <row r="32" spans="6:44" ht="12.95" customHeight="1">
      <c r="F32" s="51"/>
      <c r="H32" s="61"/>
      <c r="I32" s="61"/>
      <c r="J32" s="61"/>
      <c r="K32" s="61"/>
      <c r="L32" s="61"/>
      <c r="M32" s="61"/>
      <c r="N32" s="61"/>
      <c r="O32" s="61"/>
      <c r="U32" s="45"/>
      <c r="V32" s="45"/>
      <c r="W32" s="45"/>
      <c r="AD32" s="62"/>
      <c r="AE32" s="62"/>
      <c r="AF32" s="62"/>
      <c r="AG32" s="62"/>
      <c r="AH32" s="62"/>
      <c r="AI32" s="62"/>
      <c r="AJ32" s="62"/>
      <c r="AO32" s="60"/>
      <c r="AP32" s="60"/>
      <c r="AQ32" s="60"/>
      <c r="AR32" s="50"/>
    </row>
    <row r="33" spans="6:44" ht="12.95" customHeight="1">
      <c r="F33" s="51"/>
      <c r="H33" s="61"/>
      <c r="I33" s="61"/>
      <c r="J33" s="61"/>
      <c r="K33" s="61"/>
      <c r="L33" s="61"/>
      <c r="M33" s="61"/>
      <c r="N33" s="61"/>
      <c r="O33" s="61"/>
      <c r="U33" s="45"/>
      <c r="V33" s="45"/>
      <c r="W33" s="45"/>
      <c r="AD33" s="62"/>
      <c r="AE33" s="62"/>
      <c r="AF33" s="62"/>
      <c r="AG33" s="62"/>
      <c r="AH33" s="62"/>
      <c r="AI33" s="62"/>
      <c r="AJ33" s="62"/>
      <c r="AO33" s="60"/>
      <c r="AP33" s="60"/>
      <c r="AQ33" s="60"/>
      <c r="AR33" s="50"/>
    </row>
    <row r="34" spans="6:44" ht="12.95" customHeight="1">
      <c r="F34" s="51"/>
      <c r="H34" s="61"/>
      <c r="I34" s="61"/>
      <c r="J34" s="61"/>
      <c r="K34" s="61"/>
      <c r="L34" s="61"/>
      <c r="M34" s="61"/>
      <c r="N34" s="61"/>
      <c r="O34" s="61"/>
      <c r="U34" s="45"/>
      <c r="V34" s="45"/>
      <c r="W34" s="45"/>
      <c r="AD34" s="62"/>
      <c r="AE34" s="62"/>
      <c r="AF34" s="62"/>
      <c r="AG34" s="62"/>
      <c r="AH34" s="62"/>
      <c r="AI34" s="62"/>
      <c r="AJ34" s="62"/>
      <c r="AO34" s="60"/>
      <c r="AP34" s="60"/>
      <c r="AQ34" s="60"/>
      <c r="AR34" s="50"/>
    </row>
    <row r="35" spans="6:44" ht="12.95" customHeight="1">
      <c r="F35" s="51"/>
      <c r="H35" s="61"/>
      <c r="I35" s="61"/>
      <c r="J35" s="61"/>
      <c r="K35" s="61"/>
      <c r="L35" s="61"/>
      <c r="M35" s="61"/>
      <c r="N35" s="61"/>
      <c r="O35" s="61"/>
      <c r="AO35" s="60"/>
      <c r="AP35" s="60"/>
      <c r="AQ35" s="60"/>
      <c r="AR35" s="50"/>
    </row>
    <row r="36" spans="6:44" ht="12.95" customHeight="1" thickBot="1">
      <c r="F36" s="49"/>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7"/>
    </row>
  </sheetData>
  <mergeCells count="2">
    <mergeCell ref="C3:AT8"/>
    <mergeCell ref="C2:G2"/>
  </mergeCells>
  <phoneticPr fontId="24"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1CF4C-2638-410B-941E-E9C8139D1BC6}">
  <sheetPr codeName="Hoja15"/>
  <dimension ref="B2:S29"/>
  <sheetViews>
    <sheetView showGridLines="0" topLeftCell="B1" zoomScaleNormal="100" workbookViewId="0">
      <selection activeCell="I9" sqref="I9"/>
    </sheetView>
  </sheetViews>
  <sheetFormatPr baseColWidth="10" defaultColWidth="8.7109375" defaultRowHeight="15"/>
  <cols>
    <col min="1" max="1" width="8.7109375" style="3"/>
    <col min="2" max="2" width="12.7109375" style="3" customWidth="1"/>
    <col min="3" max="4" width="8.7109375" style="3"/>
    <col min="5" max="5" width="4.140625" style="3" customWidth="1"/>
    <col min="6" max="7" width="8.7109375" style="3"/>
    <col min="8" max="8" width="3.7109375" style="3" customWidth="1"/>
    <col min="9" max="9" width="8.7109375" style="3"/>
    <col min="10" max="10" width="11.140625" style="3" customWidth="1"/>
    <col min="11" max="11" width="8.7109375" style="3"/>
    <col min="12" max="12" width="11.85546875" style="3" customWidth="1"/>
    <col min="13" max="13" width="2.7109375" style="3" customWidth="1"/>
    <col min="14" max="16" width="8.7109375" style="3"/>
    <col min="17" max="17" width="10.85546875" style="3" customWidth="1"/>
    <col min="18" max="18" width="8.7109375" style="3"/>
    <col min="19" max="19" width="3.28515625" style="3" customWidth="1"/>
    <col min="20" max="16384" width="8.7109375" style="3"/>
  </cols>
  <sheetData>
    <row r="2" spans="2:19" ht="15.75" thickBot="1">
      <c r="B2" s="106" t="s">
        <v>440</v>
      </c>
    </row>
    <row r="3" spans="2:19" ht="15.95" customHeight="1">
      <c r="B3" s="367" t="s">
        <v>441</v>
      </c>
      <c r="C3" s="368"/>
      <c r="D3" s="368"/>
      <c r="E3" s="368"/>
      <c r="F3" s="368"/>
      <c r="G3" s="368"/>
      <c r="H3" s="368"/>
      <c r="I3" s="368"/>
      <c r="J3" s="368"/>
      <c r="K3" s="368"/>
      <c r="L3" s="368"/>
      <c r="M3" s="368"/>
      <c r="N3" s="368"/>
      <c r="O3" s="369"/>
    </row>
    <row r="4" spans="2:19" ht="15.95" customHeight="1">
      <c r="B4" s="370"/>
      <c r="C4" s="371"/>
      <c r="D4" s="371"/>
      <c r="E4" s="371"/>
      <c r="F4" s="371"/>
      <c r="G4" s="371"/>
      <c r="H4" s="371"/>
      <c r="I4" s="371"/>
      <c r="J4" s="371"/>
      <c r="K4" s="371"/>
      <c r="L4" s="371"/>
      <c r="M4" s="371"/>
      <c r="N4" s="371"/>
      <c r="O4" s="372"/>
    </row>
    <row r="5" spans="2:19" ht="15.95" customHeight="1">
      <c r="B5" s="370"/>
      <c r="C5" s="371"/>
      <c r="D5" s="371"/>
      <c r="E5" s="371"/>
      <c r="F5" s="371"/>
      <c r="G5" s="371"/>
      <c r="H5" s="371"/>
      <c r="I5" s="371"/>
      <c r="J5" s="371"/>
      <c r="K5" s="371"/>
      <c r="L5" s="371"/>
      <c r="M5" s="371"/>
      <c r="N5" s="371"/>
      <c r="O5" s="372"/>
    </row>
    <row r="6" spans="2:19" ht="15.95" customHeight="1">
      <c r="B6" s="370"/>
      <c r="C6" s="371"/>
      <c r="D6" s="371"/>
      <c r="E6" s="371"/>
      <c r="F6" s="371"/>
      <c r="G6" s="371"/>
      <c r="H6" s="371"/>
      <c r="I6" s="371"/>
      <c r="J6" s="371"/>
      <c r="K6" s="371"/>
      <c r="L6" s="371"/>
      <c r="M6" s="371"/>
      <c r="N6" s="371"/>
      <c r="O6" s="372"/>
    </row>
    <row r="7" spans="2:19" ht="15.95" customHeight="1" thickBot="1">
      <c r="B7" s="373"/>
      <c r="C7" s="374"/>
      <c r="D7" s="374"/>
      <c r="E7" s="374"/>
      <c r="F7" s="374"/>
      <c r="G7" s="374"/>
      <c r="H7" s="374"/>
      <c r="I7" s="374"/>
      <c r="J7" s="374"/>
      <c r="K7" s="374"/>
      <c r="L7" s="374"/>
      <c r="M7" s="374"/>
      <c r="N7" s="374"/>
      <c r="O7" s="375"/>
    </row>
    <row r="8" spans="2:19" ht="9" customHeight="1">
      <c r="B8" s="221"/>
      <c r="C8" s="221"/>
      <c r="D8" s="221"/>
      <c r="E8" s="221"/>
      <c r="F8" s="221"/>
      <c r="G8" s="221"/>
      <c r="H8" s="221"/>
      <c r="I8" s="221"/>
      <c r="J8" s="221"/>
      <c r="K8" s="221"/>
      <c r="L8" s="221"/>
      <c r="M8" s="221"/>
      <c r="N8" s="221"/>
      <c r="O8" s="221"/>
    </row>
    <row r="9" spans="2:19">
      <c r="M9" s="307" t="s">
        <v>168</v>
      </c>
      <c r="N9" s="309"/>
    </row>
    <row r="10" spans="2:19">
      <c r="M10" s="222" t="s">
        <v>448</v>
      </c>
      <c r="N10" s="223" t="s">
        <v>447</v>
      </c>
      <c r="O10" s="223" t="s">
        <v>446</v>
      </c>
      <c r="P10" s="223" t="s">
        <v>447</v>
      </c>
      <c r="Q10" s="223"/>
      <c r="R10" s="223"/>
      <c r="S10" s="224"/>
    </row>
    <row r="11" spans="2:19">
      <c r="E11" s="3">
        <v>58</v>
      </c>
      <c r="F11" s="95" t="s">
        <v>442</v>
      </c>
      <c r="G11" s="95" t="s">
        <v>443</v>
      </c>
      <c r="J11" s="376" t="s">
        <v>444</v>
      </c>
      <c r="K11" s="376"/>
      <c r="M11" s="225">
        <v>5</v>
      </c>
      <c r="N11" s="95">
        <v>7</v>
      </c>
      <c r="O11" s="95">
        <v>3</v>
      </c>
      <c r="P11" s="3">
        <v>7</v>
      </c>
      <c r="Q11" s="376" t="s">
        <v>444</v>
      </c>
      <c r="R11" s="376"/>
      <c r="S11" s="226"/>
    </row>
    <row r="12" spans="2:19">
      <c r="E12" s="3">
        <v>116</v>
      </c>
      <c r="F12" s="143" t="s">
        <v>445</v>
      </c>
      <c r="G12" s="143">
        <v>7</v>
      </c>
      <c r="J12" s="95" t="s">
        <v>442</v>
      </c>
      <c r="K12" s="95" t="s">
        <v>443</v>
      </c>
      <c r="M12" s="225"/>
      <c r="N12" s="143" t="s">
        <v>445</v>
      </c>
      <c r="O12" s="143">
        <v>4</v>
      </c>
      <c r="Q12" s="95" t="s">
        <v>442</v>
      </c>
      <c r="R12" s="95" t="s">
        <v>443</v>
      </c>
      <c r="S12" s="226"/>
    </row>
    <row r="13" spans="2:19">
      <c r="G13" s="3" t="str">
        <f>IF(OR(G12=6,G12=9),"_","")</f>
        <v/>
      </c>
      <c r="J13" s="132" t="s">
        <v>446</v>
      </c>
      <c r="K13" s="132">
        <v>2</v>
      </c>
      <c r="M13" s="225"/>
      <c r="Q13" s="230" t="s">
        <v>446</v>
      </c>
      <c r="R13" s="230">
        <v>6</v>
      </c>
      <c r="S13" s="226"/>
    </row>
    <row r="14" spans="2:19">
      <c r="J14" s="3" t="s">
        <v>448</v>
      </c>
      <c r="K14" s="3">
        <v>8</v>
      </c>
      <c r="M14" s="225"/>
      <c r="Q14" s="3" t="s">
        <v>447</v>
      </c>
      <c r="R14" s="3">
        <v>0</v>
      </c>
      <c r="S14" s="226"/>
    </row>
    <row r="15" spans="2:19">
      <c r="J15" s="3" t="s">
        <v>445</v>
      </c>
      <c r="K15" s="3">
        <v>9</v>
      </c>
      <c r="M15" s="225"/>
      <c r="Q15" s="3" t="s">
        <v>448</v>
      </c>
      <c r="R15" s="3">
        <v>5</v>
      </c>
      <c r="S15" s="226"/>
    </row>
    <row r="16" spans="2:19">
      <c r="J16" s="3" t="s">
        <v>445</v>
      </c>
      <c r="K16" s="3">
        <v>7</v>
      </c>
      <c r="M16" s="225"/>
      <c r="Q16" s="3" t="s">
        <v>446</v>
      </c>
      <c r="R16" s="3">
        <v>8</v>
      </c>
      <c r="S16" s="226"/>
    </row>
    <row r="17" spans="10:19">
      <c r="J17" s="3" t="s">
        <v>447</v>
      </c>
      <c r="K17" s="3">
        <v>4</v>
      </c>
      <c r="M17" s="225"/>
      <c r="Q17" s="3" t="s">
        <v>447</v>
      </c>
      <c r="R17" s="3">
        <v>2</v>
      </c>
      <c r="S17" s="226"/>
    </row>
    <row r="18" spans="10:19">
      <c r="J18" s="3" t="s">
        <v>446</v>
      </c>
      <c r="K18" s="3">
        <v>3</v>
      </c>
      <c r="M18" s="225"/>
      <c r="Q18" s="3" t="s">
        <v>447</v>
      </c>
      <c r="R18" s="3">
        <v>9</v>
      </c>
      <c r="S18" s="226"/>
    </row>
    <row r="19" spans="10:19">
      <c r="J19" s="3" t="s">
        <v>447</v>
      </c>
      <c r="K19" s="3">
        <v>4</v>
      </c>
      <c r="M19" s="225"/>
      <c r="Q19" s="3" t="s">
        <v>448</v>
      </c>
      <c r="R19" s="3">
        <v>9</v>
      </c>
      <c r="S19" s="226"/>
    </row>
    <row r="20" spans="10:19">
      <c r="J20" s="3" t="s">
        <v>447</v>
      </c>
      <c r="K20" s="3">
        <v>8</v>
      </c>
      <c r="M20" s="225"/>
      <c r="Q20" s="3" t="s">
        <v>448</v>
      </c>
      <c r="R20" s="3">
        <v>6</v>
      </c>
      <c r="S20" s="226"/>
    </row>
    <row r="21" spans="10:19">
      <c r="J21" s="3" t="s">
        <v>445</v>
      </c>
      <c r="K21" s="3">
        <v>7</v>
      </c>
      <c r="M21" s="225"/>
      <c r="Q21" s="3" t="s">
        <v>448</v>
      </c>
      <c r="R21" s="3">
        <v>9</v>
      </c>
      <c r="S21" s="226"/>
    </row>
    <row r="22" spans="10:19">
      <c r="M22" s="225"/>
      <c r="Q22" s="3" t="s">
        <v>447</v>
      </c>
      <c r="R22" s="3">
        <v>2</v>
      </c>
      <c r="S22" s="226"/>
    </row>
    <row r="23" spans="10:19">
      <c r="M23" s="225"/>
      <c r="Q23" s="3" t="s">
        <v>447</v>
      </c>
      <c r="R23" s="3">
        <v>7</v>
      </c>
      <c r="S23" s="226"/>
    </row>
    <row r="24" spans="10:19">
      <c r="M24" s="225"/>
      <c r="Q24" s="3" t="s">
        <v>446</v>
      </c>
      <c r="R24" s="3">
        <v>7</v>
      </c>
      <c r="S24" s="226"/>
    </row>
    <row r="25" spans="10:19">
      <c r="M25" s="225"/>
      <c r="Q25" s="3" t="s">
        <v>446</v>
      </c>
      <c r="R25" s="3">
        <v>1</v>
      </c>
      <c r="S25" s="226"/>
    </row>
    <row r="26" spans="10:19">
      <c r="M26" s="225"/>
      <c r="Q26" s="3" t="s">
        <v>448</v>
      </c>
      <c r="R26" s="3">
        <v>0</v>
      </c>
      <c r="S26" s="226"/>
    </row>
    <row r="27" spans="10:19">
      <c r="M27" s="225"/>
      <c r="Q27" s="3" t="s">
        <v>446</v>
      </c>
      <c r="R27" s="3">
        <v>1</v>
      </c>
      <c r="S27" s="226"/>
    </row>
    <row r="28" spans="10:19">
      <c r="M28" s="225"/>
      <c r="Q28" s="3" t="s">
        <v>445</v>
      </c>
      <c r="R28" s="3">
        <v>3</v>
      </c>
      <c r="S28" s="226"/>
    </row>
    <row r="29" spans="10:19">
      <c r="M29" s="227"/>
      <c r="N29" s="228"/>
      <c r="O29" s="228"/>
      <c r="P29" s="228"/>
      <c r="Q29" s="228"/>
      <c r="R29" s="228"/>
      <c r="S29" s="229"/>
    </row>
  </sheetData>
  <mergeCells count="4">
    <mergeCell ref="B3:O7"/>
    <mergeCell ref="J11:K11"/>
    <mergeCell ref="Q11:R11"/>
    <mergeCell ref="M9:N9"/>
  </mergeCells>
  <conditionalFormatting sqref="E14:H25">
    <cfRule type="expression" dxfId="3" priority="1">
      <formula>$F$12="Azul"</formula>
    </cfRule>
    <cfRule type="expression" dxfId="2" priority="2">
      <formula>$F$12="Rojo"</formula>
    </cfRule>
    <cfRule type="expression" dxfId="1" priority="3">
      <formula>$F$12="Verde"</formula>
    </cfRule>
    <cfRule type="expression" dxfId="0" priority="4">
      <formula>$F$12="Amarillo"</formula>
    </cfRule>
  </conditionalFormatting>
  <dataValidations count="2">
    <dataValidation type="list" allowBlank="1" showInputMessage="1" showErrorMessage="1" sqref="F12 N12" xr:uid="{F031905A-B889-42AD-A5F2-2E13B3656A0B}">
      <formula1>"Rojo,Amarillo,Verde,Azul"</formula1>
    </dataValidation>
    <dataValidation type="list" allowBlank="1" showInputMessage="1" showErrorMessage="1" sqref="G12 O12" xr:uid="{ABA7D44B-9826-456E-8F66-1372A123FAF8}">
      <formula1>"0,1,2,3,4,5,6,7,8,9"</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823E5-AD47-4168-B511-47C711054399}">
  <sheetPr codeName="Hoja16"/>
  <dimension ref="B2:L7"/>
  <sheetViews>
    <sheetView showGridLines="0" topLeftCell="F1" zoomScale="156" zoomScaleNormal="100" workbookViewId="0">
      <selection activeCell="H14" sqref="H14"/>
    </sheetView>
  </sheetViews>
  <sheetFormatPr baseColWidth="10" defaultColWidth="9.28515625" defaultRowHeight="15"/>
  <cols>
    <col min="1" max="1" width="9.28515625" style="3"/>
    <col min="2" max="2" width="10.7109375" style="3" customWidth="1"/>
    <col min="3" max="16384" width="9.28515625" style="3"/>
  </cols>
  <sheetData>
    <row r="2" spans="2:12">
      <c r="B2" s="107" t="s">
        <v>449</v>
      </c>
    </row>
    <row r="3" spans="2:12" ht="14.25" customHeight="1">
      <c r="B3" s="331" t="s">
        <v>474</v>
      </c>
      <c r="C3" s="377"/>
      <c r="D3" s="377"/>
      <c r="E3" s="377"/>
      <c r="F3" s="377"/>
      <c r="G3" s="377"/>
      <c r="H3" s="377"/>
      <c r="I3" s="377"/>
      <c r="J3" s="377"/>
      <c r="K3" s="377"/>
      <c r="L3" s="377"/>
    </row>
    <row r="4" spans="2:12">
      <c r="B4" s="377"/>
      <c r="C4" s="377"/>
      <c r="D4" s="377"/>
      <c r="E4" s="377"/>
      <c r="F4" s="377"/>
      <c r="G4" s="377"/>
      <c r="H4" s="377"/>
      <c r="I4" s="377"/>
      <c r="J4" s="377"/>
      <c r="K4" s="377"/>
      <c r="L4" s="377"/>
    </row>
    <row r="5" spans="2:12">
      <c r="B5" s="377"/>
      <c r="C5" s="377"/>
      <c r="D5" s="377"/>
      <c r="E5" s="377"/>
      <c r="F5" s="377"/>
      <c r="G5" s="377"/>
      <c r="H5" s="377"/>
      <c r="I5" s="377"/>
      <c r="J5" s="377"/>
      <c r="K5" s="377"/>
      <c r="L5" s="377"/>
    </row>
    <row r="6" spans="2:12">
      <c r="B6" s="377"/>
      <c r="C6" s="377"/>
      <c r="D6" s="377"/>
      <c r="E6" s="377"/>
      <c r="F6" s="377"/>
      <c r="G6" s="377"/>
      <c r="H6" s="377"/>
      <c r="I6" s="377"/>
      <c r="J6" s="377"/>
      <c r="K6" s="377"/>
      <c r="L6" s="377"/>
    </row>
    <row r="7" spans="2:12">
      <c r="B7" s="4"/>
      <c r="C7" s="4"/>
      <c r="D7" s="4"/>
      <c r="E7" s="4"/>
      <c r="F7" s="4"/>
      <c r="G7" s="4"/>
      <c r="H7" s="4"/>
      <c r="I7" s="4"/>
      <c r="J7" s="4"/>
      <c r="K7" s="4"/>
    </row>
  </sheetData>
  <mergeCells count="1">
    <mergeCell ref="B3:L6"/>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579AC-D0DE-4737-9456-A8241015076B}">
  <sheetPr codeName="Hoja17"/>
  <dimension ref="B1:N16"/>
  <sheetViews>
    <sheetView showGridLines="0" tabSelected="1" zoomScale="86" workbookViewId="0">
      <selection activeCell="H17" sqref="H17"/>
    </sheetView>
  </sheetViews>
  <sheetFormatPr baseColWidth="10" defaultColWidth="8.7109375" defaultRowHeight="15"/>
  <cols>
    <col min="2" max="2" width="12.5703125" customWidth="1"/>
    <col min="5" max="5" width="10.42578125" customWidth="1"/>
    <col min="6" max="6" width="11.140625" customWidth="1"/>
  </cols>
  <sheetData>
    <row r="1" spans="2:14" ht="15.95" customHeight="1"/>
    <row r="2" spans="2:14" ht="15.75" customHeight="1" thickBot="1">
      <c r="B2" s="95" t="s">
        <v>450</v>
      </c>
    </row>
    <row r="3" spans="2:14" ht="18" customHeight="1">
      <c r="B3" s="378" t="s">
        <v>454</v>
      </c>
      <c r="C3" s="379"/>
      <c r="D3" s="379"/>
      <c r="E3" s="379"/>
      <c r="F3" s="379"/>
      <c r="G3" s="379"/>
      <c r="H3" s="379"/>
      <c r="I3" s="379"/>
      <c r="J3" s="379"/>
      <c r="K3" s="379"/>
      <c r="L3" s="379"/>
      <c r="M3" s="379"/>
      <c r="N3" s="380"/>
    </row>
    <row r="4" spans="2:14" ht="15.95" customHeight="1">
      <c r="B4" s="378"/>
      <c r="C4" s="354"/>
      <c r="D4" s="354"/>
      <c r="E4" s="354"/>
      <c r="F4" s="354"/>
      <c r="G4" s="354"/>
      <c r="H4" s="354"/>
      <c r="I4" s="354"/>
      <c r="J4" s="354"/>
      <c r="K4" s="354"/>
      <c r="L4" s="354"/>
      <c r="M4" s="354"/>
      <c r="N4" s="381"/>
    </row>
    <row r="5" spans="2:14" ht="15.95" customHeight="1">
      <c r="B5" s="378"/>
      <c r="C5" s="354"/>
      <c r="D5" s="354"/>
      <c r="E5" s="354"/>
      <c r="F5" s="354"/>
      <c r="G5" s="354"/>
      <c r="H5" s="354"/>
      <c r="I5" s="354"/>
      <c r="J5" s="354"/>
      <c r="K5" s="354"/>
      <c r="L5" s="354"/>
      <c r="M5" s="354"/>
      <c r="N5" s="381"/>
    </row>
    <row r="6" spans="2:14" ht="15.95" customHeight="1">
      <c r="B6" s="378"/>
      <c r="C6" s="354"/>
      <c r="D6" s="354"/>
      <c r="E6" s="354"/>
      <c r="F6" s="354"/>
      <c r="G6" s="354"/>
      <c r="H6" s="354"/>
      <c r="I6" s="354"/>
      <c r="J6" s="354"/>
      <c r="K6" s="354"/>
      <c r="L6" s="354"/>
      <c r="M6" s="354"/>
      <c r="N6" s="381"/>
    </row>
    <row r="7" spans="2:14" ht="15.95" customHeight="1">
      <c r="B7" s="378"/>
      <c r="C7" s="354"/>
      <c r="D7" s="354"/>
      <c r="E7" s="354"/>
      <c r="F7" s="354"/>
      <c r="G7" s="354"/>
      <c r="H7" s="354"/>
      <c r="I7" s="354"/>
      <c r="J7" s="354"/>
      <c r="K7" s="354"/>
      <c r="L7" s="354"/>
      <c r="M7" s="354"/>
      <c r="N7" s="381"/>
    </row>
    <row r="8" spans="2:14" ht="22.5" customHeight="1" thickBot="1">
      <c r="B8" s="382"/>
      <c r="C8" s="383"/>
      <c r="D8" s="383"/>
      <c r="E8" s="383"/>
      <c r="F8" s="383"/>
      <c r="G8" s="383"/>
      <c r="H8" s="383"/>
      <c r="I8" s="383"/>
      <c r="J8" s="383"/>
      <c r="K8" s="383"/>
      <c r="L8" s="383"/>
      <c r="M8" s="383"/>
      <c r="N8" s="384"/>
    </row>
    <row r="9" spans="2:14" ht="15.95" customHeight="1"/>
    <row r="10" spans="2:14" ht="15.95" customHeight="1"/>
    <row r="11" spans="2:14" ht="15.75" customHeight="1">
      <c r="C11" s="385" t="s">
        <v>451</v>
      </c>
      <c r="D11" s="386"/>
      <c r="E11" s="133">
        <v>57</v>
      </c>
    </row>
    <row r="12" spans="2:14" ht="15.95" customHeight="1">
      <c r="C12" s="385" t="s">
        <v>452</v>
      </c>
      <c r="D12" s="386"/>
      <c r="E12" s="133">
        <v>114</v>
      </c>
    </row>
    <row r="13" spans="2:14" ht="15.95" customHeight="1"/>
    <row r="14" spans="2:14" ht="15.95" customHeight="1"/>
    <row r="15" spans="2:14" ht="15.95" customHeight="1"/>
    <row r="16" spans="2:14" ht="15.95" customHeight="1"/>
  </sheetData>
  <mergeCells count="3">
    <mergeCell ref="B3:N8"/>
    <mergeCell ref="C11:D11"/>
    <mergeCell ref="C12:D1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D76F077D8BAE846B1BC71F9ACADFD43" ma:contentTypeVersion="18" ma:contentTypeDescription="Crear nuevo documento." ma:contentTypeScope="" ma:versionID="1c45dc80752e809aedc6f0db5c7a762f">
  <xsd:schema xmlns:xsd="http://www.w3.org/2001/XMLSchema" xmlns:xs="http://www.w3.org/2001/XMLSchema" xmlns:p="http://schemas.microsoft.com/office/2006/metadata/properties" xmlns:ns2="d87bfc22-b946-4a27-992e-b569612e2370" xmlns:ns3="8e187d6d-71cf-4345-a05c-1ad4336251df" targetNamespace="http://schemas.microsoft.com/office/2006/metadata/properties" ma:root="true" ma:fieldsID="e74f33a9aa747f96a19cee971891333d" ns2:_="" ns3:_="">
    <xsd:import namespace="d87bfc22-b946-4a27-992e-b569612e2370"/>
    <xsd:import namespace="8e187d6d-71cf-4345-a05c-1ad4336251df"/>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7bfc22-b946-4a27-992e-b569612e237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Length (seconds)" ma:internalName="MediaLengthInSeconds" ma:readOnly="true">
      <xsd:simpleType>
        <xsd:restriction base="dms:Unknown"/>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Etiquetas de imagen" ma:readOnly="false" ma:fieldId="{5cf76f15-5ced-4ddc-b409-7134ff3c332f}" ma:taxonomyMulti="true" ma:sspId="a38e7027-190f-4f90-8839-9f8250567d86"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description="" ma:indexed="true" ma:internalName="MediaServiceLocation" ma:readOnly="true">
      <xsd:simpleType>
        <xsd:restriction base="dms:Text"/>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e187d6d-71cf-4345-a05c-1ad4336251df"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element name="TaxCatchAll" ma:index="22" nillable="true" ma:displayName="Taxonomy Catch All Column" ma:hidden="true" ma:list="{ecdefce6-cd2c-4b03-9764-5f947de3a291}" ma:internalName="TaxCatchAll" ma:showField="CatchAllData" ma:web="8e187d6d-71cf-4345-a05c-1ad4336251d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e187d6d-71cf-4345-a05c-1ad4336251df" xsi:nil="true"/>
    <lcf76f155ced4ddcb4097134ff3c332f xmlns="d87bfc22-b946-4a27-992e-b569612e237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E77C49-2F9A-41DE-863F-610D969117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7bfc22-b946-4a27-992e-b569612e2370"/>
    <ds:schemaRef ds:uri="8e187d6d-71cf-4345-a05c-1ad4336251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06657D-E6E0-46F9-9E46-D99A47A00828}">
  <ds:schemaRefs>
    <ds:schemaRef ds:uri="http://schemas.microsoft.com/office/2006/metadata/properties"/>
    <ds:schemaRef ds:uri="http://schemas.microsoft.com/office/infopath/2007/PartnerControls"/>
    <ds:schemaRef ds:uri="8e187d6d-71cf-4345-a05c-1ad4336251df"/>
    <ds:schemaRef ds:uri="d87bfc22-b946-4a27-992e-b569612e2370"/>
  </ds:schemaRefs>
</ds:datastoreItem>
</file>

<file path=customXml/itemProps3.xml><?xml version="1.0" encoding="utf-8"?>
<ds:datastoreItem xmlns:ds="http://schemas.openxmlformats.org/officeDocument/2006/customXml" ds:itemID="{78C32E3F-5327-4F5C-899E-5E253DEA526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Aclaraciones</vt:lpstr>
      <vt:lpstr>Funciones VBA</vt:lpstr>
      <vt:lpstr>Ejercicio 1</vt:lpstr>
      <vt:lpstr>Ejercicio 2</vt:lpstr>
      <vt:lpstr>Ejercicio 3</vt:lpstr>
      <vt:lpstr>Ejercicio 4</vt:lpstr>
      <vt:lpstr>Ejercicio 5</vt:lpstr>
      <vt:lpstr>Ejercicio 6</vt:lpstr>
      <vt:lpstr>Ejercicio 7</vt:lpstr>
      <vt:lpstr>Ejercicio 8</vt:lpstr>
      <vt:lpstr>Ejercicio 9</vt:lpstr>
      <vt:lpstr>Ejercicio 10</vt:lpstr>
      <vt:lpstr>Ejercicio 11</vt:lpstr>
      <vt:lpstr>Ejercicio 12</vt:lpstr>
      <vt:lpstr>Ejercicio 13</vt:lpstr>
      <vt:lpstr>Ejercicio 14</vt:lpstr>
      <vt:lpstr>Ejercicio 15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Brenda Catalina Barahona Pinilla</dc:creator>
  <cp:keywords/>
  <dc:description/>
  <cp:lastModifiedBy>Mariana Velez Rivera</cp:lastModifiedBy>
  <cp:revision/>
  <dcterms:created xsi:type="dcterms:W3CDTF">2024-02-26T14:40:43Z</dcterms:created>
  <dcterms:modified xsi:type="dcterms:W3CDTF">2024-05-30T19:36:09Z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0x010100DD76F077D8BAE846B1BC71F9ACADFD43</vt:lpwstr>
  </property>
  <property fmtid="{D5CDD505-2E9C-101B-9397-08002B2CF9AE}" pid="3" name="MediaServiceImageTags">
    <vt:lpwstr/>
  </property>
</Properties>
</file>